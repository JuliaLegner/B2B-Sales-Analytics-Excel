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7.xml" ContentType="application/vnd.openxmlformats-officedocument.spreadsheetml.table+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tables/table9.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tables/table10.xml" ContentType="application/vnd.openxmlformats-officedocument.spreadsheetml.table+xml"/>
  <Override PartName="/xl/tables/table11.xml" ContentType="application/vnd.openxmlformats-officedocument.spreadsheetml.table+xml"/>
  <Override PartName="/xl/drawings/drawing4.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workbookPr defaultThemeVersion="202300"/>
  <mc:AlternateContent xmlns:mc="http://schemas.openxmlformats.org/markup-compatibility/2006">
    <mc:Choice Requires="x15">
      <x15ac:absPath xmlns:x15ac="http://schemas.microsoft.com/office/spreadsheetml/2010/11/ac" url="https://uogcloud-my.sharepoint.com/personal/jl8060h_gre_ac_uk/Documents/Abgabe Principles of DS/"/>
    </mc:Choice>
  </mc:AlternateContent>
  <xr:revisionPtr revIDLastSave="0" documentId="8_{78AC9347-804C-434B-98A5-149C43836F3C}" xr6:coauthVersionLast="47" xr6:coauthVersionMax="47" xr10:uidLastSave="{00000000-0000-0000-0000-000000000000}"/>
  <bookViews>
    <workbookView xWindow="-110" yWindow="-110" windowWidth="25820" windowHeight="15500" firstSheet="1" activeTab="2" xr2:uid="{7D1C098C-37D4-43E2-9546-59EA94812393}"/>
  </bookViews>
  <sheets>
    <sheet name="RAW_DATA" sheetId="1" r:id="rId1"/>
    <sheet name="Data_Cleaning_Step1" sheetId="28" r:id="rId2"/>
    <sheet name="Data_Cleaning_Step2" sheetId="30" r:id="rId3"/>
    <sheet name="Clean_Data" sheetId="31" r:id="rId4"/>
    <sheet name="Transformed_Data" sheetId="32" r:id="rId5"/>
    <sheet name="Added_Data" sheetId="33" r:id="rId6"/>
    <sheet name="Bootstrapping" sheetId="34" r:id="rId7"/>
    <sheet name="casestudy1" sheetId="13" state="hidden" r:id="rId8"/>
    <sheet name="casestudy2" sheetId="14" state="hidden" r:id="rId9"/>
    <sheet name="Bootstrap_Sample1" sheetId="35" r:id="rId10"/>
    <sheet name="Bootstrap_Sample2" sheetId="38" r:id="rId11"/>
    <sheet name="PCA_Analysis" sheetId="36" r:id="rId12"/>
    <sheet name="New_Clean_Data" sheetId="39" r:id="rId13"/>
    <sheet name="DataVisualisation" sheetId="40" r:id="rId14"/>
    <sheet name="Statistical_Modelling" sheetId="44" r:id="rId15"/>
    <sheet name="Regressio_Data" sheetId="45" r:id="rId16"/>
    <sheet name="Regression_Output" sheetId="46" r:id="rId17"/>
  </sheets>
  <calcPr calcId="191029"/>
  <pivotCaches>
    <pivotCache cacheId="0" r:id="rId18"/>
    <pivotCache cacheId="1" r:id="rId19"/>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29" i="40" l="1"/>
  <c r="H30" i="46" a="1"/>
  <c r="H30" i="46" s="1"/>
  <c r="U61" i="44"/>
  <c r="U60" i="44"/>
  <c r="U59" i="44"/>
  <c r="U42" i="44"/>
  <c r="U38" i="44"/>
  <c r="U37" i="44"/>
  <c r="C3" i="38" a="1"/>
  <c r="C3" i="38" s="1"/>
  <c r="D3" i="38" a="1"/>
  <c r="D3" i="38" s="1"/>
  <c r="E3" i="38" a="1"/>
  <c r="E3" i="38" s="1"/>
  <c r="F3" i="38" a="1"/>
  <c r="F3" i="38" s="1"/>
  <c r="G3" i="38" a="1"/>
  <c r="G3" i="38" s="1"/>
  <c r="H3" i="38" a="1"/>
  <c r="H3" i="38" s="1"/>
  <c r="I3" i="38" a="1"/>
  <c r="I3" i="38" s="1"/>
  <c r="J3" i="38" a="1"/>
  <c r="J3" i="38" s="1"/>
  <c r="K3" i="38" a="1"/>
  <c r="K3" i="38" s="1"/>
  <c r="L3" i="38" a="1"/>
  <c r="L3" i="38" s="1"/>
  <c r="M3" i="38" a="1"/>
  <c r="M3" i="38" s="1"/>
  <c r="N3" i="38" a="1"/>
  <c r="N3" i="38" s="1"/>
  <c r="O3" i="38" a="1"/>
  <c r="O3" i="38" s="1"/>
  <c r="P3" i="38" a="1"/>
  <c r="P3" i="38" s="1"/>
  <c r="Q3" i="38" a="1"/>
  <c r="Q3" i="38" s="1"/>
  <c r="R3" i="38" a="1"/>
  <c r="R3" i="38" s="1"/>
  <c r="S3" i="38" a="1"/>
  <c r="S3" i="38" s="1"/>
  <c r="C4" i="38" a="1"/>
  <c r="C4" i="38" s="1"/>
  <c r="D4" i="38" a="1"/>
  <c r="D4" i="38" s="1"/>
  <c r="E4" i="38" a="1"/>
  <c r="E4" i="38" s="1"/>
  <c r="F4" i="38" a="1"/>
  <c r="F4" i="38" s="1"/>
  <c r="G4" i="38" a="1"/>
  <c r="G4" i="38" s="1"/>
  <c r="H4" i="38" a="1"/>
  <c r="H4" i="38" s="1"/>
  <c r="I4" i="38" a="1"/>
  <c r="I4" i="38" s="1"/>
  <c r="J4" i="38" a="1"/>
  <c r="J4" i="38" s="1"/>
  <c r="K4" i="38" a="1"/>
  <c r="K4" i="38" s="1"/>
  <c r="L4" i="38" a="1"/>
  <c r="L4" i="38" s="1"/>
  <c r="M4" i="38" a="1"/>
  <c r="M4" i="38" s="1"/>
  <c r="N4" i="38" a="1"/>
  <c r="N4" i="38" s="1"/>
  <c r="O4" i="38" a="1"/>
  <c r="O4" i="38" s="1"/>
  <c r="P4" i="38" a="1"/>
  <c r="P4" i="38" s="1"/>
  <c r="Q4" i="38" a="1"/>
  <c r="Q4" i="38" s="1"/>
  <c r="R4" i="38" a="1"/>
  <c r="R4" i="38" s="1"/>
  <c r="S4" i="38" a="1"/>
  <c r="S4" i="38" s="1"/>
  <c r="C5" i="38" a="1"/>
  <c r="C5" i="38" s="1"/>
  <c r="D5" i="38" a="1"/>
  <c r="D5" i="38" s="1"/>
  <c r="E5" i="38" a="1"/>
  <c r="E5" i="38" s="1"/>
  <c r="F5" i="38" a="1"/>
  <c r="F5" i="38" s="1"/>
  <c r="G5" i="38" a="1"/>
  <c r="G5" i="38" s="1"/>
  <c r="H5" i="38" a="1"/>
  <c r="H5" i="38" s="1"/>
  <c r="I5" i="38" a="1"/>
  <c r="I5" i="38" s="1"/>
  <c r="J5" i="38" a="1"/>
  <c r="J5" i="38" s="1"/>
  <c r="K5" i="38" a="1"/>
  <c r="K5" i="38" s="1"/>
  <c r="L5" i="38" a="1"/>
  <c r="L5" i="38" s="1"/>
  <c r="M5" i="38" a="1"/>
  <c r="M5" i="38" s="1"/>
  <c r="N5" i="38" a="1"/>
  <c r="N5" i="38" s="1"/>
  <c r="O5" i="38" a="1"/>
  <c r="O5" i="38" s="1"/>
  <c r="P5" i="38" a="1"/>
  <c r="P5" i="38" s="1"/>
  <c r="Q5" i="38" a="1"/>
  <c r="Q5" i="38" s="1"/>
  <c r="R5" i="38" a="1"/>
  <c r="R5" i="38" s="1"/>
  <c r="S5" i="38" a="1"/>
  <c r="S5" i="38" s="1"/>
  <c r="C6" i="38" a="1"/>
  <c r="C6" i="38" s="1"/>
  <c r="D6" i="38" a="1"/>
  <c r="D6" i="38" s="1"/>
  <c r="E6" i="38" a="1"/>
  <c r="E6" i="38" s="1"/>
  <c r="F6" i="38" a="1"/>
  <c r="F6" i="38" s="1"/>
  <c r="G6" i="38" a="1"/>
  <c r="G6" i="38" s="1"/>
  <c r="H6" i="38" a="1"/>
  <c r="H6" i="38" s="1"/>
  <c r="I6" i="38" a="1"/>
  <c r="I6" i="38" s="1"/>
  <c r="J6" i="38" a="1"/>
  <c r="J6" i="38" s="1"/>
  <c r="K6" i="38" a="1"/>
  <c r="K6" i="38" s="1"/>
  <c r="L6" i="38" a="1"/>
  <c r="L6" i="38" s="1"/>
  <c r="M6" i="38" a="1"/>
  <c r="M6" i="38" s="1"/>
  <c r="N6" i="38" a="1"/>
  <c r="N6" i="38" s="1"/>
  <c r="O6" i="38" a="1"/>
  <c r="O6" i="38" s="1"/>
  <c r="P6" i="38" a="1"/>
  <c r="P6" i="38" s="1"/>
  <c r="Q6" i="38" a="1"/>
  <c r="Q6" i="38" s="1"/>
  <c r="R6" i="38" a="1"/>
  <c r="R6" i="38" s="1"/>
  <c r="S6" i="38" a="1"/>
  <c r="S6" i="38" s="1"/>
  <c r="C7" i="38" a="1"/>
  <c r="C7" i="38" s="1"/>
  <c r="D7" i="38" a="1"/>
  <c r="D7" i="38" s="1"/>
  <c r="E7" i="38" a="1"/>
  <c r="E7" i="38" s="1"/>
  <c r="F7" i="38" a="1"/>
  <c r="F7" i="38" s="1"/>
  <c r="G7" i="38" a="1"/>
  <c r="G7" i="38" s="1"/>
  <c r="H7" i="38" a="1"/>
  <c r="H7" i="38" s="1"/>
  <c r="I7" i="38" a="1"/>
  <c r="I7" i="38" s="1"/>
  <c r="J7" i="38" a="1"/>
  <c r="J7" i="38" s="1"/>
  <c r="K7" i="38" a="1"/>
  <c r="K7" i="38" s="1"/>
  <c r="L7" i="38" a="1"/>
  <c r="L7" i="38" s="1"/>
  <c r="M7" i="38" a="1"/>
  <c r="M7" i="38" s="1"/>
  <c r="N7" i="38" a="1"/>
  <c r="N7" i="38" s="1"/>
  <c r="O7" i="38" a="1"/>
  <c r="O7" i="38" s="1"/>
  <c r="P7" i="38" a="1"/>
  <c r="P7" i="38" s="1"/>
  <c r="Q7" i="38" a="1"/>
  <c r="Q7" i="38" s="1"/>
  <c r="R7" i="38" a="1"/>
  <c r="R7" i="38" s="1"/>
  <c r="S7" i="38" a="1"/>
  <c r="S7" i="38" s="1"/>
  <c r="C8" i="38" a="1"/>
  <c r="C8" i="38" s="1"/>
  <c r="D8" i="38" a="1"/>
  <c r="D8" i="38" s="1"/>
  <c r="E8" i="38" a="1"/>
  <c r="E8" i="38" s="1"/>
  <c r="F8" i="38" a="1"/>
  <c r="F8" i="38" s="1"/>
  <c r="G8" i="38" a="1"/>
  <c r="G8" i="38" s="1"/>
  <c r="H8" i="38" a="1"/>
  <c r="H8" i="38" s="1"/>
  <c r="I8" i="38" a="1"/>
  <c r="I8" i="38" s="1"/>
  <c r="J8" i="38" a="1"/>
  <c r="J8" i="38" s="1"/>
  <c r="K8" i="38" a="1"/>
  <c r="K8" i="38" s="1"/>
  <c r="L8" i="38" a="1"/>
  <c r="L8" i="38" s="1"/>
  <c r="M8" i="38" a="1"/>
  <c r="M8" i="38" s="1"/>
  <c r="N8" i="38" a="1"/>
  <c r="N8" i="38" s="1"/>
  <c r="O8" i="38" a="1"/>
  <c r="O8" i="38" s="1"/>
  <c r="P8" i="38" a="1"/>
  <c r="P8" i="38" s="1"/>
  <c r="Q8" i="38" a="1"/>
  <c r="Q8" i="38" s="1"/>
  <c r="R8" i="38" a="1"/>
  <c r="R8" i="38" s="1"/>
  <c r="S8" i="38" a="1"/>
  <c r="S8" i="38" s="1"/>
  <c r="C9" i="38" a="1"/>
  <c r="C9" i="38" s="1"/>
  <c r="D9" i="38" a="1"/>
  <c r="D9" i="38" s="1"/>
  <c r="E9" i="38" a="1"/>
  <c r="E9" i="38" s="1"/>
  <c r="F9" i="38" a="1"/>
  <c r="F9" i="38" s="1"/>
  <c r="G9" i="38" a="1"/>
  <c r="G9" i="38" s="1"/>
  <c r="H9" i="38" a="1"/>
  <c r="H9" i="38" s="1"/>
  <c r="I9" i="38" a="1"/>
  <c r="I9" i="38" s="1"/>
  <c r="J9" i="38" a="1"/>
  <c r="J9" i="38" s="1"/>
  <c r="K9" i="38" a="1"/>
  <c r="K9" i="38" s="1"/>
  <c r="L9" i="38" a="1"/>
  <c r="L9" i="38" s="1"/>
  <c r="M9" i="38" a="1"/>
  <c r="M9" i="38" s="1"/>
  <c r="N9" i="38" a="1"/>
  <c r="N9" i="38" s="1"/>
  <c r="O9" i="38" a="1"/>
  <c r="O9" i="38" s="1"/>
  <c r="P9" i="38" a="1"/>
  <c r="P9" i="38" s="1"/>
  <c r="Q9" i="38" a="1"/>
  <c r="Q9" i="38" s="1"/>
  <c r="R9" i="38" a="1"/>
  <c r="R9" i="38" s="1"/>
  <c r="S9" i="38" a="1"/>
  <c r="S9" i="38" s="1"/>
  <c r="C10" i="38" a="1"/>
  <c r="C10" i="38" s="1"/>
  <c r="D10" i="38" a="1"/>
  <c r="D10" i="38" s="1"/>
  <c r="E10" i="38" a="1"/>
  <c r="E10" i="38" s="1"/>
  <c r="F10" i="38" a="1"/>
  <c r="F10" i="38" s="1"/>
  <c r="G10" i="38" a="1"/>
  <c r="G10" i="38" s="1"/>
  <c r="H10" i="38" a="1"/>
  <c r="H10" i="38" s="1"/>
  <c r="I10" i="38" a="1"/>
  <c r="I10" i="38" s="1"/>
  <c r="J10" i="38" a="1"/>
  <c r="J10" i="38" s="1"/>
  <c r="K10" i="38" a="1"/>
  <c r="K10" i="38" s="1"/>
  <c r="L10" i="38" a="1"/>
  <c r="L10" i="38" s="1"/>
  <c r="M10" i="38" a="1"/>
  <c r="M10" i="38" s="1"/>
  <c r="N10" i="38" a="1"/>
  <c r="N10" i="38" s="1"/>
  <c r="O10" i="38" a="1"/>
  <c r="O10" i="38" s="1"/>
  <c r="P10" i="38" a="1"/>
  <c r="P10" i="38" s="1"/>
  <c r="Q10" i="38" a="1"/>
  <c r="Q10" i="38" s="1"/>
  <c r="R10" i="38" a="1"/>
  <c r="R10" i="38" s="1"/>
  <c r="S10" i="38" a="1"/>
  <c r="S10" i="38" s="1"/>
  <c r="C11" i="38" a="1"/>
  <c r="C11" i="38" s="1"/>
  <c r="D11" i="38" a="1"/>
  <c r="D11" i="38" s="1"/>
  <c r="E11" i="38" a="1"/>
  <c r="E11" i="38" s="1"/>
  <c r="F11" i="38" a="1"/>
  <c r="F11" i="38" s="1"/>
  <c r="G11" i="38" a="1"/>
  <c r="G11" i="38" s="1"/>
  <c r="H11" i="38" a="1"/>
  <c r="H11" i="38" s="1"/>
  <c r="I11" i="38" a="1"/>
  <c r="I11" i="38" s="1"/>
  <c r="J11" i="38" a="1"/>
  <c r="J11" i="38" s="1"/>
  <c r="K11" i="38" a="1"/>
  <c r="K11" i="38" s="1"/>
  <c r="L11" i="38" a="1"/>
  <c r="L11" i="38" s="1"/>
  <c r="M11" i="38" a="1"/>
  <c r="M11" i="38" s="1"/>
  <c r="N11" i="38" a="1"/>
  <c r="N11" i="38" s="1"/>
  <c r="O11" i="38" a="1"/>
  <c r="O11" i="38" s="1"/>
  <c r="P11" i="38" a="1"/>
  <c r="P11" i="38" s="1"/>
  <c r="Q11" i="38" a="1"/>
  <c r="Q11" i="38" s="1"/>
  <c r="R11" i="38" a="1"/>
  <c r="R11" i="38" s="1"/>
  <c r="S11" i="38" a="1"/>
  <c r="S11" i="38" s="1"/>
  <c r="C12" i="38" a="1"/>
  <c r="C12" i="38" s="1"/>
  <c r="D12" i="38" a="1"/>
  <c r="D12" i="38" s="1"/>
  <c r="E12" i="38" a="1"/>
  <c r="E12" i="38" s="1"/>
  <c r="F12" i="38" a="1"/>
  <c r="F12" i="38" s="1"/>
  <c r="G12" i="38" a="1"/>
  <c r="G12" i="38" s="1"/>
  <c r="H12" i="38" a="1"/>
  <c r="H12" i="38" s="1"/>
  <c r="I12" i="38" a="1"/>
  <c r="I12" i="38" s="1"/>
  <c r="J12" i="38" a="1"/>
  <c r="J12" i="38" s="1"/>
  <c r="K12" i="38" a="1"/>
  <c r="K12" i="38" s="1"/>
  <c r="L12" i="38" a="1"/>
  <c r="L12" i="38" s="1"/>
  <c r="M12" i="38" a="1"/>
  <c r="M12" i="38" s="1"/>
  <c r="N12" i="38" a="1"/>
  <c r="N12" i="38" s="1"/>
  <c r="O12" i="38" a="1"/>
  <c r="O12" i="38" s="1"/>
  <c r="P12" i="38" a="1"/>
  <c r="P12" i="38" s="1"/>
  <c r="Q12" i="38" a="1"/>
  <c r="Q12" i="38" s="1"/>
  <c r="R12" i="38" a="1"/>
  <c r="R12" i="38" s="1"/>
  <c r="S12" i="38" a="1"/>
  <c r="S12" i="38" s="1"/>
  <c r="C13" i="38" a="1"/>
  <c r="C13" i="38" s="1"/>
  <c r="D13" i="38" a="1"/>
  <c r="D13" i="38" s="1"/>
  <c r="E13" i="38" a="1"/>
  <c r="E13" i="38" s="1"/>
  <c r="F13" i="38" a="1"/>
  <c r="F13" i="38" s="1"/>
  <c r="G13" i="38" a="1"/>
  <c r="G13" i="38" s="1"/>
  <c r="H13" i="38" a="1"/>
  <c r="H13" i="38" s="1"/>
  <c r="I13" i="38" a="1"/>
  <c r="I13" i="38" s="1"/>
  <c r="J13" i="38" a="1"/>
  <c r="J13" i="38" s="1"/>
  <c r="K13" i="38" a="1"/>
  <c r="K13" i="38" s="1"/>
  <c r="L13" i="38" a="1"/>
  <c r="L13" i="38" s="1"/>
  <c r="M13" i="38" a="1"/>
  <c r="M13" i="38" s="1"/>
  <c r="N13" i="38" a="1"/>
  <c r="N13" i="38" s="1"/>
  <c r="O13" i="38" a="1"/>
  <c r="O13" i="38" s="1"/>
  <c r="P13" i="38" a="1"/>
  <c r="P13" i="38" s="1"/>
  <c r="Q13" i="38" a="1"/>
  <c r="Q13" i="38" s="1"/>
  <c r="R13" i="38" a="1"/>
  <c r="R13" i="38" s="1"/>
  <c r="S13" i="38" a="1"/>
  <c r="S13" i="38" s="1"/>
  <c r="C14" i="38" a="1"/>
  <c r="C14" i="38" s="1"/>
  <c r="D14" i="38" a="1"/>
  <c r="D14" i="38" s="1"/>
  <c r="E14" i="38" a="1"/>
  <c r="E14" i="38" s="1"/>
  <c r="F14" i="38" a="1"/>
  <c r="F14" i="38" s="1"/>
  <c r="G14" i="38" a="1"/>
  <c r="G14" i="38" s="1"/>
  <c r="H14" i="38" a="1"/>
  <c r="H14" i="38" s="1"/>
  <c r="I14" i="38" a="1"/>
  <c r="I14" i="38" s="1"/>
  <c r="J14" i="38" a="1"/>
  <c r="J14" i="38" s="1"/>
  <c r="K14" i="38" a="1"/>
  <c r="K14" i="38" s="1"/>
  <c r="L14" i="38" a="1"/>
  <c r="L14" i="38" s="1"/>
  <c r="M14" i="38" a="1"/>
  <c r="M14" i="38" s="1"/>
  <c r="N14" i="38" a="1"/>
  <c r="N14" i="38" s="1"/>
  <c r="O14" i="38" a="1"/>
  <c r="O14" i="38" s="1"/>
  <c r="P14" i="38" a="1"/>
  <c r="P14" i="38" s="1"/>
  <c r="Q14" i="38" a="1"/>
  <c r="Q14" i="38" s="1"/>
  <c r="R14" i="38" a="1"/>
  <c r="R14" i="38" s="1"/>
  <c r="S14" i="38" a="1"/>
  <c r="S14" i="38" s="1"/>
  <c r="C15" i="38" a="1"/>
  <c r="C15" i="38" s="1"/>
  <c r="D15" i="38" a="1"/>
  <c r="D15" i="38" s="1"/>
  <c r="E15" i="38" a="1"/>
  <c r="E15" i="38" s="1"/>
  <c r="F15" i="38" a="1"/>
  <c r="F15" i="38" s="1"/>
  <c r="G15" i="38" a="1"/>
  <c r="G15" i="38" s="1"/>
  <c r="H15" i="38" a="1"/>
  <c r="H15" i="38" s="1"/>
  <c r="I15" i="38" a="1"/>
  <c r="I15" i="38" s="1"/>
  <c r="J15" i="38" a="1"/>
  <c r="J15" i="38" s="1"/>
  <c r="K15" i="38" a="1"/>
  <c r="K15" i="38" s="1"/>
  <c r="L15" i="38" a="1"/>
  <c r="L15" i="38" s="1"/>
  <c r="M15" i="38" a="1"/>
  <c r="M15" i="38" s="1"/>
  <c r="N15" i="38" a="1"/>
  <c r="N15" i="38" s="1"/>
  <c r="O15" i="38" a="1"/>
  <c r="O15" i="38" s="1"/>
  <c r="P15" i="38" a="1"/>
  <c r="P15" i="38" s="1"/>
  <c r="Q15" i="38" a="1"/>
  <c r="Q15" i="38" s="1"/>
  <c r="R15" i="38" a="1"/>
  <c r="R15" i="38" s="1"/>
  <c r="S15" i="38" a="1"/>
  <c r="S15" i="38" s="1"/>
  <c r="C16" i="38" a="1"/>
  <c r="C16" i="38" s="1"/>
  <c r="D16" i="38" a="1"/>
  <c r="D16" i="38" s="1"/>
  <c r="E16" i="38" a="1"/>
  <c r="E16" i="38" s="1"/>
  <c r="F16" i="38" a="1"/>
  <c r="F16" i="38" s="1"/>
  <c r="G16" i="38" a="1"/>
  <c r="G16" i="38" s="1"/>
  <c r="H16" i="38" a="1"/>
  <c r="H16" i="38" s="1"/>
  <c r="I16" i="38" a="1"/>
  <c r="I16" i="38" s="1"/>
  <c r="J16" i="38" a="1"/>
  <c r="J16" i="38" s="1"/>
  <c r="K16" i="38" a="1"/>
  <c r="K16" i="38" s="1"/>
  <c r="L16" i="38" a="1"/>
  <c r="L16" i="38" s="1"/>
  <c r="M16" i="38" a="1"/>
  <c r="M16" i="38" s="1"/>
  <c r="N16" i="38" a="1"/>
  <c r="N16" i="38" s="1"/>
  <c r="O16" i="38" a="1"/>
  <c r="O16" i="38" s="1"/>
  <c r="P16" i="38" a="1"/>
  <c r="P16" i="38" s="1"/>
  <c r="Q16" i="38" a="1"/>
  <c r="Q16" i="38" s="1"/>
  <c r="R16" i="38" a="1"/>
  <c r="R16" i="38" s="1"/>
  <c r="S16" i="38" a="1"/>
  <c r="S16" i="38" s="1"/>
  <c r="C17" i="38" a="1"/>
  <c r="C17" i="38" s="1"/>
  <c r="D17" i="38" a="1"/>
  <c r="D17" i="38" s="1"/>
  <c r="E17" i="38" a="1"/>
  <c r="E17" i="38" s="1"/>
  <c r="F17" i="38" a="1"/>
  <c r="F17" i="38" s="1"/>
  <c r="G17" i="38" a="1"/>
  <c r="G17" i="38" s="1"/>
  <c r="H17" i="38" a="1"/>
  <c r="H17" i="38" s="1"/>
  <c r="I17" i="38" a="1"/>
  <c r="I17" i="38" s="1"/>
  <c r="J17" i="38" a="1"/>
  <c r="J17" i="38" s="1"/>
  <c r="K17" i="38" a="1"/>
  <c r="K17" i="38" s="1"/>
  <c r="L17" i="38" a="1"/>
  <c r="L17" i="38" s="1"/>
  <c r="M17" i="38" a="1"/>
  <c r="M17" i="38" s="1"/>
  <c r="N17" i="38" a="1"/>
  <c r="N17" i="38" s="1"/>
  <c r="O17" i="38" a="1"/>
  <c r="O17" i="38" s="1"/>
  <c r="P17" i="38" a="1"/>
  <c r="P17" i="38" s="1"/>
  <c r="Q17" i="38" a="1"/>
  <c r="Q17" i="38" s="1"/>
  <c r="R17" i="38" a="1"/>
  <c r="R17" i="38" s="1"/>
  <c r="S17" i="38" a="1"/>
  <c r="S17" i="38" s="1"/>
  <c r="C18" i="38" a="1"/>
  <c r="C18" i="38" s="1"/>
  <c r="D18" i="38" a="1"/>
  <c r="D18" i="38" s="1"/>
  <c r="E18" i="38" a="1"/>
  <c r="E18" i="38" s="1"/>
  <c r="F18" i="38" a="1"/>
  <c r="F18" i="38" s="1"/>
  <c r="G18" i="38" a="1"/>
  <c r="G18" i="38" s="1"/>
  <c r="H18" i="38" a="1"/>
  <c r="H18" i="38" s="1"/>
  <c r="I18" i="38" a="1"/>
  <c r="I18" i="38" s="1"/>
  <c r="J18" i="38" a="1"/>
  <c r="J18" i="38" s="1"/>
  <c r="K18" i="38" a="1"/>
  <c r="K18" i="38" s="1"/>
  <c r="L18" i="38" a="1"/>
  <c r="L18" i="38" s="1"/>
  <c r="M18" i="38" a="1"/>
  <c r="M18" i="38" s="1"/>
  <c r="N18" i="38" a="1"/>
  <c r="N18" i="38" s="1"/>
  <c r="O18" i="38" a="1"/>
  <c r="O18" i="38" s="1"/>
  <c r="P18" i="38" a="1"/>
  <c r="P18" i="38" s="1"/>
  <c r="Q18" i="38" a="1"/>
  <c r="Q18" i="38" s="1"/>
  <c r="R18" i="38" a="1"/>
  <c r="R18" i="38" s="1"/>
  <c r="S18" i="38" a="1"/>
  <c r="S18" i="38" s="1"/>
  <c r="C19" i="38" a="1"/>
  <c r="C19" i="38" s="1"/>
  <c r="D19" i="38" a="1"/>
  <c r="D19" i="38" s="1"/>
  <c r="E19" i="38" a="1"/>
  <c r="E19" i="38" s="1"/>
  <c r="F19" i="38" a="1"/>
  <c r="F19" i="38" s="1"/>
  <c r="G19" i="38" a="1"/>
  <c r="G19" i="38" s="1"/>
  <c r="H19" i="38" a="1"/>
  <c r="H19" i="38" s="1"/>
  <c r="I19" i="38" a="1"/>
  <c r="I19" i="38" s="1"/>
  <c r="J19" i="38" a="1"/>
  <c r="J19" i="38" s="1"/>
  <c r="K19" i="38" a="1"/>
  <c r="K19" i="38" s="1"/>
  <c r="L19" i="38" a="1"/>
  <c r="L19" i="38" s="1"/>
  <c r="M19" i="38" a="1"/>
  <c r="M19" i="38" s="1"/>
  <c r="N19" i="38" a="1"/>
  <c r="N19" i="38" s="1"/>
  <c r="O19" i="38" a="1"/>
  <c r="O19" i="38" s="1"/>
  <c r="P19" i="38" a="1"/>
  <c r="P19" i="38" s="1"/>
  <c r="Q19" i="38" a="1"/>
  <c r="Q19" i="38" s="1"/>
  <c r="R19" i="38" a="1"/>
  <c r="R19" i="38" s="1"/>
  <c r="S19" i="38" a="1"/>
  <c r="S19" i="38" s="1"/>
  <c r="C20" i="38" a="1"/>
  <c r="C20" i="38" s="1"/>
  <c r="D20" i="38" a="1"/>
  <c r="D20" i="38" s="1"/>
  <c r="E20" i="38" a="1"/>
  <c r="E20" i="38" s="1"/>
  <c r="F20" i="38" a="1"/>
  <c r="F20" i="38" s="1"/>
  <c r="G20" i="38" a="1"/>
  <c r="G20" i="38" s="1"/>
  <c r="H20" i="38" a="1"/>
  <c r="H20" i="38" s="1"/>
  <c r="I20" i="38" a="1"/>
  <c r="I20" i="38" s="1"/>
  <c r="J20" i="38" a="1"/>
  <c r="J20" i="38" s="1"/>
  <c r="K20" i="38" a="1"/>
  <c r="K20" i="38" s="1"/>
  <c r="L20" i="38" a="1"/>
  <c r="L20" i="38" s="1"/>
  <c r="M20" i="38" a="1"/>
  <c r="M20" i="38" s="1"/>
  <c r="N20" i="38" a="1"/>
  <c r="N20" i="38" s="1"/>
  <c r="O20" i="38" a="1"/>
  <c r="O20" i="38" s="1"/>
  <c r="P20" i="38" a="1"/>
  <c r="P20" i="38" s="1"/>
  <c r="Q20" i="38" a="1"/>
  <c r="Q20" i="38" s="1"/>
  <c r="R20" i="38" a="1"/>
  <c r="R20" i="38" s="1"/>
  <c r="S20" i="38" a="1"/>
  <c r="S20" i="38" s="1"/>
  <c r="C21" i="38" a="1"/>
  <c r="C21" i="38" s="1"/>
  <c r="D21" i="38" a="1"/>
  <c r="D21" i="38" s="1"/>
  <c r="E21" i="38" a="1"/>
  <c r="E21" i="38" s="1"/>
  <c r="F21" i="38" a="1"/>
  <c r="F21" i="38" s="1"/>
  <c r="G21" i="38" a="1"/>
  <c r="G21" i="38" s="1"/>
  <c r="H21" i="38" a="1"/>
  <c r="H21" i="38" s="1"/>
  <c r="I21" i="38" a="1"/>
  <c r="I21" i="38" s="1"/>
  <c r="J21" i="38" a="1"/>
  <c r="J21" i="38" s="1"/>
  <c r="K21" i="38" a="1"/>
  <c r="K21" i="38" s="1"/>
  <c r="L21" i="38" a="1"/>
  <c r="L21" i="38" s="1"/>
  <c r="M21" i="38" a="1"/>
  <c r="M21" i="38" s="1"/>
  <c r="N21" i="38" a="1"/>
  <c r="N21" i="38" s="1"/>
  <c r="O21" i="38" a="1"/>
  <c r="O21" i="38" s="1"/>
  <c r="P21" i="38" a="1"/>
  <c r="P21" i="38" s="1"/>
  <c r="Q21" i="38" a="1"/>
  <c r="Q21" i="38" s="1"/>
  <c r="R21" i="38" a="1"/>
  <c r="R21" i="38" s="1"/>
  <c r="S21" i="38" a="1"/>
  <c r="S21" i="38" s="1"/>
  <c r="C22" i="38" a="1"/>
  <c r="C22" i="38" s="1"/>
  <c r="D22" i="38" a="1"/>
  <c r="D22" i="38" s="1"/>
  <c r="E22" i="38" a="1"/>
  <c r="E22" i="38" s="1"/>
  <c r="F22" i="38" a="1"/>
  <c r="F22" i="38" s="1"/>
  <c r="G22" i="38" a="1"/>
  <c r="G22" i="38" s="1"/>
  <c r="H22" i="38" a="1"/>
  <c r="H22" i="38" s="1"/>
  <c r="I22" i="38" a="1"/>
  <c r="I22" i="38" s="1"/>
  <c r="J22" i="38" a="1"/>
  <c r="J22" i="38" s="1"/>
  <c r="K22" i="38" a="1"/>
  <c r="K22" i="38" s="1"/>
  <c r="L22" i="38" a="1"/>
  <c r="L22" i="38" s="1"/>
  <c r="M22" i="38" a="1"/>
  <c r="M22" i="38" s="1"/>
  <c r="N22" i="38" a="1"/>
  <c r="N22" i="38" s="1"/>
  <c r="O22" i="38" a="1"/>
  <c r="O22" i="38" s="1"/>
  <c r="P22" i="38" a="1"/>
  <c r="P22" i="38" s="1"/>
  <c r="Q22" i="38" a="1"/>
  <c r="Q22" i="38" s="1"/>
  <c r="R22" i="38" a="1"/>
  <c r="R22" i="38" s="1"/>
  <c r="S22" i="38" a="1"/>
  <c r="S22" i="38" s="1"/>
  <c r="C23" i="38" a="1"/>
  <c r="C23" i="38" s="1"/>
  <c r="D23" i="38" a="1"/>
  <c r="D23" i="38" s="1"/>
  <c r="E23" i="38" a="1"/>
  <c r="E23" i="38" s="1"/>
  <c r="F23" i="38" a="1"/>
  <c r="F23" i="38" s="1"/>
  <c r="G23" i="38" a="1"/>
  <c r="G23" i="38" s="1"/>
  <c r="H23" i="38" a="1"/>
  <c r="H23" i="38" s="1"/>
  <c r="I23" i="38" a="1"/>
  <c r="I23" i="38" s="1"/>
  <c r="J23" i="38" a="1"/>
  <c r="J23" i="38" s="1"/>
  <c r="K23" i="38" a="1"/>
  <c r="K23" i="38" s="1"/>
  <c r="L23" i="38" a="1"/>
  <c r="L23" i="38" s="1"/>
  <c r="M23" i="38" a="1"/>
  <c r="M23" i="38" s="1"/>
  <c r="N23" i="38" a="1"/>
  <c r="N23" i="38" s="1"/>
  <c r="O23" i="38" a="1"/>
  <c r="O23" i="38" s="1"/>
  <c r="P23" i="38" a="1"/>
  <c r="P23" i="38" s="1"/>
  <c r="Q23" i="38" a="1"/>
  <c r="Q23" i="38" s="1"/>
  <c r="R23" i="38" a="1"/>
  <c r="R23" i="38" s="1"/>
  <c r="S23" i="38" a="1"/>
  <c r="S23" i="38" s="1"/>
  <c r="C24" i="38" a="1"/>
  <c r="C24" i="38" s="1"/>
  <c r="D24" i="38" a="1"/>
  <c r="D24" i="38" s="1"/>
  <c r="E24" i="38" a="1"/>
  <c r="E24" i="38" s="1"/>
  <c r="F24" i="38" a="1"/>
  <c r="F24" i="38" s="1"/>
  <c r="G24" i="38" a="1"/>
  <c r="G24" i="38" s="1"/>
  <c r="H24" i="38" a="1"/>
  <c r="H24" i="38" s="1"/>
  <c r="I24" i="38" a="1"/>
  <c r="I24" i="38" s="1"/>
  <c r="J24" i="38" a="1"/>
  <c r="J24" i="38" s="1"/>
  <c r="K24" i="38" a="1"/>
  <c r="K24" i="38" s="1"/>
  <c r="L24" i="38" a="1"/>
  <c r="L24" i="38" s="1"/>
  <c r="M24" i="38" a="1"/>
  <c r="M24" i="38" s="1"/>
  <c r="N24" i="38" a="1"/>
  <c r="N24" i="38" s="1"/>
  <c r="O24" i="38" a="1"/>
  <c r="O24" i="38" s="1"/>
  <c r="P24" i="38" a="1"/>
  <c r="P24" i="38" s="1"/>
  <c r="Q24" i="38" a="1"/>
  <c r="Q24" i="38" s="1"/>
  <c r="R24" i="38" a="1"/>
  <c r="R24" i="38" s="1"/>
  <c r="S24" i="38" a="1"/>
  <c r="S24" i="38" s="1"/>
  <c r="C25" i="38" a="1"/>
  <c r="C25" i="38" s="1"/>
  <c r="D25" i="38" a="1"/>
  <c r="D25" i="38" s="1"/>
  <c r="E25" i="38" a="1"/>
  <c r="E25" i="38" s="1"/>
  <c r="F25" i="38" a="1"/>
  <c r="F25" i="38" s="1"/>
  <c r="G25" i="38" a="1"/>
  <c r="G25" i="38" s="1"/>
  <c r="H25" i="38" a="1"/>
  <c r="H25" i="38" s="1"/>
  <c r="I25" i="38" a="1"/>
  <c r="I25" i="38" s="1"/>
  <c r="J25" i="38" a="1"/>
  <c r="J25" i="38" s="1"/>
  <c r="K25" i="38" a="1"/>
  <c r="K25" i="38" s="1"/>
  <c r="L25" i="38" a="1"/>
  <c r="L25" i="38" s="1"/>
  <c r="M25" i="38" a="1"/>
  <c r="M25" i="38" s="1"/>
  <c r="N25" i="38" a="1"/>
  <c r="N25" i="38" s="1"/>
  <c r="O25" i="38" a="1"/>
  <c r="O25" i="38" s="1"/>
  <c r="P25" i="38" a="1"/>
  <c r="P25" i="38" s="1"/>
  <c r="Q25" i="38" a="1"/>
  <c r="Q25" i="38" s="1"/>
  <c r="R25" i="38" a="1"/>
  <c r="R25" i="38" s="1"/>
  <c r="S25" i="38" a="1"/>
  <c r="S25" i="38" s="1"/>
  <c r="C26" i="38" a="1"/>
  <c r="C26" i="38" s="1"/>
  <c r="D26" i="38" a="1"/>
  <c r="D26" i="38" s="1"/>
  <c r="E26" i="38" a="1"/>
  <c r="E26" i="38" s="1"/>
  <c r="F26" i="38" a="1"/>
  <c r="F26" i="38" s="1"/>
  <c r="G26" i="38" a="1"/>
  <c r="G26" i="38" s="1"/>
  <c r="H26" i="38" a="1"/>
  <c r="H26" i="38" s="1"/>
  <c r="I26" i="38" a="1"/>
  <c r="I26" i="38" s="1"/>
  <c r="J26" i="38" a="1"/>
  <c r="J26" i="38" s="1"/>
  <c r="K26" i="38" a="1"/>
  <c r="K26" i="38" s="1"/>
  <c r="L26" i="38" a="1"/>
  <c r="L26" i="38" s="1"/>
  <c r="M26" i="38" a="1"/>
  <c r="M26" i="38" s="1"/>
  <c r="N26" i="38" a="1"/>
  <c r="N26" i="38" s="1"/>
  <c r="O26" i="38" a="1"/>
  <c r="O26" i="38" s="1"/>
  <c r="P26" i="38" a="1"/>
  <c r="P26" i="38" s="1"/>
  <c r="Q26" i="38" a="1"/>
  <c r="Q26" i="38" s="1"/>
  <c r="R26" i="38" a="1"/>
  <c r="R26" i="38" s="1"/>
  <c r="S26" i="38" a="1"/>
  <c r="S26" i="38" s="1"/>
  <c r="C27" i="38" a="1"/>
  <c r="C27" i="38" s="1"/>
  <c r="D27" i="38" a="1"/>
  <c r="D27" i="38" s="1"/>
  <c r="E27" i="38" a="1"/>
  <c r="E27" i="38" s="1"/>
  <c r="F27" i="38" a="1"/>
  <c r="F27" i="38" s="1"/>
  <c r="G27" i="38" a="1"/>
  <c r="G27" i="38" s="1"/>
  <c r="H27" i="38" a="1"/>
  <c r="H27" i="38" s="1"/>
  <c r="I27" i="38" a="1"/>
  <c r="I27" i="38" s="1"/>
  <c r="J27" i="38" a="1"/>
  <c r="J27" i="38" s="1"/>
  <c r="K27" i="38" a="1"/>
  <c r="K27" i="38" s="1"/>
  <c r="L27" i="38" a="1"/>
  <c r="L27" i="38" s="1"/>
  <c r="M27" i="38" a="1"/>
  <c r="M27" i="38" s="1"/>
  <c r="N27" i="38" a="1"/>
  <c r="N27" i="38" s="1"/>
  <c r="O27" i="38" a="1"/>
  <c r="O27" i="38" s="1"/>
  <c r="P27" i="38" a="1"/>
  <c r="P27" i="38" s="1"/>
  <c r="Q27" i="38" a="1"/>
  <c r="Q27" i="38" s="1"/>
  <c r="R27" i="38" a="1"/>
  <c r="R27" i="38" s="1"/>
  <c r="S27" i="38" a="1"/>
  <c r="S27" i="38" s="1"/>
  <c r="C28" i="38" a="1"/>
  <c r="C28" i="38" s="1"/>
  <c r="D28" i="38" a="1"/>
  <c r="D28" i="38" s="1"/>
  <c r="E28" i="38" a="1"/>
  <c r="E28" i="38" s="1"/>
  <c r="F28" i="38" a="1"/>
  <c r="F28" i="38" s="1"/>
  <c r="G28" i="38" a="1"/>
  <c r="G28" i="38" s="1"/>
  <c r="H28" i="38" a="1"/>
  <c r="H28" i="38" s="1"/>
  <c r="I28" i="38" a="1"/>
  <c r="I28" i="38" s="1"/>
  <c r="J28" i="38" a="1"/>
  <c r="J28" i="38" s="1"/>
  <c r="K28" i="38" a="1"/>
  <c r="K28" i="38" s="1"/>
  <c r="L28" i="38" a="1"/>
  <c r="L28" i="38" s="1"/>
  <c r="M28" i="38" a="1"/>
  <c r="M28" i="38" s="1"/>
  <c r="N28" i="38" a="1"/>
  <c r="N28" i="38" s="1"/>
  <c r="O28" i="38" a="1"/>
  <c r="O28" i="38" s="1"/>
  <c r="P28" i="38" a="1"/>
  <c r="P28" i="38" s="1"/>
  <c r="Q28" i="38" a="1"/>
  <c r="Q28" i="38" s="1"/>
  <c r="R28" i="38" a="1"/>
  <c r="R28" i="38" s="1"/>
  <c r="S28" i="38" a="1"/>
  <c r="S28" i="38" s="1"/>
  <c r="C29" i="38" a="1"/>
  <c r="C29" i="38" s="1"/>
  <c r="D29" i="38" a="1"/>
  <c r="D29" i="38" s="1"/>
  <c r="E29" i="38" a="1"/>
  <c r="E29" i="38" s="1"/>
  <c r="F29" i="38" a="1"/>
  <c r="F29" i="38" s="1"/>
  <c r="G29" i="38" a="1"/>
  <c r="G29" i="38" s="1"/>
  <c r="H29" i="38" a="1"/>
  <c r="H29" i="38" s="1"/>
  <c r="I29" i="38" a="1"/>
  <c r="I29" i="38" s="1"/>
  <c r="J29" i="38" a="1"/>
  <c r="J29" i="38" s="1"/>
  <c r="K29" i="38" a="1"/>
  <c r="K29" i="38" s="1"/>
  <c r="L29" i="38" a="1"/>
  <c r="L29" i="38" s="1"/>
  <c r="M29" i="38" a="1"/>
  <c r="M29" i="38" s="1"/>
  <c r="N29" i="38" a="1"/>
  <c r="N29" i="38" s="1"/>
  <c r="O29" i="38" a="1"/>
  <c r="O29" i="38" s="1"/>
  <c r="P29" i="38" a="1"/>
  <c r="P29" i="38" s="1"/>
  <c r="Q29" i="38" a="1"/>
  <c r="Q29" i="38" s="1"/>
  <c r="R29" i="38" a="1"/>
  <c r="R29" i="38" s="1"/>
  <c r="S29" i="38" a="1"/>
  <c r="S29" i="38" s="1"/>
  <c r="C30" i="38" a="1"/>
  <c r="C30" i="38" s="1"/>
  <c r="D30" i="38" a="1"/>
  <c r="D30" i="38" s="1"/>
  <c r="E30" i="38" a="1"/>
  <c r="E30" i="38" s="1"/>
  <c r="F30" i="38" a="1"/>
  <c r="F30" i="38" s="1"/>
  <c r="G30" i="38" a="1"/>
  <c r="G30" i="38" s="1"/>
  <c r="H30" i="38" a="1"/>
  <c r="H30" i="38" s="1"/>
  <c r="I30" i="38" a="1"/>
  <c r="I30" i="38" s="1"/>
  <c r="J30" i="38" a="1"/>
  <c r="J30" i="38" s="1"/>
  <c r="K30" i="38" a="1"/>
  <c r="K30" i="38" s="1"/>
  <c r="L30" i="38" a="1"/>
  <c r="L30" i="38" s="1"/>
  <c r="M30" i="38" a="1"/>
  <c r="M30" i="38" s="1"/>
  <c r="N30" i="38" a="1"/>
  <c r="N30" i="38" s="1"/>
  <c r="O30" i="38" a="1"/>
  <c r="O30" i="38" s="1"/>
  <c r="P30" i="38" a="1"/>
  <c r="P30" i="38" s="1"/>
  <c r="Q30" i="38" a="1"/>
  <c r="Q30" i="38" s="1"/>
  <c r="R30" i="38" a="1"/>
  <c r="R30" i="38" s="1"/>
  <c r="S30" i="38" a="1"/>
  <c r="S30" i="38" s="1"/>
  <c r="C31" i="38" a="1"/>
  <c r="C31" i="38" s="1"/>
  <c r="D31" i="38" a="1"/>
  <c r="D31" i="38" s="1"/>
  <c r="E31" i="38" a="1"/>
  <c r="E31" i="38" s="1"/>
  <c r="F31" i="38" a="1"/>
  <c r="F31" i="38" s="1"/>
  <c r="G31" i="38" a="1"/>
  <c r="G31" i="38" s="1"/>
  <c r="H31" i="38" a="1"/>
  <c r="H31" i="38" s="1"/>
  <c r="I31" i="38" a="1"/>
  <c r="I31" i="38" s="1"/>
  <c r="J31" i="38" a="1"/>
  <c r="J31" i="38" s="1"/>
  <c r="K31" i="38" a="1"/>
  <c r="K31" i="38" s="1"/>
  <c r="L31" i="38" a="1"/>
  <c r="L31" i="38" s="1"/>
  <c r="M31" i="38" a="1"/>
  <c r="M31" i="38" s="1"/>
  <c r="N31" i="38" a="1"/>
  <c r="N31" i="38" s="1"/>
  <c r="O31" i="38" a="1"/>
  <c r="O31" i="38" s="1"/>
  <c r="P31" i="38" a="1"/>
  <c r="P31" i="38" s="1"/>
  <c r="Q31" i="38" a="1"/>
  <c r="Q31" i="38" s="1"/>
  <c r="R31" i="38" a="1"/>
  <c r="R31" i="38" s="1"/>
  <c r="S31" i="38" a="1"/>
  <c r="S31" i="38" s="1"/>
  <c r="C32" i="38" a="1"/>
  <c r="C32" i="38" s="1"/>
  <c r="D32" i="38" a="1"/>
  <c r="D32" i="38" s="1"/>
  <c r="E32" i="38" a="1"/>
  <c r="E32" i="38" s="1"/>
  <c r="F32" i="38" a="1"/>
  <c r="F32" i="38" s="1"/>
  <c r="G32" i="38" a="1"/>
  <c r="G32" i="38" s="1"/>
  <c r="H32" i="38" a="1"/>
  <c r="H32" i="38" s="1"/>
  <c r="I32" i="38" a="1"/>
  <c r="I32" i="38" s="1"/>
  <c r="J32" i="38" a="1"/>
  <c r="J32" i="38" s="1"/>
  <c r="K32" i="38" a="1"/>
  <c r="K32" i="38" s="1"/>
  <c r="L32" i="38" a="1"/>
  <c r="L32" i="38" s="1"/>
  <c r="M32" i="38" a="1"/>
  <c r="M32" i="38" s="1"/>
  <c r="N32" i="38" a="1"/>
  <c r="N32" i="38" s="1"/>
  <c r="O32" i="38" a="1"/>
  <c r="O32" i="38" s="1"/>
  <c r="P32" i="38" a="1"/>
  <c r="P32" i="38" s="1"/>
  <c r="Q32" i="38" a="1"/>
  <c r="Q32" i="38" s="1"/>
  <c r="R32" i="38" a="1"/>
  <c r="R32" i="38" s="1"/>
  <c r="S32" i="38" a="1"/>
  <c r="S32" i="38" s="1"/>
  <c r="C33" i="38" a="1"/>
  <c r="C33" i="38" s="1"/>
  <c r="D33" i="38" a="1"/>
  <c r="D33" i="38" s="1"/>
  <c r="E33" i="38" a="1"/>
  <c r="E33" i="38" s="1"/>
  <c r="F33" i="38" a="1"/>
  <c r="F33" i="38" s="1"/>
  <c r="G33" i="38" a="1"/>
  <c r="G33" i="38" s="1"/>
  <c r="H33" i="38" a="1"/>
  <c r="H33" i="38" s="1"/>
  <c r="I33" i="38" a="1"/>
  <c r="I33" i="38" s="1"/>
  <c r="J33" i="38" a="1"/>
  <c r="J33" i="38" s="1"/>
  <c r="K33" i="38" a="1"/>
  <c r="K33" i="38" s="1"/>
  <c r="L33" i="38" a="1"/>
  <c r="L33" i="38" s="1"/>
  <c r="M33" i="38" a="1"/>
  <c r="M33" i="38" s="1"/>
  <c r="N33" i="38" a="1"/>
  <c r="N33" i="38" s="1"/>
  <c r="O33" i="38" a="1"/>
  <c r="O33" i="38" s="1"/>
  <c r="P33" i="38" a="1"/>
  <c r="P33" i="38" s="1"/>
  <c r="Q33" i="38" a="1"/>
  <c r="Q33" i="38" s="1"/>
  <c r="R33" i="38" a="1"/>
  <c r="R33" i="38" s="1"/>
  <c r="S33" i="38" a="1"/>
  <c r="S33" i="38" s="1"/>
  <c r="C34" i="38" a="1"/>
  <c r="C34" i="38" s="1"/>
  <c r="D34" i="38" a="1"/>
  <c r="D34" i="38" s="1"/>
  <c r="E34" i="38" a="1"/>
  <c r="E34" i="38" s="1"/>
  <c r="F34" i="38" a="1"/>
  <c r="F34" i="38" s="1"/>
  <c r="G34" i="38" a="1"/>
  <c r="G34" i="38" s="1"/>
  <c r="H34" i="38" a="1"/>
  <c r="H34" i="38" s="1"/>
  <c r="I34" i="38" a="1"/>
  <c r="I34" i="38" s="1"/>
  <c r="J34" i="38" a="1"/>
  <c r="J34" i="38" s="1"/>
  <c r="K34" i="38" a="1"/>
  <c r="K34" i="38" s="1"/>
  <c r="L34" i="38" a="1"/>
  <c r="L34" i="38" s="1"/>
  <c r="M34" i="38" a="1"/>
  <c r="M34" i="38" s="1"/>
  <c r="N34" i="38" a="1"/>
  <c r="N34" i="38" s="1"/>
  <c r="O34" i="38" a="1"/>
  <c r="O34" i="38" s="1"/>
  <c r="P34" i="38" a="1"/>
  <c r="P34" i="38" s="1"/>
  <c r="Q34" i="38" a="1"/>
  <c r="Q34" i="38" s="1"/>
  <c r="R34" i="38" a="1"/>
  <c r="R34" i="38" s="1"/>
  <c r="S34" i="38" a="1"/>
  <c r="S34" i="38" s="1"/>
  <c r="C35" i="38" a="1"/>
  <c r="C35" i="38" s="1"/>
  <c r="D35" i="38" a="1"/>
  <c r="D35" i="38" s="1"/>
  <c r="E35" i="38" a="1"/>
  <c r="E35" i="38" s="1"/>
  <c r="F35" i="38" a="1"/>
  <c r="F35" i="38" s="1"/>
  <c r="G35" i="38" a="1"/>
  <c r="G35" i="38" s="1"/>
  <c r="H35" i="38" a="1"/>
  <c r="H35" i="38" s="1"/>
  <c r="I35" i="38" a="1"/>
  <c r="I35" i="38" s="1"/>
  <c r="J35" i="38" a="1"/>
  <c r="J35" i="38" s="1"/>
  <c r="K35" i="38" a="1"/>
  <c r="K35" i="38" s="1"/>
  <c r="L35" i="38" a="1"/>
  <c r="L35" i="38" s="1"/>
  <c r="M35" i="38" a="1"/>
  <c r="M35" i="38" s="1"/>
  <c r="N35" i="38" a="1"/>
  <c r="N35" i="38" s="1"/>
  <c r="O35" i="38" a="1"/>
  <c r="O35" i="38" s="1"/>
  <c r="P35" i="38" a="1"/>
  <c r="P35" i="38" s="1"/>
  <c r="Q35" i="38" a="1"/>
  <c r="Q35" i="38" s="1"/>
  <c r="R35" i="38" a="1"/>
  <c r="R35" i="38" s="1"/>
  <c r="S35" i="38" a="1"/>
  <c r="S35" i="38" s="1"/>
  <c r="C36" i="38" a="1"/>
  <c r="C36" i="38" s="1"/>
  <c r="D36" i="38" a="1"/>
  <c r="D36" i="38" s="1"/>
  <c r="E36" i="38" a="1"/>
  <c r="E36" i="38" s="1"/>
  <c r="F36" i="38" a="1"/>
  <c r="F36" i="38" s="1"/>
  <c r="G36" i="38" a="1"/>
  <c r="G36" i="38" s="1"/>
  <c r="H36" i="38" a="1"/>
  <c r="H36" i="38" s="1"/>
  <c r="I36" i="38" a="1"/>
  <c r="I36" i="38" s="1"/>
  <c r="J36" i="38" a="1"/>
  <c r="J36" i="38" s="1"/>
  <c r="K36" i="38" a="1"/>
  <c r="K36" i="38" s="1"/>
  <c r="L36" i="38" a="1"/>
  <c r="L36" i="38" s="1"/>
  <c r="M36" i="38" a="1"/>
  <c r="M36" i="38" s="1"/>
  <c r="N36" i="38" a="1"/>
  <c r="N36" i="38" s="1"/>
  <c r="O36" i="38" a="1"/>
  <c r="O36" i="38" s="1"/>
  <c r="P36" i="38" a="1"/>
  <c r="P36" i="38" s="1"/>
  <c r="Q36" i="38" a="1"/>
  <c r="Q36" i="38" s="1"/>
  <c r="R36" i="38" a="1"/>
  <c r="R36" i="38" s="1"/>
  <c r="S36" i="38" a="1"/>
  <c r="S36" i="38" s="1"/>
  <c r="C37" i="38" a="1"/>
  <c r="C37" i="38" s="1"/>
  <c r="D37" i="38" a="1"/>
  <c r="D37" i="38" s="1"/>
  <c r="E37" i="38" a="1"/>
  <c r="E37" i="38" s="1"/>
  <c r="F37" i="38" a="1"/>
  <c r="F37" i="38" s="1"/>
  <c r="G37" i="38" a="1"/>
  <c r="G37" i="38" s="1"/>
  <c r="H37" i="38" a="1"/>
  <c r="H37" i="38" s="1"/>
  <c r="I37" i="38" a="1"/>
  <c r="I37" i="38" s="1"/>
  <c r="J37" i="38" a="1"/>
  <c r="J37" i="38" s="1"/>
  <c r="K37" i="38" a="1"/>
  <c r="K37" i="38" s="1"/>
  <c r="L37" i="38" a="1"/>
  <c r="L37" i="38" s="1"/>
  <c r="M37" i="38" a="1"/>
  <c r="M37" i="38" s="1"/>
  <c r="N37" i="38" a="1"/>
  <c r="N37" i="38" s="1"/>
  <c r="O37" i="38" a="1"/>
  <c r="O37" i="38" s="1"/>
  <c r="P37" i="38" a="1"/>
  <c r="P37" i="38" s="1"/>
  <c r="Q37" i="38" a="1"/>
  <c r="Q37" i="38" s="1"/>
  <c r="R37" i="38" a="1"/>
  <c r="R37" i="38" s="1"/>
  <c r="S37" i="38" a="1"/>
  <c r="S37" i="38" s="1"/>
  <c r="C38" i="38" a="1"/>
  <c r="C38" i="38" s="1"/>
  <c r="D38" i="38" a="1"/>
  <c r="D38" i="38" s="1"/>
  <c r="E38" i="38" a="1"/>
  <c r="E38" i="38" s="1"/>
  <c r="F38" i="38" a="1"/>
  <c r="F38" i="38" s="1"/>
  <c r="G38" i="38" a="1"/>
  <c r="G38" i="38" s="1"/>
  <c r="H38" i="38" a="1"/>
  <c r="H38" i="38" s="1"/>
  <c r="I38" i="38" a="1"/>
  <c r="I38" i="38" s="1"/>
  <c r="J38" i="38" a="1"/>
  <c r="J38" i="38" s="1"/>
  <c r="K38" i="38" a="1"/>
  <c r="K38" i="38" s="1"/>
  <c r="L38" i="38" a="1"/>
  <c r="L38" i="38" s="1"/>
  <c r="M38" i="38" a="1"/>
  <c r="M38" i="38" s="1"/>
  <c r="N38" i="38" a="1"/>
  <c r="N38" i="38" s="1"/>
  <c r="O38" i="38" a="1"/>
  <c r="O38" i="38" s="1"/>
  <c r="P38" i="38" a="1"/>
  <c r="P38" i="38" s="1"/>
  <c r="Q38" i="38" a="1"/>
  <c r="Q38" i="38" s="1"/>
  <c r="R38" i="38" a="1"/>
  <c r="R38" i="38" s="1"/>
  <c r="S38" i="38" a="1"/>
  <c r="S38" i="38" s="1"/>
  <c r="C39" i="38" a="1"/>
  <c r="C39" i="38" s="1"/>
  <c r="D39" i="38" a="1"/>
  <c r="D39" i="38" s="1"/>
  <c r="E39" i="38" a="1"/>
  <c r="E39" i="38" s="1"/>
  <c r="F39" i="38" a="1"/>
  <c r="F39" i="38" s="1"/>
  <c r="G39" i="38" a="1"/>
  <c r="G39" i="38" s="1"/>
  <c r="H39" i="38" a="1"/>
  <c r="H39" i="38" s="1"/>
  <c r="I39" i="38" a="1"/>
  <c r="I39" i="38" s="1"/>
  <c r="J39" i="38" a="1"/>
  <c r="J39" i="38" s="1"/>
  <c r="K39" i="38" a="1"/>
  <c r="K39" i="38" s="1"/>
  <c r="L39" i="38" a="1"/>
  <c r="L39" i="38" s="1"/>
  <c r="M39" i="38" a="1"/>
  <c r="M39" i="38" s="1"/>
  <c r="N39" i="38" a="1"/>
  <c r="N39" i="38" s="1"/>
  <c r="O39" i="38" a="1"/>
  <c r="O39" i="38" s="1"/>
  <c r="P39" i="38" a="1"/>
  <c r="P39" i="38" s="1"/>
  <c r="Q39" i="38" a="1"/>
  <c r="Q39" i="38" s="1"/>
  <c r="R39" i="38" a="1"/>
  <c r="R39" i="38" s="1"/>
  <c r="S39" i="38" a="1"/>
  <c r="S39" i="38" s="1"/>
  <c r="C40" i="38" a="1"/>
  <c r="C40" i="38" s="1"/>
  <c r="D40" i="38" a="1"/>
  <c r="D40" i="38" s="1"/>
  <c r="E40" i="38" a="1"/>
  <c r="E40" i="38" s="1"/>
  <c r="F40" i="38" a="1"/>
  <c r="F40" i="38" s="1"/>
  <c r="G40" i="38" a="1"/>
  <c r="G40" i="38" s="1"/>
  <c r="H40" i="38" a="1"/>
  <c r="H40" i="38" s="1"/>
  <c r="I40" i="38" a="1"/>
  <c r="I40" i="38" s="1"/>
  <c r="J40" i="38" a="1"/>
  <c r="J40" i="38" s="1"/>
  <c r="K40" i="38" a="1"/>
  <c r="K40" i="38" s="1"/>
  <c r="L40" i="38" a="1"/>
  <c r="L40" i="38" s="1"/>
  <c r="M40" i="38" a="1"/>
  <c r="M40" i="38" s="1"/>
  <c r="N40" i="38" a="1"/>
  <c r="N40" i="38" s="1"/>
  <c r="O40" i="38" a="1"/>
  <c r="O40" i="38" s="1"/>
  <c r="P40" i="38" a="1"/>
  <c r="P40" i="38" s="1"/>
  <c r="Q40" i="38" a="1"/>
  <c r="Q40" i="38" s="1"/>
  <c r="R40" i="38" a="1"/>
  <c r="R40" i="38" s="1"/>
  <c r="S40" i="38" a="1"/>
  <c r="S40" i="38" s="1"/>
  <c r="C41" i="38" a="1"/>
  <c r="C41" i="38" s="1"/>
  <c r="D41" i="38" a="1"/>
  <c r="D41" i="38" s="1"/>
  <c r="E41" i="38" a="1"/>
  <c r="E41" i="38" s="1"/>
  <c r="F41" i="38" a="1"/>
  <c r="F41" i="38" s="1"/>
  <c r="G41" i="38" a="1"/>
  <c r="G41" i="38" s="1"/>
  <c r="H41" i="38" a="1"/>
  <c r="H41" i="38" s="1"/>
  <c r="I41" i="38" a="1"/>
  <c r="I41" i="38" s="1"/>
  <c r="J41" i="38" a="1"/>
  <c r="J41" i="38" s="1"/>
  <c r="K41" i="38" a="1"/>
  <c r="K41" i="38" s="1"/>
  <c r="L41" i="38" a="1"/>
  <c r="L41" i="38" s="1"/>
  <c r="M41" i="38" a="1"/>
  <c r="M41" i="38" s="1"/>
  <c r="N41" i="38" a="1"/>
  <c r="N41" i="38" s="1"/>
  <c r="O41" i="38" a="1"/>
  <c r="O41" i="38" s="1"/>
  <c r="P41" i="38" a="1"/>
  <c r="P41" i="38" s="1"/>
  <c r="Q41" i="38" a="1"/>
  <c r="Q41" i="38" s="1"/>
  <c r="R41" i="38" a="1"/>
  <c r="R41" i="38" s="1"/>
  <c r="S41" i="38" a="1"/>
  <c r="S41" i="38" s="1"/>
  <c r="C42" i="38" a="1"/>
  <c r="C42" i="38" s="1"/>
  <c r="D42" i="38" a="1"/>
  <c r="D42" i="38" s="1"/>
  <c r="E42" i="38" a="1"/>
  <c r="E42" i="38" s="1"/>
  <c r="F42" i="38" a="1"/>
  <c r="F42" i="38" s="1"/>
  <c r="G42" i="38" a="1"/>
  <c r="G42" i="38" s="1"/>
  <c r="H42" i="38" a="1"/>
  <c r="H42" i="38" s="1"/>
  <c r="I42" i="38" a="1"/>
  <c r="I42" i="38" s="1"/>
  <c r="J42" i="38" a="1"/>
  <c r="J42" i="38" s="1"/>
  <c r="K42" i="38" a="1"/>
  <c r="K42" i="38" s="1"/>
  <c r="L42" i="38" a="1"/>
  <c r="L42" i="38" s="1"/>
  <c r="M42" i="38" a="1"/>
  <c r="M42" i="38" s="1"/>
  <c r="N42" i="38" a="1"/>
  <c r="N42" i="38" s="1"/>
  <c r="O42" i="38" a="1"/>
  <c r="O42" i="38" s="1"/>
  <c r="P42" i="38" a="1"/>
  <c r="P42" i="38" s="1"/>
  <c r="Q42" i="38" a="1"/>
  <c r="Q42" i="38" s="1"/>
  <c r="R42" i="38" a="1"/>
  <c r="R42" i="38" s="1"/>
  <c r="S42" i="38" a="1"/>
  <c r="S42" i="38" s="1"/>
  <c r="C43" i="38" a="1"/>
  <c r="C43" i="38" s="1"/>
  <c r="D43" i="38" a="1"/>
  <c r="D43" i="38" s="1"/>
  <c r="E43" i="38" a="1"/>
  <c r="E43" i="38" s="1"/>
  <c r="F43" i="38" a="1"/>
  <c r="F43" i="38" s="1"/>
  <c r="G43" i="38" a="1"/>
  <c r="G43" i="38" s="1"/>
  <c r="H43" i="38" a="1"/>
  <c r="H43" i="38" s="1"/>
  <c r="I43" i="38" a="1"/>
  <c r="I43" i="38" s="1"/>
  <c r="J43" i="38" a="1"/>
  <c r="J43" i="38" s="1"/>
  <c r="K43" i="38" a="1"/>
  <c r="K43" i="38" s="1"/>
  <c r="L43" i="38" a="1"/>
  <c r="L43" i="38" s="1"/>
  <c r="M43" i="38" a="1"/>
  <c r="M43" i="38" s="1"/>
  <c r="N43" i="38" a="1"/>
  <c r="N43" i="38" s="1"/>
  <c r="O43" i="38" a="1"/>
  <c r="O43" i="38" s="1"/>
  <c r="P43" i="38" a="1"/>
  <c r="P43" i="38" s="1"/>
  <c r="Q43" i="38" a="1"/>
  <c r="Q43" i="38" s="1"/>
  <c r="R43" i="38" a="1"/>
  <c r="R43" i="38" s="1"/>
  <c r="S43" i="38" a="1"/>
  <c r="S43" i="38" s="1"/>
  <c r="C44" i="38" a="1"/>
  <c r="C44" i="38" s="1"/>
  <c r="D44" i="38" a="1"/>
  <c r="D44" i="38" s="1"/>
  <c r="E44" i="38" a="1"/>
  <c r="E44" i="38" s="1"/>
  <c r="F44" i="38" a="1"/>
  <c r="F44" i="38" s="1"/>
  <c r="G44" i="38" a="1"/>
  <c r="G44" i="38" s="1"/>
  <c r="H44" i="38" a="1"/>
  <c r="H44" i="38" s="1"/>
  <c r="I44" i="38" a="1"/>
  <c r="I44" i="38" s="1"/>
  <c r="J44" i="38" a="1"/>
  <c r="J44" i="38" s="1"/>
  <c r="K44" i="38" a="1"/>
  <c r="K44" i="38" s="1"/>
  <c r="L44" i="38" a="1"/>
  <c r="L44" i="38" s="1"/>
  <c r="M44" i="38" a="1"/>
  <c r="M44" i="38" s="1"/>
  <c r="N44" i="38" a="1"/>
  <c r="N44" i="38" s="1"/>
  <c r="O44" i="38" a="1"/>
  <c r="O44" i="38" s="1"/>
  <c r="P44" i="38" a="1"/>
  <c r="P44" i="38" s="1"/>
  <c r="Q44" i="38" a="1"/>
  <c r="Q44" i="38" s="1"/>
  <c r="R44" i="38" a="1"/>
  <c r="R44" i="38" s="1"/>
  <c r="S44" i="38" a="1"/>
  <c r="S44" i="38" s="1"/>
  <c r="C45" i="38" a="1"/>
  <c r="C45" i="38" s="1"/>
  <c r="D45" i="38" a="1"/>
  <c r="D45" i="38" s="1"/>
  <c r="E45" i="38" a="1"/>
  <c r="E45" i="38" s="1"/>
  <c r="F45" i="38" a="1"/>
  <c r="F45" i="38" s="1"/>
  <c r="G45" i="38" a="1"/>
  <c r="G45" i="38" s="1"/>
  <c r="H45" i="38" a="1"/>
  <c r="H45" i="38" s="1"/>
  <c r="I45" i="38" a="1"/>
  <c r="I45" i="38" s="1"/>
  <c r="J45" i="38" a="1"/>
  <c r="J45" i="38" s="1"/>
  <c r="K45" i="38" a="1"/>
  <c r="K45" i="38" s="1"/>
  <c r="L45" i="38" a="1"/>
  <c r="L45" i="38" s="1"/>
  <c r="M45" i="38" a="1"/>
  <c r="M45" i="38" s="1"/>
  <c r="N45" i="38" a="1"/>
  <c r="N45" i="38" s="1"/>
  <c r="O45" i="38" a="1"/>
  <c r="O45" i="38" s="1"/>
  <c r="P45" i="38" a="1"/>
  <c r="P45" i="38" s="1"/>
  <c r="Q45" i="38" a="1"/>
  <c r="Q45" i="38" s="1"/>
  <c r="R45" i="38" a="1"/>
  <c r="R45" i="38" s="1"/>
  <c r="S45" i="38" a="1"/>
  <c r="S45" i="38" s="1"/>
  <c r="C46" i="38" a="1"/>
  <c r="C46" i="38" s="1"/>
  <c r="D46" i="38" a="1"/>
  <c r="D46" i="38" s="1"/>
  <c r="E46" i="38" a="1"/>
  <c r="E46" i="38" s="1"/>
  <c r="F46" i="38" a="1"/>
  <c r="F46" i="38" s="1"/>
  <c r="G46" i="38" a="1"/>
  <c r="G46" i="38" s="1"/>
  <c r="H46" i="38" a="1"/>
  <c r="H46" i="38" s="1"/>
  <c r="I46" i="38" a="1"/>
  <c r="I46" i="38" s="1"/>
  <c r="J46" i="38" a="1"/>
  <c r="J46" i="38" s="1"/>
  <c r="K46" i="38" a="1"/>
  <c r="K46" i="38" s="1"/>
  <c r="L46" i="38" a="1"/>
  <c r="L46" i="38" s="1"/>
  <c r="M46" i="38" a="1"/>
  <c r="M46" i="38" s="1"/>
  <c r="N46" i="38" a="1"/>
  <c r="N46" i="38" s="1"/>
  <c r="O46" i="38" a="1"/>
  <c r="O46" i="38" s="1"/>
  <c r="P46" i="38" a="1"/>
  <c r="P46" i="38" s="1"/>
  <c r="Q46" i="38" a="1"/>
  <c r="Q46" i="38" s="1"/>
  <c r="R46" i="38" a="1"/>
  <c r="R46" i="38" s="1"/>
  <c r="S46" i="38" a="1"/>
  <c r="S46" i="38" s="1"/>
  <c r="C47" i="38" a="1"/>
  <c r="C47" i="38" s="1"/>
  <c r="D47" i="38" a="1"/>
  <c r="D47" i="38" s="1"/>
  <c r="E47" i="38" a="1"/>
  <c r="E47" i="38" s="1"/>
  <c r="F47" i="38" a="1"/>
  <c r="F47" i="38" s="1"/>
  <c r="G47" i="38" a="1"/>
  <c r="G47" i="38" s="1"/>
  <c r="H47" i="38" a="1"/>
  <c r="H47" i="38" s="1"/>
  <c r="I47" i="38" a="1"/>
  <c r="I47" i="38" s="1"/>
  <c r="J47" i="38" a="1"/>
  <c r="J47" i="38" s="1"/>
  <c r="K47" i="38" a="1"/>
  <c r="K47" i="38" s="1"/>
  <c r="L47" i="38" a="1"/>
  <c r="L47" i="38" s="1"/>
  <c r="M47" i="38" a="1"/>
  <c r="M47" i="38" s="1"/>
  <c r="N47" i="38" a="1"/>
  <c r="N47" i="38" s="1"/>
  <c r="O47" i="38" a="1"/>
  <c r="O47" i="38" s="1"/>
  <c r="P47" i="38" a="1"/>
  <c r="P47" i="38" s="1"/>
  <c r="Q47" i="38" a="1"/>
  <c r="Q47" i="38" s="1"/>
  <c r="R47" i="38" a="1"/>
  <c r="R47" i="38" s="1"/>
  <c r="S47" i="38" a="1"/>
  <c r="S47" i="38" s="1"/>
  <c r="C48" i="38" a="1"/>
  <c r="C48" i="38" s="1"/>
  <c r="D48" i="38" a="1"/>
  <c r="D48" i="38" s="1"/>
  <c r="E48" i="38" a="1"/>
  <c r="E48" i="38" s="1"/>
  <c r="F48" i="38" a="1"/>
  <c r="F48" i="38" s="1"/>
  <c r="G48" i="38" a="1"/>
  <c r="G48" i="38" s="1"/>
  <c r="H48" i="38" a="1"/>
  <c r="H48" i="38" s="1"/>
  <c r="I48" i="38" a="1"/>
  <c r="I48" i="38" s="1"/>
  <c r="J48" i="38" a="1"/>
  <c r="J48" i="38" s="1"/>
  <c r="K48" i="38" a="1"/>
  <c r="K48" i="38" s="1"/>
  <c r="L48" i="38" a="1"/>
  <c r="L48" i="38" s="1"/>
  <c r="M48" i="38" a="1"/>
  <c r="M48" i="38" s="1"/>
  <c r="N48" i="38" a="1"/>
  <c r="N48" i="38" s="1"/>
  <c r="O48" i="38" a="1"/>
  <c r="O48" i="38" s="1"/>
  <c r="P48" i="38" a="1"/>
  <c r="P48" i="38" s="1"/>
  <c r="Q48" i="38" a="1"/>
  <c r="Q48" i="38" s="1"/>
  <c r="R48" i="38" a="1"/>
  <c r="R48" i="38" s="1"/>
  <c r="S48" i="38" a="1"/>
  <c r="S48" i="38" s="1"/>
  <c r="C49" i="38" a="1"/>
  <c r="C49" i="38" s="1"/>
  <c r="D49" i="38" a="1"/>
  <c r="D49" i="38" s="1"/>
  <c r="E49" i="38" a="1"/>
  <c r="E49" i="38" s="1"/>
  <c r="F49" i="38" a="1"/>
  <c r="F49" i="38" s="1"/>
  <c r="G49" i="38" a="1"/>
  <c r="G49" i="38" s="1"/>
  <c r="H49" i="38" a="1"/>
  <c r="H49" i="38" s="1"/>
  <c r="I49" i="38" a="1"/>
  <c r="I49" i="38" s="1"/>
  <c r="J49" i="38" a="1"/>
  <c r="J49" i="38" s="1"/>
  <c r="K49" i="38" a="1"/>
  <c r="K49" i="38" s="1"/>
  <c r="L49" i="38" a="1"/>
  <c r="L49" i="38" s="1"/>
  <c r="M49" i="38" a="1"/>
  <c r="M49" i="38" s="1"/>
  <c r="N49" i="38" a="1"/>
  <c r="N49" i="38" s="1"/>
  <c r="O49" i="38" a="1"/>
  <c r="O49" i="38" s="1"/>
  <c r="P49" i="38" a="1"/>
  <c r="P49" i="38" s="1"/>
  <c r="Q49" i="38" a="1"/>
  <c r="Q49" i="38" s="1"/>
  <c r="R49" i="38" a="1"/>
  <c r="R49" i="38" s="1"/>
  <c r="S49" i="38" a="1"/>
  <c r="S49" i="38" s="1"/>
  <c r="C50" i="38" a="1"/>
  <c r="C50" i="38" s="1"/>
  <c r="D50" i="38" a="1"/>
  <c r="D50" i="38" s="1"/>
  <c r="E50" i="38" a="1"/>
  <c r="E50" i="38" s="1"/>
  <c r="F50" i="38" a="1"/>
  <c r="F50" i="38" s="1"/>
  <c r="G50" i="38" a="1"/>
  <c r="G50" i="38" s="1"/>
  <c r="H50" i="38" a="1"/>
  <c r="H50" i="38" s="1"/>
  <c r="I50" i="38" a="1"/>
  <c r="I50" i="38" s="1"/>
  <c r="J50" i="38" a="1"/>
  <c r="J50" i="38" s="1"/>
  <c r="K50" i="38" a="1"/>
  <c r="K50" i="38" s="1"/>
  <c r="L50" i="38" a="1"/>
  <c r="L50" i="38" s="1"/>
  <c r="M50" i="38" a="1"/>
  <c r="M50" i="38" s="1"/>
  <c r="N50" i="38" a="1"/>
  <c r="N50" i="38" s="1"/>
  <c r="O50" i="38" a="1"/>
  <c r="O50" i="38" s="1"/>
  <c r="P50" i="38" a="1"/>
  <c r="P50" i="38" s="1"/>
  <c r="Q50" i="38" a="1"/>
  <c r="Q50" i="38" s="1"/>
  <c r="R50" i="38" a="1"/>
  <c r="R50" i="38" s="1"/>
  <c r="S50" i="38" a="1"/>
  <c r="S50" i="38" s="1"/>
  <c r="C51" i="38" a="1"/>
  <c r="C51" i="38" s="1"/>
  <c r="D51" i="38" a="1"/>
  <c r="D51" i="38" s="1"/>
  <c r="E51" i="38" a="1"/>
  <c r="E51" i="38" s="1"/>
  <c r="F51" i="38" a="1"/>
  <c r="F51" i="38" s="1"/>
  <c r="G51" i="38" a="1"/>
  <c r="G51" i="38" s="1"/>
  <c r="H51" i="38" a="1"/>
  <c r="H51" i="38" s="1"/>
  <c r="I51" i="38" a="1"/>
  <c r="I51" i="38" s="1"/>
  <c r="J51" i="38" a="1"/>
  <c r="J51" i="38" s="1"/>
  <c r="K51" i="38" a="1"/>
  <c r="K51" i="38" s="1"/>
  <c r="L51" i="38" a="1"/>
  <c r="L51" i="38" s="1"/>
  <c r="M51" i="38" a="1"/>
  <c r="M51" i="38" s="1"/>
  <c r="N51" i="38" a="1"/>
  <c r="N51" i="38" s="1"/>
  <c r="O51" i="38" a="1"/>
  <c r="O51" i="38" s="1"/>
  <c r="P51" i="38" a="1"/>
  <c r="P51" i="38" s="1"/>
  <c r="Q51" i="38" a="1"/>
  <c r="Q51" i="38" s="1"/>
  <c r="R51" i="38" a="1"/>
  <c r="R51" i="38" s="1"/>
  <c r="S51" i="38" a="1"/>
  <c r="S51" i="38" s="1"/>
  <c r="C52" i="38" a="1"/>
  <c r="C52" i="38" s="1"/>
  <c r="D52" i="38" a="1"/>
  <c r="D52" i="38" s="1"/>
  <c r="E52" i="38" a="1"/>
  <c r="E52" i="38" s="1"/>
  <c r="F52" i="38" a="1"/>
  <c r="F52" i="38" s="1"/>
  <c r="G52" i="38" a="1"/>
  <c r="G52" i="38" s="1"/>
  <c r="H52" i="38" a="1"/>
  <c r="H52" i="38" s="1"/>
  <c r="I52" i="38" a="1"/>
  <c r="I52" i="38" s="1"/>
  <c r="J52" i="38" a="1"/>
  <c r="J52" i="38" s="1"/>
  <c r="K52" i="38" a="1"/>
  <c r="K52" i="38" s="1"/>
  <c r="L52" i="38" a="1"/>
  <c r="L52" i="38" s="1"/>
  <c r="M52" i="38" a="1"/>
  <c r="M52" i="38" s="1"/>
  <c r="N52" i="38" a="1"/>
  <c r="N52" i="38" s="1"/>
  <c r="O52" i="38" a="1"/>
  <c r="O52" i="38" s="1"/>
  <c r="P52" i="38" a="1"/>
  <c r="P52" i="38" s="1"/>
  <c r="Q52" i="38" a="1"/>
  <c r="Q52" i="38" s="1"/>
  <c r="R52" i="38" a="1"/>
  <c r="R52" i="38" s="1"/>
  <c r="S52" i="38" a="1"/>
  <c r="S52" i="38" s="1"/>
  <c r="C53" i="38" a="1"/>
  <c r="C53" i="38" s="1"/>
  <c r="D53" i="38" a="1"/>
  <c r="D53" i="38" s="1"/>
  <c r="E53" i="38" a="1"/>
  <c r="E53" i="38" s="1"/>
  <c r="F53" i="38" a="1"/>
  <c r="F53" i="38" s="1"/>
  <c r="G53" i="38" a="1"/>
  <c r="G53" i="38" s="1"/>
  <c r="H53" i="38" a="1"/>
  <c r="H53" i="38" s="1"/>
  <c r="I53" i="38" a="1"/>
  <c r="I53" i="38" s="1"/>
  <c r="J53" i="38" a="1"/>
  <c r="J53" i="38" s="1"/>
  <c r="K53" i="38" a="1"/>
  <c r="K53" i="38" s="1"/>
  <c r="L53" i="38" a="1"/>
  <c r="L53" i="38" s="1"/>
  <c r="M53" i="38" a="1"/>
  <c r="M53" i="38" s="1"/>
  <c r="N53" i="38" a="1"/>
  <c r="N53" i="38" s="1"/>
  <c r="O53" i="38" a="1"/>
  <c r="O53" i="38" s="1"/>
  <c r="P53" i="38" a="1"/>
  <c r="P53" i="38" s="1"/>
  <c r="Q53" i="38" a="1"/>
  <c r="Q53" i="38" s="1"/>
  <c r="R53" i="38" a="1"/>
  <c r="R53" i="38" s="1"/>
  <c r="S53" i="38" a="1"/>
  <c r="S53" i="38" s="1"/>
  <c r="C54" i="38" a="1"/>
  <c r="C54" i="38" s="1"/>
  <c r="D54" i="38" a="1"/>
  <c r="D54" i="38" s="1"/>
  <c r="E54" i="38" a="1"/>
  <c r="E54" i="38" s="1"/>
  <c r="F54" i="38" a="1"/>
  <c r="F54" i="38" s="1"/>
  <c r="G54" i="38" a="1"/>
  <c r="G54" i="38" s="1"/>
  <c r="H54" i="38" a="1"/>
  <c r="H54" i="38" s="1"/>
  <c r="I54" i="38" a="1"/>
  <c r="I54" i="38" s="1"/>
  <c r="J54" i="38" a="1"/>
  <c r="J54" i="38" s="1"/>
  <c r="K54" i="38" a="1"/>
  <c r="K54" i="38" s="1"/>
  <c r="L54" i="38" a="1"/>
  <c r="L54" i="38" s="1"/>
  <c r="M54" i="38" a="1"/>
  <c r="M54" i="38" s="1"/>
  <c r="N54" i="38" a="1"/>
  <c r="N54" i="38" s="1"/>
  <c r="O54" i="38" a="1"/>
  <c r="O54" i="38" s="1"/>
  <c r="P54" i="38" a="1"/>
  <c r="P54" i="38" s="1"/>
  <c r="Q54" i="38" a="1"/>
  <c r="Q54" i="38" s="1"/>
  <c r="R54" i="38" a="1"/>
  <c r="R54" i="38" s="1"/>
  <c r="S54" i="38" a="1"/>
  <c r="S54" i="38" s="1"/>
  <c r="C55" i="38" a="1"/>
  <c r="C55" i="38" s="1"/>
  <c r="D55" i="38" a="1"/>
  <c r="D55" i="38" s="1"/>
  <c r="E55" i="38" a="1"/>
  <c r="E55" i="38" s="1"/>
  <c r="F55" i="38" a="1"/>
  <c r="F55" i="38" s="1"/>
  <c r="G55" i="38" a="1"/>
  <c r="G55" i="38" s="1"/>
  <c r="H55" i="38" a="1"/>
  <c r="H55" i="38" s="1"/>
  <c r="I55" i="38" a="1"/>
  <c r="I55" i="38" s="1"/>
  <c r="J55" i="38" a="1"/>
  <c r="J55" i="38" s="1"/>
  <c r="K55" i="38" a="1"/>
  <c r="K55" i="38" s="1"/>
  <c r="L55" i="38" a="1"/>
  <c r="L55" i="38" s="1"/>
  <c r="M55" i="38" a="1"/>
  <c r="M55" i="38" s="1"/>
  <c r="N55" i="38" a="1"/>
  <c r="N55" i="38" s="1"/>
  <c r="O55" i="38" a="1"/>
  <c r="O55" i="38" s="1"/>
  <c r="P55" i="38" a="1"/>
  <c r="P55" i="38" s="1"/>
  <c r="Q55" i="38" a="1"/>
  <c r="Q55" i="38" s="1"/>
  <c r="R55" i="38" a="1"/>
  <c r="R55" i="38" s="1"/>
  <c r="S55" i="38" a="1"/>
  <c r="S55" i="38" s="1"/>
  <c r="C56" i="38" a="1"/>
  <c r="C56" i="38" s="1"/>
  <c r="D56" i="38" a="1"/>
  <c r="D56" i="38" s="1"/>
  <c r="E56" i="38" a="1"/>
  <c r="E56" i="38" s="1"/>
  <c r="F56" i="38" a="1"/>
  <c r="F56" i="38" s="1"/>
  <c r="G56" i="38" a="1"/>
  <c r="G56" i="38" s="1"/>
  <c r="H56" i="38" a="1"/>
  <c r="H56" i="38" s="1"/>
  <c r="I56" i="38" a="1"/>
  <c r="I56" i="38" s="1"/>
  <c r="J56" i="38" a="1"/>
  <c r="J56" i="38" s="1"/>
  <c r="K56" i="38" a="1"/>
  <c r="K56" i="38" s="1"/>
  <c r="L56" i="38" a="1"/>
  <c r="L56" i="38" s="1"/>
  <c r="M56" i="38" a="1"/>
  <c r="M56" i="38" s="1"/>
  <c r="N56" i="38" a="1"/>
  <c r="N56" i="38" s="1"/>
  <c r="O56" i="38" a="1"/>
  <c r="O56" i="38" s="1"/>
  <c r="P56" i="38" a="1"/>
  <c r="P56" i="38" s="1"/>
  <c r="Q56" i="38" a="1"/>
  <c r="Q56" i="38" s="1"/>
  <c r="R56" i="38" a="1"/>
  <c r="R56" i="38" s="1"/>
  <c r="S56" i="38" a="1"/>
  <c r="S56" i="38" s="1"/>
  <c r="C57" i="38" a="1"/>
  <c r="C57" i="38" s="1"/>
  <c r="D57" i="38" a="1"/>
  <c r="D57" i="38" s="1"/>
  <c r="E57" i="38" a="1"/>
  <c r="E57" i="38" s="1"/>
  <c r="F57" i="38" a="1"/>
  <c r="F57" i="38" s="1"/>
  <c r="G57" i="38" a="1"/>
  <c r="G57" i="38" s="1"/>
  <c r="H57" i="38" a="1"/>
  <c r="H57" i="38" s="1"/>
  <c r="I57" i="38" a="1"/>
  <c r="I57" i="38" s="1"/>
  <c r="J57" i="38" a="1"/>
  <c r="J57" i="38" s="1"/>
  <c r="K57" i="38" a="1"/>
  <c r="K57" i="38" s="1"/>
  <c r="L57" i="38" a="1"/>
  <c r="L57" i="38" s="1"/>
  <c r="M57" i="38" a="1"/>
  <c r="M57" i="38" s="1"/>
  <c r="N57" i="38" a="1"/>
  <c r="N57" i="38" s="1"/>
  <c r="O57" i="38" a="1"/>
  <c r="O57" i="38" s="1"/>
  <c r="P57" i="38" a="1"/>
  <c r="P57" i="38" s="1"/>
  <c r="Q57" i="38" a="1"/>
  <c r="Q57" i="38" s="1"/>
  <c r="R57" i="38" a="1"/>
  <c r="R57" i="38" s="1"/>
  <c r="S57" i="38" a="1"/>
  <c r="S57" i="38" s="1"/>
  <c r="C58" i="38" a="1"/>
  <c r="C58" i="38" s="1"/>
  <c r="D58" i="38" a="1"/>
  <c r="D58" i="38" s="1"/>
  <c r="E58" i="38" a="1"/>
  <c r="E58" i="38" s="1"/>
  <c r="F58" i="38" a="1"/>
  <c r="F58" i="38" s="1"/>
  <c r="G58" i="38" a="1"/>
  <c r="G58" i="38" s="1"/>
  <c r="H58" i="38" a="1"/>
  <c r="H58" i="38" s="1"/>
  <c r="I58" i="38" a="1"/>
  <c r="I58" i="38" s="1"/>
  <c r="J58" i="38" a="1"/>
  <c r="J58" i="38" s="1"/>
  <c r="K58" i="38" a="1"/>
  <c r="K58" i="38" s="1"/>
  <c r="L58" i="38" a="1"/>
  <c r="L58" i="38" s="1"/>
  <c r="M58" i="38" a="1"/>
  <c r="M58" i="38" s="1"/>
  <c r="N58" i="38" a="1"/>
  <c r="N58" i="38" s="1"/>
  <c r="O58" i="38" a="1"/>
  <c r="O58" i="38" s="1"/>
  <c r="P58" i="38" a="1"/>
  <c r="P58" i="38" s="1"/>
  <c r="Q58" i="38" a="1"/>
  <c r="Q58" i="38" s="1"/>
  <c r="R58" i="38" a="1"/>
  <c r="R58" i="38" s="1"/>
  <c r="S58" i="38" a="1"/>
  <c r="S58" i="38" s="1"/>
  <c r="C59" i="38" a="1"/>
  <c r="C59" i="38" s="1"/>
  <c r="D59" i="38" a="1"/>
  <c r="D59" i="38" s="1"/>
  <c r="E59" i="38" a="1"/>
  <c r="E59" i="38" s="1"/>
  <c r="F59" i="38" a="1"/>
  <c r="F59" i="38" s="1"/>
  <c r="G59" i="38" a="1"/>
  <c r="G59" i="38" s="1"/>
  <c r="H59" i="38" a="1"/>
  <c r="H59" i="38" s="1"/>
  <c r="I59" i="38" a="1"/>
  <c r="I59" i="38" s="1"/>
  <c r="J59" i="38" a="1"/>
  <c r="J59" i="38" s="1"/>
  <c r="K59" i="38" a="1"/>
  <c r="K59" i="38" s="1"/>
  <c r="L59" i="38" a="1"/>
  <c r="L59" i="38" s="1"/>
  <c r="M59" i="38" a="1"/>
  <c r="M59" i="38" s="1"/>
  <c r="N59" i="38" a="1"/>
  <c r="N59" i="38" s="1"/>
  <c r="O59" i="38" a="1"/>
  <c r="O59" i="38" s="1"/>
  <c r="P59" i="38" a="1"/>
  <c r="P59" i="38" s="1"/>
  <c r="Q59" i="38" a="1"/>
  <c r="Q59" i="38" s="1"/>
  <c r="R59" i="38" a="1"/>
  <c r="R59" i="38" s="1"/>
  <c r="S59" i="38" a="1"/>
  <c r="S59" i="38" s="1"/>
  <c r="C60" i="38" a="1"/>
  <c r="C60" i="38" s="1"/>
  <c r="D60" i="38" a="1"/>
  <c r="D60" i="38" s="1"/>
  <c r="E60" i="38" a="1"/>
  <c r="E60" i="38" s="1"/>
  <c r="F60" i="38" a="1"/>
  <c r="F60" i="38" s="1"/>
  <c r="G60" i="38" a="1"/>
  <c r="G60" i="38" s="1"/>
  <c r="H60" i="38" a="1"/>
  <c r="H60" i="38" s="1"/>
  <c r="I60" i="38" a="1"/>
  <c r="I60" i="38" s="1"/>
  <c r="J60" i="38" a="1"/>
  <c r="J60" i="38" s="1"/>
  <c r="K60" i="38" a="1"/>
  <c r="K60" i="38" s="1"/>
  <c r="L60" i="38" a="1"/>
  <c r="L60" i="38" s="1"/>
  <c r="M60" i="38" a="1"/>
  <c r="M60" i="38" s="1"/>
  <c r="N60" i="38" a="1"/>
  <c r="N60" i="38" s="1"/>
  <c r="O60" i="38" a="1"/>
  <c r="O60" i="38" s="1"/>
  <c r="P60" i="38" a="1"/>
  <c r="P60" i="38" s="1"/>
  <c r="Q60" i="38" a="1"/>
  <c r="Q60" i="38" s="1"/>
  <c r="R60" i="38" a="1"/>
  <c r="R60" i="38" s="1"/>
  <c r="S60" i="38" a="1"/>
  <c r="S60" i="38" s="1"/>
  <c r="C61" i="38" a="1"/>
  <c r="C61" i="38" s="1"/>
  <c r="D61" i="38" a="1"/>
  <c r="D61" i="38" s="1"/>
  <c r="E61" i="38" a="1"/>
  <c r="E61" i="38" s="1"/>
  <c r="F61" i="38" a="1"/>
  <c r="F61" i="38" s="1"/>
  <c r="G61" i="38" a="1"/>
  <c r="G61" i="38" s="1"/>
  <c r="H61" i="38" a="1"/>
  <c r="H61" i="38" s="1"/>
  <c r="I61" i="38" a="1"/>
  <c r="I61" i="38" s="1"/>
  <c r="J61" i="38" a="1"/>
  <c r="J61" i="38" s="1"/>
  <c r="K61" i="38" a="1"/>
  <c r="K61" i="38" s="1"/>
  <c r="L61" i="38" a="1"/>
  <c r="L61" i="38" s="1"/>
  <c r="M61" i="38" a="1"/>
  <c r="M61" i="38" s="1"/>
  <c r="N61" i="38" a="1"/>
  <c r="N61" i="38" s="1"/>
  <c r="O61" i="38" a="1"/>
  <c r="O61" i="38" s="1"/>
  <c r="P61" i="38" a="1"/>
  <c r="P61" i="38" s="1"/>
  <c r="Q61" i="38" a="1"/>
  <c r="Q61" i="38" s="1"/>
  <c r="R61" i="38" a="1"/>
  <c r="R61" i="38" s="1"/>
  <c r="S61" i="38" a="1"/>
  <c r="S61" i="38" s="1"/>
  <c r="C62" i="38" a="1"/>
  <c r="C62" i="38" s="1"/>
  <c r="D62" i="38" a="1"/>
  <c r="D62" i="38" s="1"/>
  <c r="E62" i="38" a="1"/>
  <c r="E62" i="38" s="1"/>
  <c r="F62" i="38" a="1"/>
  <c r="F62" i="38" s="1"/>
  <c r="G62" i="38" a="1"/>
  <c r="G62" i="38" s="1"/>
  <c r="H62" i="38" a="1"/>
  <c r="H62" i="38" s="1"/>
  <c r="I62" i="38" a="1"/>
  <c r="I62" i="38" s="1"/>
  <c r="J62" i="38" a="1"/>
  <c r="J62" i="38" s="1"/>
  <c r="K62" i="38" a="1"/>
  <c r="K62" i="38" s="1"/>
  <c r="L62" i="38" a="1"/>
  <c r="L62" i="38" s="1"/>
  <c r="M62" i="38" a="1"/>
  <c r="M62" i="38" s="1"/>
  <c r="N62" i="38" a="1"/>
  <c r="N62" i="38" s="1"/>
  <c r="O62" i="38" a="1"/>
  <c r="O62" i="38" s="1"/>
  <c r="P62" i="38" a="1"/>
  <c r="P62" i="38" s="1"/>
  <c r="Q62" i="38" a="1"/>
  <c r="Q62" i="38" s="1"/>
  <c r="R62" i="38" a="1"/>
  <c r="R62" i="38" s="1"/>
  <c r="S62" i="38" a="1"/>
  <c r="S62" i="38" s="1"/>
  <c r="C63" i="38" a="1"/>
  <c r="C63" i="38" s="1"/>
  <c r="D63" i="38" a="1"/>
  <c r="D63" i="38" s="1"/>
  <c r="E63" i="38" a="1"/>
  <c r="E63" i="38" s="1"/>
  <c r="F63" i="38" a="1"/>
  <c r="F63" i="38" s="1"/>
  <c r="G63" i="38" a="1"/>
  <c r="G63" i="38" s="1"/>
  <c r="H63" i="38" a="1"/>
  <c r="H63" i="38" s="1"/>
  <c r="I63" i="38" a="1"/>
  <c r="I63" i="38" s="1"/>
  <c r="J63" i="38" a="1"/>
  <c r="J63" i="38" s="1"/>
  <c r="K63" i="38" a="1"/>
  <c r="K63" i="38" s="1"/>
  <c r="L63" i="38" a="1"/>
  <c r="L63" i="38" s="1"/>
  <c r="M63" i="38" a="1"/>
  <c r="M63" i="38" s="1"/>
  <c r="N63" i="38" a="1"/>
  <c r="N63" i="38" s="1"/>
  <c r="O63" i="38" a="1"/>
  <c r="O63" i="38" s="1"/>
  <c r="P63" i="38" a="1"/>
  <c r="P63" i="38" s="1"/>
  <c r="Q63" i="38" a="1"/>
  <c r="Q63" i="38" s="1"/>
  <c r="R63" i="38" a="1"/>
  <c r="R63" i="38" s="1"/>
  <c r="S63" i="38" a="1"/>
  <c r="S63" i="38" s="1"/>
  <c r="C64" i="38" a="1"/>
  <c r="C64" i="38" s="1"/>
  <c r="D64" i="38" a="1"/>
  <c r="D64" i="38" s="1"/>
  <c r="E64" i="38" a="1"/>
  <c r="E64" i="38" s="1"/>
  <c r="F64" i="38" a="1"/>
  <c r="F64" i="38" s="1"/>
  <c r="G64" i="38" a="1"/>
  <c r="G64" i="38" s="1"/>
  <c r="H64" i="38" a="1"/>
  <c r="H64" i="38" s="1"/>
  <c r="I64" i="38" a="1"/>
  <c r="I64" i="38" s="1"/>
  <c r="J64" i="38" a="1"/>
  <c r="J64" i="38" s="1"/>
  <c r="K64" i="38" a="1"/>
  <c r="K64" i="38" s="1"/>
  <c r="L64" i="38" a="1"/>
  <c r="L64" i="38" s="1"/>
  <c r="M64" i="38" a="1"/>
  <c r="M64" i="38" s="1"/>
  <c r="N64" i="38" a="1"/>
  <c r="N64" i="38" s="1"/>
  <c r="O64" i="38" a="1"/>
  <c r="O64" i="38" s="1"/>
  <c r="P64" i="38" a="1"/>
  <c r="P64" i="38" s="1"/>
  <c r="Q64" i="38" a="1"/>
  <c r="Q64" i="38" s="1"/>
  <c r="R64" i="38" a="1"/>
  <c r="R64" i="38" s="1"/>
  <c r="S64" i="38" a="1"/>
  <c r="S64" i="38" s="1"/>
  <c r="C65" i="38" a="1"/>
  <c r="C65" i="38" s="1"/>
  <c r="D65" i="38" a="1"/>
  <c r="D65" i="38" s="1"/>
  <c r="E65" i="38" a="1"/>
  <c r="E65" i="38" s="1"/>
  <c r="F65" i="38" a="1"/>
  <c r="F65" i="38" s="1"/>
  <c r="G65" i="38" a="1"/>
  <c r="G65" i="38" s="1"/>
  <c r="H65" i="38" a="1"/>
  <c r="H65" i="38" s="1"/>
  <c r="I65" i="38" a="1"/>
  <c r="I65" i="38" s="1"/>
  <c r="J65" i="38" a="1"/>
  <c r="J65" i="38" s="1"/>
  <c r="K65" i="38" a="1"/>
  <c r="K65" i="38" s="1"/>
  <c r="L65" i="38" a="1"/>
  <c r="L65" i="38" s="1"/>
  <c r="M65" i="38" a="1"/>
  <c r="M65" i="38" s="1"/>
  <c r="N65" i="38" a="1"/>
  <c r="N65" i="38" s="1"/>
  <c r="O65" i="38" a="1"/>
  <c r="O65" i="38" s="1"/>
  <c r="P65" i="38" a="1"/>
  <c r="P65" i="38" s="1"/>
  <c r="Q65" i="38" a="1"/>
  <c r="Q65" i="38" s="1"/>
  <c r="R65" i="38" a="1"/>
  <c r="R65" i="38" s="1"/>
  <c r="S65" i="38" a="1"/>
  <c r="S65" i="38" s="1"/>
  <c r="C66" i="38" a="1"/>
  <c r="C66" i="38" s="1"/>
  <c r="D66" i="38" a="1"/>
  <c r="D66" i="38" s="1"/>
  <c r="E66" i="38" a="1"/>
  <c r="E66" i="38" s="1"/>
  <c r="F66" i="38" a="1"/>
  <c r="F66" i="38" s="1"/>
  <c r="G66" i="38" a="1"/>
  <c r="G66" i="38" s="1"/>
  <c r="H66" i="38" a="1"/>
  <c r="H66" i="38" s="1"/>
  <c r="I66" i="38" a="1"/>
  <c r="I66" i="38" s="1"/>
  <c r="J66" i="38" a="1"/>
  <c r="J66" i="38" s="1"/>
  <c r="K66" i="38" a="1"/>
  <c r="K66" i="38" s="1"/>
  <c r="L66" i="38" a="1"/>
  <c r="L66" i="38" s="1"/>
  <c r="M66" i="38" a="1"/>
  <c r="M66" i="38" s="1"/>
  <c r="N66" i="38" a="1"/>
  <c r="N66" i="38" s="1"/>
  <c r="O66" i="38" a="1"/>
  <c r="O66" i="38" s="1"/>
  <c r="P66" i="38" a="1"/>
  <c r="P66" i="38" s="1"/>
  <c r="Q66" i="38" a="1"/>
  <c r="Q66" i="38" s="1"/>
  <c r="R66" i="38" a="1"/>
  <c r="R66" i="38" s="1"/>
  <c r="S66" i="38" a="1"/>
  <c r="S66" i="38" s="1"/>
  <c r="C67" i="38" a="1"/>
  <c r="C67" i="38" s="1"/>
  <c r="D67" i="38" a="1"/>
  <c r="D67" i="38" s="1"/>
  <c r="E67" i="38" a="1"/>
  <c r="E67" i="38" s="1"/>
  <c r="F67" i="38" a="1"/>
  <c r="F67" i="38" s="1"/>
  <c r="G67" i="38" a="1"/>
  <c r="G67" i="38" s="1"/>
  <c r="H67" i="38" a="1"/>
  <c r="H67" i="38" s="1"/>
  <c r="I67" i="38" a="1"/>
  <c r="I67" i="38" s="1"/>
  <c r="J67" i="38" a="1"/>
  <c r="J67" i="38" s="1"/>
  <c r="K67" i="38" a="1"/>
  <c r="K67" i="38" s="1"/>
  <c r="L67" i="38" a="1"/>
  <c r="L67" i="38" s="1"/>
  <c r="M67" i="38" a="1"/>
  <c r="M67" i="38" s="1"/>
  <c r="N67" i="38" a="1"/>
  <c r="N67" i="38" s="1"/>
  <c r="O67" i="38" a="1"/>
  <c r="O67" i="38" s="1"/>
  <c r="P67" i="38" a="1"/>
  <c r="P67" i="38" s="1"/>
  <c r="Q67" i="38" a="1"/>
  <c r="Q67" i="38" s="1"/>
  <c r="R67" i="38" a="1"/>
  <c r="R67" i="38" s="1"/>
  <c r="S67" i="38" a="1"/>
  <c r="S67" i="38" s="1"/>
  <c r="C68" i="38" a="1"/>
  <c r="C68" i="38" s="1"/>
  <c r="D68" i="38" a="1"/>
  <c r="D68" i="38" s="1"/>
  <c r="E68" i="38" a="1"/>
  <c r="E68" i="38" s="1"/>
  <c r="F68" i="38" a="1"/>
  <c r="F68" i="38" s="1"/>
  <c r="G68" i="38" a="1"/>
  <c r="G68" i="38" s="1"/>
  <c r="H68" i="38" a="1"/>
  <c r="H68" i="38" s="1"/>
  <c r="I68" i="38" a="1"/>
  <c r="I68" i="38" s="1"/>
  <c r="J68" i="38" a="1"/>
  <c r="J68" i="38" s="1"/>
  <c r="K68" i="38" a="1"/>
  <c r="K68" i="38" s="1"/>
  <c r="L68" i="38" a="1"/>
  <c r="L68" i="38" s="1"/>
  <c r="M68" i="38" a="1"/>
  <c r="M68" i="38" s="1"/>
  <c r="N68" i="38" a="1"/>
  <c r="N68" i="38" s="1"/>
  <c r="O68" i="38" a="1"/>
  <c r="O68" i="38" s="1"/>
  <c r="P68" i="38" a="1"/>
  <c r="P68" i="38" s="1"/>
  <c r="Q68" i="38" a="1"/>
  <c r="Q68" i="38" s="1"/>
  <c r="R68" i="38" a="1"/>
  <c r="R68" i="38" s="1"/>
  <c r="S68" i="38" a="1"/>
  <c r="S68" i="38" s="1"/>
  <c r="C69" i="38" a="1"/>
  <c r="C69" i="38" s="1"/>
  <c r="D69" i="38" a="1"/>
  <c r="D69" i="38" s="1"/>
  <c r="E69" i="38" a="1"/>
  <c r="E69" i="38" s="1"/>
  <c r="F69" i="38" a="1"/>
  <c r="F69" i="38" s="1"/>
  <c r="G69" i="38" a="1"/>
  <c r="G69" i="38" s="1"/>
  <c r="H69" i="38" a="1"/>
  <c r="H69" i="38" s="1"/>
  <c r="I69" i="38" a="1"/>
  <c r="I69" i="38" s="1"/>
  <c r="J69" i="38" a="1"/>
  <c r="J69" i="38" s="1"/>
  <c r="K69" i="38" a="1"/>
  <c r="K69" i="38" s="1"/>
  <c r="L69" i="38" a="1"/>
  <c r="L69" i="38" s="1"/>
  <c r="M69" i="38" a="1"/>
  <c r="M69" i="38" s="1"/>
  <c r="N69" i="38" a="1"/>
  <c r="N69" i="38" s="1"/>
  <c r="O69" i="38" a="1"/>
  <c r="O69" i="38" s="1"/>
  <c r="P69" i="38" a="1"/>
  <c r="P69" i="38" s="1"/>
  <c r="Q69" i="38" a="1"/>
  <c r="Q69" i="38" s="1"/>
  <c r="R69" i="38" a="1"/>
  <c r="R69" i="38" s="1"/>
  <c r="S69" i="38" a="1"/>
  <c r="S69" i="38" s="1"/>
  <c r="C70" i="38" a="1"/>
  <c r="C70" i="38" s="1"/>
  <c r="D70" i="38" a="1"/>
  <c r="D70" i="38" s="1"/>
  <c r="E70" i="38" a="1"/>
  <c r="E70" i="38" s="1"/>
  <c r="F70" i="38" a="1"/>
  <c r="F70" i="38" s="1"/>
  <c r="G70" i="38" a="1"/>
  <c r="G70" i="38" s="1"/>
  <c r="H70" i="38" a="1"/>
  <c r="H70" i="38" s="1"/>
  <c r="I70" i="38" a="1"/>
  <c r="I70" i="38" s="1"/>
  <c r="J70" i="38" a="1"/>
  <c r="J70" i="38" s="1"/>
  <c r="K70" i="38" a="1"/>
  <c r="K70" i="38" s="1"/>
  <c r="L70" i="38" a="1"/>
  <c r="L70" i="38" s="1"/>
  <c r="M70" i="38" a="1"/>
  <c r="M70" i="38" s="1"/>
  <c r="N70" i="38" a="1"/>
  <c r="N70" i="38" s="1"/>
  <c r="O70" i="38" a="1"/>
  <c r="O70" i="38" s="1"/>
  <c r="P70" i="38" a="1"/>
  <c r="P70" i="38" s="1"/>
  <c r="Q70" i="38" a="1"/>
  <c r="Q70" i="38" s="1"/>
  <c r="R70" i="38" a="1"/>
  <c r="R70" i="38" s="1"/>
  <c r="S70" i="38" a="1"/>
  <c r="S70" i="38" s="1"/>
  <c r="C71" i="38" a="1"/>
  <c r="C71" i="38" s="1"/>
  <c r="D71" i="38" a="1"/>
  <c r="D71" i="38" s="1"/>
  <c r="E71" i="38" a="1"/>
  <c r="E71" i="38" s="1"/>
  <c r="F71" i="38" a="1"/>
  <c r="F71" i="38" s="1"/>
  <c r="G71" i="38" a="1"/>
  <c r="G71" i="38" s="1"/>
  <c r="H71" i="38" a="1"/>
  <c r="H71" i="38" s="1"/>
  <c r="I71" i="38" a="1"/>
  <c r="I71" i="38" s="1"/>
  <c r="J71" i="38" a="1"/>
  <c r="J71" i="38" s="1"/>
  <c r="K71" i="38" a="1"/>
  <c r="K71" i="38" s="1"/>
  <c r="L71" i="38" a="1"/>
  <c r="L71" i="38" s="1"/>
  <c r="M71" i="38" a="1"/>
  <c r="M71" i="38" s="1"/>
  <c r="N71" i="38" a="1"/>
  <c r="N71" i="38" s="1"/>
  <c r="O71" i="38" a="1"/>
  <c r="O71" i="38" s="1"/>
  <c r="P71" i="38" a="1"/>
  <c r="P71" i="38" s="1"/>
  <c r="Q71" i="38" a="1"/>
  <c r="Q71" i="38" s="1"/>
  <c r="R71" i="38" a="1"/>
  <c r="R71" i="38" s="1"/>
  <c r="S71" i="38" a="1"/>
  <c r="S71" i="38" s="1"/>
  <c r="C72" i="38" a="1"/>
  <c r="C72" i="38" s="1"/>
  <c r="D72" i="38" a="1"/>
  <c r="D72" i="38" s="1"/>
  <c r="E72" i="38" a="1"/>
  <c r="E72" i="38" s="1"/>
  <c r="F72" i="38" a="1"/>
  <c r="F72" i="38" s="1"/>
  <c r="G72" i="38" a="1"/>
  <c r="G72" i="38" s="1"/>
  <c r="H72" i="38" a="1"/>
  <c r="H72" i="38" s="1"/>
  <c r="I72" i="38" a="1"/>
  <c r="I72" i="38" s="1"/>
  <c r="J72" i="38" a="1"/>
  <c r="J72" i="38" s="1"/>
  <c r="K72" i="38" a="1"/>
  <c r="K72" i="38" s="1"/>
  <c r="L72" i="38" a="1"/>
  <c r="L72" i="38" s="1"/>
  <c r="M72" i="38" a="1"/>
  <c r="M72" i="38" s="1"/>
  <c r="N72" i="38" a="1"/>
  <c r="N72" i="38" s="1"/>
  <c r="O72" i="38" a="1"/>
  <c r="O72" i="38" s="1"/>
  <c r="P72" i="38" a="1"/>
  <c r="P72" i="38" s="1"/>
  <c r="Q72" i="38" a="1"/>
  <c r="Q72" i="38" s="1"/>
  <c r="R72" i="38" a="1"/>
  <c r="R72" i="38" s="1"/>
  <c r="S72" i="38" a="1"/>
  <c r="S72" i="38" s="1"/>
  <c r="C73" i="38" a="1"/>
  <c r="C73" i="38" s="1"/>
  <c r="D73" i="38" a="1"/>
  <c r="D73" i="38" s="1"/>
  <c r="E73" i="38" a="1"/>
  <c r="E73" i="38" s="1"/>
  <c r="F73" i="38" a="1"/>
  <c r="F73" i="38" s="1"/>
  <c r="G73" i="38" a="1"/>
  <c r="G73" i="38" s="1"/>
  <c r="H73" i="38" a="1"/>
  <c r="H73" i="38" s="1"/>
  <c r="I73" i="38" a="1"/>
  <c r="I73" i="38" s="1"/>
  <c r="J73" i="38" a="1"/>
  <c r="J73" i="38" s="1"/>
  <c r="K73" i="38" a="1"/>
  <c r="K73" i="38" s="1"/>
  <c r="L73" i="38" a="1"/>
  <c r="L73" i="38" s="1"/>
  <c r="M73" i="38" a="1"/>
  <c r="M73" i="38" s="1"/>
  <c r="N73" i="38" a="1"/>
  <c r="N73" i="38" s="1"/>
  <c r="O73" i="38" a="1"/>
  <c r="O73" i="38" s="1"/>
  <c r="P73" i="38" a="1"/>
  <c r="P73" i="38" s="1"/>
  <c r="Q73" i="38" a="1"/>
  <c r="Q73" i="38" s="1"/>
  <c r="R73" i="38" a="1"/>
  <c r="R73" i="38" s="1"/>
  <c r="S73" i="38" a="1"/>
  <c r="S73" i="38" s="1"/>
  <c r="C74" i="38" a="1"/>
  <c r="C74" i="38" s="1"/>
  <c r="D74" i="38" a="1"/>
  <c r="D74" i="38" s="1"/>
  <c r="E74" i="38" a="1"/>
  <c r="E74" i="38" s="1"/>
  <c r="F74" i="38" a="1"/>
  <c r="F74" i="38" s="1"/>
  <c r="G74" i="38" a="1"/>
  <c r="G74" i="38" s="1"/>
  <c r="H74" i="38" a="1"/>
  <c r="H74" i="38" s="1"/>
  <c r="I74" i="38" a="1"/>
  <c r="I74" i="38" s="1"/>
  <c r="J74" i="38" a="1"/>
  <c r="J74" i="38" s="1"/>
  <c r="K74" i="38" a="1"/>
  <c r="K74" i="38" s="1"/>
  <c r="L74" i="38" a="1"/>
  <c r="L74" i="38" s="1"/>
  <c r="M74" i="38" a="1"/>
  <c r="M74" i="38" s="1"/>
  <c r="N74" i="38" a="1"/>
  <c r="N74" i="38" s="1"/>
  <c r="O74" i="38" a="1"/>
  <c r="O74" i="38" s="1"/>
  <c r="P74" i="38" a="1"/>
  <c r="P74" i="38" s="1"/>
  <c r="Q74" i="38" a="1"/>
  <c r="Q74" i="38" s="1"/>
  <c r="R74" i="38" a="1"/>
  <c r="R74" i="38" s="1"/>
  <c r="S74" i="38" a="1"/>
  <c r="S74" i="38" s="1"/>
  <c r="C75" i="38" a="1"/>
  <c r="C75" i="38" s="1"/>
  <c r="D75" i="38" a="1"/>
  <c r="D75" i="38" s="1"/>
  <c r="E75" i="38" a="1"/>
  <c r="E75" i="38" s="1"/>
  <c r="F75" i="38" a="1"/>
  <c r="F75" i="38" s="1"/>
  <c r="G75" i="38" a="1"/>
  <c r="G75" i="38" s="1"/>
  <c r="H75" i="38" a="1"/>
  <c r="H75" i="38" s="1"/>
  <c r="I75" i="38" a="1"/>
  <c r="I75" i="38" s="1"/>
  <c r="J75" i="38" a="1"/>
  <c r="J75" i="38" s="1"/>
  <c r="K75" i="38" a="1"/>
  <c r="K75" i="38" s="1"/>
  <c r="L75" i="38" a="1"/>
  <c r="L75" i="38" s="1"/>
  <c r="M75" i="38" a="1"/>
  <c r="M75" i="38" s="1"/>
  <c r="N75" i="38" a="1"/>
  <c r="N75" i="38" s="1"/>
  <c r="O75" i="38" a="1"/>
  <c r="O75" i="38" s="1"/>
  <c r="P75" i="38" a="1"/>
  <c r="P75" i="38" s="1"/>
  <c r="Q75" i="38" a="1"/>
  <c r="Q75" i="38" s="1"/>
  <c r="R75" i="38" a="1"/>
  <c r="R75" i="38" s="1"/>
  <c r="S75" i="38" a="1"/>
  <c r="S75" i="38" s="1"/>
  <c r="C76" i="38" a="1"/>
  <c r="C76" i="38" s="1"/>
  <c r="D76" i="38" a="1"/>
  <c r="D76" i="38" s="1"/>
  <c r="E76" i="38" a="1"/>
  <c r="E76" i="38" s="1"/>
  <c r="F76" i="38" a="1"/>
  <c r="F76" i="38" s="1"/>
  <c r="G76" i="38" a="1"/>
  <c r="G76" i="38" s="1"/>
  <c r="H76" i="38" a="1"/>
  <c r="H76" i="38" s="1"/>
  <c r="I76" i="38" a="1"/>
  <c r="I76" i="38" s="1"/>
  <c r="J76" i="38" a="1"/>
  <c r="J76" i="38" s="1"/>
  <c r="K76" i="38" a="1"/>
  <c r="K76" i="38" s="1"/>
  <c r="L76" i="38" a="1"/>
  <c r="L76" i="38" s="1"/>
  <c r="M76" i="38" a="1"/>
  <c r="M76" i="38" s="1"/>
  <c r="N76" i="38" a="1"/>
  <c r="N76" i="38" s="1"/>
  <c r="O76" i="38" a="1"/>
  <c r="O76" i="38" s="1"/>
  <c r="P76" i="38" a="1"/>
  <c r="P76" i="38" s="1"/>
  <c r="Q76" i="38" a="1"/>
  <c r="Q76" i="38" s="1"/>
  <c r="R76" i="38" a="1"/>
  <c r="R76" i="38" s="1"/>
  <c r="S76" i="38" a="1"/>
  <c r="S76" i="38" s="1"/>
  <c r="C77" i="38" a="1"/>
  <c r="C77" i="38" s="1"/>
  <c r="D77" i="38" a="1"/>
  <c r="D77" i="38" s="1"/>
  <c r="E77" i="38" a="1"/>
  <c r="E77" i="38" s="1"/>
  <c r="F77" i="38" a="1"/>
  <c r="F77" i="38" s="1"/>
  <c r="G77" i="38" a="1"/>
  <c r="G77" i="38" s="1"/>
  <c r="H77" i="38" a="1"/>
  <c r="H77" i="38" s="1"/>
  <c r="I77" i="38" a="1"/>
  <c r="I77" i="38" s="1"/>
  <c r="J77" i="38" a="1"/>
  <c r="J77" i="38" s="1"/>
  <c r="K77" i="38" a="1"/>
  <c r="K77" i="38" s="1"/>
  <c r="L77" i="38" a="1"/>
  <c r="L77" i="38" s="1"/>
  <c r="M77" i="38" a="1"/>
  <c r="M77" i="38" s="1"/>
  <c r="N77" i="38" a="1"/>
  <c r="N77" i="38" s="1"/>
  <c r="O77" i="38" a="1"/>
  <c r="O77" i="38" s="1"/>
  <c r="P77" i="38" a="1"/>
  <c r="P77" i="38" s="1"/>
  <c r="Q77" i="38" a="1"/>
  <c r="Q77" i="38" s="1"/>
  <c r="R77" i="38" a="1"/>
  <c r="R77" i="38" s="1"/>
  <c r="S77" i="38" a="1"/>
  <c r="S77" i="38" s="1"/>
  <c r="C78" i="38" a="1"/>
  <c r="C78" i="38" s="1"/>
  <c r="D78" i="38" a="1"/>
  <c r="D78" i="38" s="1"/>
  <c r="E78" i="38" a="1"/>
  <c r="E78" i="38" s="1"/>
  <c r="F78" i="38" a="1"/>
  <c r="F78" i="38" s="1"/>
  <c r="G78" i="38" a="1"/>
  <c r="G78" i="38" s="1"/>
  <c r="H78" i="38" a="1"/>
  <c r="H78" i="38" s="1"/>
  <c r="I78" i="38" a="1"/>
  <c r="I78" i="38" s="1"/>
  <c r="J78" i="38" a="1"/>
  <c r="J78" i="38" s="1"/>
  <c r="K78" i="38" a="1"/>
  <c r="K78" i="38" s="1"/>
  <c r="L78" i="38" a="1"/>
  <c r="L78" i="38" s="1"/>
  <c r="M78" i="38" a="1"/>
  <c r="M78" i="38" s="1"/>
  <c r="N78" i="38" a="1"/>
  <c r="N78" i="38" s="1"/>
  <c r="O78" i="38" a="1"/>
  <c r="O78" i="38" s="1"/>
  <c r="P78" i="38" a="1"/>
  <c r="P78" i="38" s="1"/>
  <c r="Q78" i="38" a="1"/>
  <c r="Q78" i="38" s="1"/>
  <c r="R78" i="38" a="1"/>
  <c r="R78" i="38" s="1"/>
  <c r="S78" i="38" a="1"/>
  <c r="S78" i="38" s="1"/>
  <c r="C79" i="38" a="1"/>
  <c r="C79" i="38" s="1"/>
  <c r="D79" i="38" a="1"/>
  <c r="D79" i="38" s="1"/>
  <c r="E79" i="38" a="1"/>
  <c r="E79" i="38" s="1"/>
  <c r="F79" i="38" a="1"/>
  <c r="F79" i="38" s="1"/>
  <c r="G79" i="38" a="1"/>
  <c r="G79" i="38" s="1"/>
  <c r="H79" i="38" a="1"/>
  <c r="H79" i="38" s="1"/>
  <c r="I79" i="38" a="1"/>
  <c r="I79" i="38" s="1"/>
  <c r="J79" i="38" a="1"/>
  <c r="J79" i="38" s="1"/>
  <c r="K79" i="38" a="1"/>
  <c r="K79" i="38" s="1"/>
  <c r="L79" i="38" a="1"/>
  <c r="L79" i="38" s="1"/>
  <c r="M79" i="38" a="1"/>
  <c r="M79" i="38" s="1"/>
  <c r="N79" i="38" a="1"/>
  <c r="N79" i="38" s="1"/>
  <c r="O79" i="38" a="1"/>
  <c r="O79" i="38" s="1"/>
  <c r="P79" i="38" a="1"/>
  <c r="P79" i="38" s="1"/>
  <c r="Q79" i="38" a="1"/>
  <c r="Q79" i="38" s="1"/>
  <c r="R79" i="38" a="1"/>
  <c r="R79" i="38" s="1"/>
  <c r="S79" i="38" a="1"/>
  <c r="S79" i="38" s="1"/>
  <c r="C80" i="38" a="1"/>
  <c r="C80" i="38" s="1"/>
  <c r="D80" i="38" a="1"/>
  <c r="D80" i="38" s="1"/>
  <c r="E80" i="38" a="1"/>
  <c r="E80" i="38" s="1"/>
  <c r="F80" i="38" a="1"/>
  <c r="F80" i="38" s="1"/>
  <c r="G80" i="38" a="1"/>
  <c r="G80" i="38" s="1"/>
  <c r="H80" i="38" a="1"/>
  <c r="H80" i="38" s="1"/>
  <c r="I80" i="38" a="1"/>
  <c r="I80" i="38" s="1"/>
  <c r="J80" i="38" a="1"/>
  <c r="J80" i="38" s="1"/>
  <c r="K80" i="38" a="1"/>
  <c r="K80" i="38" s="1"/>
  <c r="L80" i="38" a="1"/>
  <c r="L80" i="38" s="1"/>
  <c r="M80" i="38" a="1"/>
  <c r="M80" i="38" s="1"/>
  <c r="N80" i="38" a="1"/>
  <c r="N80" i="38" s="1"/>
  <c r="O80" i="38" a="1"/>
  <c r="O80" i="38" s="1"/>
  <c r="P80" i="38" a="1"/>
  <c r="P80" i="38" s="1"/>
  <c r="Q80" i="38" a="1"/>
  <c r="Q80" i="38" s="1"/>
  <c r="R80" i="38" a="1"/>
  <c r="R80" i="38" s="1"/>
  <c r="S80" i="38" a="1"/>
  <c r="S80" i="38" s="1"/>
  <c r="C81" i="38" a="1"/>
  <c r="C81" i="38" s="1"/>
  <c r="D81" i="38" a="1"/>
  <c r="D81" i="38" s="1"/>
  <c r="E81" i="38" a="1"/>
  <c r="E81" i="38" s="1"/>
  <c r="F81" i="38" a="1"/>
  <c r="F81" i="38" s="1"/>
  <c r="G81" i="38" a="1"/>
  <c r="G81" i="38" s="1"/>
  <c r="H81" i="38" a="1"/>
  <c r="H81" i="38" s="1"/>
  <c r="I81" i="38" a="1"/>
  <c r="I81" i="38" s="1"/>
  <c r="J81" i="38" a="1"/>
  <c r="J81" i="38" s="1"/>
  <c r="K81" i="38" a="1"/>
  <c r="K81" i="38" s="1"/>
  <c r="L81" i="38" a="1"/>
  <c r="L81" i="38" s="1"/>
  <c r="M81" i="38" a="1"/>
  <c r="M81" i="38" s="1"/>
  <c r="N81" i="38" a="1"/>
  <c r="N81" i="38" s="1"/>
  <c r="O81" i="38" a="1"/>
  <c r="O81" i="38" s="1"/>
  <c r="P81" i="38" a="1"/>
  <c r="P81" i="38" s="1"/>
  <c r="Q81" i="38" a="1"/>
  <c r="Q81" i="38" s="1"/>
  <c r="R81" i="38" a="1"/>
  <c r="R81" i="38" s="1"/>
  <c r="S81" i="38" a="1"/>
  <c r="S81" i="38" s="1"/>
  <c r="C82" i="38" a="1"/>
  <c r="C82" i="38" s="1"/>
  <c r="D82" i="38" a="1"/>
  <c r="D82" i="38" s="1"/>
  <c r="E82" i="38" a="1"/>
  <c r="E82" i="38" s="1"/>
  <c r="F82" i="38" a="1"/>
  <c r="F82" i="38" s="1"/>
  <c r="G82" i="38" a="1"/>
  <c r="G82" i="38" s="1"/>
  <c r="H82" i="38" a="1"/>
  <c r="H82" i="38" s="1"/>
  <c r="I82" i="38" a="1"/>
  <c r="I82" i="38" s="1"/>
  <c r="J82" i="38" a="1"/>
  <c r="J82" i="38" s="1"/>
  <c r="K82" i="38" a="1"/>
  <c r="K82" i="38" s="1"/>
  <c r="L82" i="38" a="1"/>
  <c r="L82" i="38" s="1"/>
  <c r="M82" i="38" a="1"/>
  <c r="M82" i="38" s="1"/>
  <c r="N82" i="38" a="1"/>
  <c r="N82" i="38" s="1"/>
  <c r="O82" i="38" a="1"/>
  <c r="O82" i="38" s="1"/>
  <c r="P82" i="38" a="1"/>
  <c r="P82" i="38" s="1"/>
  <c r="Q82" i="38" a="1"/>
  <c r="Q82" i="38" s="1"/>
  <c r="R82" i="38" a="1"/>
  <c r="R82" i="38" s="1"/>
  <c r="S82" i="38" a="1"/>
  <c r="S82" i="38" s="1"/>
  <c r="C83" i="38" a="1"/>
  <c r="C83" i="38" s="1"/>
  <c r="D83" i="38" a="1"/>
  <c r="D83" i="38" s="1"/>
  <c r="E83" i="38" a="1"/>
  <c r="E83" i="38" s="1"/>
  <c r="F83" i="38" a="1"/>
  <c r="F83" i="38" s="1"/>
  <c r="G83" i="38" a="1"/>
  <c r="G83" i="38" s="1"/>
  <c r="H83" i="38" a="1"/>
  <c r="H83" i="38" s="1"/>
  <c r="I83" i="38" a="1"/>
  <c r="I83" i="38" s="1"/>
  <c r="J83" i="38" a="1"/>
  <c r="J83" i="38" s="1"/>
  <c r="K83" i="38" a="1"/>
  <c r="K83" i="38" s="1"/>
  <c r="L83" i="38" a="1"/>
  <c r="L83" i="38" s="1"/>
  <c r="M83" i="38" a="1"/>
  <c r="M83" i="38" s="1"/>
  <c r="N83" i="38" a="1"/>
  <c r="N83" i="38" s="1"/>
  <c r="O83" i="38" a="1"/>
  <c r="O83" i="38" s="1"/>
  <c r="P83" i="38" a="1"/>
  <c r="P83" i="38" s="1"/>
  <c r="Q83" i="38" a="1"/>
  <c r="Q83" i="38" s="1"/>
  <c r="R83" i="38" a="1"/>
  <c r="R83" i="38" s="1"/>
  <c r="S83" i="38" a="1"/>
  <c r="S83" i="38" s="1"/>
  <c r="C84" i="38" a="1"/>
  <c r="C84" i="38" s="1"/>
  <c r="D84" i="38" a="1"/>
  <c r="D84" i="38" s="1"/>
  <c r="E84" i="38" a="1"/>
  <c r="E84" i="38" s="1"/>
  <c r="F84" i="38" a="1"/>
  <c r="F84" i="38" s="1"/>
  <c r="G84" i="38" a="1"/>
  <c r="G84" i="38" s="1"/>
  <c r="H84" i="38" a="1"/>
  <c r="H84" i="38" s="1"/>
  <c r="I84" i="38" a="1"/>
  <c r="I84" i="38" s="1"/>
  <c r="J84" i="38" a="1"/>
  <c r="J84" i="38" s="1"/>
  <c r="K84" i="38" a="1"/>
  <c r="K84" i="38" s="1"/>
  <c r="L84" i="38" a="1"/>
  <c r="L84" i="38" s="1"/>
  <c r="M84" i="38" a="1"/>
  <c r="M84" i="38" s="1"/>
  <c r="N84" i="38" a="1"/>
  <c r="N84" i="38" s="1"/>
  <c r="O84" i="38" a="1"/>
  <c r="O84" i="38" s="1"/>
  <c r="P84" i="38" a="1"/>
  <c r="P84" i="38" s="1"/>
  <c r="Q84" i="38" a="1"/>
  <c r="Q84" i="38" s="1"/>
  <c r="R84" i="38" a="1"/>
  <c r="R84" i="38" s="1"/>
  <c r="S84" i="38" a="1"/>
  <c r="S84" i="38" s="1"/>
  <c r="C85" i="38" a="1"/>
  <c r="C85" i="38" s="1"/>
  <c r="D85" i="38" a="1"/>
  <c r="D85" i="38" s="1"/>
  <c r="E85" i="38" a="1"/>
  <c r="E85" i="38" s="1"/>
  <c r="F85" i="38" a="1"/>
  <c r="F85" i="38" s="1"/>
  <c r="G85" i="38" a="1"/>
  <c r="G85" i="38" s="1"/>
  <c r="H85" i="38" a="1"/>
  <c r="H85" i="38" s="1"/>
  <c r="I85" i="38" a="1"/>
  <c r="I85" i="38" s="1"/>
  <c r="J85" i="38" a="1"/>
  <c r="J85" i="38" s="1"/>
  <c r="K85" i="38" a="1"/>
  <c r="K85" i="38" s="1"/>
  <c r="L85" i="38" a="1"/>
  <c r="L85" i="38" s="1"/>
  <c r="M85" i="38" a="1"/>
  <c r="M85" i="38" s="1"/>
  <c r="N85" i="38" a="1"/>
  <c r="N85" i="38" s="1"/>
  <c r="O85" i="38" a="1"/>
  <c r="O85" i="38" s="1"/>
  <c r="P85" i="38" a="1"/>
  <c r="P85" i="38" s="1"/>
  <c r="Q85" i="38" a="1"/>
  <c r="Q85" i="38" s="1"/>
  <c r="R85" i="38" a="1"/>
  <c r="R85" i="38" s="1"/>
  <c r="S85" i="38" a="1"/>
  <c r="S85" i="38" s="1"/>
  <c r="C86" i="38" a="1"/>
  <c r="C86" i="38" s="1"/>
  <c r="D86" i="38" a="1"/>
  <c r="D86" i="38" s="1"/>
  <c r="E86" i="38" a="1"/>
  <c r="E86" i="38" s="1"/>
  <c r="F86" i="38" a="1"/>
  <c r="F86" i="38" s="1"/>
  <c r="G86" i="38" a="1"/>
  <c r="G86" i="38" s="1"/>
  <c r="H86" i="38" a="1"/>
  <c r="H86" i="38" s="1"/>
  <c r="I86" i="38" a="1"/>
  <c r="I86" i="38" s="1"/>
  <c r="J86" i="38" a="1"/>
  <c r="J86" i="38" s="1"/>
  <c r="K86" i="38" a="1"/>
  <c r="K86" i="38" s="1"/>
  <c r="L86" i="38" a="1"/>
  <c r="L86" i="38" s="1"/>
  <c r="M86" i="38" a="1"/>
  <c r="M86" i="38" s="1"/>
  <c r="N86" i="38" a="1"/>
  <c r="N86" i="38" s="1"/>
  <c r="O86" i="38" a="1"/>
  <c r="O86" i="38" s="1"/>
  <c r="P86" i="38" a="1"/>
  <c r="P86" i="38" s="1"/>
  <c r="Q86" i="38" a="1"/>
  <c r="Q86" i="38" s="1"/>
  <c r="R86" i="38" a="1"/>
  <c r="R86" i="38" s="1"/>
  <c r="S86" i="38" a="1"/>
  <c r="S86" i="38" s="1"/>
  <c r="C87" i="38" a="1"/>
  <c r="C87" i="38" s="1"/>
  <c r="D87" i="38" a="1"/>
  <c r="D87" i="38" s="1"/>
  <c r="E87" i="38" a="1"/>
  <c r="E87" i="38" s="1"/>
  <c r="F87" i="38" a="1"/>
  <c r="F87" i="38" s="1"/>
  <c r="G87" i="38" a="1"/>
  <c r="G87" i="38" s="1"/>
  <c r="H87" i="38" a="1"/>
  <c r="H87" i="38" s="1"/>
  <c r="I87" i="38" a="1"/>
  <c r="I87" i="38" s="1"/>
  <c r="J87" i="38" a="1"/>
  <c r="J87" i="38" s="1"/>
  <c r="K87" i="38" a="1"/>
  <c r="K87" i="38" s="1"/>
  <c r="L87" i="38" a="1"/>
  <c r="L87" i="38" s="1"/>
  <c r="M87" i="38" a="1"/>
  <c r="M87" i="38" s="1"/>
  <c r="N87" i="38" a="1"/>
  <c r="N87" i="38" s="1"/>
  <c r="O87" i="38" a="1"/>
  <c r="O87" i="38" s="1"/>
  <c r="P87" i="38" a="1"/>
  <c r="P87" i="38" s="1"/>
  <c r="Q87" i="38" a="1"/>
  <c r="Q87" i="38" s="1"/>
  <c r="R87" i="38" a="1"/>
  <c r="R87" i="38" s="1"/>
  <c r="S87" i="38" a="1"/>
  <c r="S87" i="38" s="1"/>
  <c r="C88" i="38" a="1"/>
  <c r="C88" i="38" s="1"/>
  <c r="D88" i="38" a="1"/>
  <c r="D88" i="38" s="1"/>
  <c r="E88" i="38" a="1"/>
  <c r="E88" i="38" s="1"/>
  <c r="F88" i="38" a="1"/>
  <c r="F88" i="38" s="1"/>
  <c r="G88" i="38" a="1"/>
  <c r="G88" i="38" s="1"/>
  <c r="H88" i="38" a="1"/>
  <c r="H88" i="38" s="1"/>
  <c r="I88" i="38" a="1"/>
  <c r="I88" i="38" s="1"/>
  <c r="J88" i="38" a="1"/>
  <c r="J88" i="38" s="1"/>
  <c r="K88" i="38" a="1"/>
  <c r="K88" i="38" s="1"/>
  <c r="L88" i="38" a="1"/>
  <c r="L88" i="38" s="1"/>
  <c r="M88" i="38" a="1"/>
  <c r="M88" i="38" s="1"/>
  <c r="N88" i="38" a="1"/>
  <c r="N88" i="38" s="1"/>
  <c r="O88" i="38" a="1"/>
  <c r="O88" i="38" s="1"/>
  <c r="P88" i="38" a="1"/>
  <c r="P88" i="38" s="1"/>
  <c r="Q88" i="38" a="1"/>
  <c r="Q88" i="38" s="1"/>
  <c r="R88" i="38" a="1"/>
  <c r="R88" i="38" s="1"/>
  <c r="S88" i="38" a="1"/>
  <c r="S88" i="38" s="1"/>
  <c r="C89" i="38" a="1"/>
  <c r="C89" i="38" s="1"/>
  <c r="D89" i="38" a="1"/>
  <c r="D89" i="38" s="1"/>
  <c r="E89" i="38" a="1"/>
  <c r="E89" i="38" s="1"/>
  <c r="F89" i="38" a="1"/>
  <c r="F89" i="38" s="1"/>
  <c r="G89" i="38" a="1"/>
  <c r="G89" i="38" s="1"/>
  <c r="H89" i="38" a="1"/>
  <c r="H89" i="38" s="1"/>
  <c r="I89" i="38" a="1"/>
  <c r="I89" i="38" s="1"/>
  <c r="J89" i="38" a="1"/>
  <c r="J89" i="38" s="1"/>
  <c r="K89" i="38" a="1"/>
  <c r="K89" i="38" s="1"/>
  <c r="L89" i="38" a="1"/>
  <c r="L89" i="38" s="1"/>
  <c r="M89" i="38" a="1"/>
  <c r="M89" i="38" s="1"/>
  <c r="N89" i="38" a="1"/>
  <c r="N89" i="38" s="1"/>
  <c r="O89" i="38" a="1"/>
  <c r="O89" i="38" s="1"/>
  <c r="P89" i="38" a="1"/>
  <c r="P89" i="38" s="1"/>
  <c r="Q89" i="38" a="1"/>
  <c r="Q89" i="38" s="1"/>
  <c r="R89" i="38" a="1"/>
  <c r="R89" i="38" s="1"/>
  <c r="S89" i="38" a="1"/>
  <c r="S89" i="38" s="1"/>
  <c r="C90" i="38" a="1"/>
  <c r="C90" i="38" s="1"/>
  <c r="D90" i="38" a="1"/>
  <c r="D90" i="38" s="1"/>
  <c r="E90" i="38" a="1"/>
  <c r="E90" i="38" s="1"/>
  <c r="F90" i="38" a="1"/>
  <c r="F90" i="38" s="1"/>
  <c r="G90" i="38" a="1"/>
  <c r="G90" i="38" s="1"/>
  <c r="H90" i="38" a="1"/>
  <c r="H90" i="38" s="1"/>
  <c r="I90" i="38" a="1"/>
  <c r="I90" i="38" s="1"/>
  <c r="J90" i="38" a="1"/>
  <c r="J90" i="38" s="1"/>
  <c r="K90" i="38" a="1"/>
  <c r="K90" i="38" s="1"/>
  <c r="L90" i="38" a="1"/>
  <c r="L90" i="38" s="1"/>
  <c r="M90" i="38" a="1"/>
  <c r="M90" i="38" s="1"/>
  <c r="N90" i="38" a="1"/>
  <c r="N90" i="38" s="1"/>
  <c r="O90" i="38" a="1"/>
  <c r="O90" i="38" s="1"/>
  <c r="P90" i="38" a="1"/>
  <c r="P90" i="38" s="1"/>
  <c r="Q90" i="38" a="1"/>
  <c r="Q90" i="38" s="1"/>
  <c r="R90" i="38" a="1"/>
  <c r="R90" i="38" s="1"/>
  <c r="S90" i="38" a="1"/>
  <c r="S90" i="38" s="1"/>
  <c r="C91" i="38" a="1"/>
  <c r="C91" i="38" s="1"/>
  <c r="D91" i="38" a="1"/>
  <c r="D91" i="38" s="1"/>
  <c r="E91" i="38" a="1"/>
  <c r="E91" i="38" s="1"/>
  <c r="F91" i="38" a="1"/>
  <c r="F91" i="38" s="1"/>
  <c r="G91" i="38" a="1"/>
  <c r="G91" i="38" s="1"/>
  <c r="H91" i="38" a="1"/>
  <c r="H91" i="38" s="1"/>
  <c r="I91" i="38" a="1"/>
  <c r="I91" i="38" s="1"/>
  <c r="J91" i="38" a="1"/>
  <c r="J91" i="38" s="1"/>
  <c r="K91" i="38" a="1"/>
  <c r="K91" i="38" s="1"/>
  <c r="L91" i="38" a="1"/>
  <c r="L91" i="38" s="1"/>
  <c r="M91" i="38" a="1"/>
  <c r="M91" i="38" s="1"/>
  <c r="N91" i="38" a="1"/>
  <c r="N91" i="38" s="1"/>
  <c r="O91" i="38" a="1"/>
  <c r="O91" i="38" s="1"/>
  <c r="P91" i="38" a="1"/>
  <c r="P91" i="38" s="1"/>
  <c r="Q91" i="38" a="1"/>
  <c r="Q91" i="38" s="1"/>
  <c r="R91" i="38" a="1"/>
  <c r="R91" i="38" s="1"/>
  <c r="S91" i="38" a="1"/>
  <c r="S91" i="38" s="1"/>
  <c r="C92" i="38" a="1"/>
  <c r="C92" i="38" s="1"/>
  <c r="D92" i="38" a="1"/>
  <c r="D92" i="38" s="1"/>
  <c r="E92" i="38" a="1"/>
  <c r="E92" i="38" s="1"/>
  <c r="F92" i="38" a="1"/>
  <c r="F92" i="38" s="1"/>
  <c r="G92" i="38" a="1"/>
  <c r="G92" i="38" s="1"/>
  <c r="H92" i="38" a="1"/>
  <c r="H92" i="38" s="1"/>
  <c r="I92" i="38" a="1"/>
  <c r="I92" i="38" s="1"/>
  <c r="J92" i="38" a="1"/>
  <c r="J92" i="38" s="1"/>
  <c r="K92" i="38" a="1"/>
  <c r="K92" i="38" s="1"/>
  <c r="L92" i="38" a="1"/>
  <c r="L92" i="38" s="1"/>
  <c r="M92" i="38" a="1"/>
  <c r="M92" i="38" s="1"/>
  <c r="N92" i="38" a="1"/>
  <c r="N92" i="38" s="1"/>
  <c r="O92" i="38" a="1"/>
  <c r="O92" i="38" s="1"/>
  <c r="P92" i="38" a="1"/>
  <c r="P92" i="38" s="1"/>
  <c r="Q92" i="38" a="1"/>
  <c r="Q92" i="38" s="1"/>
  <c r="R92" i="38" a="1"/>
  <c r="R92" i="38" s="1"/>
  <c r="S92" i="38" a="1"/>
  <c r="S92" i="38" s="1"/>
  <c r="C93" i="38" a="1"/>
  <c r="C93" i="38" s="1"/>
  <c r="D93" i="38" a="1"/>
  <c r="D93" i="38" s="1"/>
  <c r="E93" i="38" a="1"/>
  <c r="E93" i="38" s="1"/>
  <c r="F93" i="38" a="1"/>
  <c r="F93" i="38" s="1"/>
  <c r="G93" i="38" a="1"/>
  <c r="G93" i="38" s="1"/>
  <c r="H93" i="38" a="1"/>
  <c r="H93" i="38" s="1"/>
  <c r="I93" i="38" a="1"/>
  <c r="I93" i="38" s="1"/>
  <c r="J93" i="38" a="1"/>
  <c r="J93" i="38" s="1"/>
  <c r="K93" i="38" a="1"/>
  <c r="K93" i="38" s="1"/>
  <c r="L93" i="38" a="1"/>
  <c r="L93" i="38" s="1"/>
  <c r="M93" i="38" a="1"/>
  <c r="M93" i="38" s="1"/>
  <c r="N93" i="38" a="1"/>
  <c r="N93" i="38" s="1"/>
  <c r="O93" i="38" a="1"/>
  <c r="O93" i="38" s="1"/>
  <c r="P93" i="38" a="1"/>
  <c r="P93" i="38" s="1"/>
  <c r="Q93" i="38" a="1"/>
  <c r="Q93" i="38" s="1"/>
  <c r="R93" i="38" a="1"/>
  <c r="R93" i="38" s="1"/>
  <c r="S93" i="38" a="1"/>
  <c r="S93" i="38" s="1"/>
  <c r="C94" i="38" a="1"/>
  <c r="C94" i="38" s="1"/>
  <c r="D94" i="38" a="1"/>
  <c r="D94" i="38" s="1"/>
  <c r="E94" i="38" a="1"/>
  <c r="E94" i="38" s="1"/>
  <c r="F94" i="38" a="1"/>
  <c r="F94" i="38" s="1"/>
  <c r="G94" i="38" a="1"/>
  <c r="G94" i="38" s="1"/>
  <c r="H94" i="38" a="1"/>
  <c r="H94" i="38" s="1"/>
  <c r="I94" i="38" a="1"/>
  <c r="I94" i="38" s="1"/>
  <c r="J94" i="38" a="1"/>
  <c r="J94" i="38" s="1"/>
  <c r="K94" i="38" a="1"/>
  <c r="K94" i="38" s="1"/>
  <c r="L94" i="38" a="1"/>
  <c r="L94" i="38" s="1"/>
  <c r="M94" i="38" a="1"/>
  <c r="M94" i="38" s="1"/>
  <c r="N94" i="38" a="1"/>
  <c r="N94" i="38" s="1"/>
  <c r="O94" i="38" a="1"/>
  <c r="O94" i="38" s="1"/>
  <c r="P94" i="38" a="1"/>
  <c r="P94" i="38" s="1"/>
  <c r="Q94" i="38" a="1"/>
  <c r="Q94" i="38" s="1"/>
  <c r="R94" i="38" a="1"/>
  <c r="R94" i="38" s="1"/>
  <c r="S94" i="38" a="1"/>
  <c r="S94" i="38" s="1"/>
  <c r="C95" i="38" a="1"/>
  <c r="C95" i="38" s="1"/>
  <c r="D95" i="38" a="1"/>
  <c r="D95" i="38" s="1"/>
  <c r="E95" i="38" a="1"/>
  <c r="E95" i="38" s="1"/>
  <c r="F95" i="38" a="1"/>
  <c r="F95" i="38" s="1"/>
  <c r="G95" i="38" a="1"/>
  <c r="G95" i="38" s="1"/>
  <c r="H95" i="38" a="1"/>
  <c r="H95" i="38" s="1"/>
  <c r="I95" i="38" a="1"/>
  <c r="I95" i="38" s="1"/>
  <c r="J95" i="38" a="1"/>
  <c r="J95" i="38" s="1"/>
  <c r="K95" i="38" a="1"/>
  <c r="K95" i="38" s="1"/>
  <c r="L95" i="38" a="1"/>
  <c r="L95" i="38" s="1"/>
  <c r="M95" i="38" a="1"/>
  <c r="M95" i="38" s="1"/>
  <c r="N95" i="38" a="1"/>
  <c r="N95" i="38" s="1"/>
  <c r="O95" i="38" a="1"/>
  <c r="O95" i="38" s="1"/>
  <c r="P95" i="38" a="1"/>
  <c r="P95" i="38" s="1"/>
  <c r="Q95" i="38" a="1"/>
  <c r="Q95" i="38" s="1"/>
  <c r="R95" i="38" a="1"/>
  <c r="R95" i="38" s="1"/>
  <c r="S95" i="38" a="1"/>
  <c r="S95" i="38" s="1"/>
  <c r="C96" i="38" a="1"/>
  <c r="C96" i="38" s="1"/>
  <c r="D96" i="38" a="1"/>
  <c r="D96" i="38" s="1"/>
  <c r="E96" i="38" a="1"/>
  <c r="E96" i="38" s="1"/>
  <c r="F96" i="38" a="1"/>
  <c r="F96" i="38" s="1"/>
  <c r="G96" i="38" a="1"/>
  <c r="G96" i="38" s="1"/>
  <c r="H96" i="38" a="1"/>
  <c r="H96" i="38" s="1"/>
  <c r="I96" i="38" a="1"/>
  <c r="I96" i="38" s="1"/>
  <c r="J96" i="38" a="1"/>
  <c r="J96" i="38" s="1"/>
  <c r="K96" i="38" a="1"/>
  <c r="K96" i="38" s="1"/>
  <c r="L96" i="38" a="1"/>
  <c r="L96" i="38" s="1"/>
  <c r="M96" i="38" a="1"/>
  <c r="M96" i="38" s="1"/>
  <c r="N96" i="38" a="1"/>
  <c r="N96" i="38" s="1"/>
  <c r="O96" i="38" a="1"/>
  <c r="O96" i="38" s="1"/>
  <c r="P96" i="38" a="1"/>
  <c r="P96" i="38" s="1"/>
  <c r="Q96" i="38" a="1"/>
  <c r="Q96" i="38" s="1"/>
  <c r="R96" i="38" a="1"/>
  <c r="R96" i="38" s="1"/>
  <c r="S96" i="38" a="1"/>
  <c r="S96" i="38" s="1"/>
  <c r="C97" i="38" a="1"/>
  <c r="C97" i="38" s="1"/>
  <c r="D97" i="38" a="1"/>
  <c r="D97" i="38" s="1"/>
  <c r="E97" i="38" a="1"/>
  <c r="E97" i="38" s="1"/>
  <c r="F97" i="38" a="1"/>
  <c r="F97" i="38" s="1"/>
  <c r="G97" i="38" a="1"/>
  <c r="G97" i="38" s="1"/>
  <c r="H97" i="38" a="1"/>
  <c r="H97" i="38" s="1"/>
  <c r="I97" i="38" a="1"/>
  <c r="I97" i="38" s="1"/>
  <c r="J97" i="38" a="1"/>
  <c r="J97" i="38" s="1"/>
  <c r="K97" i="38" a="1"/>
  <c r="K97" i="38" s="1"/>
  <c r="L97" i="38" a="1"/>
  <c r="L97" i="38" s="1"/>
  <c r="M97" i="38" a="1"/>
  <c r="M97" i="38" s="1"/>
  <c r="N97" i="38" a="1"/>
  <c r="N97" i="38" s="1"/>
  <c r="O97" i="38" a="1"/>
  <c r="O97" i="38" s="1"/>
  <c r="P97" i="38" a="1"/>
  <c r="P97" i="38" s="1"/>
  <c r="Q97" i="38" a="1"/>
  <c r="Q97" i="38" s="1"/>
  <c r="R97" i="38" a="1"/>
  <c r="R97" i="38" s="1"/>
  <c r="S97" i="38" a="1"/>
  <c r="S97" i="38" s="1"/>
  <c r="C98" i="38" a="1"/>
  <c r="C98" i="38" s="1"/>
  <c r="D98" i="38" a="1"/>
  <c r="D98" i="38" s="1"/>
  <c r="E98" i="38" a="1"/>
  <c r="E98" i="38" s="1"/>
  <c r="F98" i="38" a="1"/>
  <c r="F98" i="38" s="1"/>
  <c r="G98" i="38" a="1"/>
  <c r="G98" i="38" s="1"/>
  <c r="H98" i="38" a="1"/>
  <c r="H98" i="38" s="1"/>
  <c r="I98" i="38" a="1"/>
  <c r="I98" i="38" s="1"/>
  <c r="J98" i="38" a="1"/>
  <c r="J98" i="38" s="1"/>
  <c r="K98" i="38" a="1"/>
  <c r="K98" i="38" s="1"/>
  <c r="L98" i="38" a="1"/>
  <c r="L98" i="38" s="1"/>
  <c r="M98" i="38" a="1"/>
  <c r="M98" i="38" s="1"/>
  <c r="N98" i="38" a="1"/>
  <c r="N98" i="38" s="1"/>
  <c r="O98" i="38" a="1"/>
  <c r="O98" i="38" s="1"/>
  <c r="P98" i="38" a="1"/>
  <c r="P98" i="38" s="1"/>
  <c r="Q98" i="38" a="1"/>
  <c r="Q98" i="38" s="1"/>
  <c r="R98" i="38" a="1"/>
  <c r="R98" i="38" s="1"/>
  <c r="S98" i="38" a="1"/>
  <c r="S98" i="38" s="1"/>
  <c r="C99" i="38" a="1"/>
  <c r="C99" i="38" s="1"/>
  <c r="D99" i="38" a="1"/>
  <c r="D99" i="38" s="1"/>
  <c r="E99" i="38" a="1"/>
  <c r="E99" i="38" s="1"/>
  <c r="F99" i="38" a="1"/>
  <c r="F99" i="38" s="1"/>
  <c r="G99" i="38" a="1"/>
  <c r="G99" i="38" s="1"/>
  <c r="H99" i="38" a="1"/>
  <c r="H99" i="38" s="1"/>
  <c r="I99" i="38" a="1"/>
  <c r="I99" i="38" s="1"/>
  <c r="J99" i="38" a="1"/>
  <c r="J99" i="38" s="1"/>
  <c r="K99" i="38" a="1"/>
  <c r="K99" i="38" s="1"/>
  <c r="L99" i="38" a="1"/>
  <c r="L99" i="38" s="1"/>
  <c r="M99" i="38" a="1"/>
  <c r="M99" i="38" s="1"/>
  <c r="N99" i="38" a="1"/>
  <c r="N99" i="38" s="1"/>
  <c r="O99" i="38" a="1"/>
  <c r="O99" i="38" s="1"/>
  <c r="P99" i="38" a="1"/>
  <c r="P99" i="38" s="1"/>
  <c r="Q99" i="38" a="1"/>
  <c r="Q99" i="38" s="1"/>
  <c r="R99" i="38" a="1"/>
  <c r="R99" i="38" s="1"/>
  <c r="S99" i="38" a="1"/>
  <c r="S99" i="38" s="1"/>
  <c r="C100" i="38" a="1"/>
  <c r="C100" i="38" s="1"/>
  <c r="D100" i="38" a="1"/>
  <c r="D100" i="38" s="1"/>
  <c r="E100" i="38" a="1"/>
  <c r="E100" i="38" s="1"/>
  <c r="F100" i="38" a="1"/>
  <c r="F100" i="38" s="1"/>
  <c r="G100" i="38" a="1"/>
  <c r="G100" i="38" s="1"/>
  <c r="H100" i="38" a="1"/>
  <c r="H100" i="38" s="1"/>
  <c r="I100" i="38" a="1"/>
  <c r="I100" i="38" s="1"/>
  <c r="J100" i="38" a="1"/>
  <c r="J100" i="38" s="1"/>
  <c r="K100" i="38" a="1"/>
  <c r="K100" i="38" s="1"/>
  <c r="L100" i="38" a="1"/>
  <c r="L100" i="38" s="1"/>
  <c r="M100" i="38" a="1"/>
  <c r="M100" i="38" s="1"/>
  <c r="N100" i="38" a="1"/>
  <c r="N100" i="38" s="1"/>
  <c r="O100" i="38" a="1"/>
  <c r="O100" i="38" s="1"/>
  <c r="P100" i="38" a="1"/>
  <c r="P100" i="38" s="1"/>
  <c r="Q100" i="38" a="1"/>
  <c r="Q100" i="38" s="1"/>
  <c r="R100" i="38" a="1"/>
  <c r="R100" i="38" s="1"/>
  <c r="S100" i="38" a="1"/>
  <c r="S100" i="38" s="1"/>
  <c r="C101" i="38" a="1"/>
  <c r="C101" i="38" s="1"/>
  <c r="D101" i="38" a="1"/>
  <c r="D101" i="38" s="1"/>
  <c r="E101" i="38" a="1"/>
  <c r="E101" i="38" s="1"/>
  <c r="F101" i="38" a="1"/>
  <c r="F101" i="38" s="1"/>
  <c r="G101" i="38" a="1"/>
  <c r="G101" i="38" s="1"/>
  <c r="H101" i="38" a="1"/>
  <c r="H101" i="38" s="1"/>
  <c r="I101" i="38" a="1"/>
  <c r="I101" i="38" s="1"/>
  <c r="J101" i="38" a="1"/>
  <c r="J101" i="38" s="1"/>
  <c r="K101" i="38" a="1"/>
  <c r="K101" i="38" s="1"/>
  <c r="L101" i="38" a="1"/>
  <c r="L101" i="38" s="1"/>
  <c r="M101" i="38" a="1"/>
  <c r="M101" i="38" s="1"/>
  <c r="N101" i="38" a="1"/>
  <c r="N101" i="38" s="1"/>
  <c r="O101" i="38" a="1"/>
  <c r="O101" i="38" s="1"/>
  <c r="P101" i="38" a="1"/>
  <c r="P101" i="38" s="1"/>
  <c r="Q101" i="38" a="1"/>
  <c r="Q101" i="38" s="1"/>
  <c r="R101" i="38" a="1"/>
  <c r="R101" i="38" s="1"/>
  <c r="S101" i="38" a="1"/>
  <c r="S101" i="38" s="1"/>
  <c r="C102" i="38" a="1"/>
  <c r="C102" i="38" s="1"/>
  <c r="D102" i="38" a="1"/>
  <c r="D102" i="38" s="1"/>
  <c r="E102" i="38" a="1"/>
  <c r="E102" i="38" s="1"/>
  <c r="F102" i="38" a="1"/>
  <c r="F102" i="38" s="1"/>
  <c r="G102" i="38" a="1"/>
  <c r="G102" i="38" s="1"/>
  <c r="H102" i="38" a="1"/>
  <c r="H102" i="38" s="1"/>
  <c r="I102" i="38" a="1"/>
  <c r="I102" i="38" s="1"/>
  <c r="J102" i="38" a="1"/>
  <c r="J102" i="38" s="1"/>
  <c r="K102" i="38" a="1"/>
  <c r="K102" i="38" s="1"/>
  <c r="L102" i="38" a="1"/>
  <c r="L102" i="38" s="1"/>
  <c r="M102" i="38" a="1"/>
  <c r="M102" i="38" s="1"/>
  <c r="N102" i="38" a="1"/>
  <c r="N102" i="38" s="1"/>
  <c r="O102" i="38" a="1"/>
  <c r="O102" i="38" s="1"/>
  <c r="P102" i="38" a="1"/>
  <c r="P102" i="38" s="1"/>
  <c r="Q102" i="38" a="1"/>
  <c r="Q102" i="38" s="1"/>
  <c r="R102" i="38" a="1"/>
  <c r="R102" i="38" s="1"/>
  <c r="S102" i="38" a="1"/>
  <c r="S102" i="38" s="1"/>
  <c r="C103" i="38" a="1"/>
  <c r="C103" i="38" s="1"/>
  <c r="D103" i="38" a="1"/>
  <c r="D103" i="38" s="1"/>
  <c r="E103" i="38" a="1"/>
  <c r="E103" i="38" s="1"/>
  <c r="F103" i="38" a="1"/>
  <c r="F103" i="38" s="1"/>
  <c r="G103" i="38" a="1"/>
  <c r="G103" i="38" s="1"/>
  <c r="H103" i="38" a="1"/>
  <c r="H103" i="38" s="1"/>
  <c r="I103" i="38" a="1"/>
  <c r="I103" i="38" s="1"/>
  <c r="J103" i="38" a="1"/>
  <c r="J103" i="38" s="1"/>
  <c r="K103" i="38" a="1"/>
  <c r="K103" i="38" s="1"/>
  <c r="L103" i="38" a="1"/>
  <c r="L103" i="38" s="1"/>
  <c r="M103" i="38" a="1"/>
  <c r="M103" i="38" s="1"/>
  <c r="N103" i="38" a="1"/>
  <c r="N103" i="38" s="1"/>
  <c r="O103" i="38" a="1"/>
  <c r="O103" i="38" s="1"/>
  <c r="P103" i="38" a="1"/>
  <c r="P103" i="38" s="1"/>
  <c r="Q103" i="38" a="1"/>
  <c r="Q103" i="38" s="1"/>
  <c r="R103" i="38" a="1"/>
  <c r="R103" i="38" s="1"/>
  <c r="S103" i="38" a="1"/>
  <c r="S103" i="38" s="1"/>
  <c r="C104" i="38" a="1"/>
  <c r="C104" i="38" s="1"/>
  <c r="D104" i="38" a="1"/>
  <c r="D104" i="38" s="1"/>
  <c r="E104" i="38" a="1"/>
  <c r="E104" i="38" s="1"/>
  <c r="F104" i="38" a="1"/>
  <c r="F104" i="38" s="1"/>
  <c r="G104" i="38" a="1"/>
  <c r="G104" i="38" s="1"/>
  <c r="H104" i="38" a="1"/>
  <c r="H104" i="38" s="1"/>
  <c r="I104" i="38" a="1"/>
  <c r="I104" i="38" s="1"/>
  <c r="J104" i="38" a="1"/>
  <c r="J104" i="38" s="1"/>
  <c r="K104" i="38" a="1"/>
  <c r="K104" i="38" s="1"/>
  <c r="L104" i="38" a="1"/>
  <c r="L104" i="38" s="1"/>
  <c r="M104" i="38" a="1"/>
  <c r="M104" i="38" s="1"/>
  <c r="N104" i="38" a="1"/>
  <c r="N104" i="38" s="1"/>
  <c r="O104" i="38" a="1"/>
  <c r="O104" i="38" s="1"/>
  <c r="P104" i="38" a="1"/>
  <c r="P104" i="38" s="1"/>
  <c r="Q104" i="38" a="1"/>
  <c r="Q104" i="38" s="1"/>
  <c r="R104" i="38" a="1"/>
  <c r="R104" i="38" s="1"/>
  <c r="S104" i="38" a="1"/>
  <c r="S104" i="38" s="1"/>
  <c r="C105" i="38" a="1"/>
  <c r="C105" i="38" s="1"/>
  <c r="D105" i="38" a="1"/>
  <c r="D105" i="38" s="1"/>
  <c r="E105" i="38" a="1"/>
  <c r="E105" i="38" s="1"/>
  <c r="F105" i="38" a="1"/>
  <c r="F105" i="38" s="1"/>
  <c r="G105" i="38" a="1"/>
  <c r="G105" i="38" s="1"/>
  <c r="H105" i="38" a="1"/>
  <c r="H105" i="38" s="1"/>
  <c r="I105" i="38" a="1"/>
  <c r="I105" i="38" s="1"/>
  <c r="J105" i="38" a="1"/>
  <c r="J105" i="38" s="1"/>
  <c r="K105" i="38" a="1"/>
  <c r="K105" i="38" s="1"/>
  <c r="L105" i="38" a="1"/>
  <c r="L105" i="38" s="1"/>
  <c r="M105" i="38" a="1"/>
  <c r="M105" i="38" s="1"/>
  <c r="N105" i="38" a="1"/>
  <c r="N105" i="38" s="1"/>
  <c r="O105" i="38" a="1"/>
  <c r="O105" i="38" s="1"/>
  <c r="P105" i="38" a="1"/>
  <c r="P105" i="38" s="1"/>
  <c r="Q105" i="38" a="1"/>
  <c r="Q105" i="38" s="1"/>
  <c r="R105" i="38" a="1"/>
  <c r="R105" i="38" s="1"/>
  <c r="S105" i="38" a="1"/>
  <c r="S105" i="38" s="1"/>
  <c r="C106" i="38" a="1"/>
  <c r="C106" i="38" s="1"/>
  <c r="D106" i="38" a="1"/>
  <c r="D106" i="38" s="1"/>
  <c r="E106" i="38" a="1"/>
  <c r="E106" i="38" s="1"/>
  <c r="F106" i="38" a="1"/>
  <c r="F106" i="38" s="1"/>
  <c r="G106" i="38" a="1"/>
  <c r="G106" i="38" s="1"/>
  <c r="H106" i="38" a="1"/>
  <c r="H106" i="38" s="1"/>
  <c r="I106" i="38" a="1"/>
  <c r="I106" i="38" s="1"/>
  <c r="J106" i="38" a="1"/>
  <c r="J106" i="38" s="1"/>
  <c r="K106" i="38" a="1"/>
  <c r="K106" i="38" s="1"/>
  <c r="L106" i="38" a="1"/>
  <c r="L106" i="38" s="1"/>
  <c r="M106" i="38" a="1"/>
  <c r="M106" i="38" s="1"/>
  <c r="N106" i="38" a="1"/>
  <c r="N106" i="38" s="1"/>
  <c r="O106" i="38" a="1"/>
  <c r="O106" i="38" s="1"/>
  <c r="P106" i="38" a="1"/>
  <c r="P106" i="38" s="1"/>
  <c r="Q106" i="38" a="1"/>
  <c r="Q106" i="38" s="1"/>
  <c r="R106" i="38" a="1"/>
  <c r="R106" i="38" s="1"/>
  <c r="S106" i="38" a="1"/>
  <c r="S106" i="38" s="1"/>
  <c r="C107" i="38" a="1"/>
  <c r="C107" i="38" s="1"/>
  <c r="D107" i="38" a="1"/>
  <c r="D107" i="38" s="1"/>
  <c r="E107" i="38" a="1"/>
  <c r="E107" i="38" s="1"/>
  <c r="F107" i="38" a="1"/>
  <c r="F107" i="38" s="1"/>
  <c r="G107" i="38" a="1"/>
  <c r="G107" i="38" s="1"/>
  <c r="H107" i="38" a="1"/>
  <c r="H107" i="38" s="1"/>
  <c r="I107" i="38" a="1"/>
  <c r="I107" i="38" s="1"/>
  <c r="J107" i="38" a="1"/>
  <c r="J107" i="38" s="1"/>
  <c r="K107" i="38" a="1"/>
  <c r="K107" i="38" s="1"/>
  <c r="L107" i="38" a="1"/>
  <c r="L107" i="38" s="1"/>
  <c r="M107" i="38" a="1"/>
  <c r="M107" i="38" s="1"/>
  <c r="N107" i="38" a="1"/>
  <c r="N107" i="38" s="1"/>
  <c r="O107" i="38" a="1"/>
  <c r="O107" i="38" s="1"/>
  <c r="P107" i="38" a="1"/>
  <c r="P107" i="38" s="1"/>
  <c r="Q107" i="38" a="1"/>
  <c r="Q107" i="38" s="1"/>
  <c r="R107" i="38" a="1"/>
  <c r="R107" i="38" s="1"/>
  <c r="S107" i="38" a="1"/>
  <c r="S107" i="38" s="1"/>
  <c r="C108" i="38" a="1"/>
  <c r="C108" i="38" s="1"/>
  <c r="D108" i="38" a="1"/>
  <c r="D108" i="38" s="1"/>
  <c r="E108" i="38" a="1"/>
  <c r="E108" i="38" s="1"/>
  <c r="F108" i="38" a="1"/>
  <c r="F108" i="38" s="1"/>
  <c r="G108" i="38" a="1"/>
  <c r="G108" i="38" s="1"/>
  <c r="H108" i="38" a="1"/>
  <c r="H108" i="38" s="1"/>
  <c r="I108" i="38" a="1"/>
  <c r="I108" i="38" s="1"/>
  <c r="J108" i="38" a="1"/>
  <c r="J108" i="38" s="1"/>
  <c r="K108" i="38" a="1"/>
  <c r="K108" i="38" s="1"/>
  <c r="L108" i="38" a="1"/>
  <c r="L108" i="38" s="1"/>
  <c r="M108" i="38" a="1"/>
  <c r="M108" i="38" s="1"/>
  <c r="N108" i="38" a="1"/>
  <c r="N108" i="38" s="1"/>
  <c r="O108" i="38" a="1"/>
  <c r="O108" i="38" s="1"/>
  <c r="P108" i="38" a="1"/>
  <c r="P108" i="38" s="1"/>
  <c r="Q108" i="38" a="1"/>
  <c r="Q108" i="38" s="1"/>
  <c r="R108" i="38" a="1"/>
  <c r="R108" i="38" s="1"/>
  <c r="S108" i="38" a="1"/>
  <c r="S108" i="38" s="1"/>
  <c r="C109" i="38" a="1"/>
  <c r="C109" i="38" s="1"/>
  <c r="D109" i="38" a="1"/>
  <c r="D109" i="38" s="1"/>
  <c r="E109" i="38" a="1"/>
  <c r="E109" i="38" s="1"/>
  <c r="F109" i="38" a="1"/>
  <c r="F109" i="38" s="1"/>
  <c r="G109" i="38" a="1"/>
  <c r="G109" i="38" s="1"/>
  <c r="H109" i="38" a="1"/>
  <c r="H109" i="38" s="1"/>
  <c r="I109" i="38" a="1"/>
  <c r="I109" i="38" s="1"/>
  <c r="J109" i="38" a="1"/>
  <c r="J109" i="38" s="1"/>
  <c r="K109" i="38" a="1"/>
  <c r="K109" i="38" s="1"/>
  <c r="L109" i="38" a="1"/>
  <c r="L109" i="38" s="1"/>
  <c r="M109" i="38" a="1"/>
  <c r="M109" i="38" s="1"/>
  <c r="N109" i="38" a="1"/>
  <c r="N109" i="38" s="1"/>
  <c r="O109" i="38" a="1"/>
  <c r="O109" i="38" s="1"/>
  <c r="P109" i="38" a="1"/>
  <c r="P109" i="38" s="1"/>
  <c r="Q109" i="38" a="1"/>
  <c r="Q109" i="38" s="1"/>
  <c r="R109" i="38" a="1"/>
  <c r="R109" i="38" s="1"/>
  <c r="S109" i="38" a="1"/>
  <c r="S109" i="38" s="1"/>
  <c r="C110" i="38" a="1"/>
  <c r="C110" i="38" s="1"/>
  <c r="D110" i="38" a="1"/>
  <c r="D110" i="38" s="1"/>
  <c r="E110" i="38" a="1"/>
  <c r="E110" i="38" s="1"/>
  <c r="F110" i="38" a="1"/>
  <c r="F110" i="38" s="1"/>
  <c r="G110" i="38" a="1"/>
  <c r="G110" i="38" s="1"/>
  <c r="H110" i="38" a="1"/>
  <c r="H110" i="38" s="1"/>
  <c r="I110" i="38" a="1"/>
  <c r="I110" i="38" s="1"/>
  <c r="J110" i="38" a="1"/>
  <c r="J110" i="38" s="1"/>
  <c r="K110" i="38" a="1"/>
  <c r="K110" i="38" s="1"/>
  <c r="L110" i="38" a="1"/>
  <c r="L110" i="38" s="1"/>
  <c r="M110" i="38" a="1"/>
  <c r="M110" i="38" s="1"/>
  <c r="N110" i="38" a="1"/>
  <c r="N110" i="38" s="1"/>
  <c r="O110" i="38" a="1"/>
  <c r="O110" i="38" s="1"/>
  <c r="P110" i="38" a="1"/>
  <c r="P110" i="38" s="1"/>
  <c r="Q110" i="38" a="1"/>
  <c r="Q110" i="38" s="1"/>
  <c r="R110" i="38" a="1"/>
  <c r="R110" i="38" s="1"/>
  <c r="S110" i="38" a="1"/>
  <c r="S110" i="38" s="1"/>
  <c r="C111" i="38" a="1"/>
  <c r="C111" i="38" s="1"/>
  <c r="D111" i="38" a="1"/>
  <c r="D111" i="38" s="1"/>
  <c r="E111" i="38" a="1"/>
  <c r="E111" i="38" s="1"/>
  <c r="F111" i="38" a="1"/>
  <c r="F111" i="38" s="1"/>
  <c r="G111" i="38" a="1"/>
  <c r="G111" i="38" s="1"/>
  <c r="H111" i="38" a="1"/>
  <c r="H111" i="38" s="1"/>
  <c r="I111" i="38" a="1"/>
  <c r="I111" i="38" s="1"/>
  <c r="J111" i="38" a="1"/>
  <c r="J111" i="38" s="1"/>
  <c r="K111" i="38" a="1"/>
  <c r="K111" i="38" s="1"/>
  <c r="L111" i="38" a="1"/>
  <c r="L111" i="38" s="1"/>
  <c r="M111" i="38" a="1"/>
  <c r="M111" i="38" s="1"/>
  <c r="N111" i="38" a="1"/>
  <c r="N111" i="38" s="1"/>
  <c r="O111" i="38" a="1"/>
  <c r="O111" i="38" s="1"/>
  <c r="P111" i="38" a="1"/>
  <c r="P111" i="38" s="1"/>
  <c r="Q111" i="38" a="1"/>
  <c r="Q111" i="38" s="1"/>
  <c r="R111" i="38" a="1"/>
  <c r="R111" i="38" s="1"/>
  <c r="S111" i="38" a="1"/>
  <c r="S111" i="38" s="1"/>
  <c r="C112" i="38" a="1"/>
  <c r="C112" i="38" s="1"/>
  <c r="D112" i="38" a="1"/>
  <c r="D112" i="38" s="1"/>
  <c r="E112" i="38" a="1"/>
  <c r="E112" i="38" s="1"/>
  <c r="F112" i="38" a="1"/>
  <c r="F112" i="38" s="1"/>
  <c r="G112" i="38" a="1"/>
  <c r="G112" i="38" s="1"/>
  <c r="H112" i="38" a="1"/>
  <c r="H112" i="38" s="1"/>
  <c r="I112" i="38" a="1"/>
  <c r="I112" i="38" s="1"/>
  <c r="J112" i="38" a="1"/>
  <c r="J112" i="38" s="1"/>
  <c r="K112" i="38" a="1"/>
  <c r="K112" i="38" s="1"/>
  <c r="L112" i="38" a="1"/>
  <c r="L112" i="38" s="1"/>
  <c r="M112" i="38" a="1"/>
  <c r="M112" i="38" s="1"/>
  <c r="N112" i="38" a="1"/>
  <c r="N112" i="38" s="1"/>
  <c r="O112" i="38" a="1"/>
  <c r="O112" i="38" s="1"/>
  <c r="P112" i="38" a="1"/>
  <c r="P112" i="38" s="1"/>
  <c r="Q112" i="38" a="1"/>
  <c r="Q112" i="38" s="1"/>
  <c r="R112" i="38" a="1"/>
  <c r="R112" i="38" s="1"/>
  <c r="S112" i="38" a="1"/>
  <c r="S112" i="38" s="1"/>
  <c r="C113" i="38" a="1"/>
  <c r="C113" i="38" s="1"/>
  <c r="D113" i="38" a="1"/>
  <c r="D113" i="38" s="1"/>
  <c r="E113" i="38" a="1"/>
  <c r="E113" i="38" s="1"/>
  <c r="F113" i="38" a="1"/>
  <c r="F113" i="38" s="1"/>
  <c r="G113" i="38" a="1"/>
  <c r="G113" i="38" s="1"/>
  <c r="H113" i="38" a="1"/>
  <c r="H113" i="38" s="1"/>
  <c r="I113" i="38" a="1"/>
  <c r="I113" i="38" s="1"/>
  <c r="J113" i="38" a="1"/>
  <c r="J113" i="38" s="1"/>
  <c r="K113" i="38" a="1"/>
  <c r="K113" i="38" s="1"/>
  <c r="L113" i="38" a="1"/>
  <c r="L113" i="38" s="1"/>
  <c r="M113" i="38" a="1"/>
  <c r="M113" i="38" s="1"/>
  <c r="N113" i="38" a="1"/>
  <c r="N113" i="38" s="1"/>
  <c r="O113" i="38" a="1"/>
  <c r="O113" i="38" s="1"/>
  <c r="P113" i="38" a="1"/>
  <c r="P113" i="38" s="1"/>
  <c r="Q113" i="38" a="1"/>
  <c r="Q113" i="38" s="1"/>
  <c r="R113" i="38" a="1"/>
  <c r="R113" i="38" s="1"/>
  <c r="S113" i="38" a="1"/>
  <c r="S113" i="38" s="1"/>
  <c r="C114" i="38" a="1"/>
  <c r="C114" i="38" s="1"/>
  <c r="D114" i="38" a="1"/>
  <c r="D114" i="38" s="1"/>
  <c r="E114" i="38" a="1"/>
  <c r="E114" i="38" s="1"/>
  <c r="F114" i="38" a="1"/>
  <c r="F114" i="38" s="1"/>
  <c r="G114" i="38" a="1"/>
  <c r="G114" i="38" s="1"/>
  <c r="H114" i="38" a="1"/>
  <c r="H114" i="38" s="1"/>
  <c r="I114" i="38" a="1"/>
  <c r="I114" i="38" s="1"/>
  <c r="J114" i="38" a="1"/>
  <c r="J114" i="38" s="1"/>
  <c r="K114" i="38" a="1"/>
  <c r="K114" i="38" s="1"/>
  <c r="L114" i="38" a="1"/>
  <c r="L114" i="38" s="1"/>
  <c r="M114" i="38" a="1"/>
  <c r="M114" i="38" s="1"/>
  <c r="N114" i="38" a="1"/>
  <c r="N114" i="38" s="1"/>
  <c r="O114" i="38" a="1"/>
  <c r="O114" i="38" s="1"/>
  <c r="P114" i="38" a="1"/>
  <c r="P114" i="38" s="1"/>
  <c r="Q114" i="38" a="1"/>
  <c r="Q114" i="38" s="1"/>
  <c r="R114" i="38" a="1"/>
  <c r="R114" i="38" s="1"/>
  <c r="S114" i="38" a="1"/>
  <c r="S114" i="38" s="1"/>
  <c r="C115" i="38" a="1"/>
  <c r="C115" i="38" s="1"/>
  <c r="D115" i="38" a="1"/>
  <c r="D115" i="38" s="1"/>
  <c r="E115" i="38" a="1"/>
  <c r="E115" i="38" s="1"/>
  <c r="F115" i="38" a="1"/>
  <c r="F115" i="38" s="1"/>
  <c r="G115" i="38" a="1"/>
  <c r="G115" i="38" s="1"/>
  <c r="H115" i="38" a="1"/>
  <c r="H115" i="38" s="1"/>
  <c r="I115" i="38" a="1"/>
  <c r="I115" i="38" s="1"/>
  <c r="J115" i="38" a="1"/>
  <c r="J115" i="38" s="1"/>
  <c r="K115" i="38" a="1"/>
  <c r="K115" i="38" s="1"/>
  <c r="L115" i="38" a="1"/>
  <c r="L115" i="38" s="1"/>
  <c r="M115" i="38" a="1"/>
  <c r="M115" i="38" s="1"/>
  <c r="N115" i="38" a="1"/>
  <c r="N115" i="38" s="1"/>
  <c r="O115" i="38" a="1"/>
  <c r="O115" i="38" s="1"/>
  <c r="P115" i="38" a="1"/>
  <c r="P115" i="38" s="1"/>
  <c r="Q115" i="38" a="1"/>
  <c r="Q115" i="38" s="1"/>
  <c r="R115" i="38" a="1"/>
  <c r="R115" i="38" s="1"/>
  <c r="S115" i="38" a="1"/>
  <c r="S115" i="38" s="1"/>
  <c r="C116" i="38" a="1"/>
  <c r="C116" i="38" s="1"/>
  <c r="D116" i="38" a="1"/>
  <c r="D116" i="38" s="1"/>
  <c r="E116" i="38" a="1"/>
  <c r="E116" i="38" s="1"/>
  <c r="F116" i="38" a="1"/>
  <c r="F116" i="38" s="1"/>
  <c r="G116" i="38" a="1"/>
  <c r="G116" i="38" s="1"/>
  <c r="H116" i="38" a="1"/>
  <c r="H116" i="38" s="1"/>
  <c r="I116" i="38" a="1"/>
  <c r="I116" i="38" s="1"/>
  <c r="J116" i="38" a="1"/>
  <c r="J116" i="38" s="1"/>
  <c r="K116" i="38" a="1"/>
  <c r="K116" i="38" s="1"/>
  <c r="L116" i="38" a="1"/>
  <c r="L116" i="38" s="1"/>
  <c r="M116" i="38" a="1"/>
  <c r="M116" i="38" s="1"/>
  <c r="N116" i="38" a="1"/>
  <c r="N116" i="38" s="1"/>
  <c r="O116" i="38" a="1"/>
  <c r="O116" i="38" s="1"/>
  <c r="P116" i="38" a="1"/>
  <c r="P116" i="38" s="1"/>
  <c r="Q116" i="38" a="1"/>
  <c r="Q116" i="38" s="1"/>
  <c r="R116" i="38" a="1"/>
  <c r="R116" i="38" s="1"/>
  <c r="S116" i="38" a="1"/>
  <c r="S116" i="38" s="1"/>
  <c r="C117" i="38" a="1"/>
  <c r="C117" i="38" s="1"/>
  <c r="D117" i="38" a="1"/>
  <c r="D117" i="38" s="1"/>
  <c r="E117" i="38" a="1"/>
  <c r="E117" i="38" s="1"/>
  <c r="F117" i="38" a="1"/>
  <c r="F117" i="38" s="1"/>
  <c r="G117" i="38" a="1"/>
  <c r="G117" i="38" s="1"/>
  <c r="H117" i="38" a="1"/>
  <c r="H117" i="38" s="1"/>
  <c r="I117" i="38" a="1"/>
  <c r="I117" i="38" s="1"/>
  <c r="J117" i="38" a="1"/>
  <c r="J117" i="38" s="1"/>
  <c r="K117" i="38" a="1"/>
  <c r="K117" i="38" s="1"/>
  <c r="L117" i="38" a="1"/>
  <c r="L117" i="38" s="1"/>
  <c r="M117" i="38" a="1"/>
  <c r="M117" i="38" s="1"/>
  <c r="N117" i="38" a="1"/>
  <c r="N117" i="38" s="1"/>
  <c r="O117" i="38" a="1"/>
  <c r="O117" i="38" s="1"/>
  <c r="P117" i="38" a="1"/>
  <c r="P117" i="38" s="1"/>
  <c r="Q117" i="38" a="1"/>
  <c r="Q117" i="38" s="1"/>
  <c r="R117" i="38" a="1"/>
  <c r="R117" i="38" s="1"/>
  <c r="S117" i="38" a="1"/>
  <c r="S117" i="38" s="1"/>
  <c r="C118" i="38" a="1"/>
  <c r="C118" i="38" s="1"/>
  <c r="D118" i="38" a="1"/>
  <c r="D118" i="38" s="1"/>
  <c r="E118" i="38" a="1"/>
  <c r="E118" i="38" s="1"/>
  <c r="F118" i="38" a="1"/>
  <c r="F118" i="38" s="1"/>
  <c r="G118" i="38" a="1"/>
  <c r="G118" i="38" s="1"/>
  <c r="H118" i="38" a="1"/>
  <c r="H118" i="38" s="1"/>
  <c r="I118" i="38" a="1"/>
  <c r="I118" i="38" s="1"/>
  <c r="J118" i="38" a="1"/>
  <c r="J118" i="38" s="1"/>
  <c r="K118" i="38" a="1"/>
  <c r="K118" i="38" s="1"/>
  <c r="L118" i="38" a="1"/>
  <c r="L118" i="38" s="1"/>
  <c r="M118" i="38" a="1"/>
  <c r="M118" i="38" s="1"/>
  <c r="N118" i="38" a="1"/>
  <c r="N118" i="38" s="1"/>
  <c r="O118" i="38" a="1"/>
  <c r="O118" i="38" s="1"/>
  <c r="P118" i="38" a="1"/>
  <c r="P118" i="38" s="1"/>
  <c r="Q118" i="38" a="1"/>
  <c r="Q118" i="38" s="1"/>
  <c r="R118" i="38" a="1"/>
  <c r="R118" i="38" s="1"/>
  <c r="S118" i="38" a="1"/>
  <c r="S118" i="38" s="1"/>
  <c r="C119" i="38" a="1"/>
  <c r="C119" i="38" s="1"/>
  <c r="D119" i="38" a="1"/>
  <c r="D119" i="38" s="1"/>
  <c r="E119" i="38" a="1"/>
  <c r="E119" i="38" s="1"/>
  <c r="F119" i="38" a="1"/>
  <c r="F119" i="38" s="1"/>
  <c r="G119" i="38" a="1"/>
  <c r="G119" i="38" s="1"/>
  <c r="H119" i="38" a="1"/>
  <c r="H119" i="38" s="1"/>
  <c r="I119" i="38" a="1"/>
  <c r="I119" i="38" s="1"/>
  <c r="J119" i="38" a="1"/>
  <c r="J119" i="38" s="1"/>
  <c r="K119" i="38" a="1"/>
  <c r="K119" i="38" s="1"/>
  <c r="L119" i="38" a="1"/>
  <c r="L119" i="38" s="1"/>
  <c r="M119" i="38" a="1"/>
  <c r="M119" i="38" s="1"/>
  <c r="N119" i="38" a="1"/>
  <c r="N119" i="38" s="1"/>
  <c r="O119" i="38" a="1"/>
  <c r="O119" i="38" s="1"/>
  <c r="P119" i="38" a="1"/>
  <c r="P119" i="38" s="1"/>
  <c r="Q119" i="38" a="1"/>
  <c r="Q119" i="38" s="1"/>
  <c r="R119" i="38" a="1"/>
  <c r="R119" i="38" s="1"/>
  <c r="S119" i="38" a="1"/>
  <c r="S119" i="38" s="1"/>
  <c r="C120" i="38" a="1"/>
  <c r="C120" i="38" s="1"/>
  <c r="D120" i="38" a="1"/>
  <c r="D120" i="38" s="1"/>
  <c r="E120" i="38" a="1"/>
  <c r="E120" i="38" s="1"/>
  <c r="F120" i="38" a="1"/>
  <c r="F120" i="38" s="1"/>
  <c r="G120" i="38" a="1"/>
  <c r="G120" i="38" s="1"/>
  <c r="H120" i="38" a="1"/>
  <c r="H120" i="38" s="1"/>
  <c r="I120" i="38" a="1"/>
  <c r="I120" i="38" s="1"/>
  <c r="J120" i="38" a="1"/>
  <c r="J120" i="38" s="1"/>
  <c r="K120" i="38" a="1"/>
  <c r="K120" i="38" s="1"/>
  <c r="L120" i="38" a="1"/>
  <c r="L120" i="38" s="1"/>
  <c r="M120" i="38" a="1"/>
  <c r="M120" i="38" s="1"/>
  <c r="N120" i="38" a="1"/>
  <c r="N120" i="38" s="1"/>
  <c r="O120" i="38" a="1"/>
  <c r="O120" i="38" s="1"/>
  <c r="P120" i="38" a="1"/>
  <c r="P120" i="38" s="1"/>
  <c r="Q120" i="38" a="1"/>
  <c r="Q120" i="38" s="1"/>
  <c r="R120" i="38" a="1"/>
  <c r="R120" i="38" s="1"/>
  <c r="S120" i="38" a="1"/>
  <c r="S120" i="38" s="1"/>
  <c r="C121" i="38" a="1"/>
  <c r="C121" i="38" s="1"/>
  <c r="D121" i="38" a="1"/>
  <c r="D121" i="38" s="1"/>
  <c r="E121" i="38" a="1"/>
  <c r="E121" i="38" s="1"/>
  <c r="F121" i="38" a="1"/>
  <c r="F121" i="38" s="1"/>
  <c r="G121" i="38" a="1"/>
  <c r="G121" i="38" s="1"/>
  <c r="H121" i="38" a="1"/>
  <c r="H121" i="38" s="1"/>
  <c r="I121" i="38" a="1"/>
  <c r="I121" i="38" s="1"/>
  <c r="J121" i="38" a="1"/>
  <c r="J121" i="38" s="1"/>
  <c r="K121" i="38" a="1"/>
  <c r="K121" i="38" s="1"/>
  <c r="L121" i="38" a="1"/>
  <c r="L121" i="38" s="1"/>
  <c r="M121" i="38" a="1"/>
  <c r="M121" i="38" s="1"/>
  <c r="N121" i="38" a="1"/>
  <c r="N121" i="38" s="1"/>
  <c r="O121" i="38" a="1"/>
  <c r="O121" i="38" s="1"/>
  <c r="P121" i="38" a="1"/>
  <c r="P121" i="38" s="1"/>
  <c r="Q121" i="38" a="1"/>
  <c r="Q121" i="38" s="1"/>
  <c r="R121" i="38" a="1"/>
  <c r="R121" i="38" s="1"/>
  <c r="S121" i="38" a="1"/>
  <c r="S121" i="38" s="1"/>
  <c r="C122" i="38" a="1"/>
  <c r="C122" i="38" s="1"/>
  <c r="D122" i="38" a="1"/>
  <c r="D122" i="38" s="1"/>
  <c r="E122" i="38" a="1"/>
  <c r="E122" i="38" s="1"/>
  <c r="F122" i="38" a="1"/>
  <c r="F122" i="38" s="1"/>
  <c r="G122" i="38" a="1"/>
  <c r="G122" i="38" s="1"/>
  <c r="H122" i="38" a="1"/>
  <c r="H122" i="38" s="1"/>
  <c r="I122" i="38" a="1"/>
  <c r="I122" i="38" s="1"/>
  <c r="J122" i="38" a="1"/>
  <c r="J122" i="38" s="1"/>
  <c r="K122" i="38" a="1"/>
  <c r="K122" i="38" s="1"/>
  <c r="L122" i="38" a="1"/>
  <c r="L122" i="38" s="1"/>
  <c r="M122" i="38" a="1"/>
  <c r="M122" i="38" s="1"/>
  <c r="N122" i="38" a="1"/>
  <c r="N122" i="38" s="1"/>
  <c r="O122" i="38" a="1"/>
  <c r="O122" i="38" s="1"/>
  <c r="P122" i="38" a="1"/>
  <c r="P122" i="38" s="1"/>
  <c r="Q122" i="38" a="1"/>
  <c r="Q122" i="38" s="1"/>
  <c r="R122" i="38" a="1"/>
  <c r="R122" i="38" s="1"/>
  <c r="S122" i="38" a="1"/>
  <c r="S122" i="38" s="1"/>
  <c r="C123" i="38" a="1"/>
  <c r="C123" i="38" s="1"/>
  <c r="D123" i="38" a="1"/>
  <c r="D123" i="38" s="1"/>
  <c r="E123" i="38" a="1"/>
  <c r="E123" i="38" s="1"/>
  <c r="F123" i="38" a="1"/>
  <c r="F123" i="38" s="1"/>
  <c r="G123" i="38" a="1"/>
  <c r="G123" i="38" s="1"/>
  <c r="H123" i="38" a="1"/>
  <c r="H123" i="38" s="1"/>
  <c r="I123" i="38" a="1"/>
  <c r="I123" i="38" s="1"/>
  <c r="J123" i="38" a="1"/>
  <c r="J123" i="38" s="1"/>
  <c r="K123" i="38" a="1"/>
  <c r="K123" i="38" s="1"/>
  <c r="L123" i="38" a="1"/>
  <c r="L123" i="38" s="1"/>
  <c r="M123" i="38" a="1"/>
  <c r="M123" i="38" s="1"/>
  <c r="N123" i="38" a="1"/>
  <c r="N123" i="38" s="1"/>
  <c r="O123" i="38" a="1"/>
  <c r="O123" i="38" s="1"/>
  <c r="P123" i="38" a="1"/>
  <c r="P123" i="38" s="1"/>
  <c r="Q123" i="38" a="1"/>
  <c r="Q123" i="38" s="1"/>
  <c r="R123" i="38" a="1"/>
  <c r="R123" i="38" s="1"/>
  <c r="S123" i="38" a="1"/>
  <c r="S123" i="38" s="1"/>
  <c r="C124" i="38" a="1"/>
  <c r="C124" i="38" s="1"/>
  <c r="D124" i="38" a="1"/>
  <c r="D124" i="38" s="1"/>
  <c r="E124" i="38" a="1"/>
  <c r="E124" i="38" s="1"/>
  <c r="F124" i="38" a="1"/>
  <c r="F124" i="38" s="1"/>
  <c r="G124" i="38" a="1"/>
  <c r="G124" i="38" s="1"/>
  <c r="H124" i="38" a="1"/>
  <c r="H124" i="38" s="1"/>
  <c r="I124" i="38" a="1"/>
  <c r="I124" i="38" s="1"/>
  <c r="J124" i="38" a="1"/>
  <c r="J124" i="38" s="1"/>
  <c r="K124" i="38" a="1"/>
  <c r="K124" i="38" s="1"/>
  <c r="L124" i="38" a="1"/>
  <c r="L124" i="38" s="1"/>
  <c r="M124" i="38" a="1"/>
  <c r="M124" i="38" s="1"/>
  <c r="N124" i="38" a="1"/>
  <c r="N124" i="38" s="1"/>
  <c r="O124" i="38" a="1"/>
  <c r="O124" i="38" s="1"/>
  <c r="P124" i="38" a="1"/>
  <c r="P124" i="38" s="1"/>
  <c r="Q124" i="38" a="1"/>
  <c r="Q124" i="38" s="1"/>
  <c r="R124" i="38" a="1"/>
  <c r="R124" i="38" s="1"/>
  <c r="S124" i="38" a="1"/>
  <c r="S124" i="38" s="1"/>
  <c r="C125" i="38" a="1"/>
  <c r="C125" i="38" s="1"/>
  <c r="D125" i="38" a="1"/>
  <c r="D125" i="38" s="1"/>
  <c r="E125" i="38" a="1"/>
  <c r="E125" i="38" s="1"/>
  <c r="F125" i="38" a="1"/>
  <c r="F125" i="38" s="1"/>
  <c r="G125" i="38" a="1"/>
  <c r="G125" i="38" s="1"/>
  <c r="H125" i="38" a="1"/>
  <c r="H125" i="38" s="1"/>
  <c r="I125" i="38" a="1"/>
  <c r="I125" i="38" s="1"/>
  <c r="J125" i="38" a="1"/>
  <c r="J125" i="38" s="1"/>
  <c r="K125" i="38" a="1"/>
  <c r="K125" i="38" s="1"/>
  <c r="L125" i="38" a="1"/>
  <c r="L125" i="38" s="1"/>
  <c r="M125" i="38" a="1"/>
  <c r="M125" i="38" s="1"/>
  <c r="N125" i="38" a="1"/>
  <c r="N125" i="38" s="1"/>
  <c r="O125" i="38" a="1"/>
  <c r="O125" i="38" s="1"/>
  <c r="P125" i="38" a="1"/>
  <c r="P125" i="38" s="1"/>
  <c r="Q125" i="38" a="1"/>
  <c r="Q125" i="38" s="1"/>
  <c r="R125" i="38" a="1"/>
  <c r="R125" i="38" s="1"/>
  <c r="S125" i="38" a="1"/>
  <c r="S125" i="38" s="1"/>
  <c r="C126" i="38" a="1"/>
  <c r="C126" i="38" s="1"/>
  <c r="D126" i="38" a="1"/>
  <c r="D126" i="38" s="1"/>
  <c r="E126" i="38" a="1"/>
  <c r="E126" i="38" s="1"/>
  <c r="F126" i="38" a="1"/>
  <c r="F126" i="38" s="1"/>
  <c r="G126" i="38" a="1"/>
  <c r="G126" i="38" s="1"/>
  <c r="H126" i="38" a="1"/>
  <c r="H126" i="38" s="1"/>
  <c r="I126" i="38" a="1"/>
  <c r="I126" i="38" s="1"/>
  <c r="J126" i="38" a="1"/>
  <c r="J126" i="38" s="1"/>
  <c r="K126" i="38" a="1"/>
  <c r="K126" i="38" s="1"/>
  <c r="L126" i="38" a="1"/>
  <c r="L126" i="38" s="1"/>
  <c r="M126" i="38" a="1"/>
  <c r="M126" i="38" s="1"/>
  <c r="N126" i="38" a="1"/>
  <c r="N126" i="38" s="1"/>
  <c r="O126" i="38" a="1"/>
  <c r="O126" i="38" s="1"/>
  <c r="P126" i="38" a="1"/>
  <c r="P126" i="38" s="1"/>
  <c r="Q126" i="38" a="1"/>
  <c r="Q126" i="38" s="1"/>
  <c r="R126" i="38" a="1"/>
  <c r="R126" i="38" s="1"/>
  <c r="S126" i="38" a="1"/>
  <c r="S126" i="38" s="1"/>
  <c r="C127" i="38" a="1"/>
  <c r="C127" i="38" s="1"/>
  <c r="D127" i="38" a="1"/>
  <c r="D127" i="38" s="1"/>
  <c r="E127" i="38" a="1"/>
  <c r="E127" i="38" s="1"/>
  <c r="F127" i="38" a="1"/>
  <c r="F127" i="38" s="1"/>
  <c r="G127" i="38" a="1"/>
  <c r="G127" i="38" s="1"/>
  <c r="H127" i="38" a="1"/>
  <c r="H127" i="38" s="1"/>
  <c r="I127" i="38" a="1"/>
  <c r="I127" i="38" s="1"/>
  <c r="J127" i="38" a="1"/>
  <c r="J127" i="38" s="1"/>
  <c r="K127" i="38" a="1"/>
  <c r="K127" i="38" s="1"/>
  <c r="L127" i="38" a="1"/>
  <c r="L127" i="38" s="1"/>
  <c r="M127" i="38" a="1"/>
  <c r="M127" i="38" s="1"/>
  <c r="N127" i="38" a="1"/>
  <c r="N127" i="38" s="1"/>
  <c r="O127" i="38" a="1"/>
  <c r="O127" i="38" s="1"/>
  <c r="P127" i="38" a="1"/>
  <c r="P127" i="38" s="1"/>
  <c r="Q127" i="38" a="1"/>
  <c r="Q127" i="38" s="1"/>
  <c r="R127" i="38" a="1"/>
  <c r="R127" i="38" s="1"/>
  <c r="S127" i="38" a="1"/>
  <c r="S127" i="38" s="1"/>
  <c r="C128" i="38" a="1"/>
  <c r="C128" i="38" s="1"/>
  <c r="D128" i="38" a="1"/>
  <c r="D128" i="38" s="1"/>
  <c r="E128" i="38" a="1"/>
  <c r="E128" i="38" s="1"/>
  <c r="F128" i="38" a="1"/>
  <c r="F128" i="38" s="1"/>
  <c r="G128" i="38" a="1"/>
  <c r="G128" i="38" s="1"/>
  <c r="H128" i="38" a="1"/>
  <c r="H128" i="38" s="1"/>
  <c r="I128" i="38" a="1"/>
  <c r="I128" i="38" s="1"/>
  <c r="J128" i="38" a="1"/>
  <c r="J128" i="38" s="1"/>
  <c r="K128" i="38" a="1"/>
  <c r="K128" i="38" s="1"/>
  <c r="L128" i="38" a="1"/>
  <c r="L128" i="38" s="1"/>
  <c r="M128" i="38" a="1"/>
  <c r="M128" i="38" s="1"/>
  <c r="N128" i="38" a="1"/>
  <c r="N128" i="38" s="1"/>
  <c r="O128" i="38" a="1"/>
  <c r="O128" i="38" s="1"/>
  <c r="P128" i="38" a="1"/>
  <c r="P128" i="38" s="1"/>
  <c r="Q128" i="38" a="1"/>
  <c r="Q128" i="38" s="1"/>
  <c r="R128" i="38" a="1"/>
  <c r="R128" i="38" s="1"/>
  <c r="S128" i="38" a="1"/>
  <c r="S128" i="38" s="1"/>
  <c r="C129" i="38" a="1"/>
  <c r="C129" i="38" s="1"/>
  <c r="D129" i="38" a="1"/>
  <c r="D129" i="38" s="1"/>
  <c r="E129" i="38" a="1"/>
  <c r="E129" i="38" s="1"/>
  <c r="F129" i="38" a="1"/>
  <c r="F129" i="38" s="1"/>
  <c r="G129" i="38" a="1"/>
  <c r="G129" i="38" s="1"/>
  <c r="H129" i="38" a="1"/>
  <c r="H129" i="38" s="1"/>
  <c r="I129" i="38" a="1"/>
  <c r="I129" i="38" s="1"/>
  <c r="J129" i="38" a="1"/>
  <c r="J129" i="38" s="1"/>
  <c r="K129" i="38" a="1"/>
  <c r="K129" i="38" s="1"/>
  <c r="L129" i="38" a="1"/>
  <c r="L129" i="38" s="1"/>
  <c r="M129" i="38" a="1"/>
  <c r="M129" i="38" s="1"/>
  <c r="N129" i="38" a="1"/>
  <c r="N129" i="38" s="1"/>
  <c r="O129" i="38" a="1"/>
  <c r="O129" i="38" s="1"/>
  <c r="P129" i="38" a="1"/>
  <c r="P129" i="38" s="1"/>
  <c r="Q129" i="38" a="1"/>
  <c r="Q129" i="38" s="1"/>
  <c r="R129" i="38" a="1"/>
  <c r="R129" i="38" s="1"/>
  <c r="S129" i="38" a="1"/>
  <c r="S129" i="38" s="1"/>
  <c r="C130" i="38" a="1"/>
  <c r="C130" i="38" s="1"/>
  <c r="D130" i="38" a="1"/>
  <c r="D130" i="38" s="1"/>
  <c r="E130" i="38" a="1"/>
  <c r="E130" i="38" s="1"/>
  <c r="F130" i="38" a="1"/>
  <c r="F130" i="38" s="1"/>
  <c r="G130" i="38" a="1"/>
  <c r="G130" i="38" s="1"/>
  <c r="H130" i="38" a="1"/>
  <c r="H130" i="38" s="1"/>
  <c r="I130" i="38" a="1"/>
  <c r="I130" i="38" s="1"/>
  <c r="J130" i="38" a="1"/>
  <c r="J130" i="38" s="1"/>
  <c r="K130" i="38" a="1"/>
  <c r="K130" i="38" s="1"/>
  <c r="L130" i="38" a="1"/>
  <c r="L130" i="38" s="1"/>
  <c r="M130" i="38" a="1"/>
  <c r="M130" i="38" s="1"/>
  <c r="N130" i="38" a="1"/>
  <c r="N130" i="38" s="1"/>
  <c r="O130" i="38" a="1"/>
  <c r="O130" i="38" s="1"/>
  <c r="P130" i="38" a="1"/>
  <c r="P130" i="38" s="1"/>
  <c r="Q130" i="38" a="1"/>
  <c r="Q130" i="38" s="1"/>
  <c r="R130" i="38" a="1"/>
  <c r="R130" i="38" s="1"/>
  <c r="S130" i="38" a="1"/>
  <c r="S130" i="38" s="1"/>
  <c r="C131" i="38" a="1"/>
  <c r="C131" i="38" s="1"/>
  <c r="D131" i="38" a="1"/>
  <c r="D131" i="38" s="1"/>
  <c r="E131" i="38" a="1"/>
  <c r="E131" i="38" s="1"/>
  <c r="F131" i="38" a="1"/>
  <c r="F131" i="38" s="1"/>
  <c r="G131" i="38" a="1"/>
  <c r="G131" i="38" s="1"/>
  <c r="H131" i="38" a="1"/>
  <c r="H131" i="38" s="1"/>
  <c r="I131" i="38" a="1"/>
  <c r="I131" i="38" s="1"/>
  <c r="J131" i="38" a="1"/>
  <c r="J131" i="38" s="1"/>
  <c r="K131" i="38" a="1"/>
  <c r="K131" i="38" s="1"/>
  <c r="L131" i="38" a="1"/>
  <c r="L131" i="38" s="1"/>
  <c r="M131" i="38" a="1"/>
  <c r="M131" i="38" s="1"/>
  <c r="N131" i="38" a="1"/>
  <c r="N131" i="38" s="1"/>
  <c r="O131" i="38" a="1"/>
  <c r="O131" i="38" s="1"/>
  <c r="P131" i="38" a="1"/>
  <c r="P131" i="38" s="1"/>
  <c r="Q131" i="38" a="1"/>
  <c r="Q131" i="38" s="1"/>
  <c r="R131" i="38" a="1"/>
  <c r="R131" i="38" s="1"/>
  <c r="S131" i="38" a="1"/>
  <c r="S131" i="38" s="1"/>
  <c r="C132" i="38" a="1"/>
  <c r="C132" i="38" s="1"/>
  <c r="D132" i="38" a="1"/>
  <c r="D132" i="38" s="1"/>
  <c r="E132" i="38" a="1"/>
  <c r="E132" i="38" s="1"/>
  <c r="F132" i="38" a="1"/>
  <c r="F132" i="38" s="1"/>
  <c r="G132" i="38" a="1"/>
  <c r="G132" i="38" s="1"/>
  <c r="H132" i="38" a="1"/>
  <c r="H132" i="38" s="1"/>
  <c r="I132" i="38" a="1"/>
  <c r="I132" i="38" s="1"/>
  <c r="J132" i="38" a="1"/>
  <c r="J132" i="38" s="1"/>
  <c r="K132" i="38" a="1"/>
  <c r="K132" i="38" s="1"/>
  <c r="L132" i="38" a="1"/>
  <c r="L132" i="38" s="1"/>
  <c r="M132" i="38" a="1"/>
  <c r="M132" i="38" s="1"/>
  <c r="N132" i="38" a="1"/>
  <c r="N132" i="38" s="1"/>
  <c r="O132" i="38" a="1"/>
  <c r="O132" i="38" s="1"/>
  <c r="P132" i="38" a="1"/>
  <c r="P132" i="38" s="1"/>
  <c r="Q132" i="38" a="1"/>
  <c r="Q132" i="38" s="1"/>
  <c r="R132" i="38" a="1"/>
  <c r="R132" i="38" s="1"/>
  <c r="S132" i="38" a="1"/>
  <c r="S132" i="38" s="1"/>
  <c r="C133" i="38" a="1"/>
  <c r="C133" i="38" s="1"/>
  <c r="D133" i="38" a="1"/>
  <c r="D133" i="38" s="1"/>
  <c r="E133" i="38" a="1"/>
  <c r="E133" i="38" s="1"/>
  <c r="F133" i="38" a="1"/>
  <c r="F133" i="38" s="1"/>
  <c r="G133" i="38" a="1"/>
  <c r="G133" i="38" s="1"/>
  <c r="H133" i="38" a="1"/>
  <c r="H133" i="38" s="1"/>
  <c r="I133" i="38" a="1"/>
  <c r="I133" i="38" s="1"/>
  <c r="J133" i="38" a="1"/>
  <c r="J133" i="38" s="1"/>
  <c r="K133" i="38" a="1"/>
  <c r="K133" i="38" s="1"/>
  <c r="L133" i="38" a="1"/>
  <c r="L133" i="38" s="1"/>
  <c r="M133" i="38" a="1"/>
  <c r="M133" i="38" s="1"/>
  <c r="N133" i="38" a="1"/>
  <c r="N133" i="38" s="1"/>
  <c r="O133" i="38" a="1"/>
  <c r="O133" i="38" s="1"/>
  <c r="P133" i="38" a="1"/>
  <c r="P133" i="38" s="1"/>
  <c r="Q133" i="38" a="1"/>
  <c r="Q133" i="38" s="1"/>
  <c r="R133" i="38" a="1"/>
  <c r="R133" i="38" s="1"/>
  <c r="S133" i="38" a="1"/>
  <c r="S133" i="38" s="1"/>
  <c r="C134" i="38" a="1"/>
  <c r="C134" i="38" s="1"/>
  <c r="D134" i="38" a="1"/>
  <c r="D134" i="38" s="1"/>
  <c r="E134" i="38" a="1"/>
  <c r="E134" i="38" s="1"/>
  <c r="F134" i="38" a="1"/>
  <c r="F134" i="38" s="1"/>
  <c r="G134" i="38" a="1"/>
  <c r="G134" i="38" s="1"/>
  <c r="H134" i="38" a="1"/>
  <c r="H134" i="38" s="1"/>
  <c r="I134" i="38" a="1"/>
  <c r="I134" i="38" s="1"/>
  <c r="J134" i="38" a="1"/>
  <c r="J134" i="38" s="1"/>
  <c r="K134" i="38" a="1"/>
  <c r="K134" i="38" s="1"/>
  <c r="L134" i="38" a="1"/>
  <c r="L134" i="38" s="1"/>
  <c r="M134" i="38" a="1"/>
  <c r="M134" i="38" s="1"/>
  <c r="N134" i="38" a="1"/>
  <c r="N134" i="38" s="1"/>
  <c r="O134" i="38" a="1"/>
  <c r="O134" i="38" s="1"/>
  <c r="P134" i="38" a="1"/>
  <c r="P134" i="38" s="1"/>
  <c r="Q134" i="38" a="1"/>
  <c r="Q134" i="38" s="1"/>
  <c r="R134" i="38" a="1"/>
  <c r="R134" i="38" s="1"/>
  <c r="S134" i="38" a="1"/>
  <c r="S134" i="38" s="1"/>
  <c r="C135" i="38" a="1"/>
  <c r="C135" i="38" s="1"/>
  <c r="D135" i="38" a="1"/>
  <c r="D135" i="38" s="1"/>
  <c r="E135" i="38" a="1"/>
  <c r="E135" i="38" s="1"/>
  <c r="F135" i="38" a="1"/>
  <c r="F135" i="38" s="1"/>
  <c r="G135" i="38" a="1"/>
  <c r="G135" i="38" s="1"/>
  <c r="H135" i="38" a="1"/>
  <c r="H135" i="38" s="1"/>
  <c r="I135" i="38" a="1"/>
  <c r="I135" i="38" s="1"/>
  <c r="J135" i="38" a="1"/>
  <c r="J135" i="38" s="1"/>
  <c r="K135" i="38" a="1"/>
  <c r="K135" i="38" s="1"/>
  <c r="L135" i="38" a="1"/>
  <c r="L135" i="38" s="1"/>
  <c r="M135" i="38" a="1"/>
  <c r="M135" i="38" s="1"/>
  <c r="N135" i="38" a="1"/>
  <c r="N135" i="38" s="1"/>
  <c r="O135" i="38" a="1"/>
  <c r="O135" i="38" s="1"/>
  <c r="P135" i="38" a="1"/>
  <c r="P135" i="38" s="1"/>
  <c r="Q135" i="38" a="1"/>
  <c r="Q135" i="38" s="1"/>
  <c r="R135" i="38" a="1"/>
  <c r="R135" i="38" s="1"/>
  <c r="S135" i="38" a="1"/>
  <c r="S135" i="38" s="1"/>
  <c r="C136" i="38" a="1"/>
  <c r="C136" i="38" s="1"/>
  <c r="D136" i="38" a="1"/>
  <c r="D136" i="38" s="1"/>
  <c r="E136" i="38" a="1"/>
  <c r="E136" i="38" s="1"/>
  <c r="F136" i="38" a="1"/>
  <c r="F136" i="38" s="1"/>
  <c r="G136" i="38" a="1"/>
  <c r="G136" i="38" s="1"/>
  <c r="H136" i="38" a="1"/>
  <c r="H136" i="38" s="1"/>
  <c r="I136" i="38" a="1"/>
  <c r="I136" i="38" s="1"/>
  <c r="J136" i="38" a="1"/>
  <c r="J136" i="38" s="1"/>
  <c r="K136" i="38" a="1"/>
  <c r="K136" i="38" s="1"/>
  <c r="L136" i="38" a="1"/>
  <c r="L136" i="38" s="1"/>
  <c r="M136" i="38" a="1"/>
  <c r="M136" i="38" s="1"/>
  <c r="N136" i="38" a="1"/>
  <c r="N136" i="38" s="1"/>
  <c r="O136" i="38" a="1"/>
  <c r="O136" i="38" s="1"/>
  <c r="P136" i="38" a="1"/>
  <c r="P136" i="38" s="1"/>
  <c r="Q136" i="38" a="1"/>
  <c r="Q136" i="38" s="1"/>
  <c r="R136" i="38" a="1"/>
  <c r="R136" i="38" s="1"/>
  <c r="S136" i="38" a="1"/>
  <c r="S136" i="38" s="1"/>
  <c r="C137" i="38" a="1"/>
  <c r="C137" i="38" s="1"/>
  <c r="D137" i="38" a="1"/>
  <c r="D137" i="38" s="1"/>
  <c r="E137" i="38" a="1"/>
  <c r="E137" i="38" s="1"/>
  <c r="F137" i="38" a="1"/>
  <c r="F137" i="38" s="1"/>
  <c r="G137" i="38" a="1"/>
  <c r="G137" i="38" s="1"/>
  <c r="H137" i="38" a="1"/>
  <c r="H137" i="38" s="1"/>
  <c r="I137" i="38" a="1"/>
  <c r="I137" i="38" s="1"/>
  <c r="J137" i="38" a="1"/>
  <c r="J137" i="38" s="1"/>
  <c r="K137" i="38" a="1"/>
  <c r="K137" i="38" s="1"/>
  <c r="L137" i="38" a="1"/>
  <c r="L137" i="38" s="1"/>
  <c r="M137" i="38" a="1"/>
  <c r="M137" i="38" s="1"/>
  <c r="N137" i="38" a="1"/>
  <c r="N137" i="38" s="1"/>
  <c r="O137" i="38" a="1"/>
  <c r="O137" i="38" s="1"/>
  <c r="P137" i="38" a="1"/>
  <c r="P137" i="38" s="1"/>
  <c r="Q137" i="38" a="1"/>
  <c r="Q137" i="38" s="1"/>
  <c r="R137" i="38" a="1"/>
  <c r="R137" i="38" s="1"/>
  <c r="S137" i="38" a="1"/>
  <c r="S137" i="38" s="1"/>
  <c r="C138" i="38" a="1"/>
  <c r="C138" i="38" s="1"/>
  <c r="D138" i="38" a="1"/>
  <c r="D138" i="38" s="1"/>
  <c r="E138" i="38" a="1"/>
  <c r="E138" i="38" s="1"/>
  <c r="F138" i="38" a="1"/>
  <c r="F138" i="38" s="1"/>
  <c r="G138" i="38" a="1"/>
  <c r="G138" i="38" s="1"/>
  <c r="H138" i="38" a="1"/>
  <c r="H138" i="38" s="1"/>
  <c r="I138" i="38" a="1"/>
  <c r="I138" i="38" s="1"/>
  <c r="J138" i="38" a="1"/>
  <c r="J138" i="38" s="1"/>
  <c r="K138" i="38" a="1"/>
  <c r="K138" i="38" s="1"/>
  <c r="L138" i="38" a="1"/>
  <c r="L138" i="38" s="1"/>
  <c r="M138" i="38" a="1"/>
  <c r="M138" i="38" s="1"/>
  <c r="N138" i="38" a="1"/>
  <c r="N138" i="38" s="1"/>
  <c r="O138" i="38" a="1"/>
  <c r="O138" i="38" s="1"/>
  <c r="P138" i="38" a="1"/>
  <c r="P138" i="38" s="1"/>
  <c r="Q138" i="38" a="1"/>
  <c r="Q138" i="38" s="1"/>
  <c r="R138" i="38" a="1"/>
  <c r="R138" i="38" s="1"/>
  <c r="S138" i="38" a="1"/>
  <c r="S138" i="38" s="1"/>
  <c r="C139" i="38" a="1"/>
  <c r="C139" i="38" s="1"/>
  <c r="D139" i="38" a="1"/>
  <c r="D139" i="38" s="1"/>
  <c r="E139" i="38" a="1"/>
  <c r="E139" i="38" s="1"/>
  <c r="F139" i="38" a="1"/>
  <c r="F139" i="38" s="1"/>
  <c r="G139" i="38" a="1"/>
  <c r="G139" i="38" s="1"/>
  <c r="H139" i="38" a="1"/>
  <c r="H139" i="38" s="1"/>
  <c r="I139" i="38" a="1"/>
  <c r="I139" i="38" s="1"/>
  <c r="J139" i="38" a="1"/>
  <c r="J139" i="38" s="1"/>
  <c r="K139" i="38" a="1"/>
  <c r="K139" i="38" s="1"/>
  <c r="L139" i="38" a="1"/>
  <c r="L139" i="38" s="1"/>
  <c r="M139" i="38" a="1"/>
  <c r="M139" i="38" s="1"/>
  <c r="N139" i="38" a="1"/>
  <c r="N139" i="38" s="1"/>
  <c r="O139" i="38" a="1"/>
  <c r="O139" i="38" s="1"/>
  <c r="P139" i="38" a="1"/>
  <c r="P139" i="38" s="1"/>
  <c r="Q139" i="38" a="1"/>
  <c r="Q139" i="38" s="1"/>
  <c r="R139" i="38" a="1"/>
  <c r="R139" i="38" s="1"/>
  <c r="S139" i="38" a="1"/>
  <c r="S139" i="38" s="1"/>
  <c r="C140" i="38" a="1"/>
  <c r="C140" i="38" s="1"/>
  <c r="D140" i="38" a="1"/>
  <c r="D140" i="38" s="1"/>
  <c r="E140" i="38" a="1"/>
  <c r="E140" i="38" s="1"/>
  <c r="F140" i="38" a="1"/>
  <c r="F140" i="38" s="1"/>
  <c r="G140" i="38" a="1"/>
  <c r="G140" i="38" s="1"/>
  <c r="H140" i="38" a="1"/>
  <c r="H140" i="38" s="1"/>
  <c r="I140" i="38" a="1"/>
  <c r="I140" i="38" s="1"/>
  <c r="J140" i="38" a="1"/>
  <c r="J140" i="38" s="1"/>
  <c r="K140" i="38" a="1"/>
  <c r="K140" i="38" s="1"/>
  <c r="L140" i="38" a="1"/>
  <c r="L140" i="38" s="1"/>
  <c r="M140" i="38" a="1"/>
  <c r="M140" i="38" s="1"/>
  <c r="N140" i="38" a="1"/>
  <c r="N140" i="38" s="1"/>
  <c r="O140" i="38" a="1"/>
  <c r="O140" i="38" s="1"/>
  <c r="P140" i="38" a="1"/>
  <c r="P140" i="38" s="1"/>
  <c r="Q140" i="38" a="1"/>
  <c r="Q140" i="38" s="1"/>
  <c r="R140" i="38" a="1"/>
  <c r="R140" i="38" s="1"/>
  <c r="S140" i="38" a="1"/>
  <c r="S140" i="38" s="1"/>
  <c r="C141" i="38" a="1"/>
  <c r="C141" i="38" s="1"/>
  <c r="D141" i="38" a="1"/>
  <c r="D141" i="38" s="1"/>
  <c r="E141" i="38" a="1"/>
  <c r="E141" i="38" s="1"/>
  <c r="F141" i="38" a="1"/>
  <c r="F141" i="38" s="1"/>
  <c r="G141" i="38" a="1"/>
  <c r="G141" i="38" s="1"/>
  <c r="H141" i="38" a="1"/>
  <c r="H141" i="38" s="1"/>
  <c r="I141" i="38" a="1"/>
  <c r="I141" i="38" s="1"/>
  <c r="J141" i="38" a="1"/>
  <c r="J141" i="38" s="1"/>
  <c r="K141" i="38" a="1"/>
  <c r="K141" i="38" s="1"/>
  <c r="L141" i="38" a="1"/>
  <c r="L141" i="38" s="1"/>
  <c r="M141" i="38" a="1"/>
  <c r="M141" i="38" s="1"/>
  <c r="N141" i="38" a="1"/>
  <c r="N141" i="38" s="1"/>
  <c r="O141" i="38" a="1"/>
  <c r="O141" i="38" s="1"/>
  <c r="P141" i="38" a="1"/>
  <c r="P141" i="38" s="1"/>
  <c r="Q141" i="38" a="1"/>
  <c r="Q141" i="38" s="1"/>
  <c r="R141" i="38" a="1"/>
  <c r="R141" i="38" s="1"/>
  <c r="S141" i="38" a="1"/>
  <c r="S141" i="38" s="1"/>
  <c r="C142" i="38" a="1"/>
  <c r="C142" i="38" s="1"/>
  <c r="D142" i="38" a="1"/>
  <c r="D142" i="38" s="1"/>
  <c r="E142" i="38" a="1"/>
  <c r="E142" i="38" s="1"/>
  <c r="F142" i="38" a="1"/>
  <c r="F142" i="38" s="1"/>
  <c r="G142" i="38" a="1"/>
  <c r="G142" i="38" s="1"/>
  <c r="H142" i="38" a="1"/>
  <c r="H142" i="38" s="1"/>
  <c r="I142" i="38" a="1"/>
  <c r="I142" i="38" s="1"/>
  <c r="J142" i="38" a="1"/>
  <c r="J142" i="38" s="1"/>
  <c r="K142" i="38" a="1"/>
  <c r="K142" i="38" s="1"/>
  <c r="L142" i="38" a="1"/>
  <c r="L142" i="38" s="1"/>
  <c r="M142" i="38" a="1"/>
  <c r="M142" i="38" s="1"/>
  <c r="N142" i="38" a="1"/>
  <c r="N142" i="38" s="1"/>
  <c r="O142" i="38" a="1"/>
  <c r="O142" i="38" s="1"/>
  <c r="P142" i="38" a="1"/>
  <c r="P142" i="38" s="1"/>
  <c r="Q142" i="38" a="1"/>
  <c r="Q142" i="38" s="1"/>
  <c r="R142" i="38" a="1"/>
  <c r="R142" i="38" s="1"/>
  <c r="S142" i="38" a="1"/>
  <c r="S142" i="38" s="1"/>
  <c r="C143" i="38" a="1"/>
  <c r="C143" i="38" s="1"/>
  <c r="D143" i="38" a="1"/>
  <c r="D143" i="38" s="1"/>
  <c r="E143" i="38" a="1"/>
  <c r="E143" i="38" s="1"/>
  <c r="F143" i="38" a="1"/>
  <c r="F143" i="38" s="1"/>
  <c r="G143" i="38" a="1"/>
  <c r="G143" i="38" s="1"/>
  <c r="H143" i="38" a="1"/>
  <c r="H143" i="38" s="1"/>
  <c r="I143" i="38" a="1"/>
  <c r="I143" i="38" s="1"/>
  <c r="J143" i="38" a="1"/>
  <c r="J143" i="38" s="1"/>
  <c r="K143" i="38" a="1"/>
  <c r="K143" i="38" s="1"/>
  <c r="L143" i="38" a="1"/>
  <c r="L143" i="38" s="1"/>
  <c r="M143" i="38" a="1"/>
  <c r="M143" i="38" s="1"/>
  <c r="N143" i="38" a="1"/>
  <c r="N143" i="38" s="1"/>
  <c r="O143" i="38" a="1"/>
  <c r="O143" i="38" s="1"/>
  <c r="P143" i="38" a="1"/>
  <c r="P143" i="38" s="1"/>
  <c r="Q143" i="38" a="1"/>
  <c r="Q143" i="38" s="1"/>
  <c r="R143" i="38" a="1"/>
  <c r="R143" i="38" s="1"/>
  <c r="S143" i="38" a="1"/>
  <c r="S143" i="38" s="1"/>
  <c r="C144" i="38" a="1"/>
  <c r="C144" i="38" s="1"/>
  <c r="D144" i="38" a="1"/>
  <c r="D144" i="38" s="1"/>
  <c r="E144" i="38" a="1"/>
  <c r="E144" i="38" s="1"/>
  <c r="F144" i="38" a="1"/>
  <c r="F144" i="38" s="1"/>
  <c r="G144" i="38" a="1"/>
  <c r="G144" i="38" s="1"/>
  <c r="H144" i="38" a="1"/>
  <c r="H144" i="38" s="1"/>
  <c r="I144" i="38" a="1"/>
  <c r="I144" i="38" s="1"/>
  <c r="J144" i="38" a="1"/>
  <c r="J144" i="38" s="1"/>
  <c r="K144" i="38" a="1"/>
  <c r="K144" i="38" s="1"/>
  <c r="L144" i="38" a="1"/>
  <c r="L144" i="38" s="1"/>
  <c r="M144" i="38" a="1"/>
  <c r="M144" i="38" s="1"/>
  <c r="N144" i="38" a="1"/>
  <c r="N144" i="38" s="1"/>
  <c r="O144" i="38" a="1"/>
  <c r="O144" i="38" s="1"/>
  <c r="P144" i="38" a="1"/>
  <c r="P144" i="38" s="1"/>
  <c r="Q144" i="38" a="1"/>
  <c r="Q144" i="38" s="1"/>
  <c r="R144" i="38" a="1"/>
  <c r="R144" i="38" s="1"/>
  <c r="S144" i="38" a="1"/>
  <c r="S144" i="38" s="1"/>
  <c r="C145" i="38" a="1"/>
  <c r="C145" i="38" s="1"/>
  <c r="D145" i="38" a="1"/>
  <c r="D145" i="38" s="1"/>
  <c r="E145" i="38" a="1"/>
  <c r="E145" i="38" s="1"/>
  <c r="F145" i="38" a="1"/>
  <c r="F145" i="38" s="1"/>
  <c r="G145" i="38" a="1"/>
  <c r="G145" i="38" s="1"/>
  <c r="H145" i="38" a="1"/>
  <c r="H145" i="38" s="1"/>
  <c r="I145" i="38" a="1"/>
  <c r="I145" i="38" s="1"/>
  <c r="J145" i="38" a="1"/>
  <c r="J145" i="38" s="1"/>
  <c r="K145" i="38" a="1"/>
  <c r="K145" i="38" s="1"/>
  <c r="L145" i="38" a="1"/>
  <c r="L145" i="38" s="1"/>
  <c r="M145" i="38" a="1"/>
  <c r="M145" i="38" s="1"/>
  <c r="N145" i="38" a="1"/>
  <c r="N145" i="38" s="1"/>
  <c r="O145" i="38" a="1"/>
  <c r="O145" i="38" s="1"/>
  <c r="P145" i="38" a="1"/>
  <c r="P145" i="38" s="1"/>
  <c r="Q145" i="38" a="1"/>
  <c r="Q145" i="38" s="1"/>
  <c r="R145" i="38" a="1"/>
  <c r="R145" i="38" s="1"/>
  <c r="S145" i="38" a="1"/>
  <c r="S145" i="38" s="1"/>
  <c r="C146" i="38" a="1"/>
  <c r="C146" i="38" s="1"/>
  <c r="D146" i="38" a="1"/>
  <c r="D146" i="38" s="1"/>
  <c r="E146" i="38" a="1"/>
  <c r="E146" i="38" s="1"/>
  <c r="F146" i="38" a="1"/>
  <c r="F146" i="38" s="1"/>
  <c r="G146" i="38" a="1"/>
  <c r="G146" i="38" s="1"/>
  <c r="H146" i="38" a="1"/>
  <c r="H146" i="38" s="1"/>
  <c r="I146" i="38" a="1"/>
  <c r="I146" i="38" s="1"/>
  <c r="J146" i="38" a="1"/>
  <c r="J146" i="38" s="1"/>
  <c r="K146" i="38" a="1"/>
  <c r="K146" i="38" s="1"/>
  <c r="L146" i="38" a="1"/>
  <c r="L146" i="38" s="1"/>
  <c r="M146" i="38" a="1"/>
  <c r="M146" i="38" s="1"/>
  <c r="N146" i="38" a="1"/>
  <c r="N146" i="38" s="1"/>
  <c r="O146" i="38" a="1"/>
  <c r="O146" i="38" s="1"/>
  <c r="P146" i="38" a="1"/>
  <c r="P146" i="38" s="1"/>
  <c r="Q146" i="38" a="1"/>
  <c r="Q146" i="38" s="1"/>
  <c r="R146" i="38" a="1"/>
  <c r="R146" i="38" s="1"/>
  <c r="S146" i="38" a="1"/>
  <c r="S146" i="38" s="1"/>
  <c r="C147" i="38" a="1"/>
  <c r="C147" i="38" s="1"/>
  <c r="D147" i="38" a="1"/>
  <c r="D147" i="38" s="1"/>
  <c r="E147" i="38" a="1"/>
  <c r="E147" i="38" s="1"/>
  <c r="F147" i="38" a="1"/>
  <c r="F147" i="38" s="1"/>
  <c r="G147" i="38" a="1"/>
  <c r="G147" i="38" s="1"/>
  <c r="H147" i="38" a="1"/>
  <c r="H147" i="38" s="1"/>
  <c r="I147" i="38" a="1"/>
  <c r="I147" i="38" s="1"/>
  <c r="J147" i="38" a="1"/>
  <c r="J147" i="38" s="1"/>
  <c r="K147" i="38" a="1"/>
  <c r="K147" i="38" s="1"/>
  <c r="L147" i="38" a="1"/>
  <c r="L147" i="38" s="1"/>
  <c r="M147" i="38" a="1"/>
  <c r="M147" i="38" s="1"/>
  <c r="N147" i="38" a="1"/>
  <c r="N147" i="38" s="1"/>
  <c r="O147" i="38" a="1"/>
  <c r="O147" i="38" s="1"/>
  <c r="P147" i="38" a="1"/>
  <c r="P147" i="38" s="1"/>
  <c r="Q147" i="38" a="1"/>
  <c r="Q147" i="38" s="1"/>
  <c r="R147" i="38" a="1"/>
  <c r="R147" i="38" s="1"/>
  <c r="S147" i="38" a="1"/>
  <c r="S147" i="38" s="1"/>
  <c r="C148" i="38" a="1"/>
  <c r="C148" i="38" s="1"/>
  <c r="D148" i="38" a="1"/>
  <c r="D148" i="38" s="1"/>
  <c r="E148" i="38" a="1"/>
  <c r="E148" i="38" s="1"/>
  <c r="F148" i="38" a="1"/>
  <c r="F148" i="38" s="1"/>
  <c r="G148" i="38" a="1"/>
  <c r="G148" i="38" s="1"/>
  <c r="H148" i="38" a="1"/>
  <c r="H148" i="38" s="1"/>
  <c r="I148" i="38" a="1"/>
  <c r="I148" i="38" s="1"/>
  <c r="J148" i="38" a="1"/>
  <c r="J148" i="38" s="1"/>
  <c r="K148" i="38" a="1"/>
  <c r="K148" i="38" s="1"/>
  <c r="L148" i="38" a="1"/>
  <c r="L148" i="38" s="1"/>
  <c r="M148" i="38" a="1"/>
  <c r="M148" i="38" s="1"/>
  <c r="N148" i="38" a="1"/>
  <c r="N148" i="38" s="1"/>
  <c r="O148" i="38" a="1"/>
  <c r="O148" i="38" s="1"/>
  <c r="P148" i="38" a="1"/>
  <c r="P148" i="38" s="1"/>
  <c r="Q148" i="38" a="1"/>
  <c r="Q148" i="38" s="1"/>
  <c r="R148" i="38" a="1"/>
  <c r="R148" i="38" s="1"/>
  <c r="S148" i="38" a="1"/>
  <c r="S148" i="38" s="1"/>
  <c r="C149" i="38" a="1"/>
  <c r="C149" i="38" s="1"/>
  <c r="D149" i="38" a="1"/>
  <c r="D149" i="38" s="1"/>
  <c r="E149" i="38" a="1"/>
  <c r="E149" i="38" s="1"/>
  <c r="F149" i="38" a="1"/>
  <c r="F149" i="38" s="1"/>
  <c r="G149" i="38" a="1"/>
  <c r="G149" i="38" s="1"/>
  <c r="H149" i="38" a="1"/>
  <c r="H149" i="38" s="1"/>
  <c r="I149" i="38" a="1"/>
  <c r="I149" i="38" s="1"/>
  <c r="J149" i="38" a="1"/>
  <c r="J149" i="38" s="1"/>
  <c r="K149" i="38" a="1"/>
  <c r="K149" i="38" s="1"/>
  <c r="L149" i="38" a="1"/>
  <c r="L149" i="38" s="1"/>
  <c r="M149" i="38" a="1"/>
  <c r="M149" i="38" s="1"/>
  <c r="N149" i="38" a="1"/>
  <c r="N149" i="38" s="1"/>
  <c r="O149" i="38" a="1"/>
  <c r="O149" i="38" s="1"/>
  <c r="P149" i="38" a="1"/>
  <c r="P149" i="38" s="1"/>
  <c r="Q149" i="38" a="1"/>
  <c r="Q149" i="38" s="1"/>
  <c r="R149" i="38" a="1"/>
  <c r="R149" i="38" s="1"/>
  <c r="S149" i="38" a="1"/>
  <c r="S149" i="38" s="1"/>
  <c r="C150" i="38" a="1"/>
  <c r="C150" i="38" s="1"/>
  <c r="D150" i="38" a="1"/>
  <c r="D150" i="38" s="1"/>
  <c r="E150" i="38" a="1"/>
  <c r="E150" i="38" s="1"/>
  <c r="F150" i="38" a="1"/>
  <c r="F150" i="38" s="1"/>
  <c r="G150" i="38" a="1"/>
  <c r="G150" i="38" s="1"/>
  <c r="H150" i="38" a="1"/>
  <c r="H150" i="38" s="1"/>
  <c r="I150" i="38" a="1"/>
  <c r="I150" i="38" s="1"/>
  <c r="J150" i="38" a="1"/>
  <c r="J150" i="38" s="1"/>
  <c r="K150" i="38" a="1"/>
  <c r="K150" i="38" s="1"/>
  <c r="L150" i="38" a="1"/>
  <c r="L150" i="38" s="1"/>
  <c r="M150" i="38" a="1"/>
  <c r="M150" i="38" s="1"/>
  <c r="N150" i="38" a="1"/>
  <c r="N150" i="38" s="1"/>
  <c r="O150" i="38" a="1"/>
  <c r="O150" i="38" s="1"/>
  <c r="P150" i="38" a="1"/>
  <c r="P150" i="38" s="1"/>
  <c r="Q150" i="38" a="1"/>
  <c r="Q150" i="38" s="1"/>
  <c r="R150" i="38" a="1"/>
  <c r="R150" i="38" s="1"/>
  <c r="S150" i="38" a="1"/>
  <c r="S150" i="38" s="1"/>
  <c r="C151" i="38" a="1"/>
  <c r="C151" i="38" s="1"/>
  <c r="D151" i="38" a="1"/>
  <c r="D151" i="38" s="1"/>
  <c r="E151" i="38" a="1"/>
  <c r="E151" i="38" s="1"/>
  <c r="F151" i="38" a="1"/>
  <c r="F151" i="38" s="1"/>
  <c r="G151" i="38" a="1"/>
  <c r="G151" i="38" s="1"/>
  <c r="H151" i="38" a="1"/>
  <c r="H151" i="38" s="1"/>
  <c r="I151" i="38" a="1"/>
  <c r="I151" i="38" s="1"/>
  <c r="J151" i="38" a="1"/>
  <c r="J151" i="38" s="1"/>
  <c r="K151" i="38" a="1"/>
  <c r="K151" i="38" s="1"/>
  <c r="L151" i="38" a="1"/>
  <c r="L151" i="38" s="1"/>
  <c r="M151" i="38" a="1"/>
  <c r="M151" i="38" s="1"/>
  <c r="N151" i="38" a="1"/>
  <c r="N151" i="38" s="1"/>
  <c r="O151" i="38" a="1"/>
  <c r="O151" i="38" s="1"/>
  <c r="P151" i="38" a="1"/>
  <c r="P151" i="38" s="1"/>
  <c r="Q151" i="38" a="1"/>
  <c r="Q151" i="38" s="1"/>
  <c r="R151" i="38" a="1"/>
  <c r="R151" i="38" s="1"/>
  <c r="S151" i="38" a="1"/>
  <c r="S151" i="38" s="1"/>
  <c r="C152" i="38" a="1"/>
  <c r="C152" i="38" s="1"/>
  <c r="D152" i="38" a="1"/>
  <c r="D152" i="38" s="1"/>
  <c r="E152" i="38" a="1"/>
  <c r="E152" i="38" s="1"/>
  <c r="F152" i="38" a="1"/>
  <c r="F152" i="38" s="1"/>
  <c r="G152" i="38" a="1"/>
  <c r="G152" i="38" s="1"/>
  <c r="H152" i="38" a="1"/>
  <c r="H152" i="38" s="1"/>
  <c r="I152" i="38" a="1"/>
  <c r="I152" i="38" s="1"/>
  <c r="J152" i="38" a="1"/>
  <c r="J152" i="38" s="1"/>
  <c r="K152" i="38" a="1"/>
  <c r="K152" i="38" s="1"/>
  <c r="L152" i="38" a="1"/>
  <c r="L152" i="38" s="1"/>
  <c r="M152" i="38" a="1"/>
  <c r="M152" i="38" s="1"/>
  <c r="N152" i="38" a="1"/>
  <c r="N152" i="38" s="1"/>
  <c r="O152" i="38" a="1"/>
  <c r="O152" i="38" s="1"/>
  <c r="P152" i="38" a="1"/>
  <c r="P152" i="38" s="1"/>
  <c r="Q152" i="38" a="1"/>
  <c r="Q152" i="38" s="1"/>
  <c r="R152" i="38" a="1"/>
  <c r="R152" i="38" s="1"/>
  <c r="S152" i="38" a="1"/>
  <c r="S152" i="38" s="1"/>
  <c r="C153" i="38" a="1"/>
  <c r="C153" i="38" s="1"/>
  <c r="D153" i="38" a="1"/>
  <c r="D153" i="38" s="1"/>
  <c r="E153" i="38" a="1"/>
  <c r="E153" i="38" s="1"/>
  <c r="F153" i="38" a="1"/>
  <c r="F153" i="38" s="1"/>
  <c r="G153" i="38" a="1"/>
  <c r="G153" i="38" s="1"/>
  <c r="H153" i="38" a="1"/>
  <c r="H153" i="38" s="1"/>
  <c r="I153" i="38" a="1"/>
  <c r="I153" i="38" s="1"/>
  <c r="J153" i="38" a="1"/>
  <c r="J153" i="38" s="1"/>
  <c r="K153" i="38" a="1"/>
  <c r="K153" i="38" s="1"/>
  <c r="L153" i="38" a="1"/>
  <c r="L153" i="38" s="1"/>
  <c r="M153" i="38" a="1"/>
  <c r="M153" i="38" s="1"/>
  <c r="N153" i="38" a="1"/>
  <c r="N153" i="38" s="1"/>
  <c r="O153" i="38" a="1"/>
  <c r="O153" i="38" s="1"/>
  <c r="P153" i="38" a="1"/>
  <c r="P153" i="38" s="1"/>
  <c r="Q153" i="38" a="1"/>
  <c r="Q153" i="38" s="1"/>
  <c r="R153" i="38" a="1"/>
  <c r="R153" i="38" s="1"/>
  <c r="S153" i="38" a="1"/>
  <c r="S153" i="38" s="1"/>
  <c r="C154" i="38" a="1"/>
  <c r="C154" i="38" s="1"/>
  <c r="D154" i="38" a="1"/>
  <c r="D154" i="38" s="1"/>
  <c r="E154" i="38" a="1"/>
  <c r="E154" i="38" s="1"/>
  <c r="F154" i="38" a="1"/>
  <c r="F154" i="38" s="1"/>
  <c r="G154" i="38" a="1"/>
  <c r="G154" i="38" s="1"/>
  <c r="H154" i="38" a="1"/>
  <c r="H154" i="38" s="1"/>
  <c r="I154" i="38" a="1"/>
  <c r="I154" i="38" s="1"/>
  <c r="J154" i="38" a="1"/>
  <c r="J154" i="38" s="1"/>
  <c r="K154" i="38" a="1"/>
  <c r="K154" i="38" s="1"/>
  <c r="L154" i="38" a="1"/>
  <c r="L154" i="38" s="1"/>
  <c r="M154" i="38" a="1"/>
  <c r="M154" i="38" s="1"/>
  <c r="N154" i="38" a="1"/>
  <c r="N154" i="38" s="1"/>
  <c r="O154" i="38" a="1"/>
  <c r="O154" i="38" s="1"/>
  <c r="P154" i="38" a="1"/>
  <c r="P154" i="38" s="1"/>
  <c r="Q154" i="38" a="1"/>
  <c r="Q154" i="38" s="1"/>
  <c r="R154" i="38" a="1"/>
  <c r="R154" i="38" s="1"/>
  <c r="S154" i="38" a="1"/>
  <c r="S154" i="38" s="1"/>
  <c r="C155" i="38" a="1"/>
  <c r="C155" i="38" s="1"/>
  <c r="D155" i="38" a="1"/>
  <c r="D155" i="38" s="1"/>
  <c r="E155" i="38" a="1"/>
  <c r="E155" i="38" s="1"/>
  <c r="F155" i="38" a="1"/>
  <c r="F155" i="38" s="1"/>
  <c r="G155" i="38" a="1"/>
  <c r="G155" i="38" s="1"/>
  <c r="H155" i="38" a="1"/>
  <c r="H155" i="38" s="1"/>
  <c r="I155" i="38" a="1"/>
  <c r="I155" i="38" s="1"/>
  <c r="J155" i="38" a="1"/>
  <c r="J155" i="38" s="1"/>
  <c r="K155" i="38" a="1"/>
  <c r="K155" i="38" s="1"/>
  <c r="L155" i="38" a="1"/>
  <c r="L155" i="38" s="1"/>
  <c r="M155" i="38" a="1"/>
  <c r="M155" i="38" s="1"/>
  <c r="N155" i="38" a="1"/>
  <c r="N155" i="38" s="1"/>
  <c r="O155" i="38" a="1"/>
  <c r="O155" i="38" s="1"/>
  <c r="P155" i="38" a="1"/>
  <c r="P155" i="38" s="1"/>
  <c r="Q155" i="38" a="1"/>
  <c r="Q155" i="38" s="1"/>
  <c r="R155" i="38" a="1"/>
  <c r="R155" i="38" s="1"/>
  <c r="S155" i="38" a="1"/>
  <c r="S155" i="38" s="1"/>
  <c r="C156" i="38" a="1"/>
  <c r="C156" i="38" s="1"/>
  <c r="D156" i="38" a="1"/>
  <c r="D156" i="38" s="1"/>
  <c r="E156" i="38" a="1"/>
  <c r="E156" i="38" s="1"/>
  <c r="F156" i="38" a="1"/>
  <c r="F156" i="38" s="1"/>
  <c r="G156" i="38" a="1"/>
  <c r="G156" i="38" s="1"/>
  <c r="H156" i="38" a="1"/>
  <c r="H156" i="38" s="1"/>
  <c r="I156" i="38" a="1"/>
  <c r="I156" i="38" s="1"/>
  <c r="J156" i="38" a="1"/>
  <c r="J156" i="38" s="1"/>
  <c r="K156" i="38" a="1"/>
  <c r="K156" i="38" s="1"/>
  <c r="L156" i="38" a="1"/>
  <c r="L156" i="38" s="1"/>
  <c r="M156" i="38" a="1"/>
  <c r="M156" i="38" s="1"/>
  <c r="N156" i="38" a="1"/>
  <c r="N156" i="38" s="1"/>
  <c r="O156" i="38" a="1"/>
  <c r="O156" i="38" s="1"/>
  <c r="P156" i="38" a="1"/>
  <c r="P156" i="38" s="1"/>
  <c r="Q156" i="38" a="1"/>
  <c r="Q156" i="38" s="1"/>
  <c r="R156" i="38" a="1"/>
  <c r="R156" i="38" s="1"/>
  <c r="S156" i="38" a="1"/>
  <c r="S156" i="38" s="1"/>
  <c r="C157" i="38" a="1"/>
  <c r="C157" i="38" s="1"/>
  <c r="D157" i="38" a="1"/>
  <c r="D157" i="38" s="1"/>
  <c r="E157" i="38" a="1"/>
  <c r="E157" i="38" s="1"/>
  <c r="F157" i="38" a="1"/>
  <c r="F157" i="38" s="1"/>
  <c r="G157" i="38" a="1"/>
  <c r="G157" i="38" s="1"/>
  <c r="H157" i="38" a="1"/>
  <c r="H157" i="38" s="1"/>
  <c r="I157" i="38" a="1"/>
  <c r="I157" i="38" s="1"/>
  <c r="J157" i="38" a="1"/>
  <c r="J157" i="38" s="1"/>
  <c r="K157" i="38" a="1"/>
  <c r="K157" i="38" s="1"/>
  <c r="L157" i="38" a="1"/>
  <c r="L157" i="38" s="1"/>
  <c r="M157" i="38" a="1"/>
  <c r="M157" i="38" s="1"/>
  <c r="N157" i="38" a="1"/>
  <c r="N157" i="38" s="1"/>
  <c r="O157" i="38" a="1"/>
  <c r="O157" i="38" s="1"/>
  <c r="P157" i="38" a="1"/>
  <c r="P157" i="38" s="1"/>
  <c r="Q157" i="38" a="1"/>
  <c r="Q157" i="38" s="1"/>
  <c r="R157" i="38" a="1"/>
  <c r="R157" i="38" s="1"/>
  <c r="S157" i="38" a="1"/>
  <c r="S157" i="38" s="1"/>
  <c r="C158" i="38" a="1"/>
  <c r="C158" i="38" s="1"/>
  <c r="D158" i="38" a="1"/>
  <c r="D158" i="38" s="1"/>
  <c r="E158" i="38" a="1"/>
  <c r="E158" i="38" s="1"/>
  <c r="F158" i="38" a="1"/>
  <c r="F158" i="38" s="1"/>
  <c r="G158" i="38" a="1"/>
  <c r="G158" i="38" s="1"/>
  <c r="H158" i="38" a="1"/>
  <c r="H158" i="38" s="1"/>
  <c r="I158" i="38" a="1"/>
  <c r="I158" i="38" s="1"/>
  <c r="J158" i="38" a="1"/>
  <c r="J158" i="38" s="1"/>
  <c r="K158" i="38" a="1"/>
  <c r="K158" i="38" s="1"/>
  <c r="L158" i="38" a="1"/>
  <c r="L158" i="38" s="1"/>
  <c r="M158" i="38" a="1"/>
  <c r="M158" i="38" s="1"/>
  <c r="N158" i="38" a="1"/>
  <c r="N158" i="38" s="1"/>
  <c r="O158" i="38" a="1"/>
  <c r="O158" i="38" s="1"/>
  <c r="P158" i="38" a="1"/>
  <c r="P158" i="38" s="1"/>
  <c r="Q158" i="38" a="1"/>
  <c r="Q158" i="38" s="1"/>
  <c r="R158" i="38" a="1"/>
  <c r="R158" i="38" s="1"/>
  <c r="S158" i="38" a="1"/>
  <c r="S158" i="38" s="1"/>
  <c r="C159" i="38" a="1"/>
  <c r="C159" i="38" s="1"/>
  <c r="D159" i="38" a="1"/>
  <c r="D159" i="38" s="1"/>
  <c r="E159" i="38" a="1"/>
  <c r="E159" i="38" s="1"/>
  <c r="F159" i="38" a="1"/>
  <c r="F159" i="38" s="1"/>
  <c r="G159" i="38" a="1"/>
  <c r="G159" i="38" s="1"/>
  <c r="H159" i="38" a="1"/>
  <c r="H159" i="38" s="1"/>
  <c r="I159" i="38" a="1"/>
  <c r="I159" i="38" s="1"/>
  <c r="J159" i="38" a="1"/>
  <c r="J159" i="38" s="1"/>
  <c r="K159" i="38" a="1"/>
  <c r="K159" i="38" s="1"/>
  <c r="L159" i="38" a="1"/>
  <c r="L159" i="38" s="1"/>
  <c r="M159" i="38" a="1"/>
  <c r="M159" i="38" s="1"/>
  <c r="N159" i="38" a="1"/>
  <c r="N159" i="38" s="1"/>
  <c r="O159" i="38" a="1"/>
  <c r="O159" i="38" s="1"/>
  <c r="P159" i="38" a="1"/>
  <c r="P159" i="38" s="1"/>
  <c r="Q159" i="38" a="1"/>
  <c r="Q159" i="38" s="1"/>
  <c r="R159" i="38" a="1"/>
  <c r="R159" i="38" s="1"/>
  <c r="S159" i="38" a="1"/>
  <c r="S159" i="38" s="1"/>
  <c r="C160" i="38" a="1"/>
  <c r="C160" i="38" s="1"/>
  <c r="D160" i="38" a="1"/>
  <c r="D160" i="38" s="1"/>
  <c r="E160" i="38" a="1"/>
  <c r="E160" i="38" s="1"/>
  <c r="F160" i="38" a="1"/>
  <c r="F160" i="38" s="1"/>
  <c r="G160" i="38" a="1"/>
  <c r="G160" i="38" s="1"/>
  <c r="H160" i="38" a="1"/>
  <c r="H160" i="38" s="1"/>
  <c r="I160" i="38" a="1"/>
  <c r="I160" i="38" s="1"/>
  <c r="J160" i="38" a="1"/>
  <c r="J160" i="38" s="1"/>
  <c r="K160" i="38" a="1"/>
  <c r="K160" i="38" s="1"/>
  <c r="L160" i="38" a="1"/>
  <c r="L160" i="38" s="1"/>
  <c r="M160" i="38" a="1"/>
  <c r="M160" i="38" s="1"/>
  <c r="N160" i="38" a="1"/>
  <c r="N160" i="38" s="1"/>
  <c r="O160" i="38" a="1"/>
  <c r="O160" i="38" s="1"/>
  <c r="P160" i="38" a="1"/>
  <c r="P160" i="38" s="1"/>
  <c r="Q160" i="38" a="1"/>
  <c r="Q160" i="38" s="1"/>
  <c r="R160" i="38" a="1"/>
  <c r="R160" i="38" s="1"/>
  <c r="S160" i="38" a="1"/>
  <c r="S160" i="38" s="1"/>
  <c r="C161" i="38" a="1"/>
  <c r="C161" i="38" s="1"/>
  <c r="D161" i="38" a="1"/>
  <c r="D161" i="38" s="1"/>
  <c r="E161" i="38" a="1"/>
  <c r="E161" i="38" s="1"/>
  <c r="F161" i="38" a="1"/>
  <c r="F161" i="38" s="1"/>
  <c r="G161" i="38" a="1"/>
  <c r="G161" i="38" s="1"/>
  <c r="H161" i="38" a="1"/>
  <c r="H161" i="38" s="1"/>
  <c r="I161" i="38" a="1"/>
  <c r="I161" i="38" s="1"/>
  <c r="J161" i="38" a="1"/>
  <c r="J161" i="38" s="1"/>
  <c r="K161" i="38" a="1"/>
  <c r="K161" i="38" s="1"/>
  <c r="L161" i="38" a="1"/>
  <c r="L161" i="38" s="1"/>
  <c r="M161" i="38" a="1"/>
  <c r="M161" i="38" s="1"/>
  <c r="N161" i="38" a="1"/>
  <c r="N161" i="38" s="1"/>
  <c r="O161" i="38" a="1"/>
  <c r="O161" i="38" s="1"/>
  <c r="P161" i="38" a="1"/>
  <c r="P161" i="38" s="1"/>
  <c r="Q161" i="38" a="1"/>
  <c r="Q161" i="38" s="1"/>
  <c r="R161" i="38" a="1"/>
  <c r="R161" i="38" s="1"/>
  <c r="S161" i="38" a="1"/>
  <c r="S161" i="38" s="1"/>
  <c r="C162" i="38" a="1"/>
  <c r="C162" i="38" s="1"/>
  <c r="D162" i="38" a="1"/>
  <c r="D162" i="38" s="1"/>
  <c r="E162" i="38" a="1"/>
  <c r="E162" i="38" s="1"/>
  <c r="F162" i="38" a="1"/>
  <c r="F162" i="38" s="1"/>
  <c r="G162" i="38" a="1"/>
  <c r="G162" i="38" s="1"/>
  <c r="H162" i="38" a="1"/>
  <c r="H162" i="38" s="1"/>
  <c r="I162" i="38" a="1"/>
  <c r="I162" i="38" s="1"/>
  <c r="J162" i="38" a="1"/>
  <c r="J162" i="38" s="1"/>
  <c r="K162" i="38" a="1"/>
  <c r="K162" i="38" s="1"/>
  <c r="L162" i="38" a="1"/>
  <c r="L162" i="38" s="1"/>
  <c r="M162" i="38" a="1"/>
  <c r="M162" i="38" s="1"/>
  <c r="N162" i="38" a="1"/>
  <c r="N162" i="38" s="1"/>
  <c r="O162" i="38" a="1"/>
  <c r="O162" i="38" s="1"/>
  <c r="P162" i="38" a="1"/>
  <c r="P162" i="38" s="1"/>
  <c r="Q162" i="38" a="1"/>
  <c r="Q162" i="38" s="1"/>
  <c r="R162" i="38" a="1"/>
  <c r="R162" i="38" s="1"/>
  <c r="S162" i="38" a="1"/>
  <c r="S162" i="38" s="1"/>
  <c r="C163" i="38" a="1"/>
  <c r="C163" i="38" s="1"/>
  <c r="D163" i="38" a="1"/>
  <c r="D163" i="38" s="1"/>
  <c r="E163" i="38" a="1"/>
  <c r="E163" i="38" s="1"/>
  <c r="F163" i="38" a="1"/>
  <c r="F163" i="38" s="1"/>
  <c r="G163" i="38" a="1"/>
  <c r="G163" i="38" s="1"/>
  <c r="H163" i="38" a="1"/>
  <c r="H163" i="38" s="1"/>
  <c r="I163" i="38" a="1"/>
  <c r="I163" i="38" s="1"/>
  <c r="J163" i="38" a="1"/>
  <c r="J163" i="38" s="1"/>
  <c r="K163" i="38" a="1"/>
  <c r="K163" i="38" s="1"/>
  <c r="L163" i="38" a="1"/>
  <c r="L163" i="38" s="1"/>
  <c r="M163" i="38" a="1"/>
  <c r="M163" i="38" s="1"/>
  <c r="N163" i="38" a="1"/>
  <c r="N163" i="38" s="1"/>
  <c r="O163" i="38" a="1"/>
  <c r="O163" i="38" s="1"/>
  <c r="P163" i="38" a="1"/>
  <c r="P163" i="38" s="1"/>
  <c r="Q163" i="38" a="1"/>
  <c r="Q163" i="38" s="1"/>
  <c r="R163" i="38" a="1"/>
  <c r="R163" i="38" s="1"/>
  <c r="S163" i="38" a="1"/>
  <c r="S163" i="38" s="1"/>
  <c r="C164" i="38" a="1"/>
  <c r="C164" i="38" s="1"/>
  <c r="D164" i="38" a="1"/>
  <c r="D164" i="38" s="1"/>
  <c r="E164" i="38" a="1"/>
  <c r="E164" i="38" s="1"/>
  <c r="F164" i="38" a="1"/>
  <c r="F164" i="38" s="1"/>
  <c r="G164" i="38" a="1"/>
  <c r="G164" i="38" s="1"/>
  <c r="H164" i="38" a="1"/>
  <c r="H164" i="38" s="1"/>
  <c r="I164" i="38" a="1"/>
  <c r="I164" i="38" s="1"/>
  <c r="J164" i="38" a="1"/>
  <c r="J164" i="38" s="1"/>
  <c r="K164" i="38" a="1"/>
  <c r="K164" i="38" s="1"/>
  <c r="L164" i="38" a="1"/>
  <c r="L164" i="38" s="1"/>
  <c r="M164" i="38" a="1"/>
  <c r="M164" i="38" s="1"/>
  <c r="N164" i="38" a="1"/>
  <c r="N164" i="38" s="1"/>
  <c r="O164" i="38" a="1"/>
  <c r="O164" i="38" s="1"/>
  <c r="P164" i="38" a="1"/>
  <c r="P164" i="38" s="1"/>
  <c r="Q164" i="38" a="1"/>
  <c r="Q164" i="38" s="1"/>
  <c r="R164" i="38" a="1"/>
  <c r="R164" i="38" s="1"/>
  <c r="S164" i="38" a="1"/>
  <c r="S164" i="38" s="1"/>
  <c r="C165" i="38" a="1"/>
  <c r="C165" i="38" s="1"/>
  <c r="D165" i="38" a="1"/>
  <c r="D165" i="38" s="1"/>
  <c r="E165" i="38" a="1"/>
  <c r="E165" i="38" s="1"/>
  <c r="F165" i="38" a="1"/>
  <c r="F165" i="38" s="1"/>
  <c r="G165" i="38" a="1"/>
  <c r="G165" i="38" s="1"/>
  <c r="H165" i="38" a="1"/>
  <c r="H165" i="38" s="1"/>
  <c r="I165" i="38" a="1"/>
  <c r="I165" i="38" s="1"/>
  <c r="J165" i="38" a="1"/>
  <c r="J165" i="38" s="1"/>
  <c r="K165" i="38" a="1"/>
  <c r="K165" i="38" s="1"/>
  <c r="L165" i="38" a="1"/>
  <c r="L165" i="38" s="1"/>
  <c r="M165" i="38" a="1"/>
  <c r="M165" i="38" s="1"/>
  <c r="N165" i="38" a="1"/>
  <c r="N165" i="38" s="1"/>
  <c r="O165" i="38" a="1"/>
  <c r="O165" i="38" s="1"/>
  <c r="P165" i="38" a="1"/>
  <c r="P165" i="38" s="1"/>
  <c r="Q165" i="38" a="1"/>
  <c r="Q165" i="38" s="1"/>
  <c r="R165" i="38" a="1"/>
  <c r="R165" i="38" s="1"/>
  <c r="S165" i="38" a="1"/>
  <c r="S165" i="38" s="1"/>
  <c r="C166" i="38" a="1"/>
  <c r="C166" i="38" s="1"/>
  <c r="D166" i="38" a="1"/>
  <c r="D166" i="38" s="1"/>
  <c r="E166" i="38" a="1"/>
  <c r="E166" i="38" s="1"/>
  <c r="F166" i="38" a="1"/>
  <c r="F166" i="38" s="1"/>
  <c r="G166" i="38" a="1"/>
  <c r="G166" i="38" s="1"/>
  <c r="H166" i="38" a="1"/>
  <c r="H166" i="38" s="1"/>
  <c r="I166" i="38" a="1"/>
  <c r="I166" i="38" s="1"/>
  <c r="J166" i="38" a="1"/>
  <c r="J166" i="38" s="1"/>
  <c r="K166" i="38" a="1"/>
  <c r="K166" i="38" s="1"/>
  <c r="L166" i="38" a="1"/>
  <c r="L166" i="38" s="1"/>
  <c r="M166" i="38" a="1"/>
  <c r="M166" i="38" s="1"/>
  <c r="N166" i="38" a="1"/>
  <c r="N166" i="38" s="1"/>
  <c r="O166" i="38" a="1"/>
  <c r="O166" i="38" s="1"/>
  <c r="P166" i="38" a="1"/>
  <c r="P166" i="38" s="1"/>
  <c r="Q166" i="38" a="1"/>
  <c r="Q166" i="38" s="1"/>
  <c r="R166" i="38" a="1"/>
  <c r="R166" i="38" s="1"/>
  <c r="S166" i="38" a="1"/>
  <c r="S166" i="38" s="1"/>
  <c r="C167" i="38" a="1"/>
  <c r="C167" i="38" s="1"/>
  <c r="D167" i="38" a="1"/>
  <c r="D167" i="38" s="1"/>
  <c r="E167" i="38" a="1"/>
  <c r="E167" i="38" s="1"/>
  <c r="F167" i="38" a="1"/>
  <c r="F167" i="38" s="1"/>
  <c r="G167" i="38" a="1"/>
  <c r="G167" i="38" s="1"/>
  <c r="H167" i="38" a="1"/>
  <c r="H167" i="38" s="1"/>
  <c r="I167" i="38" a="1"/>
  <c r="I167" i="38" s="1"/>
  <c r="J167" i="38" a="1"/>
  <c r="J167" i="38" s="1"/>
  <c r="K167" i="38" a="1"/>
  <c r="K167" i="38" s="1"/>
  <c r="L167" i="38" a="1"/>
  <c r="L167" i="38" s="1"/>
  <c r="M167" i="38" a="1"/>
  <c r="M167" i="38" s="1"/>
  <c r="N167" i="38" a="1"/>
  <c r="N167" i="38" s="1"/>
  <c r="O167" i="38" a="1"/>
  <c r="O167" i="38" s="1"/>
  <c r="P167" i="38" a="1"/>
  <c r="P167" i="38" s="1"/>
  <c r="Q167" i="38" a="1"/>
  <c r="Q167" i="38" s="1"/>
  <c r="R167" i="38" a="1"/>
  <c r="R167" i="38" s="1"/>
  <c r="S167" i="38" a="1"/>
  <c r="S167" i="38" s="1"/>
  <c r="C168" i="38" a="1"/>
  <c r="C168" i="38" s="1"/>
  <c r="D168" i="38" a="1"/>
  <c r="D168" i="38" s="1"/>
  <c r="E168" i="38" a="1"/>
  <c r="E168" i="38" s="1"/>
  <c r="F168" i="38" a="1"/>
  <c r="F168" i="38" s="1"/>
  <c r="G168" i="38" a="1"/>
  <c r="G168" i="38" s="1"/>
  <c r="H168" i="38" a="1"/>
  <c r="H168" i="38" s="1"/>
  <c r="I168" i="38" a="1"/>
  <c r="I168" i="38" s="1"/>
  <c r="J168" i="38" a="1"/>
  <c r="J168" i="38" s="1"/>
  <c r="K168" i="38" a="1"/>
  <c r="K168" i="38" s="1"/>
  <c r="L168" i="38" a="1"/>
  <c r="L168" i="38" s="1"/>
  <c r="M168" i="38" a="1"/>
  <c r="M168" i="38" s="1"/>
  <c r="N168" i="38" a="1"/>
  <c r="N168" i="38" s="1"/>
  <c r="O168" i="38" a="1"/>
  <c r="O168" i="38" s="1"/>
  <c r="P168" i="38" a="1"/>
  <c r="P168" i="38" s="1"/>
  <c r="Q168" i="38" a="1"/>
  <c r="Q168" i="38" s="1"/>
  <c r="R168" i="38" a="1"/>
  <c r="R168" i="38" s="1"/>
  <c r="S168" i="38" a="1"/>
  <c r="S168" i="38" s="1"/>
  <c r="C169" i="38" a="1"/>
  <c r="C169" i="38" s="1"/>
  <c r="D169" i="38" a="1"/>
  <c r="D169" i="38" s="1"/>
  <c r="E169" i="38" a="1"/>
  <c r="E169" i="38" s="1"/>
  <c r="F169" i="38" a="1"/>
  <c r="F169" i="38" s="1"/>
  <c r="G169" i="38" a="1"/>
  <c r="G169" i="38" s="1"/>
  <c r="H169" i="38" a="1"/>
  <c r="H169" i="38" s="1"/>
  <c r="I169" i="38" a="1"/>
  <c r="I169" i="38" s="1"/>
  <c r="J169" i="38" a="1"/>
  <c r="J169" i="38" s="1"/>
  <c r="K169" i="38" a="1"/>
  <c r="K169" i="38" s="1"/>
  <c r="L169" i="38" a="1"/>
  <c r="L169" i="38" s="1"/>
  <c r="M169" i="38" a="1"/>
  <c r="M169" i="38" s="1"/>
  <c r="N169" i="38" a="1"/>
  <c r="N169" i="38" s="1"/>
  <c r="O169" i="38" a="1"/>
  <c r="O169" i="38" s="1"/>
  <c r="P169" i="38" a="1"/>
  <c r="P169" i="38" s="1"/>
  <c r="Q169" i="38" a="1"/>
  <c r="Q169" i="38" s="1"/>
  <c r="R169" i="38" a="1"/>
  <c r="R169" i="38" s="1"/>
  <c r="S169" i="38" a="1"/>
  <c r="S169" i="38" s="1"/>
  <c r="C170" i="38" a="1"/>
  <c r="C170" i="38" s="1"/>
  <c r="D170" i="38" a="1"/>
  <c r="D170" i="38" s="1"/>
  <c r="E170" i="38" a="1"/>
  <c r="E170" i="38" s="1"/>
  <c r="F170" i="38" a="1"/>
  <c r="F170" i="38" s="1"/>
  <c r="G170" i="38" a="1"/>
  <c r="G170" i="38" s="1"/>
  <c r="H170" i="38" a="1"/>
  <c r="H170" i="38" s="1"/>
  <c r="I170" i="38" a="1"/>
  <c r="I170" i="38" s="1"/>
  <c r="J170" i="38" a="1"/>
  <c r="J170" i="38" s="1"/>
  <c r="K170" i="38" a="1"/>
  <c r="K170" i="38" s="1"/>
  <c r="L170" i="38" a="1"/>
  <c r="L170" i="38" s="1"/>
  <c r="M170" i="38" a="1"/>
  <c r="M170" i="38" s="1"/>
  <c r="N170" i="38" a="1"/>
  <c r="N170" i="38" s="1"/>
  <c r="O170" i="38" a="1"/>
  <c r="O170" i="38" s="1"/>
  <c r="P170" i="38" a="1"/>
  <c r="P170" i="38" s="1"/>
  <c r="Q170" i="38" a="1"/>
  <c r="Q170" i="38" s="1"/>
  <c r="R170" i="38" a="1"/>
  <c r="R170" i="38" s="1"/>
  <c r="S170" i="38" a="1"/>
  <c r="S170" i="38" s="1"/>
  <c r="C171" i="38" a="1"/>
  <c r="C171" i="38" s="1"/>
  <c r="D171" i="38" a="1"/>
  <c r="D171" i="38" s="1"/>
  <c r="E171" i="38" a="1"/>
  <c r="E171" i="38" s="1"/>
  <c r="F171" i="38" a="1"/>
  <c r="F171" i="38" s="1"/>
  <c r="G171" i="38" a="1"/>
  <c r="G171" i="38" s="1"/>
  <c r="H171" i="38" a="1"/>
  <c r="H171" i="38" s="1"/>
  <c r="I171" i="38" a="1"/>
  <c r="I171" i="38" s="1"/>
  <c r="J171" i="38" a="1"/>
  <c r="J171" i="38" s="1"/>
  <c r="K171" i="38" a="1"/>
  <c r="K171" i="38" s="1"/>
  <c r="L171" i="38" a="1"/>
  <c r="L171" i="38" s="1"/>
  <c r="M171" i="38" a="1"/>
  <c r="M171" i="38" s="1"/>
  <c r="N171" i="38" a="1"/>
  <c r="N171" i="38" s="1"/>
  <c r="O171" i="38" a="1"/>
  <c r="O171" i="38" s="1"/>
  <c r="P171" i="38" a="1"/>
  <c r="P171" i="38" s="1"/>
  <c r="Q171" i="38" a="1"/>
  <c r="Q171" i="38" s="1"/>
  <c r="R171" i="38" a="1"/>
  <c r="R171" i="38" s="1"/>
  <c r="S171" i="38" a="1"/>
  <c r="S171" i="38" s="1"/>
  <c r="C172" i="38" a="1"/>
  <c r="C172" i="38" s="1"/>
  <c r="D172" i="38" a="1"/>
  <c r="D172" i="38" s="1"/>
  <c r="E172" i="38" a="1"/>
  <c r="E172" i="38" s="1"/>
  <c r="F172" i="38" a="1"/>
  <c r="F172" i="38" s="1"/>
  <c r="G172" i="38" a="1"/>
  <c r="G172" i="38" s="1"/>
  <c r="H172" i="38" a="1"/>
  <c r="H172" i="38" s="1"/>
  <c r="I172" i="38" a="1"/>
  <c r="I172" i="38" s="1"/>
  <c r="J172" i="38" a="1"/>
  <c r="J172" i="38" s="1"/>
  <c r="K172" i="38" a="1"/>
  <c r="K172" i="38" s="1"/>
  <c r="L172" i="38" a="1"/>
  <c r="L172" i="38" s="1"/>
  <c r="M172" i="38" a="1"/>
  <c r="M172" i="38" s="1"/>
  <c r="N172" i="38" a="1"/>
  <c r="N172" i="38" s="1"/>
  <c r="O172" i="38" a="1"/>
  <c r="O172" i="38" s="1"/>
  <c r="P172" i="38" a="1"/>
  <c r="P172" i="38" s="1"/>
  <c r="Q172" i="38" a="1"/>
  <c r="Q172" i="38" s="1"/>
  <c r="R172" i="38" a="1"/>
  <c r="R172" i="38" s="1"/>
  <c r="S172" i="38" a="1"/>
  <c r="S172" i="38" s="1"/>
  <c r="C173" i="38" a="1"/>
  <c r="C173" i="38" s="1"/>
  <c r="D173" i="38" a="1"/>
  <c r="D173" i="38" s="1"/>
  <c r="E173" i="38" a="1"/>
  <c r="E173" i="38" s="1"/>
  <c r="F173" i="38" a="1"/>
  <c r="F173" i="38" s="1"/>
  <c r="G173" i="38" a="1"/>
  <c r="G173" i="38" s="1"/>
  <c r="H173" i="38" a="1"/>
  <c r="H173" i="38" s="1"/>
  <c r="I173" i="38" a="1"/>
  <c r="I173" i="38" s="1"/>
  <c r="J173" i="38" a="1"/>
  <c r="J173" i="38" s="1"/>
  <c r="K173" i="38" a="1"/>
  <c r="K173" i="38" s="1"/>
  <c r="L173" i="38" a="1"/>
  <c r="L173" i="38" s="1"/>
  <c r="M173" i="38" a="1"/>
  <c r="M173" i="38" s="1"/>
  <c r="N173" i="38" a="1"/>
  <c r="N173" i="38" s="1"/>
  <c r="O173" i="38" a="1"/>
  <c r="O173" i="38" s="1"/>
  <c r="P173" i="38" a="1"/>
  <c r="P173" i="38" s="1"/>
  <c r="Q173" i="38" a="1"/>
  <c r="Q173" i="38" s="1"/>
  <c r="R173" i="38" a="1"/>
  <c r="R173" i="38" s="1"/>
  <c r="S173" i="38" a="1"/>
  <c r="S173" i="38" s="1"/>
  <c r="C174" i="38" a="1"/>
  <c r="C174" i="38" s="1"/>
  <c r="D174" i="38" a="1"/>
  <c r="D174" i="38" s="1"/>
  <c r="E174" i="38" a="1"/>
  <c r="E174" i="38" s="1"/>
  <c r="F174" i="38" a="1"/>
  <c r="F174" i="38" s="1"/>
  <c r="G174" i="38" a="1"/>
  <c r="G174" i="38" s="1"/>
  <c r="H174" i="38" a="1"/>
  <c r="H174" i="38" s="1"/>
  <c r="I174" i="38" a="1"/>
  <c r="I174" i="38" s="1"/>
  <c r="J174" i="38" a="1"/>
  <c r="J174" i="38" s="1"/>
  <c r="K174" i="38" a="1"/>
  <c r="K174" i="38" s="1"/>
  <c r="L174" i="38" a="1"/>
  <c r="L174" i="38" s="1"/>
  <c r="M174" i="38" a="1"/>
  <c r="M174" i="38" s="1"/>
  <c r="N174" i="38" a="1"/>
  <c r="N174" i="38" s="1"/>
  <c r="O174" i="38" a="1"/>
  <c r="O174" i="38" s="1"/>
  <c r="P174" i="38" a="1"/>
  <c r="P174" i="38" s="1"/>
  <c r="Q174" i="38" a="1"/>
  <c r="Q174" i="38" s="1"/>
  <c r="R174" i="38" a="1"/>
  <c r="R174" i="38" s="1"/>
  <c r="S174" i="38" a="1"/>
  <c r="S174" i="38" s="1"/>
  <c r="C175" i="38" a="1"/>
  <c r="C175" i="38" s="1"/>
  <c r="D175" i="38" a="1"/>
  <c r="D175" i="38" s="1"/>
  <c r="E175" i="38" a="1"/>
  <c r="E175" i="38" s="1"/>
  <c r="F175" i="38" a="1"/>
  <c r="F175" i="38" s="1"/>
  <c r="G175" i="38" a="1"/>
  <c r="G175" i="38" s="1"/>
  <c r="H175" i="38" a="1"/>
  <c r="H175" i="38" s="1"/>
  <c r="I175" i="38" a="1"/>
  <c r="I175" i="38" s="1"/>
  <c r="J175" i="38" a="1"/>
  <c r="J175" i="38" s="1"/>
  <c r="K175" i="38" a="1"/>
  <c r="K175" i="38" s="1"/>
  <c r="L175" i="38" a="1"/>
  <c r="L175" i="38" s="1"/>
  <c r="M175" i="38" a="1"/>
  <c r="M175" i="38" s="1"/>
  <c r="N175" i="38" a="1"/>
  <c r="N175" i="38" s="1"/>
  <c r="O175" i="38" a="1"/>
  <c r="O175" i="38" s="1"/>
  <c r="P175" i="38" a="1"/>
  <c r="P175" i="38" s="1"/>
  <c r="Q175" i="38" a="1"/>
  <c r="Q175" i="38" s="1"/>
  <c r="R175" i="38" a="1"/>
  <c r="R175" i="38" s="1"/>
  <c r="S175" i="38" a="1"/>
  <c r="S175" i="38" s="1"/>
  <c r="C176" i="38" a="1"/>
  <c r="C176" i="38" s="1"/>
  <c r="D176" i="38" a="1"/>
  <c r="D176" i="38" s="1"/>
  <c r="E176" i="38" a="1"/>
  <c r="E176" i="38" s="1"/>
  <c r="F176" i="38" a="1"/>
  <c r="F176" i="38" s="1"/>
  <c r="G176" i="38" a="1"/>
  <c r="G176" i="38" s="1"/>
  <c r="H176" i="38" a="1"/>
  <c r="H176" i="38" s="1"/>
  <c r="I176" i="38" a="1"/>
  <c r="I176" i="38" s="1"/>
  <c r="J176" i="38" a="1"/>
  <c r="J176" i="38" s="1"/>
  <c r="K176" i="38" a="1"/>
  <c r="K176" i="38" s="1"/>
  <c r="L176" i="38" a="1"/>
  <c r="L176" i="38" s="1"/>
  <c r="M176" i="38" a="1"/>
  <c r="M176" i="38" s="1"/>
  <c r="N176" i="38" a="1"/>
  <c r="N176" i="38" s="1"/>
  <c r="O176" i="38" a="1"/>
  <c r="O176" i="38" s="1"/>
  <c r="P176" i="38" a="1"/>
  <c r="P176" i="38" s="1"/>
  <c r="Q176" i="38" a="1"/>
  <c r="Q176" i="38" s="1"/>
  <c r="R176" i="38" a="1"/>
  <c r="R176" i="38" s="1"/>
  <c r="S176" i="38" a="1"/>
  <c r="S176" i="38" s="1"/>
  <c r="C177" i="38" a="1"/>
  <c r="C177" i="38" s="1"/>
  <c r="D177" i="38" a="1"/>
  <c r="D177" i="38" s="1"/>
  <c r="E177" i="38" a="1"/>
  <c r="E177" i="38" s="1"/>
  <c r="F177" i="38" a="1"/>
  <c r="F177" i="38" s="1"/>
  <c r="G177" i="38" a="1"/>
  <c r="G177" i="38" s="1"/>
  <c r="H177" i="38" a="1"/>
  <c r="H177" i="38" s="1"/>
  <c r="I177" i="38" a="1"/>
  <c r="I177" i="38" s="1"/>
  <c r="J177" i="38" a="1"/>
  <c r="J177" i="38" s="1"/>
  <c r="K177" i="38" a="1"/>
  <c r="K177" i="38" s="1"/>
  <c r="L177" i="38" a="1"/>
  <c r="L177" i="38" s="1"/>
  <c r="M177" i="38" a="1"/>
  <c r="M177" i="38" s="1"/>
  <c r="N177" i="38" a="1"/>
  <c r="N177" i="38" s="1"/>
  <c r="O177" i="38" a="1"/>
  <c r="O177" i="38" s="1"/>
  <c r="P177" i="38" a="1"/>
  <c r="P177" i="38" s="1"/>
  <c r="Q177" i="38" a="1"/>
  <c r="Q177" i="38" s="1"/>
  <c r="R177" i="38" a="1"/>
  <c r="R177" i="38" s="1"/>
  <c r="S177" i="38" a="1"/>
  <c r="S177" i="38" s="1"/>
  <c r="C178" i="38" a="1"/>
  <c r="C178" i="38" s="1"/>
  <c r="D178" i="38" a="1"/>
  <c r="D178" i="38" s="1"/>
  <c r="E178" i="38" a="1"/>
  <c r="E178" i="38" s="1"/>
  <c r="F178" i="38" a="1"/>
  <c r="F178" i="38" s="1"/>
  <c r="G178" i="38" a="1"/>
  <c r="G178" i="38" s="1"/>
  <c r="H178" i="38" a="1"/>
  <c r="H178" i="38" s="1"/>
  <c r="I178" i="38" a="1"/>
  <c r="I178" i="38" s="1"/>
  <c r="J178" i="38" a="1"/>
  <c r="J178" i="38" s="1"/>
  <c r="K178" i="38" a="1"/>
  <c r="K178" i="38" s="1"/>
  <c r="L178" i="38" a="1"/>
  <c r="L178" i="38" s="1"/>
  <c r="M178" i="38" a="1"/>
  <c r="M178" i="38" s="1"/>
  <c r="N178" i="38" a="1"/>
  <c r="N178" i="38" s="1"/>
  <c r="O178" i="38" a="1"/>
  <c r="O178" i="38" s="1"/>
  <c r="P178" i="38" a="1"/>
  <c r="P178" i="38" s="1"/>
  <c r="Q178" i="38" a="1"/>
  <c r="Q178" i="38" s="1"/>
  <c r="R178" i="38" a="1"/>
  <c r="R178" i="38" s="1"/>
  <c r="S178" i="38" a="1"/>
  <c r="S178" i="38" s="1"/>
  <c r="C179" i="38" a="1"/>
  <c r="C179" i="38" s="1"/>
  <c r="D179" i="38" a="1"/>
  <c r="D179" i="38" s="1"/>
  <c r="E179" i="38" a="1"/>
  <c r="E179" i="38" s="1"/>
  <c r="F179" i="38" a="1"/>
  <c r="F179" i="38" s="1"/>
  <c r="G179" i="38" a="1"/>
  <c r="G179" i="38" s="1"/>
  <c r="H179" i="38" a="1"/>
  <c r="H179" i="38" s="1"/>
  <c r="I179" i="38" a="1"/>
  <c r="I179" i="38" s="1"/>
  <c r="J179" i="38" a="1"/>
  <c r="J179" i="38" s="1"/>
  <c r="K179" i="38" a="1"/>
  <c r="K179" i="38" s="1"/>
  <c r="L179" i="38" a="1"/>
  <c r="L179" i="38" s="1"/>
  <c r="M179" i="38" a="1"/>
  <c r="M179" i="38" s="1"/>
  <c r="N179" i="38" a="1"/>
  <c r="N179" i="38" s="1"/>
  <c r="O179" i="38" a="1"/>
  <c r="O179" i="38" s="1"/>
  <c r="P179" i="38" a="1"/>
  <c r="P179" i="38" s="1"/>
  <c r="Q179" i="38" a="1"/>
  <c r="Q179" i="38" s="1"/>
  <c r="R179" i="38" a="1"/>
  <c r="R179" i="38" s="1"/>
  <c r="S179" i="38" a="1"/>
  <c r="S179" i="38" s="1"/>
  <c r="C180" i="38" a="1"/>
  <c r="C180" i="38" s="1"/>
  <c r="D180" i="38" a="1"/>
  <c r="D180" i="38" s="1"/>
  <c r="E180" i="38" a="1"/>
  <c r="E180" i="38" s="1"/>
  <c r="F180" i="38" a="1"/>
  <c r="F180" i="38" s="1"/>
  <c r="G180" i="38" a="1"/>
  <c r="G180" i="38" s="1"/>
  <c r="H180" i="38" a="1"/>
  <c r="H180" i="38" s="1"/>
  <c r="I180" i="38" a="1"/>
  <c r="I180" i="38" s="1"/>
  <c r="J180" i="38" a="1"/>
  <c r="J180" i="38" s="1"/>
  <c r="K180" i="38" a="1"/>
  <c r="K180" i="38" s="1"/>
  <c r="L180" i="38" a="1"/>
  <c r="L180" i="38" s="1"/>
  <c r="M180" i="38" a="1"/>
  <c r="M180" i="38" s="1"/>
  <c r="N180" i="38" a="1"/>
  <c r="N180" i="38" s="1"/>
  <c r="O180" i="38" a="1"/>
  <c r="O180" i="38" s="1"/>
  <c r="P180" i="38" a="1"/>
  <c r="P180" i="38" s="1"/>
  <c r="Q180" i="38" a="1"/>
  <c r="Q180" i="38" s="1"/>
  <c r="R180" i="38" a="1"/>
  <c r="R180" i="38" s="1"/>
  <c r="S180" i="38" a="1"/>
  <c r="S180" i="38" s="1"/>
  <c r="C181" i="38" a="1"/>
  <c r="C181" i="38" s="1"/>
  <c r="D181" i="38" a="1"/>
  <c r="D181" i="38" s="1"/>
  <c r="E181" i="38" a="1"/>
  <c r="E181" i="38" s="1"/>
  <c r="F181" i="38" a="1"/>
  <c r="F181" i="38" s="1"/>
  <c r="G181" i="38" a="1"/>
  <c r="G181" i="38" s="1"/>
  <c r="H181" i="38" a="1"/>
  <c r="H181" i="38" s="1"/>
  <c r="I181" i="38" a="1"/>
  <c r="I181" i="38" s="1"/>
  <c r="J181" i="38" a="1"/>
  <c r="J181" i="38" s="1"/>
  <c r="K181" i="38" a="1"/>
  <c r="K181" i="38" s="1"/>
  <c r="L181" i="38" a="1"/>
  <c r="L181" i="38" s="1"/>
  <c r="M181" i="38" a="1"/>
  <c r="M181" i="38" s="1"/>
  <c r="N181" i="38" a="1"/>
  <c r="N181" i="38" s="1"/>
  <c r="O181" i="38" a="1"/>
  <c r="O181" i="38" s="1"/>
  <c r="P181" i="38" a="1"/>
  <c r="P181" i="38" s="1"/>
  <c r="Q181" i="38" a="1"/>
  <c r="Q181" i="38" s="1"/>
  <c r="R181" i="38" a="1"/>
  <c r="R181" i="38" s="1"/>
  <c r="S181" i="38" a="1"/>
  <c r="S181" i="38" s="1"/>
  <c r="C182" i="38" a="1"/>
  <c r="C182" i="38" s="1"/>
  <c r="D182" i="38" a="1"/>
  <c r="D182" i="38" s="1"/>
  <c r="E182" i="38" a="1"/>
  <c r="E182" i="38" s="1"/>
  <c r="F182" i="38" a="1"/>
  <c r="F182" i="38" s="1"/>
  <c r="G182" i="38" a="1"/>
  <c r="G182" i="38" s="1"/>
  <c r="H182" i="38" a="1"/>
  <c r="H182" i="38" s="1"/>
  <c r="I182" i="38" a="1"/>
  <c r="I182" i="38" s="1"/>
  <c r="J182" i="38" a="1"/>
  <c r="J182" i="38" s="1"/>
  <c r="K182" i="38" a="1"/>
  <c r="K182" i="38" s="1"/>
  <c r="L182" i="38" a="1"/>
  <c r="L182" i="38" s="1"/>
  <c r="M182" i="38" a="1"/>
  <c r="M182" i="38" s="1"/>
  <c r="N182" i="38" a="1"/>
  <c r="N182" i="38" s="1"/>
  <c r="O182" i="38" a="1"/>
  <c r="O182" i="38" s="1"/>
  <c r="P182" i="38" a="1"/>
  <c r="P182" i="38" s="1"/>
  <c r="Q182" i="38" a="1"/>
  <c r="Q182" i="38" s="1"/>
  <c r="R182" i="38" a="1"/>
  <c r="R182" i="38" s="1"/>
  <c r="S182" i="38" a="1"/>
  <c r="S182" i="38" s="1"/>
  <c r="C183" i="38" a="1"/>
  <c r="C183" i="38" s="1"/>
  <c r="D183" i="38" a="1"/>
  <c r="D183" i="38" s="1"/>
  <c r="E183" i="38" a="1"/>
  <c r="E183" i="38" s="1"/>
  <c r="F183" i="38" a="1"/>
  <c r="F183" i="38" s="1"/>
  <c r="G183" i="38" a="1"/>
  <c r="G183" i="38" s="1"/>
  <c r="H183" i="38" a="1"/>
  <c r="H183" i="38" s="1"/>
  <c r="I183" i="38" a="1"/>
  <c r="I183" i="38" s="1"/>
  <c r="J183" i="38" a="1"/>
  <c r="J183" i="38" s="1"/>
  <c r="K183" i="38" a="1"/>
  <c r="K183" i="38" s="1"/>
  <c r="L183" i="38" a="1"/>
  <c r="L183" i="38" s="1"/>
  <c r="M183" i="38" a="1"/>
  <c r="M183" i="38" s="1"/>
  <c r="N183" i="38" a="1"/>
  <c r="N183" i="38" s="1"/>
  <c r="O183" i="38" a="1"/>
  <c r="O183" i="38" s="1"/>
  <c r="P183" i="38" a="1"/>
  <c r="P183" i="38" s="1"/>
  <c r="Q183" i="38" a="1"/>
  <c r="Q183" i="38" s="1"/>
  <c r="R183" i="38" a="1"/>
  <c r="R183" i="38" s="1"/>
  <c r="S183" i="38" a="1"/>
  <c r="S183" i="38" s="1"/>
  <c r="C184" i="38" a="1"/>
  <c r="C184" i="38" s="1"/>
  <c r="D184" i="38" a="1"/>
  <c r="D184" i="38" s="1"/>
  <c r="E184" i="38" a="1"/>
  <c r="E184" i="38" s="1"/>
  <c r="F184" i="38" a="1"/>
  <c r="F184" i="38" s="1"/>
  <c r="G184" i="38" a="1"/>
  <c r="G184" i="38" s="1"/>
  <c r="H184" i="38" a="1"/>
  <c r="H184" i="38" s="1"/>
  <c r="I184" i="38" a="1"/>
  <c r="I184" i="38" s="1"/>
  <c r="J184" i="38" a="1"/>
  <c r="J184" i="38" s="1"/>
  <c r="K184" i="38" a="1"/>
  <c r="K184" i="38" s="1"/>
  <c r="L184" i="38" a="1"/>
  <c r="L184" i="38" s="1"/>
  <c r="M184" i="38" a="1"/>
  <c r="M184" i="38" s="1"/>
  <c r="N184" i="38" a="1"/>
  <c r="N184" i="38" s="1"/>
  <c r="O184" i="38" a="1"/>
  <c r="O184" i="38" s="1"/>
  <c r="P184" i="38" a="1"/>
  <c r="P184" i="38" s="1"/>
  <c r="Q184" i="38" a="1"/>
  <c r="Q184" i="38" s="1"/>
  <c r="R184" i="38" a="1"/>
  <c r="R184" i="38" s="1"/>
  <c r="S184" i="38" a="1"/>
  <c r="S184" i="38" s="1"/>
  <c r="C185" i="38" a="1"/>
  <c r="C185" i="38" s="1"/>
  <c r="D185" i="38" a="1"/>
  <c r="D185" i="38" s="1"/>
  <c r="E185" i="38" a="1"/>
  <c r="E185" i="38" s="1"/>
  <c r="F185" i="38" a="1"/>
  <c r="F185" i="38" s="1"/>
  <c r="G185" i="38" a="1"/>
  <c r="G185" i="38" s="1"/>
  <c r="H185" i="38" a="1"/>
  <c r="H185" i="38" s="1"/>
  <c r="I185" i="38" a="1"/>
  <c r="I185" i="38" s="1"/>
  <c r="J185" i="38" a="1"/>
  <c r="J185" i="38" s="1"/>
  <c r="K185" i="38" a="1"/>
  <c r="K185" i="38" s="1"/>
  <c r="L185" i="38" a="1"/>
  <c r="L185" i="38" s="1"/>
  <c r="M185" i="38" a="1"/>
  <c r="M185" i="38" s="1"/>
  <c r="N185" i="38" a="1"/>
  <c r="N185" i="38" s="1"/>
  <c r="O185" i="38" a="1"/>
  <c r="O185" i="38" s="1"/>
  <c r="P185" i="38" a="1"/>
  <c r="P185" i="38" s="1"/>
  <c r="Q185" i="38" a="1"/>
  <c r="Q185" i="38" s="1"/>
  <c r="R185" i="38" a="1"/>
  <c r="R185" i="38" s="1"/>
  <c r="S185" i="38" a="1"/>
  <c r="S185" i="38" s="1"/>
  <c r="C186" i="38" a="1"/>
  <c r="C186" i="38" s="1"/>
  <c r="D186" i="38" a="1"/>
  <c r="D186" i="38" s="1"/>
  <c r="E186" i="38" a="1"/>
  <c r="E186" i="38" s="1"/>
  <c r="F186" i="38" a="1"/>
  <c r="F186" i="38" s="1"/>
  <c r="G186" i="38" a="1"/>
  <c r="G186" i="38" s="1"/>
  <c r="H186" i="38" a="1"/>
  <c r="H186" i="38" s="1"/>
  <c r="I186" i="38" a="1"/>
  <c r="I186" i="38" s="1"/>
  <c r="J186" i="38" a="1"/>
  <c r="J186" i="38" s="1"/>
  <c r="K186" i="38" a="1"/>
  <c r="K186" i="38" s="1"/>
  <c r="L186" i="38" a="1"/>
  <c r="L186" i="38" s="1"/>
  <c r="M186" i="38" a="1"/>
  <c r="M186" i="38" s="1"/>
  <c r="N186" i="38" a="1"/>
  <c r="N186" i="38" s="1"/>
  <c r="O186" i="38" a="1"/>
  <c r="O186" i="38" s="1"/>
  <c r="P186" i="38" a="1"/>
  <c r="P186" i="38" s="1"/>
  <c r="Q186" i="38" a="1"/>
  <c r="Q186" i="38" s="1"/>
  <c r="R186" i="38" a="1"/>
  <c r="R186" i="38" s="1"/>
  <c r="S186" i="38" a="1"/>
  <c r="S186" i="38" s="1"/>
  <c r="C187" i="38" a="1"/>
  <c r="C187" i="38" s="1"/>
  <c r="D187" i="38" a="1"/>
  <c r="D187" i="38" s="1"/>
  <c r="E187" i="38" a="1"/>
  <c r="E187" i="38" s="1"/>
  <c r="F187" i="38" a="1"/>
  <c r="F187" i="38" s="1"/>
  <c r="G187" i="38" a="1"/>
  <c r="G187" i="38" s="1"/>
  <c r="H187" i="38" a="1"/>
  <c r="H187" i="38" s="1"/>
  <c r="I187" i="38" a="1"/>
  <c r="I187" i="38" s="1"/>
  <c r="J187" i="38" a="1"/>
  <c r="J187" i="38" s="1"/>
  <c r="K187" i="38" a="1"/>
  <c r="K187" i="38" s="1"/>
  <c r="L187" i="38" a="1"/>
  <c r="L187" i="38" s="1"/>
  <c r="M187" i="38" a="1"/>
  <c r="M187" i="38" s="1"/>
  <c r="N187" i="38" a="1"/>
  <c r="N187" i="38" s="1"/>
  <c r="O187" i="38" a="1"/>
  <c r="O187" i="38" s="1"/>
  <c r="P187" i="38" a="1"/>
  <c r="P187" i="38" s="1"/>
  <c r="Q187" i="38" a="1"/>
  <c r="Q187" i="38" s="1"/>
  <c r="R187" i="38" a="1"/>
  <c r="R187" i="38" s="1"/>
  <c r="S187" i="38" a="1"/>
  <c r="S187" i="38" s="1"/>
  <c r="C188" i="38" a="1"/>
  <c r="C188" i="38" s="1"/>
  <c r="D188" i="38" a="1"/>
  <c r="D188" i="38" s="1"/>
  <c r="E188" i="38" a="1"/>
  <c r="E188" i="38" s="1"/>
  <c r="F188" i="38" a="1"/>
  <c r="F188" i="38" s="1"/>
  <c r="G188" i="38" a="1"/>
  <c r="G188" i="38" s="1"/>
  <c r="H188" i="38" a="1"/>
  <c r="H188" i="38" s="1"/>
  <c r="I188" i="38" a="1"/>
  <c r="I188" i="38" s="1"/>
  <c r="J188" i="38" a="1"/>
  <c r="J188" i="38" s="1"/>
  <c r="K188" i="38" a="1"/>
  <c r="K188" i="38" s="1"/>
  <c r="L188" i="38" a="1"/>
  <c r="L188" i="38" s="1"/>
  <c r="M188" i="38" a="1"/>
  <c r="M188" i="38" s="1"/>
  <c r="N188" i="38" a="1"/>
  <c r="N188" i="38" s="1"/>
  <c r="O188" i="38" a="1"/>
  <c r="O188" i="38" s="1"/>
  <c r="P188" i="38" a="1"/>
  <c r="P188" i="38" s="1"/>
  <c r="Q188" i="38" a="1"/>
  <c r="Q188" i="38" s="1"/>
  <c r="R188" i="38" a="1"/>
  <c r="R188" i="38" s="1"/>
  <c r="S188" i="38" a="1"/>
  <c r="S188" i="38" s="1"/>
  <c r="C189" i="38" a="1"/>
  <c r="C189" i="38" s="1"/>
  <c r="D189" i="38" a="1"/>
  <c r="D189" i="38" s="1"/>
  <c r="E189" i="38" a="1"/>
  <c r="E189" i="38" s="1"/>
  <c r="F189" i="38" a="1"/>
  <c r="F189" i="38" s="1"/>
  <c r="G189" i="38" a="1"/>
  <c r="G189" i="38" s="1"/>
  <c r="H189" i="38" a="1"/>
  <c r="H189" i="38" s="1"/>
  <c r="I189" i="38" a="1"/>
  <c r="I189" i="38" s="1"/>
  <c r="J189" i="38" a="1"/>
  <c r="J189" i="38" s="1"/>
  <c r="K189" i="38" a="1"/>
  <c r="K189" i="38" s="1"/>
  <c r="L189" i="38" a="1"/>
  <c r="L189" i="38" s="1"/>
  <c r="M189" i="38" a="1"/>
  <c r="M189" i="38" s="1"/>
  <c r="N189" i="38" a="1"/>
  <c r="N189" i="38" s="1"/>
  <c r="O189" i="38" a="1"/>
  <c r="O189" i="38" s="1"/>
  <c r="P189" i="38" a="1"/>
  <c r="P189" i="38" s="1"/>
  <c r="Q189" i="38" a="1"/>
  <c r="Q189" i="38" s="1"/>
  <c r="R189" i="38" a="1"/>
  <c r="R189" i="38" s="1"/>
  <c r="S189" i="38" a="1"/>
  <c r="S189" i="38" s="1"/>
  <c r="C190" i="38" a="1"/>
  <c r="C190" i="38" s="1"/>
  <c r="D190" i="38" a="1"/>
  <c r="D190" i="38" s="1"/>
  <c r="E190" i="38" a="1"/>
  <c r="E190" i="38" s="1"/>
  <c r="F190" i="38" a="1"/>
  <c r="F190" i="38" s="1"/>
  <c r="G190" i="38" a="1"/>
  <c r="G190" i="38" s="1"/>
  <c r="H190" i="38" a="1"/>
  <c r="H190" i="38" s="1"/>
  <c r="I190" i="38" a="1"/>
  <c r="I190" i="38" s="1"/>
  <c r="J190" i="38" a="1"/>
  <c r="J190" i="38" s="1"/>
  <c r="K190" i="38" a="1"/>
  <c r="K190" i="38" s="1"/>
  <c r="L190" i="38" a="1"/>
  <c r="L190" i="38" s="1"/>
  <c r="M190" i="38" a="1"/>
  <c r="M190" i="38" s="1"/>
  <c r="N190" i="38" a="1"/>
  <c r="N190" i="38" s="1"/>
  <c r="O190" i="38" a="1"/>
  <c r="O190" i="38" s="1"/>
  <c r="P190" i="38" a="1"/>
  <c r="P190" i="38" s="1"/>
  <c r="Q190" i="38" a="1"/>
  <c r="Q190" i="38" s="1"/>
  <c r="R190" i="38" a="1"/>
  <c r="R190" i="38" s="1"/>
  <c r="S190" i="38" a="1"/>
  <c r="S190" i="38" s="1"/>
  <c r="C191" i="38" a="1"/>
  <c r="C191" i="38" s="1"/>
  <c r="D191" i="38" a="1"/>
  <c r="D191" i="38" s="1"/>
  <c r="E191" i="38" a="1"/>
  <c r="E191" i="38" s="1"/>
  <c r="F191" i="38" a="1"/>
  <c r="F191" i="38" s="1"/>
  <c r="G191" i="38" a="1"/>
  <c r="G191" i="38" s="1"/>
  <c r="H191" i="38" a="1"/>
  <c r="H191" i="38" s="1"/>
  <c r="I191" i="38" a="1"/>
  <c r="I191" i="38" s="1"/>
  <c r="J191" i="38" a="1"/>
  <c r="J191" i="38" s="1"/>
  <c r="K191" i="38" a="1"/>
  <c r="K191" i="38" s="1"/>
  <c r="L191" i="38" a="1"/>
  <c r="L191" i="38" s="1"/>
  <c r="M191" i="38" a="1"/>
  <c r="M191" i="38" s="1"/>
  <c r="N191" i="38" a="1"/>
  <c r="N191" i="38" s="1"/>
  <c r="O191" i="38" a="1"/>
  <c r="O191" i="38" s="1"/>
  <c r="P191" i="38" a="1"/>
  <c r="P191" i="38" s="1"/>
  <c r="Q191" i="38" a="1"/>
  <c r="Q191" i="38" s="1"/>
  <c r="R191" i="38" a="1"/>
  <c r="R191" i="38" s="1"/>
  <c r="S191" i="38" a="1"/>
  <c r="S191" i="38" s="1"/>
  <c r="C192" i="38" a="1"/>
  <c r="C192" i="38" s="1"/>
  <c r="D192" i="38" a="1"/>
  <c r="D192" i="38" s="1"/>
  <c r="E192" i="38" a="1"/>
  <c r="E192" i="38" s="1"/>
  <c r="F192" i="38" a="1"/>
  <c r="F192" i="38" s="1"/>
  <c r="G192" i="38" a="1"/>
  <c r="G192" i="38" s="1"/>
  <c r="H192" i="38" a="1"/>
  <c r="H192" i="38" s="1"/>
  <c r="I192" i="38" a="1"/>
  <c r="I192" i="38" s="1"/>
  <c r="J192" i="38" a="1"/>
  <c r="J192" i="38" s="1"/>
  <c r="K192" i="38" a="1"/>
  <c r="K192" i="38" s="1"/>
  <c r="L192" i="38" a="1"/>
  <c r="L192" i="38" s="1"/>
  <c r="M192" i="38" a="1"/>
  <c r="M192" i="38" s="1"/>
  <c r="N192" i="38" a="1"/>
  <c r="N192" i="38" s="1"/>
  <c r="O192" i="38" a="1"/>
  <c r="O192" i="38" s="1"/>
  <c r="P192" i="38" a="1"/>
  <c r="P192" i="38" s="1"/>
  <c r="Q192" i="38" a="1"/>
  <c r="Q192" i="38" s="1"/>
  <c r="R192" i="38" a="1"/>
  <c r="R192" i="38" s="1"/>
  <c r="S192" i="38" a="1"/>
  <c r="S192" i="38" s="1"/>
  <c r="C193" i="38" a="1"/>
  <c r="C193" i="38" s="1"/>
  <c r="D193" i="38" a="1"/>
  <c r="D193" i="38" s="1"/>
  <c r="E193" i="38" a="1"/>
  <c r="E193" i="38" s="1"/>
  <c r="F193" i="38" a="1"/>
  <c r="F193" i="38" s="1"/>
  <c r="G193" i="38" a="1"/>
  <c r="G193" i="38" s="1"/>
  <c r="H193" i="38" a="1"/>
  <c r="H193" i="38" s="1"/>
  <c r="I193" i="38" a="1"/>
  <c r="I193" i="38" s="1"/>
  <c r="J193" i="38" a="1"/>
  <c r="J193" i="38" s="1"/>
  <c r="K193" i="38" a="1"/>
  <c r="K193" i="38" s="1"/>
  <c r="L193" i="38" a="1"/>
  <c r="L193" i="38" s="1"/>
  <c r="M193" i="38" a="1"/>
  <c r="M193" i="38" s="1"/>
  <c r="N193" i="38" a="1"/>
  <c r="N193" i="38" s="1"/>
  <c r="O193" i="38" a="1"/>
  <c r="O193" i="38" s="1"/>
  <c r="P193" i="38" a="1"/>
  <c r="P193" i="38" s="1"/>
  <c r="Q193" i="38" a="1"/>
  <c r="Q193" i="38" s="1"/>
  <c r="R193" i="38" a="1"/>
  <c r="R193" i="38" s="1"/>
  <c r="S193" i="38" a="1"/>
  <c r="S193" i="38" s="1"/>
  <c r="C194" i="38" a="1"/>
  <c r="C194" i="38" s="1"/>
  <c r="D194" i="38" a="1"/>
  <c r="D194" i="38" s="1"/>
  <c r="E194" i="38" a="1"/>
  <c r="E194" i="38" s="1"/>
  <c r="F194" i="38" a="1"/>
  <c r="F194" i="38" s="1"/>
  <c r="G194" i="38" a="1"/>
  <c r="G194" i="38" s="1"/>
  <c r="H194" i="38" a="1"/>
  <c r="H194" i="38" s="1"/>
  <c r="I194" i="38" a="1"/>
  <c r="I194" i="38" s="1"/>
  <c r="J194" i="38" a="1"/>
  <c r="J194" i="38" s="1"/>
  <c r="K194" i="38" a="1"/>
  <c r="K194" i="38" s="1"/>
  <c r="L194" i="38" a="1"/>
  <c r="L194" i="38" s="1"/>
  <c r="M194" i="38" a="1"/>
  <c r="M194" i="38" s="1"/>
  <c r="N194" i="38" a="1"/>
  <c r="N194" i="38" s="1"/>
  <c r="O194" i="38" a="1"/>
  <c r="O194" i="38" s="1"/>
  <c r="P194" i="38" a="1"/>
  <c r="P194" i="38" s="1"/>
  <c r="Q194" i="38" a="1"/>
  <c r="Q194" i="38" s="1"/>
  <c r="R194" i="38" a="1"/>
  <c r="R194" i="38" s="1"/>
  <c r="S194" i="38" a="1"/>
  <c r="S194" i="38" s="1"/>
  <c r="C195" i="38" a="1"/>
  <c r="C195" i="38" s="1"/>
  <c r="D195" i="38" a="1"/>
  <c r="D195" i="38" s="1"/>
  <c r="E195" i="38" a="1"/>
  <c r="E195" i="38" s="1"/>
  <c r="F195" i="38" a="1"/>
  <c r="F195" i="38" s="1"/>
  <c r="G195" i="38" a="1"/>
  <c r="G195" i="38" s="1"/>
  <c r="H195" i="38" a="1"/>
  <c r="H195" i="38" s="1"/>
  <c r="I195" i="38" a="1"/>
  <c r="I195" i="38" s="1"/>
  <c r="J195" i="38" a="1"/>
  <c r="J195" i="38" s="1"/>
  <c r="K195" i="38" a="1"/>
  <c r="K195" i="38" s="1"/>
  <c r="L195" i="38" a="1"/>
  <c r="L195" i="38" s="1"/>
  <c r="M195" i="38" a="1"/>
  <c r="M195" i="38" s="1"/>
  <c r="N195" i="38" a="1"/>
  <c r="N195" i="38" s="1"/>
  <c r="O195" i="38" a="1"/>
  <c r="O195" i="38" s="1"/>
  <c r="P195" i="38" a="1"/>
  <c r="P195" i="38" s="1"/>
  <c r="Q195" i="38" a="1"/>
  <c r="Q195" i="38" s="1"/>
  <c r="R195" i="38" a="1"/>
  <c r="R195" i="38" s="1"/>
  <c r="S195" i="38" a="1"/>
  <c r="S195" i="38" s="1"/>
  <c r="C196" i="38" a="1"/>
  <c r="C196" i="38" s="1"/>
  <c r="D196" i="38" a="1"/>
  <c r="D196" i="38" s="1"/>
  <c r="E196" i="38" a="1"/>
  <c r="E196" i="38" s="1"/>
  <c r="F196" i="38" a="1"/>
  <c r="F196" i="38" s="1"/>
  <c r="G196" i="38" a="1"/>
  <c r="G196" i="38" s="1"/>
  <c r="H196" i="38" a="1"/>
  <c r="H196" i="38" s="1"/>
  <c r="I196" i="38" a="1"/>
  <c r="I196" i="38" s="1"/>
  <c r="J196" i="38" a="1"/>
  <c r="J196" i="38" s="1"/>
  <c r="K196" i="38" a="1"/>
  <c r="K196" i="38" s="1"/>
  <c r="L196" i="38" a="1"/>
  <c r="L196" i="38" s="1"/>
  <c r="M196" i="38" a="1"/>
  <c r="M196" i="38" s="1"/>
  <c r="N196" i="38" a="1"/>
  <c r="N196" i="38" s="1"/>
  <c r="O196" i="38" a="1"/>
  <c r="O196" i="38" s="1"/>
  <c r="P196" i="38" a="1"/>
  <c r="P196" i="38" s="1"/>
  <c r="Q196" i="38" a="1"/>
  <c r="Q196" i="38" s="1"/>
  <c r="R196" i="38" a="1"/>
  <c r="R196" i="38" s="1"/>
  <c r="S196" i="38" a="1"/>
  <c r="S196" i="38" s="1"/>
  <c r="C197" i="38" a="1"/>
  <c r="C197" i="38" s="1"/>
  <c r="D197" i="38" a="1"/>
  <c r="D197" i="38" s="1"/>
  <c r="E197" i="38" a="1"/>
  <c r="E197" i="38" s="1"/>
  <c r="F197" i="38" a="1"/>
  <c r="F197" i="38" s="1"/>
  <c r="G197" i="38" a="1"/>
  <c r="G197" i="38" s="1"/>
  <c r="H197" i="38" a="1"/>
  <c r="H197" i="38" s="1"/>
  <c r="I197" i="38" a="1"/>
  <c r="I197" i="38" s="1"/>
  <c r="J197" i="38" a="1"/>
  <c r="J197" i="38" s="1"/>
  <c r="K197" i="38" a="1"/>
  <c r="K197" i="38" s="1"/>
  <c r="L197" i="38" a="1"/>
  <c r="L197" i="38" s="1"/>
  <c r="M197" i="38" a="1"/>
  <c r="M197" i="38" s="1"/>
  <c r="N197" i="38" a="1"/>
  <c r="N197" i="38" s="1"/>
  <c r="O197" i="38" a="1"/>
  <c r="O197" i="38" s="1"/>
  <c r="P197" i="38" a="1"/>
  <c r="P197" i="38" s="1"/>
  <c r="Q197" i="38" a="1"/>
  <c r="Q197" i="38" s="1"/>
  <c r="R197" i="38" a="1"/>
  <c r="R197" i="38" s="1"/>
  <c r="S197" i="38" a="1"/>
  <c r="S197" i="38" s="1"/>
  <c r="C198" i="38" a="1"/>
  <c r="C198" i="38" s="1"/>
  <c r="D198" i="38" a="1"/>
  <c r="D198" i="38" s="1"/>
  <c r="E198" i="38" a="1"/>
  <c r="E198" i="38" s="1"/>
  <c r="F198" i="38" a="1"/>
  <c r="F198" i="38" s="1"/>
  <c r="G198" i="38" a="1"/>
  <c r="G198" i="38" s="1"/>
  <c r="H198" i="38" a="1"/>
  <c r="H198" i="38" s="1"/>
  <c r="I198" i="38" a="1"/>
  <c r="I198" i="38" s="1"/>
  <c r="J198" i="38" a="1"/>
  <c r="J198" i="38" s="1"/>
  <c r="K198" i="38" a="1"/>
  <c r="K198" i="38" s="1"/>
  <c r="L198" i="38" a="1"/>
  <c r="L198" i="38" s="1"/>
  <c r="M198" i="38" a="1"/>
  <c r="M198" i="38" s="1"/>
  <c r="N198" i="38" a="1"/>
  <c r="N198" i="38" s="1"/>
  <c r="O198" i="38" a="1"/>
  <c r="O198" i="38" s="1"/>
  <c r="P198" i="38" a="1"/>
  <c r="P198" i="38" s="1"/>
  <c r="Q198" i="38" a="1"/>
  <c r="Q198" i="38" s="1"/>
  <c r="R198" i="38" a="1"/>
  <c r="R198" i="38" s="1"/>
  <c r="S198" i="38" a="1"/>
  <c r="S198" i="38" s="1"/>
  <c r="C199" i="38" a="1"/>
  <c r="C199" i="38" s="1"/>
  <c r="D199" i="38" a="1"/>
  <c r="D199" i="38" s="1"/>
  <c r="E199" i="38" a="1"/>
  <c r="E199" i="38" s="1"/>
  <c r="F199" i="38" a="1"/>
  <c r="F199" i="38" s="1"/>
  <c r="G199" i="38" a="1"/>
  <c r="G199" i="38" s="1"/>
  <c r="H199" i="38" a="1"/>
  <c r="H199" i="38" s="1"/>
  <c r="I199" i="38" a="1"/>
  <c r="I199" i="38" s="1"/>
  <c r="J199" i="38" a="1"/>
  <c r="J199" i="38" s="1"/>
  <c r="K199" i="38" a="1"/>
  <c r="K199" i="38" s="1"/>
  <c r="L199" i="38" a="1"/>
  <c r="L199" i="38" s="1"/>
  <c r="M199" i="38" a="1"/>
  <c r="M199" i="38" s="1"/>
  <c r="N199" i="38" a="1"/>
  <c r="N199" i="38" s="1"/>
  <c r="O199" i="38" a="1"/>
  <c r="O199" i="38" s="1"/>
  <c r="P199" i="38" a="1"/>
  <c r="P199" i="38" s="1"/>
  <c r="Q199" i="38" a="1"/>
  <c r="Q199" i="38" s="1"/>
  <c r="R199" i="38" a="1"/>
  <c r="R199" i="38" s="1"/>
  <c r="S199" i="38" a="1"/>
  <c r="S199" i="38" s="1"/>
  <c r="C200" i="38" a="1"/>
  <c r="C200" i="38" s="1"/>
  <c r="D200" i="38" a="1"/>
  <c r="D200" i="38" s="1"/>
  <c r="E200" i="38" a="1"/>
  <c r="E200" i="38" s="1"/>
  <c r="F200" i="38" a="1"/>
  <c r="F200" i="38" s="1"/>
  <c r="G200" i="38" a="1"/>
  <c r="G200" i="38" s="1"/>
  <c r="H200" i="38" a="1"/>
  <c r="H200" i="38" s="1"/>
  <c r="I200" i="38" a="1"/>
  <c r="I200" i="38" s="1"/>
  <c r="J200" i="38" a="1"/>
  <c r="J200" i="38" s="1"/>
  <c r="K200" i="38" a="1"/>
  <c r="K200" i="38" s="1"/>
  <c r="L200" i="38" a="1"/>
  <c r="L200" i="38" s="1"/>
  <c r="M200" i="38" a="1"/>
  <c r="M200" i="38" s="1"/>
  <c r="N200" i="38" a="1"/>
  <c r="N200" i="38" s="1"/>
  <c r="O200" i="38" a="1"/>
  <c r="O200" i="38" s="1"/>
  <c r="P200" i="38" a="1"/>
  <c r="P200" i="38" s="1"/>
  <c r="Q200" i="38" a="1"/>
  <c r="Q200" i="38" s="1"/>
  <c r="R200" i="38" a="1"/>
  <c r="R200" i="38" s="1"/>
  <c r="S200" i="38" a="1"/>
  <c r="S200" i="38" s="1"/>
  <c r="C201" i="38" a="1"/>
  <c r="C201" i="38" s="1"/>
  <c r="D201" i="38" a="1"/>
  <c r="D201" i="38" s="1"/>
  <c r="E201" i="38" a="1"/>
  <c r="E201" i="38" s="1"/>
  <c r="F201" i="38" a="1"/>
  <c r="F201" i="38" s="1"/>
  <c r="G201" i="38" a="1"/>
  <c r="G201" i="38" s="1"/>
  <c r="H201" i="38" a="1"/>
  <c r="H201" i="38" s="1"/>
  <c r="I201" i="38" a="1"/>
  <c r="I201" i="38" s="1"/>
  <c r="J201" i="38" a="1"/>
  <c r="J201" i="38" s="1"/>
  <c r="K201" i="38" a="1"/>
  <c r="K201" i="38" s="1"/>
  <c r="L201" i="38" a="1"/>
  <c r="L201" i="38" s="1"/>
  <c r="M201" i="38" a="1"/>
  <c r="M201" i="38" s="1"/>
  <c r="N201" i="38" a="1"/>
  <c r="N201" i="38" s="1"/>
  <c r="O201" i="38" a="1"/>
  <c r="O201" i="38" s="1"/>
  <c r="P201" i="38" a="1"/>
  <c r="P201" i="38" s="1"/>
  <c r="Q201" i="38" a="1"/>
  <c r="Q201" i="38" s="1"/>
  <c r="R201" i="38" a="1"/>
  <c r="R201" i="38" s="1"/>
  <c r="S201" i="38" a="1"/>
  <c r="S201" i="38" s="1"/>
  <c r="C202" i="38" a="1"/>
  <c r="C202" i="38" s="1"/>
  <c r="D202" i="38" a="1"/>
  <c r="D202" i="38" s="1"/>
  <c r="E202" i="38" a="1"/>
  <c r="E202" i="38" s="1"/>
  <c r="F202" i="38" a="1"/>
  <c r="F202" i="38" s="1"/>
  <c r="G202" i="38" a="1"/>
  <c r="G202" i="38" s="1"/>
  <c r="H202" i="38" a="1"/>
  <c r="H202" i="38" s="1"/>
  <c r="I202" i="38" a="1"/>
  <c r="I202" i="38" s="1"/>
  <c r="J202" i="38" a="1"/>
  <c r="J202" i="38" s="1"/>
  <c r="K202" i="38" a="1"/>
  <c r="K202" i="38" s="1"/>
  <c r="L202" i="38" a="1"/>
  <c r="L202" i="38" s="1"/>
  <c r="M202" i="38" a="1"/>
  <c r="M202" i="38" s="1"/>
  <c r="N202" i="38" a="1"/>
  <c r="N202" i="38" s="1"/>
  <c r="O202" i="38" a="1"/>
  <c r="O202" i="38" s="1"/>
  <c r="P202" i="38" a="1"/>
  <c r="P202" i="38" s="1"/>
  <c r="Q202" i="38" a="1"/>
  <c r="Q202" i="38" s="1"/>
  <c r="R202" i="38" a="1"/>
  <c r="R202" i="38" s="1"/>
  <c r="S202" i="38" a="1"/>
  <c r="S202" i="38" s="1"/>
  <c r="C203" i="38" a="1"/>
  <c r="C203" i="38" s="1"/>
  <c r="D203" i="38" a="1"/>
  <c r="D203" i="38" s="1"/>
  <c r="E203" i="38" a="1"/>
  <c r="E203" i="38" s="1"/>
  <c r="F203" i="38" a="1"/>
  <c r="F203" i="38" s="1"/>
  <c r="G203" i="38" a="1"/>
  <c r="G203" i="38" s="1"/>
  <c r="H203" i="38" a="1"/>
  <c r="H203" i="38" s="1"/>
  <c r="I203" i="38" a="1"/>
  <c r="I203" i="38" s="1"/>
  <c r="J203" i="38" a="1"/>
  <c r="J203" i="38" s="1"/>
  <c r="K203" i="38" a="1"/>
  <c r="K203" i="38" s="1"/>
  <c r="L203" i="38" a="1"/>
  <c r="L203" i="38" s="1"/>
  <c r="M203" i="38" a="1"/>
  <c r="M203" i="38" s="1"/>
  <c r="N203" i="38" a="1"/>
  <c r="N203" i="38" s="1"/>
  <c r="O203" i="38" a="1"/>
  <c r="O203" i="38" s="1"/>
  <c r="P203" i="38" a="1"/>
  <c r="P203" i="38" s="1"/>
  <c r="Q203" i="38" a="1"/>
  <c r="Q203" i="38" s="1"/>
  <c r="R203" i="38" a="1"/>
  <c r="R203" i="38" s="1"/>
  <c r="S203" i="38" a="1"/>
  <c r="S203" i="38" s="1"/>
  <c r="C204" i="38" a="1"/>
  <c r="C204" i="38" s="1"/>
  <c r="D204" i="38" a="1"/>
  <c r="D204" i="38" s="1"/>
  <c r="E204" i="38" a="1"/>
  <c r="E204" i="38" s="1"/>
  <c r="F204" i="38" a="1"/>
  <c r="F204" i="38" s="1"/>
  <c r="G204" i="38" a="1"/>
  <c r="G204" i="38" s="1"/>
  <c r="H204" i="38" a="1"/>
  <c r="H204" i="38" s="1"/>
  <c r="I204" i="38" a="1"/>
  <c r="I204" i="38" s="1"/>
  <c r="J204" i="38" a="1"/>
  <c r="J204" i="38" s="1"/>
  <c r="K204" i="38" a="1"/>
  <c r="K204" i="38" s="1"/>
  <c r="L204" i="38" a="1"/>
  <c r="L204" i="38" s="1"/>
  <c r="M204" i="38" a="1"/>
  <c r="M204" i="38" s="1"/>
  <c r="N204" i="38" a="1"/>
  <c r="N204" i="38" s="1"/>
  <c r="O204" i="38" a="1"/>
  <c r="O204" i="38" s="1"/>
  <c r="P204" i="38" a="1"/>
  <c r="P204" i="38" s="1"/>
  <c r="Q204" i="38" a="1"/>
  <c r="Q204" i="38" s="1"/>
  <c r="R204" i="38" a="1"/>
  <c r="R204" i="38" s="1"/>
  <c r="S204" i="38" a="1"/>
  <c r="S204" i="38" s="1"/>
  <c r="C205" i="38" a="1"/>
  <c r="C205" i="38" s="1"/>
  <c r="D205" i="38" a="1"/>
  <c r="D205" i="38" s="1"/>
  <c r="E205" i="38" a="1"/>
  <c r="E205" i="38" s="1"/>
  <c r="F205" i="38" a="1"/>
  <c r="F205" i="38" s="1"/>
  <c r="G205" i="38" a="1"/>
  <c r="G205" i="38" s="1"/>
  <c r="H205" i="38" a="1"/>
  <c r="H205" i="38" s="1"/>
  <c r="I205" i="38" a="1"/>
  <c r="I205" i="38" s="1"/>
  <c r="J205" i="38" a="1"/>
  <c r="J205" i="38" s="1"/>
  <c r="K205" i="38" a="1"/>
  <c r="K205" i="38" s="1"/>
  <c r="L205" i="38" a="1"/>
  <c r="L205" i="38" s="1"/>
  <c r="M205" i="38" a="1"/>
  <c r="M205" i="38" s="1"/>
  <c r="N205" i="38" a="1"/>
  <c r="N205" i="38" s="1"/>
  <c r="O205" i="38" a="1"/>
  <c r="O205" i="38" s="1"/>
  <c r="P205" i="38" a="1"/>
  <c r="P205" i="38" s="1"/>
  <c r="Q205" i="38" a="1"/>
  <c r="Q205" i="38" s="1"/>
  <c r="R205" i="38" a="1"/>
  <c r="R205" i="38" s="1"/>
  <c r="S205" i="38" a="1"/>
  <c r="S205" i="38" s="1"/>
  <c r="C206" i="38" a="1"/>
  <c r="C206" i="38" s="1"/>
  <c r="D206" i="38" a="1"/>
  <c r="D206" i="38" s="1"/>
  <c r="E206" i="38" a="1"/>
  <c r="E206" i="38" s="1"/>
  <c r="F206" i="38" a="1"/>
  <c r="F206" i="38" s="1"/>
  <c r="G206" i="38" a="1"/>
  <c r="G206" i="38" s="1"/>
  <c r="H206" i="38" a="1"/>
  <c r="H206" i="38" s="1"/>
  <c r="I206" i="38" a="1"/>
  <c r="I206" i="38" s="1"/>
  <c r="J206" i="38" a="1"/>
  <c r="J206" i="38" s="1"/>
  <c r="K206" i="38" a="1"/>
  <c r="K206" i="38" s="1"/>
  <c r="L206" i="38" a="1"/>
  <c r="L206" i="38" s="1"/>
  <c r="M206" i="38" a="1"/>
  <c r="M206" i="38" s="1"/>
  <c r="N206" i="38" a="1"/>
  <c r="N206" i="38" s="1"/>
  <c r="O206" i="38" a="1"/>
  <c r="O206" i="38" s="1"/>
  <c r="P206" i="38" a="1"/>
  <c r="P206" i="38" s="1"/>
  <c r="Q206" i="38" a="1"/>
  <c r="Q206" i="38" s="1"/>
  <c r="R206" i="38" a="1"/>
  <c r="R206" i="38" s="1"/>
  <c r="S206" i="38" a="1"/>
  <c r="S206" i="38" s="1"/>
  <c r="C207" i="38" a="1"/>
  <c r="C207" i="38" s="1"/>
  <c r="D207" i="38" a="1"/>
  <c r="D207" i="38" s="1"/>
  <c r="E207" i="38" a="1"/>
  <c r="E207" i="38" s="1"/>
  <c r="F207" i="38" a="1"/>
  <c r="F207" i="38" s="1"/>
  <c r="G207" i="38" a="1"/>
  <c r="G207" i="38" s="1"/>
  <c r="H207" i="38" a="1"/>
  <c r="H207" i="38" s="1"/>
  <c r="I207" i="38" a="1"/>
  <c r="I207" i="38" s="1"/>
  <c r="J207" i="38" a="1"/>
  <c r="J207" i="38" s="1"/>
  <c r="K207" i="38" a="1"/>
  <c r="K207" i="38" s="1"/>
  <c r="L207" i="38" a="1"/>
  <c r="L207" i="38" s="1"/>
  <c r="M207" i="38" a="1"/>
  <c r="M207" i="38" s="1"/>
  <c r="N207" i="38" a="1"/>
  <c r="N207" i="38" s="1"/>
  <c r="O207" i="38" a="1"/>
  <c r="O207" i="38" s="1"/>
  <c r="P207" i="38" a="1"/>
  <c r="P207" i="38" s="1"/>
  <c r="Q207" i="38" a="1"/>
  <c r="Q207" i="38" s="1"/>
  <c r="R207" i="38" a="1"/>
  <c r="R207" i="38" s="1"/>
  <c r="S207" i="38" a="1"/>
  <c r="S207" i="38" s="1"/>
  <c r="C208" i="38" a="1"/>
  <c r="C208" i="38" s="1"/>
  <c r="D208" i="38" a="1"/>
  <c r="D208" i="38" s="1"/>
  <c r="E208" i="38" a="1"/>
  <c r="E208" i="38" s="1"/>
  <c r="F208" i="38" a="1"/>
  <c r="F208" i="38" s="1"/>
  <c r="G208" i="38" a="1"/>
  <c r="G208" i="38" s="1"/>
  <c r="H208" i="38" a="1"/>
  <c r="H208" i="38" s="1"/>
  <c r="I208" i="38" a="1"/>
  <c r="I208" i="38" s="1"/>
  <c r="J208" i="38" a="1"/>
  <c r="J208" i="38" s="1"/>
  <c r="K208" i="38" a="1"/>
  <c r="K208" i="38" s="1"/>
  <c r="L208" i="38" a="1"/>
  <c r="L208" i="38" s="1"/>
  <c r="M208" i="38" a="1"/>
  <c r="M208" i="38" s="1"/>
  <c r="N208" i="38" a="1"/>
  <c r="N208" i="38" s="1"/>
  <c r="O208" i="38" a="1"/>
  <c r="O208" i="38" s="1"/>
  <c r="P208" i="38" a="1"/>
  <c r="P208" i="38" s="1"/>
  <c r="Q208" i="38" a="1"/>
  <c r="Q208" i="38" s="1"/>
  <c r="R208" i="38" a="1"/>
  <c r="R208" i="38" s="1"/>
  <c r="S208" i="38" a="1"/>
  <c r="S208" i="38" s="1"/>
  <c r="C209" i="38" a="1"/>
  <c r="C209" i="38" s="1"/>
  <c r="D209" i="38" a="1"/>
  <c r="D209" i="38" s="1"/>
  <c r="E209" i="38" a="1"/>
  <c r="E209" i="38" s="1"/>
  <c r="F209" i="38" a="1"/>
  <c r="F209" i="38" s="1"/>
  <c r="G209" i="38" a="1"/>
  <c r="G209" i="38" s="1"/>
  <c r="H209" i="38" a="1"/>
  <c r="H209" i="38" s="1"/>
  <c r="I209" i="38" a="1"/>
  <c r="I209" i="38" s="1"/>
  <c r="J209" i="38" a="1"/>
  <c r="J209" i="38" s="1"/>
  <c r="K209" i="38" a="1"/>
  <c r="K209" i="38" s="1"/>
  <c r="L209" i="38" a="1"/>
  <c r="L209" i="38" s="1"/>
  <c r="M209" i="38" a="1"/>
  <c r="M209" i="38" s="1"/>
  <c r="N209" i="38" a="1"/>
  <c r="N209" i="38" s="1"/>
  <c r="O209" i="38" a="1"/>
  <c r="O209" i="38" s="1"/>
  <c r="P209" i="38" a="1"/>
  <c r="P209" i="38" s="1"/>
  <c r="Q209" i="38" a="1"/>
  <c r="Q209" i="38" s="1"/>
  <c r="R209" i="38" a="1"/>
  <c r="R209" i="38" s="1"/>
  <c r="S209" i="38" a="1"/>
  <c r="S209" i="38" s="1"/>
  <c r="C210" i="38" a="1"/>
  <c r="C210" i="38" s="1"/>
  <c r="D210" i="38" a="1"/>
  <c r="D210" i="38" s="1"/>
  <c r="E210" i="38" a="1"/>
  <c r="E210" i="38" s="1"/>
  <c r="F210" i="38" a="1"/>
  <c r="F210" i="38" s="1"/>
  <c r="G210" i="38" a="1"/>
  <c r="G210" i="38" s="1"/>
  <c r="H210" i="38" a="1"/>
  <c r="H210" i="38" s="1"/>
  <c r="I210" i="38" a="1"/>
  <c r="I210" i="38" s="1"/>
  <c r="J210" i="38" a="1"/>
  <c r="J210" i="38" s="1"/>
  <c r="K210" i="38" a="1"/>
  <c r="K210" i="38" s="1"/>
  <c r="L210" i="38" a="1"/>
  <c r="L210" i="38" s="1"/>
  <c r="M210" i="38" a="1"/>
  <c r="M210" i="38" s="1"/>
  <c r="N210" i="38" a="1"/>
  <c r="N210" i="38" s="1"/>
  <c r="O210" i="38" a="1"/>
  <c r="O210" i="38" s="1"/>
  <c r="P210" i="38" a="1"/>
  <c r="P210" i="38" s="1"/>
  <c r="Q210" i="38" a="1"/>
  <c r="Q210" i="38" s="1"/>
  <c r="R210" i="38" a="1"/>
  <c r="R210" i="38" s="1"/>
  <c r="S210" i="38" a="1"/>
  <c r="S210" i="38" s="1"/>
  <c r="C211" i="38" a="1"/>
  <c r="C211" i="38" s="1"/>
  <c r="D211" i="38" a="1"/>
  <c r="D211" i="38" s="1"/>
  <c r="E211" i="38" a="1"/>
  <c r="E211" i="38" s="1"/>
  <c r="F211" i="38" a="1"/>
  <c r="F211" i="38" s="1"/>
  <c r="G211" i="38" a="1"/>
  <c r="G211" i="38" s="1"/>
  <c r="H211" i="38" a="1"/>
  <c r="H211" i="38" s="1"/>
  <c r="I211" i="38" a="1"/>
  <c r="I211" i="38" s="1"/>
  <c r="J211" i="38" a="1"/>
  <c r="J211" i="38" s="1"/>
  <c r="K211" i="38" a="1"/>
  <c r="K211" i="38" s="1"/>
  <c r="L211" i="38" a="1"/>
  <c r="L211" i="38" s="1"/>
  <c r="M211" i="38" a="1"/>
  <c r="M211" i="38" s="1"/>
  <c r="N211" i="38" a="1"/>
  <c r="N211" i="38" s="1"/>
  <c r="O211" i="38" a="1"/>
  <c r="O211" i="38" s="1"/>
  <c r="P211" i="38" a="1"/>
  <c r="P211" i="38" s="1"/>
  <c r="Q211" i="38" a="1"/>
  <c r="Q211" i="38" s="1"/>
  <c r="R211" i="38" a="1"/>
  <c r="R211" i="38" s="1"/>
  <c r="S211" i="38" a="1"/>
  <c r="S211" i="38" s="1"/>
  <c r="C212" i="38" a="1"/>
  <c r="C212" i="38" s="1"/>
  <c r="D212" i="38" a="1"/>
  <c r="D212" i="38" s="1"/>
  <c r="E212" i="38" a="1"/>
  <c r="E212" i="38" s="1"/>
  <c r="F212" i="38" a="1"/>
  <c r="F212" i="38" s="1"/>
  <c r="G212" i="38" a="1"/>
  <c r="G212" i="38" s="1"/>
  <c r="H212" i="38" a="1"/>
  <c r="H212" i="38" s="1"/>
  <c r="I212" i="38" a="1"/>
  <c r="I212" i="38" s="1"/>
  <c r="J212" i="38" a="1"/>
  <c r="J212" i="38" s="1"/>
  <c r="K212" i="38" a="1"/>
  <c r="K212" i="38" s="1"/>
  <c r="L212" i="38" a="1"/>
  <c r="L212" i="38" s="1"/>
  <c r="M212" i="38" a="1"/>
  <c r="M212" i="38" s="1"/>
  <c r="N212" i="38" a="1"/>
  <c r="N212" i="38" s="1"/>
  <c r="O212" i="38" a="1"/>
  <c r="O212" i="38" s="1"/>
  <c r="P212" i="38" a="1"/>
  <c r="P212" i="38" s="1"/>
  <c r="Q212" i="38" a="1"/>
  <c r="Q212" i="38" s="1"/>
  <c r="R212" i="38" a="1"/>
  <c r="R212" i="38" s="1"/>
  <c r="S212" i="38" a="1"/>
  <c r="S212" i="38" s="1"/>
  <c r="C213" i="38" a="1"/>
  <c r="C213" i="38" s="1"/>
  <c r="D213" i="38" a="1"/>
  <c r="D213" i="38" s="1"/>
  <c r="E213" i="38" a="1"/>
  <c r="E213" i="38" s="1"/>
  <c r="F213" i="38" a="1"/>
  <c r="F213" i="38" s="1"/>
  <c r="G213" i="38" a="1"/>
  <c r="G213" i="38" s="1"/>
  <c r="H213" i="38" a="1"/>
  <c r="H213" i="38" s="1"/>
  <c r="I213" i="38" a="1"/>
  <c r="I213" i="38" s="1"/>
  <c r="J213" i="38" a="1"/>
  <c r="J213" i="38" s="1"/>
  <c r="K213" i="38" a="1"/>
  <c r="K213" i="38" s="1"/>
  <c r="L213" i="38" a="1"/>
  <c r="L213" i="38" s="1"/>
  <c r="M213" i="38" a="1"/>
  <c r="M213" i="38" s="1"/>
  <c r="N213" i="38" a="1"/>
  <c r="N213" i="38" s="1"/>
  <c r="O213" i="38" a="1"/>
  <c r="O213" i="38" s="1"/>
  <c r="P213" i="38" a="1"/>
  <c r="P213" i="38" s="1"/>
  <c r="Q213" i="38" a="1"/>
  <c r="Q213" i="38" s="1"/>
  <c r="R213" i="38" a="1"/>
  <c r="R213" i="38" s="1"/>
  <c r="S213" i="38" a="1"/>
  <c r="S213" i="38" s="1"/>
  <c r="C214" i="38" a="1"/>
  <c r="C214" i="38" s="1"/>
  <c r="D214" i="38" a="1"/>
  <c r="D214" i="38" s="1"/>
  <c r="E214" i="38" a="1"/>
  <c r="E214" i="38" s="1"/>
  <c r="F214" i="38" a="1"/>
  <c r="F214" i="38" s="1"/>
  <c r="G214" i="38" a="1"/>
  <c r="G214" i="38" s="1"/>
  <c r="H214" i="38" a="1"/>
  <c r="H214" i="38" s="1"/>
  <c r="I214" i="38" a="1"/>
  <c r="I214" i="38" s="1"/>
  <c r="J214" i="38" a="1"/>
  <c r="J214" i="38" s="1"/>
  <c r="K214" i="38" a="1"/>
  <c r="K214" i="38" s="1"/>
  <c r="L214" i="38" a="1"/>
  <c r="L214" i="38" s="1"/>
  <c r="M214" i="38" a="1"/>
  <c r="M214" i="38" s="1"/>
  <c r="N214" i="38" a="1"/>
  <c r="N214" i="38" s="1"/>
  <c r="O214" i="38" a="1"/>
  <c r="O214" i="38" s="1"/>
  <c r="P214" i="38" a="1"/>
  <c r="P214" i="38" s="1"/>
  <c r="Q214" i="38" a="1"/>
  <c r="Q214" i="38" s="1"/>
  <c r="R214" i="38" a="1"/>
  <c r="R214" i="38" s="1"/>
  <c r="S214" i="38" a="1"/>
  <c r="S214" i="38" s="1"/>
  <c r="C215" i="38" a="1"/>
  <c r="C215" i="38" s="1"/>
  <c r="D215" i="38" a="1"/>
  <c r="D215" i="38" s="1"/>
  <c r="E215" i="38" a="1"/>
  <c r="E215" i="38" s="1"/>
  <c r="F215" i="38" a="1"/>
  <c r="F215" i="38" s="1"/>
  <c r="G215" i="38" a="1"/>
  <c r="G215" i="38" s="1"/>
  <c r="H215" i="38" a="1"/>
  <c r="H215" i="38" s="1"/>
  <c r="I215" i="38" a="1"/>
  <c r="I215" i="38" s="1"/>
  <c r="J215" i="38" a="1"/>
  <c r="J215" i="38" s="1"/>
  <c r="K215" i="38" a="1"/>
  <c r="K215" i="38" s="1"/>
  <c r="L215" i="38" a="1"/>
  <c r="L215" i="38" s="1"/>
  <c r="M215" i="38" a="1"/>
  <c r="M215" i="38" s="1"/>
  <c r="N215" i="38" a="1"/>
  <c r="N215" i="38" s="1"/>
  <c r="O215" i="38" a="1"/>
  <c r="O215" i="38" s="1"/>
  <c r="P215" i="38" a="1"/>
  <c r="P215" i="38" s="1"/>
  <c r="Q215" i="38" a="1"/>
  <c r="Q215" i="38" s="1"/>
  <c r="R215" i="38" a="1"/>
  <c r="R215" i="38" s="1"/>
  <c r="S215" i="38" a="1"/>
  <c r="S215" i="38" s="1"/>
  <c r="C216" i="38" a="1"/>
  <c r="C216" i="38" s="1"/>
  <c r="D216" i="38" a="1"/>
  <c r="D216" i="38" s="1"/>
  <c r="E216" i="38" a="1"/>
  <c r="E216" i="38" s="1"/>
  <c r="F216" i="38" a="1"/>
  <c r="F216" i="38" s="1"/>
  <c r="G216" i="38" a="1"/>
  <c r="G216" i="38" s="1"/>
  <c r="H216" i="38" a="1"/>
  <c r="H216" i="38" s="1"/>
  <c r="I216" i="38" a="1"/>
  <c r="I216" i="38" s="1"/>
  <c r="J216" i="38" a="1"/>
  <c r="J216" i="38" s="1"/>
  <c r="K216" i="38" a="1"/>
  <c r="K216" i="38" s="1"/>
  <c r="L216" i="38" a="1"/>
  <c r="L216" i="38" s="1"/>
  <c r="M216" i="38" a="1"/>
  <c r="M216" i="38" s="1"/>
  <c r="N216" i="38" a="1"/>
  <c r="N216" i="38" s="1"/>
  <c r="O216" i="38" a="1"/>
  <c r="O216" i="38" s="1"/>
  <c r="P216" i="38" a="1"/>
  <c r="P216" i="38" s="1"/>
  <c r="Q216" i="38" a="1"/>
  <c r="Q216" i="38" s="1"/>
  <c r="R216" i="38" a="1"/>
  <c r="R216" i="38" s="1"/>
  <c r="S216" i="38" a="1"/>
  <c r="S216" i="38" s="1"/>
  <c r="C217" i="38" a="1"/>
  <c r="C217" i="38" s="1"/>
  <c r="D217" i="38" a="1"/>
  <c r="D217" i="38" s="1"/>
  <c r="E217" i="38" a="1"/>
  <c r="E217" i="38" s="1"/>
  <c r="F217" i="38" a="1"/>
  <c r="F217" i="38" s="1"/>
  <c r="G217" i="38" a="1"/>
  <c r="G217" i="38" s="1"/>
  <c r="H217" i="38" a="1"/>
  <c r="H217" i="38" s="1"/>
  <c r="I217" i="38" a="1"/>
  <c r="I217" i="38" s="1"/>
  <c r="J217" i="38" a="1"/>
  <c r="J217" i="38" s="1"/>
  <c r="K217" i="38" a="1"/>
  <c r="K217" i="38" s="1"/>
  <c r="L217" i="38" a="1"/>
  <c r="L217" i="38" s="1"/>
  <c r="M217" i="38" a="1"/>
  <c r="M217" i="38" s="1"/>
  <c r="N217" i="38" a="1"/>
  <c r="N217" i="38" s="1"/>
  <c r="O217" i="38" a="1"/>
  <c r="O217" i="38" s="1"/>
  <c r="P217" i="38" a="1"/>
  <c r="P217" i="38" s="1"/>
  <c r="Q217" i="38" a="1"/>
  <c r="Q217" i="38" s="1"/>
  <c r="R217" i="38" a="1"/>
  <c r="R217" i="38" s="1"/>
  <c r="S217" i="38" a="1"/>
  <c r="S217" i="38" s="1"/>
  <c r="C218" i="38" a="1"/>
  <c r="C218" i="38" s="1"/>
  <c r="D218" i="38" a="1"/>
  <c r="D218" i="38" s="1"/>
  <c r="E218" i="38" a="1"/>
  <c r="E218" i="38" s="1"/>
  <c r="F218" i="38" a="1"/>
  <c r="F218" i="38" s="1"/>
  <c r="G218" i="38" a="1"/>
  <c r="G218" i="38" s="1"/>
  <c r="H218" i="38" a="1"/>
  <c r="H218" i="38" s="1"/>
  <c r="I218" i="38" a="1"/>
  <c r="I218" i="38" s="1"/>
  <c r="J218" i="38" a="1"/>
  <c r="J218" i="38" s="1"/>
  <c r="K218" i="38" a="1"/>
  <c r="K218" i="38" s="1"/>
  <c r="L218" i="38" a="1"/>
  <c r="L218" i="38" s="1"/>
  <c r="M218" i="38" a="1"/>
  <c r="M218" i="38" s="1"/>
  <c r="N218" i="38" a="1"/>
  <c r="N218" i="38" s="1"/>
  <c r="O218" i="38" a="1"/>
  <c r="O218" i="38" s="1"/>
  <c r="P218" i="38" a="1"/>
  <c r="P218" i="38" s="1"/>
  <c r="Q218" i="38" a="1"/>
  <c r="Q218" i="38" s="1"/>
  <c r="R218" i="38" a="1"/>
  <c r="R218" i="38" s="1"/>
  <c r="S218" i="38" a="1"/>
  <c r="S218" i="38" s="1"/>
  <c r="C219" i="38" a="1"/>
  <c r="C219" i="38" s="1"/>
  <c r="D219" i="38" a="1"/>
  <c r="D219" i="38" s="1"/>
  <c r="E219" i="38" a="1"/>
  <c r="E219" i="38" s="1"/>
  <c r="F219" i="38" a="1"/>
  <c r="F219" i="38" s="1"/>
  <c r="G219" i="38" a="1"/>
  <c r="G219" i="38" s="1"/>
  <c r="H219" i="38" a="1"/>
  <c r="H219" i="38" s="1"/>
  <c r="I219" i="38" a="1"/>
  <c r="I219" i="38" s="1"/>
  <c r="J219" i="38" a="1"/>
  <c r="J219" i="38" s="1"/>
  <c r="K219" i="38" a="1"/>
  <c r="K219" i="38" s="1"/>
  <c r="L219" i="38" a="1"/>
  <c r="L219" i="38" s="1"/>
  <c r="M219" i="38" a="1"/>
  <c r="M219" i="38" s="1"/>
  <c r="N219" i="38" a="1"/>
  <c r="N219" i="38" s="1"/>
  <c r="O219" i="38" a="1"/>
  <c r="O219" i="38" s="1"/>
  <c r="P219" i="38" a="1"/>
  <c r="P219" i="38" s="1"/>
  <c r="Q219" i="38" a="1"/>
  <c r="Q219" i="38" s="1"/>
  <c r="R219" i="38" a="1"/>
  <c r="R219" i="38" s="1"/>
  <c r="S219" i="38" a="1"/>
  <c r="S219" i="38" s="1"/>
  <c r="C220" i="38" a="1"/>
  <c r="C220" i="38" s="1"/>
  <c r="D220" i="38" a="1"/>
  <c r="D220" i="38" s="1"/>
  <c r="E220" i="38" a="1"/>
  <c r="E220" i="38" s="1"/>
  <c r="F220" i="38" a="1"/>
  <c r="F220" i="38" s="1"/>
  <c r="G220" i="38" a="1"/>
  <c r="G220" i="38" s="1"/>
  <c r="H220" i="38" a="1"/>
  <c r="H220" i="38" s="1"/>
  <c r="I220" i="38" a="1"/>
  <c r="I220" i="38" s="1"/>
  <c r="J220" i="38" a="1"/>
  <c r="J220" i="38" s="1"/>
  <c r="K220" i="38" a="1"/>
  <c r="K220" i="38" s="1"/>
  <c r="L220" i="38" a="1"/>
  <c r="L220" i="38" s="1"/>
  <c r="M220" i="38" a="1"/>
  <c r="M220" i="38" s="1"/>
  <c r="N220" i="38" a="1"/>
  <c r="N220" i="38" s="1"/>
  <c r="O220" i="38" a="1"/>
  <c r="O220" i="38" s="1"/>
  <c r="P220" i="38" a="1"/>
  <c r="P220" i="38" s="1"/>
  <c r="Q220" i="38" a="1"/>
  <c r="Q220" i="38" s="1"/>
  <c r="R220" i="38" a="1"/>
  <c r="R220" i="38" s="1"/>
  <c r="S220" i="38" a="1"/>
  <c r="S220" i="38" s="1"/>
  <c r="C221" i="38" a="1"/>
  <c r="C221" i="38" s="1"/>
  <c r="D221" i="38" a="1"/>
  <c r="D221" i="38" s="1"/>
  <c r="E221" i="38" a="1"/>
  <c r="E221" i="38" s="1"/>
  <c r="F221" i="38" a="1"/>
  <c r="F221" i="38" s="1"/>
  <c r="G221" i="38" a="1"/>
  <c r="G221" i="38" s="1"/>
  <c r="H221" i="38" a="1"/>
  <c r="H221" i="38" s="1"/>
  <c r="I221" i="38" a="1"/>
  <c r="I221" i="38" s="1"/>
  <c r="J221" i="38" a="1"/>
  <c r="J221" i="38" s="1"/>
  <c r="K221" i="38" a="1"/>
  <c r="K221" i="38" s="1"/>
  <c r="L221" i="38" a="1"/>
  <c r="L221" i="38" s="1"/>
  <c r="M221" i="38" a="1"/>
  <c r="M221" i="38" s="1"/>
  <c r="N221" i="38" a="1"/>
  <c r="N221" i="38" s="1"/>
  <c r="O221" i="38" a="1"/>
  <c r="O221" i="38" s="1"/>
  <c r="P221" i="38" a="1"/>
  <c r="P221" i="38" s="1"/>
  <c r="Q221" i="38" a="1"/>
  <c r="Q221" i="38" s="1"/>
  <c r="R221" i="38" a="1"/>
  <c r="R221" i="38" s="1"/>
  <c r="S221" i="38" a="1"/>
  <c r="S221" i="38" s="1"/>
  <c r="C222" i="38" a="1"/>
  <c r="C222" i="38" s="1"/>
  <c r="D222" i="38" a="1"/>
  <c r="D222" i="38" s="1"/>
  <c r="E222" i="38" a="1"/>
  <c r="E222" i="38" s="1"/>
  <c r="F222" i="38" a="1"/>
  <c r="F222" i="38" s="1"/>
  <c r="G222" i="38" a="1"/>
  <c r="G222" i="38" s="1"/>
  <c r="H222" i="38" a="1"/>
  <c r="H222" i="38" s="1"/>
  <c r="I222" i="38" a="1"/>
  <c r="I222" i="38" s="1"/>
  <c r="J222" i="38" a="1"/>
  <c r="J222" i="38" s="1"/>
  <c r="K222" i="38" a="1"/>
  <c r="K222" i="38" s="1"/>
  <c r="L222" i="38" a="1"/>
  <c r="L222" i="38" s="1"/>
  <c r="M222" i="38" a="1"/>
  <c r="M222" i="38" s="1"/>
  <c r="N222" i="38" a="1"/>
  <c r="N222" i="38" s="1"/>
  <c r="O222" i="38" a="1"/>
  <c r="O222" i="38" s="1"/>
  <c r="P222" i="38" a="1"/>
  <c r="P222" i="38" s="1"/>
  <c r="Q222" i="38" a="1"/>
  <c r="Q222" i="38" s="1"/>
  <c r="R222" i="38" a="1"/>
  <c r="R222" i="38" s="1"/>
  <c r="S222" i="38" a="1"/>
  <c r="S222" i="38" s="1"/>
  <c r="C223" i="38" a="1"/>
  <c r="C223" i="38" s="1"/>
  <c r="D223" i="38" a="1"/>
  <c r="D223" i="38" s="1"/>
  <c r="E223" i="38" a="1"/>
  <c r="E223" i="38" s="1"/>
  <c r="F223" i="38" a="1"/>
  <c r="F223" i="38" s="1"/>
  <c r="G223" i="38" a="1"/>
  <c r="G223" i="38" s="1"/>
  <c r="H223" i="38" a="1"/>
  <c r="H223" i="38" s="1"/>
  <c r="I223" i="38" a="1"/>
  <c r="I223" i="38" s="1"/>
  <c r="J223" i="38" a="1"/>
  <c r="J223" i="38" s="1"/>
  <c r="K223" i="38" a="1"/>
  <c r="K223" i="38" s="1"/>
  <c r="L223" i="38" a="1"/>
  <c r="L223" i="38" s="1"/>
  <c r="M223" i="38" a="1"/>
  <c r="M223" i="38" s="1"/>
  <c r="N223" i="38" a="1"/>
  <c r="N223" i="38" s="1"/>
  <c r="O223" i="38" a="1"/>
  <c r="O223" i="38" s="1"/>
  <c r="P223" i="38" a="1"/>
  <c r="P223" i="38" s="1"/>
  <c r="Q223" i="38" a="1"/>
  <c r="Q223" i="38" s="1"/>
  <c r="R223" i="38" a="1"/>
  <c r="R223" i="38" s="1"/>
  <c r="S223" i="38" a="1"/>
  <c r="S223" i="38" s="1"/>
  <c r="C224" i="38" a="1"/>
  <c r="C224" i="38" s="1"/>
  <c r="D224" i="38" a="1"/>
  <c r="D224" i="38" s="1"/>
  <c r="E224" i="38" a="1"/>
  <c r="E224" i="38" s="1"/>
  <c r="F224" i="38" a="1"/>
  <c r="F224" i="38" s="1"/>
  <c r="G224" i="38" a="1"/>
  <c r="G224" i="38" s="1"/>
  <c r="H224" i="38" a="1"/>
  <c r="H224" i="38" s="1"/>
  <c r="I224" i="38" a="1"/>
  <c r="I224" i="38" s="1"/>
  <c r="J224" i="38" a="1"/>
  <c r="J224" i="38" s="1"/>
  <c r="K224" i="38" a="1"/>
  <c r="K224" i="38" s="1"/>
  <c r="L224" i="38" a="1"/>
  <c r="L224" i="38" s="1"/>
  <c r="M224" i="38" a="1"/>
  <c r="M224" i="38" s="1"/>
  <c r="N224" i="38" a="1"/>
  <c r="N224" i="38" s="1"/>
  <c r="O224" i="38" a="1"/>
  <c r="O224" i="38" s="1"/>
  <c r="P224" i="38" a="1"/>
  <c r="P224" i="38" s="1"/>
  <c r="Q224" i="38" a="1"/>
  <c r="Q224" i="38" s="1"/>
  <c r="R224" i="38" a="1"/>
  <c r="R224" i="38" s="1"/>
  <c r="S224" i="38" a="1"/>
  <c r="S224" i="38" s="1"/>
  <c r="C225" i="38" a="1"/>
  <c r="C225" i="38" s="1"/>
  <c r="D225" i="38" a="1"/>
  <c r="D225" i="38" s="1"/>
  <c r="E225" i="38" a="1"/>
  <c r="E225" i="38" s="1"/>
  <c r="F225" i="38" a="1"/>
  <c r="F225" i="38" s="1"/>
  <c r="G225" i="38" a="1"/>
  <c r="G225" i="38" s="1"/>
  <c r="H225" i="38" a="1"/>
  <c r="H225" i="38" s="1"/>
  <c r="I225" i="38" a="1"/>
  <c r="I225" i="38" s="1"/>
  <c r="J225" i="38" a="1"/>
  <c r="J225" i="38" s="1"/>
  <c r="K225" i="38" a="1"/>
  <c r="K225" i="38" s="1"/>
  <c r="L225" i="38" a="1"/>
  <c r="L225" i="38" s="1"/>
  <c r="M225" i="38" a="1"/>
  <c r="M225" i="38" s="1"/>
  <c r="N225" i="38" a="1"/>
  <c r="N225" i="38" s="1"/>
  <c r="O225" i="38" a="1"/>
  <c r="O225" i="38" s="1"/>
  <c r="P225" i="38" a="1"/>
  <c r="P225" i="38" s="1"/>
  <c r="Q225" i="38" a="1"/>
  <c r="Q225" i="38" s="1"/>
  <c r="R225" i="38" a="1"/>
  <c r="R225" i="38" s="1"/>
  <c r="S225" i="38" a="1"/>
  <c r="S225" i="38" s="1"/>
  <c r="C226" i="38" a="1"/>
  <c r="C226" i="38" s="1"/>
  <c r="D226" i="38" a="1"/>
  <c r="D226" i="38" s="1"/>
  <c r="E226" i="38" a="1"/>
  <c r="E226" i="38" s="1"/>
  <c r="F226" i="38" a="1"/>
  <c r="F226" i="38" s="1"/>
  <c r="G226" i="38" a="1"/>
  <c r="G226" i="38" s="1"/>
  <c r="H226" i="38" a="1"/>
  <c r="H226" i="38" s="1"/>
  <c r="I226" i="38" a="1"/>
  <c r="I226" i="38" s="1"/>
  <c r="J226" i="38" a="1"/>
  <c r="J226" i="38" s="1"/>
  <c r="K226" i="38" a="1"/>
  <c r="K226" i="38" s="1"/>
  <c r="L226" i="38" a="1"/>
  <c r="L226" i="38" s="1"/>
  <c r="M226" i="38" a="1"/>
  <c r="M226" i="38" s="1"/>
  <c r="N226" i="38" a="1"/>
  <c r="N226" i="38" s="1"/>
  <c r="O226" i="38" a="1"/>
  <c r="O226" i="38" s="1"/>
  <c r="P226" i="38" a="1"/>
  <c r="P226" i="38" s="1"/>
  <c r="Q226" i="38" a="1"/>
  <c r="Q226" i="38" s="1"/>
  <c r="R226" i="38" a="1"/>
  <c r="R226" i="38" s="1"/>
  <c r="S226" i="38" a="1"/>
  <c r="S226" i="38" s="1"/>
  <c r="C227" i="38" a="1"/>
  <c r="C227" i="38" s="1"/>
  <c r="D227" i="38" a="1"/>
  <c r="D227" i="38" s="1"/>
  <c r="E227" i="38" a="1"/>
  <c r="E227" i="38" s="1"/>
  <c r="F227" i="38" a="1"/>
  <c r="F227" i="38" s="1"/>
  <c r="G227" i="38" a="1"/>
  <c r="G227" i="38" s="1"/>
  <c r="H227" i="38" a="1"/>
  <c r="H227" i="38" s="1"/>
  <c r="I227" i="38" a="1"/>
  <c r="I227" i="38" s="1"/>
  <c r="J227" i="38" a="1"/>
  <c r="J227" i="38" s="1"/>
  <c r="K227" i="38" a="1"/>
  <c r="K227" i="38" s="1"/>
  <c r="L227" i="38" a="1"/>
  <c r="L227" i="38" s="1"/>
  <c r="M227" i="38" a="1"/>
  <c r="M227" i="38" s="1"/>
  <c r="N227" i="38" a="1"/>
  <c r="N227" i="38" s="1"/>
  <c r="O227" i="38" a="1"/>
  <c r="O227" i="38" s="1"/>
  <c r="P227" i="38" a="1"/>
  <c r="P227" i="38" s="1"/>
  <c r="Q227" i="38" a="1"/>
  <c r="Q227" i="38" s="1"/>
  <c r="R227" i="38" a="1"/>
  <c r="R227" i="38" s="1"/>
  <c r="S227" i="38" a="1"/>
  <c r="S227" i="38" s="1"/>
  <c r="C228" i="38" a="1"/>
  <c r="C228" i="38" s="1"/>
  <c r="D228" i="38" a="1"/>
  <c r="D228" i="38" s="1"/>
  <c r="E228" i="38" a="1"/>
  <c r="E228" i="38" s="1"/>
  <c r="F228" i="38" a="1"/>
  <c r="F228" i="38" s="1"/>
  <c r="G228" i="38" a="1"/>
  <c r="G228" i="38" s="1"/>
  <c r="H228" i="38" a="1"/>
  <c r="H228" i="38" s="1"/>
  <c r="I228" i="38" a="1"/>
  <c r="I228" i="38" s="1"/>
  <c r="J228" i="38" a="1"/>
  <c r="J228" i="38" s="1"/>
  <c r="K228" i="38" a="1"/>
  <c r="K228" i="38" s="1"/>
  <c r="L228" i="38" a="1"/>
  <c r="L228" i="38" s="1"/>
  <c r="M228" i="38" a="1"/>
  <c r="M228" i="38" s="1"/>
  <c r="N228" i="38" a="1"/>
  <c r="N228" i="38" s="1"/>
  <c r="O228" i="38" a="1"/>
  <c r="O228" i="38" s="1"/>
  <c r="P228" i="38" a="1"/>
  <c r="P228" i="38" s="1"/>
  <c r="Q228" i="38" a="1"/>
  <c r="Q228" i="38" s="1"/>
  <c r="R228" i="38" a="1"/>
  <c r="R228" i="38" s="1"/>
  <c r="S228" i="38" a="1"/>
  <c r="S228" i="38" s="1"/>
  <c r="C229" i="38" a="1"/>
  <c r="C229" i="38" s="1"/>
  <c r="D229" i="38" a="1"/>
  <c r="D229" i="38" s="1"/>
  <c r="E229" i="38" a="1"/>
  <c r="E229" i="38" s="1"/>
  <c r="F229" i="38" a="1"/>
  <c r="F229" i="38" s="1"/>
  <c r="G229" i="38" a="1"/>
  <c r="G229" i="38" s="1"/>
  <c r="H229" i="38" a="1"/>
  <c r="H229" i="38" s="1"/>
  <c r="I229" i="38" a="1"/>
  <c r="I229" i="38" s="1"/>
  <c r="J229" i="38" a="1"/>
  <c r="J229" i="38" s="1"/>
  <c r="K229" i="38" a="1"/>
  <c r="K229" i="38" s="1"/>
  <c r="L229" i="38" a="1"/>
  <c r="L229" i="38" s="1"/>
  <c r="M229" i="38" a="1"/>
  <c r="M229" i="38" s="1"/>
  <c r="N229" i="38" a="1"/>
  <c r="N229" i="38" s="1"/>
  <c r="O229" i="38" a="1"/>
  <c r="O229" i="38" s="1"/>
  <c r="P229" i="38" a="1"/>
  <c r="P229" i="38" s="1"/>
  <c r="Q229" i="38" a="1"/>
  <c r="Q229" i="38" s="1"/>
  <c r="R229" i="38" a="1"/>
  <c r="R229" i="38" s="1"/>
  <c r="S229" i="38" a="1"/>
  <c r="S229" i="38" s="1"/>
  <c r="C230" i="38" a="1"/>
  <c r="C230" i="38" s="1"/>
  <c r="D230" i="38" a="1"/>
  <c r="D230" i="38" s="1"/>
  <c r="E230" i="38" a="1"/>
  <c r="E230" i="38" s="1"/>
  <c r="F230" i="38" a="1"/>
  <c r="F230" i="38" s="1"/>
  <c r="G230" i="38" a="1"/>
  <c r="G230" i="38" s="1"/>
  <c r="H230" i="38" a="1"/>
  <c r="H230" i="38" s="1"/>
  <c r="I230" i="38" a="1"/>
  <c r="I230" i="38" s="1"/>
  <c r="J230" i="38" a="1"/>
  <c r="J230" i="38" s="1"/>
  <c r="K230" i="38" a="1"/>
  <c r="K230" i="38" s="1"/>
  <c r="L230" i="38" a="1"/>
  <c r="L230" i="38" s="1"/>
  <c r="M230" i="38" a="1"/>
  <c r="M230" i="38" s="1"/>
  <c r="N230" i="38" a="1"/>
  <c r="N230" i="38" s="1"/>
  <c r="O230" i="38" a="1"/>
  <c r="O230" i="38" s="1"/>
  <c r="P230" i="38" a="1"/>
  <c r="P230" i="38" s="1"/>
  <c r="Q230" i="38" a="1"/>
  <c r="Q230" i="38" s="1"/>
  <c r="R230" i="38" a="1"/>
  <c r="R230" i="38" s="1"/>
  <c r="S230" i="38" a="1"/>
  <c r="S230" i="38" s="1"/>
  <c r="C231" i="38" a="1"/>
  <c r="C231" i="38" s="1"/>
  <c r="D231" i="38" a="1"/>
  <c r="D231" i="38" s="1"/>
  <c r="E231" i="38" a="1"/>
  <c r="E231" i="38" s="1"/>
  <c r="F231" i="38" a="1"/>
  <c r="F231" i="38" s="1"/>
  <c r="G231" i="38" a="1"/>
  <c r="G231" i="38" s="1"/>
  <c r="H231" i="38" a="1"/>
  <c r="H231" i="38" s="1"/>
  <c r="I231" i="38" a="1"/>
  <c r="I231" i="38" s="1"/>
  <c r="J231" i="38" a="1"/>
  <c r="J231" i="38" s="1"/>
  <c r="K231" i="38" a="1"/>
  <c r="K231" i="38" s="1"/>
  <c r="L231" i="38" a="1"/>
  <c r="L231" i="38" s="1"/>
  <c r="M231" i="38" a="1"/>
  <c r="M231" i="38" s="1"/>
  <c r="N231" i="38" a="1"/>
  <c r="N231" i="38" s="1"/>
  <c r="O231" i="38" a="1"/>
  <c r="O231" i="38" s="1"/>
  <c r="P231" i="38" a="1"/>
  <c r="P231" i="38" s="1"/>
  <c r="Q231" i="38" a="1"/>
  <c r="Q231" i="38" s="1"/>
  <c r="R231" i="38" a="1"/>
  <c r="R231" i="38" s="1"/>
  <c r="S231" i="38" a="1"/>
  <c r="S231" i="38" s="1"/>
  <c r="C232" i="38" a="1"/>
  <c r="C232" i="38" s="1"/>
  <c r="D232" i="38" a="1"/>
  <c r="D232" i="38" s="1"/>
  <c r="E232" i="38" a="1"/>
  <c r="E232" i="38" s="1"/>
  <c r="F232" i="38" a="1"/>
  <c r="F232" i="38" s="1"/>
  <c r="G232" i="38" a="1"/>
  <c r="G232" i="38" s="1"/>
  <c r="H232" i="38" a="1"/>
  <c r="H232" i="38" s="1"/>
  <c r="I232" i="38" a="1"/>
  <c r="I232" i="38" s="1"/>
  <c r="J232" i="38" a="1"/>
  <c r="J232" i="38" s="1"/>
  <c r="K232" i="38" a="1"/>
  <c r="K232" i="38" s="1"/>
  <c r="L232" i="38" a="1"/>
  <c r="L232" i="38" s="1"/>
  <c r="M232" i="38" a="1"/>
  <c r="M232" i="38" s="1"/>
  <c r="N232" i="38" a="1"/>
  <c r="N232" i="38" s="1"/>
  <c r="O232" i="38" a="1"/>
  <c r="O232" i="38" s="1"/>
  <c r="P232" i="38" a="1"/>
  <c r="P232" i="38" s="1"/>
  <c r="Q232" i="38" a="1"/>
  <c r="Q232" i="38" s="1"/>
  <c r="R232" i="38" a="1"/>
  <c r="R232" i="38" s="1"/>
  <c r="S232" i="38" a="1"/>
  <c r="S232" i="38" s="1"/>
  <c r="C233" i="38" a="1"/>
  <c r="C233" i="38" s="1"/>
  <c r="D233" i="38" a="1"/>
  <c r="D233" i="38" s="1"/>
  <c r="E233" i="38" a="1"/>
  <c r="E233" i="38" s="1"/>
  <c r="F233" i="38" a="1"/>
  <c r="F233" i="38" s="1"/>
  <c r="G233" i="38" a="1"/>
  <c r="G233" i="38" s="1"/>
  <c r="H233" i="38" a="1"/>
  <c r="H233" i="38" s="1"/>
  <c r="I233" i="38" a="1"/>
  <c r="I233" i="38" s="1"/>
  <c r="J233" i="38" a="1"/>
  <c r="J233" i="38" s="1"/>
  <c r="K233" i="38" a="1"/>
  <c r="K233" i="38" s="1"/>
  <c r="L233" i="38" a="1"/>
  <c r="L233" i="38" s="1"/>
  <c r="M233" i="38" a="1"/>
  <c r="M233" i="38" s="1"/>
  <c r="N233" i="38" a="1"/>
  <c r="N233" i="38" s="1"/>
  <c r="O233" i="38" a="1"/>
  <c r="O233" i="38" s="1"/>
  <c r="P233" i="38" a="1"/>
  <c r="P233" i="38" s="1"/>
  <c r="Q233" i="38" a="1"/>
  <c r="Q233" i="38" s="1"/>
  <c r="R233" i="38" a="1"/>
  <c r="R233" i="38" s="1"/>
  <c r="S233" i="38" a="1"/>
  <c r="S233" i="38" s="1"/>
  <c r="C234" i="38" a="1"/>
  <c r="C234" i="38" s="1"/>
  <c r="D234" i="38" a="1"/>
  <c r="D234" i="38" s="1"/>
  <c r="E234" i="38" a="1"/>
  <c r="E234" i="38" s="1"/>
  <c r="F234" i="38" a="1"/>
  <c r="F234" i="38" s="1"/>
  <c r="G234" i="38" a="1"/>
  <c r="G234" i="38" s="1"/>
  <c r="H234" i="38" a="1"/>
  <c r="H234" i="38" s="1"/>
  <c r="I234" i="38" a="1"/>
  <c r="I234" i="38" s="1"/>
  <c r="J234" i="38" a="1"/>
  <c r="J234" i="38" s="1"/>
  <c r="K234" i="38" a="1"/>
  <c r="K234" i="38" s="1"/>
  <c r="L234" i="38" a="1"/>
  <c r="L234" i="38" s="1"/>
  <c r="M234" i="38" a="1"/>
  <c r="M234" i="38" s="1"/>
  <c r="N234" i="38" a="1"/>
  <c r="N234" i="38" s="1"/>
  <c r="O234" i="38" a="1"/>
  <c r="O234" i="38" s="1"/>
  <c r="P234" i="38" a="1"/>
  <c r="P234" i="38" s="1"/>
  <c r="Q234" i="38" a="1"/>
  <c r="Q234" i="38" s="1"/>
  <c r="R234" i="38" a="1"/>
  <c r="R234" i="38" s="1"/>
  <c r="S234" i="38" a="1"/>
  <c r="S234" i="38" s="1"/>
  <c r="C235" i="38" a="1"/>
  <c r="C235" i="38" s="1"/>
  <c r="D235" i="38" a="1"/>
  <c r="D235" i="38" s="1"/>
  <c r="E235" i="38" a="1"/>
  <c r="E235" i="38" s="1"/>
  <c r="F235" i="38" a="1"/>
  <c r="F235" i="38" s="1"/>
  <c r="G235" i="38" a="1"/>
  <c r="G235" i="38" s="1"/>
  <c r="H235" i="38" a="1"/>
  <c r="H235" i="38" s="1"/>
  <c r="I235" i="38" a="1"/>
  <c r="I235" i="38" s="1"/>
  <c r="J235" i="38" a="1"/>
  <c r="J235" i="38" s="1"/>
  <c r="K235" i="38" a="1"/>
  <c r="K235" i="38" s="1"/>
  <c r="L235" i="38" a="1"/>
  <c r="L235" i="38" s="1"/>
  <c r="M235" i="38" a="1"/>
  <c r="M235" i="38" s="1"/>
  <c r="N235" i="38" a="1"/>
  <c r="N235" i="38" s="1"/>
  <c r="O235" i="38" a="1"/>
  <c r="O235" i="38" s="1"/>
  <c r="P235" i="38" a="1"/>
  <c r="P235" i="38" s="1"/>
  <c r="Q235" i="38" a="1"/>
  <c r="Q235" i="38" s="1"/>
  <c r="R235" i="38" a="1"/>
  <c r="R235" i="38" s="1"/>
  <c r="S235" i="38" a="1"/>
  <c r="S235" i="38" s="1"/>
  <c r="C236" i="38" a="1"/>
  <c r="C236" i="38" s="1"/>
  <c r="D236" i="38" a="1"/>
  <c r="D236" i="38" s="1"/>
  <c r="E236" i="38" a="1"/>
  <c r="E236" i="38" s="1"/>
  <c r="F236" i="38" a="1"/>
  <c r="F236" i="38" s="1"/>
  <c r="G236" i="38" a="1"/>
  <c r="G236" i="38" s="1"/>
  <c r="H236" i="38" a="1"/>
  <c r="H236" i="38" s="1"/>
  <c r="I236" i="38" a="1"/>
  <c r="I236" i="38" s="1"/>
  <c r="J236" i="38" a="1"/>
  <c r="J236" i="38" s="1"/>
  <c r="K236" i="38" a="1"/>
  <c r="K236" i="38" s="1"/>
  <c r="L236" i="38" a="1"/>
  <c r="L236" i="38" s="1"/>
  <c r="M236" i="38" a="1"/>
  <c r="M236" i="38" s="1"/>
  <c r="N236" i="38" a="1"/>
  <c r="N236" i="38" s="1"/>
  <c r="O236" i="38" a="1"/>
  <c r="O236" i="38" s="1"/>
  <c r="P236" i="38" a="1"/>
  <c r="P236" i="38" s="1"/>
  <c r="Q236" i="38" a="1"/>
  <c r="Q236" i="38" s="1"/>
  <c r="R236" i="38" a="1"/>
  <c r="R236" i="38" s="1"/>
  <c r="S236" i="38" a="1"/>
  <c r="S236" i="38" s="1"/>
  <c r="C237" i="38" a="1"/>
  <c r="C237" i="38" s="1"/>
  <c r="D237" i="38" a="1"/>
  <c r="D237" i="38" s="1"/>
  <c r="E237" i="38" a="1"/>
  <c r="E237" i="38" s="1"/>
  <c r="F237" i="38" a="1"/>
  <c r="F237" i="38" s="1"/>
  <c r="G237" i="38" a="1"/>
  <c r="G237" i="38" s="1"/>
  <c r="H237" i="38" a="1"/>
  <c r="H237" i="38" s="1"/>
  <c r="I237" i="38" a="1"/>
  <c r="I237" i="38" s="1"/>
  <c r="J237" i="38" a="1"/>
  <c r="J237" i="38" s="1"/>
  <c r="K237" i="38" a="1"/>
  <c r="K237" i="38" s="1"/>
  <c r="L237" i="38" a="1"/>
  <c r="L237" i="38" s="1"/>
  <c r="M237" i="38" a="1"/>
  <c r="M237" i="38" s="1"/>
  <c r="N237" i="38" a="1"/>
  <c r="N237" i="38" s="1"/>
  <c r="O237" i="38" a="1"/>
  <c r="O237" i="38" s="1"/>
  <c r="P237" i="38" a="1"/>
  <c r="P237" i="38" s="1"/>
  <c r="Q237" i="38" a="1"/>
  <c r="Q237" i="38" s="1"/>
  <c r="R237" i="38" a="1"/>
  <c r="R237" i="38" s="1"/>
  <c r="S237" i="38" a="1"/>
  <c r="S237" i="38" s="1"/>
  <c r="C238" i="38" a="1"/>
  <c r="C238" i="38" s="1"/>
  <c r="D238" i="38" a="1"/>
  <c r="D238" i="38" s="1"/>
  <c r="E238" i="38" a="1"/>
  <c r="E238" i="38" s="1"/>
  <c r="F238" i="38" a="1"/>
  <c r="F238" i="38" s="1"/>
  <c r="G238" i="38" a="1"/>
  <c r="G238" i="38" s="1"/>
  <c r="H238" i="38" a="1"/>
  <c r="H238" i="38" s="1"/>
  <c r="I238" i="38" a="1"/>
  <c r="I238" i="38" s="1"/>
  <c r="J238" i="38" a="1"/>
  <c r="J238" i="38" s="1"/>
  <c r="K238" i="38" a="1"/>
  <c r="K238" i="38" s="1"/>
  <c r="L238" i="38" a="1"/>
  <c r="L238" i="38" s="1"/>
  <c r="M238" i="38" a="1"/>
  <c r="M238" i="38" s="1"/>
  <c r="N238" i="38" a="1"/>
  <c r="N238" i="38" s="1"/>
  <c r="O238" i="38" a="1"/>
  <c r="O238" i="38" s="1"/>
  <c r="P238" i="38" a="1"/>
  <c r="P238" i="38" s="1"/>
  <c r="Q238" i="38" a="1"/>
  <c r="Q238" i="38" s="1"/>
  <c r="R238" i="38" a="1"/>
  <c r="R238" i="38" s="1"/>
  <c r="S238" i="38" a="1"/>
  <c r="S238" i="38" s="1"/>
  <c r="C239" i="38" a="1"/>
  <c r="C239" i="38" s="1"/>
  <c r="D239" i="38" a="1"/>
  <c r="D239" i="38" s="1"/>
  <c r="E239" i="38" a="1"/>
  <c r="E239" i="38" s="1"/>
  <c r="F239" i="38" a="1"/>
  <c r="F239" i="38" s="1"/>
  <c r="G239" i="38" a="1"/>
  <c r="G239" i="38" s="1"/>
  <c r="H239" i="38" a="1"/>
  <c r="H239" i="38" s="1"/>
  <c r="I239" i="38" a="1"/>
  <c r="I239" i="38" s="1"/>
  <c r="J239" i="38" a="1"/>
  <c r="J239" i="38" s="1"/>
  <c r="K239" i="38" a="1"/>
  <c r="K239" i="38" s="1"/>
  <c r="L239" i="38" a="1"/>
  <c r="L239" i="38" s="1"/>
  <c r="M239" i="38" a="1"/>
  <c r="M239" i="38" s="1"/>
  <c r="N239" i="38" a="1"/>
  <c r="N239" i="38" s="1"/>
  <c r="O239" i="38" a="1"/>
  <c r="O239" i="38" s="1"/>
  <c r="P239" i="38" a="1"/>
  <c r="P239" i="38" s="1"/>
  <c r="Q239" i="38" a="1"/>
  <c r="Q239" i="38" s="1"/>
  <c r="R239" i="38" a="1"/>
  <c r="R239" i="38" s="1"/>
  <c r="S239" i="38" a="1"/>
  <c r="S239" i="38" s="1"/>
  <c r="C240" i="38" a="1"/>
  <c r="C240" i="38" s="1"/>
  <c r="D240" i="38" a="1"/>
  <c r="D240" i="38" s="1"/>
  <c r="E240" i="38" a="1"/>
  <c r="E240" i="38" s="1"/>
  <c r="F240" i="38" a="1"/>
  <c r="F240" i="38" s="1"/>
  <c r="G240" i="38" a="1"/>
  <c r="G240" i="38" s="1"/>
  <c r="H240" i="38" a="1"/>
  <c r="H240" i="38" s="1"/>
  <c r="I240" i="38" a="1"/>
  <c r="I240" i="38" s="1"/>
  <c r="J240" i="38" a="1"/>
  <c r="J240" i="38" s="1"/>
  <c r="K240" i="38" a="1"/>
  <c r="K240" i="38" s="1"/>
  <c r="L240" i="38" a="1"/>
  <c r="L240" i="38" s="1"/>
  <c r="M240" i="38" a="1"/>
  <c r="M240" i="38" s="1"/>
  <c r="N240" i="38" a="1"/>
  <c r="N240" i="38" s="1"/>
  <c r="O240" i="38" a="1"/>
  <c r="O240" i="38" s="1"/>
  <c r="P240" i="38" a="1"/>
  <c r="P240" i="38" s="1"/>
  <c r="Q240" i="38" a="1"/>
  <c r="Q240" i="38" s="1"/>
  <c r="R240" i="38" a="1"/>
  <c r="R240" i="38" s="1"/>
  <c r="S240" i="38" a="1"/>
  <c r="S240" i="38" s="1"/>
  <c r="C241" i="38" a="1"/>
  <c r="C241" i="38" s="1"/>
  <c r="D241" i="38" a="1"/>
  <c r="D241" i="38" s="1"/>
  <c r="E241" i="38" a="1"/>
  <c r="E241" i="38" s="1"/>
  <c r="F241" i="38" a="1"/>
  <c r="F241" i="38" s="1"/>
  <c r="G241" i="38" a="1"/>
  <c r="G241" i="38" s="1"/>
  <c r="H241" i="38" a="1"/>
  <c r="H241" i="38" s="1"/>
  <c r="I241" i="38" a="1"/>
  <c r="I241" i="38" s="1"/>
  <c r="J241" i="38" a="1"/>
  <c r="J241" i="38" s="1"/>
  <c r="K241" i="38" a="1"/>
  <c r="K241" i="38" s="1"/>
  <c r="L241" i="38" a="1"/>
  <c r="L241" i="38" s="1"/>
  <c r="M241" i="38" a="1"/>
  <c r="M241" i="38" s="1"/>
  <c r="N241" i="38" a="1"/>
  <c r="N241" i="38" s="1"/>
  <c r="O241" i="38" a="1"/>
  <c r="O241" i="38" s="1"/>
  <c r="P241" i="38" a="1"/>
  <c r="P241" i="38" s="1"/>
  <c r="Q241" i="38" a="1"/>
  <c r="Q241" i="38" s="1"/>
  <c r="R241" i="38" a="1"/>
  <c r="R241" i="38" s="1"/>
  <c r="S241" i="38" a="1"/>
  <c r="S241" i="38" s="1"/>
  <c r="C242" i="38" a="1"/>
  <c r="C242" i="38" s="1"/>
  <c r="D242" i="38" a="1"/>
  <c r="D242" i="38" s="1"/>
  <c r="E242" i="38" a="1"/>
  <c r="E242" i="38" s="1"/>
  <c r="F242" i="38" a="1"/>
  <c r="F242" i="38" s="1"/>
  <c r="G242" i="38" a="1"/>
  <c r="G242" i="38" s="1"/>
  <c r="H242" i="38" a="1"/>
  <c r="H242" i="38" s="1"/>
  <c r="I242" i="38" a="1"/>
  <c r="I242" i="38" s="1"/>
  <c r="J242" i="38" a="1"/>
  <c r="J242" i="38" s="1"/>
  <c r="K242" i="38" a="1"/>
  <c r="K242" i="38" s="1"/>
  <c r="L242" i="38" a="1"/>
  <c r="L242" i="38" s="1"/>
  <c r="M242" i="38" a="1"/>
  <c r="M242" i="38" s="1"/>
  <c r="N242" i="38" a="1"/>
  <c r="N242" i="38" s="1"/>
  <c r="O242" i="38" a="1"/>
  <c r="O242" i="38" s="1"/>
  <c r="P242" i="38" a="1"/>
  <c r="P242" i="38" s="1"/>
  <c r="Q242" i="38" a="1"/>
  <c r="Q242" i="38" s="1"/>
  <c r="R242" i="38" a="1"/>
  <c r="R242" i="38" s="1"/>
  <c r="S242" i="38" a="1"/>
  <c r="S242" i="38" s="1"/>
  <c r="C243" i="38" a="1"/>
  <c r="C243" i="38" s="1"/>
  <c r="D243" i="38" a="1"/>
  <c r="D243" i="38" s="1"/>
  <c r="E243" i="38" a="1"/>
  <c r="E243" i="38" s="1"/>
  <c r="F243" i="38" a="1"/>
  <c r="F243" i="38" s="1"/>
  <c r="G243" i="38" a="1"/>
  <c r="G243" i="38" s="1"/>
  <c r="H243" i="38" a="1"/>
  <c r="H243" i="38" s="1"/>
  <c r="I243" i="38" a="1"/>
  <c r="I243" i="38" s="1"/>
  <c r="J243" i="38" a="1"/>
  <c r="J243" i="38" s="1"/>
  <c r="K243" i="38" a="1"/>
  <c r="K243" i="38" s="1"/>
  <c r="L243" i="38" a="1"/>
  <c r="L243" i="38" s="1"/>
  <c r="M243" i="38" a="1"/>
  <c r="M243" i="38" s="1"/>
  <c r="N243" i="38" a="1"/>
  <c r="N243" i="38" s="1"/>
  <c r="O243" i="38" a="1"/>
  <c r="O243" i="38" s="1"/>
  <c r="P243" i="38" a="1"/>
  <c r="P243" i="38" s="1"/>
  <c r="Q243" i="38" a="1"/>
  <c r="Q243" i="38" s="1"/>
  <c r="R243" i="38" a="1"/>
  <c r="R243" i="38" s="1"/>
  <c r="S243" i="38" a="1"/>
  <c r="S243" i="38" s="1"/>
  <c r="C244" i="38" a="1"/>
  <c r="C244" i="38" s="1"/>
  <c r="D244" i="38" a="1"/>
  <c r="D244" i="38" s="1"/>
  <c r="E244" i="38" a="1"/>
  <c r="E244" i="38" s="1"/>
  <c r="F244" i="38" a="1"/>
  <c r="F244" i="38" s="1"/>
  <c r="G244" i="38" a="1"/>
  <c r="G244" i="38" s="1"/>
  <c r="H244" i="38" a="1"/>
  <c r="H244" i="38" s="1"/>
  <c r="I244" i="38" a="1"/>
  <c r="I244" i="38" s="1"/>
  <c r="J244" i="38" a="1"/>
  <c r="J244" i="38" s="1"/>
  <c r="K244" i="38" a="1"/>
  <c r="K244" i="38" s="1"/>
  <c r="L244" i="38" a="1"/>
  <c r="L244" i="38" s="1"/>
  <c r="M244" i="38" a="1"/>
  <c r="M244" i="38" s="1"/>
  <c r="N244" i="38" a="1"/>
  <c r="N244" i="38" s="1"/>
  <c r="O244" i="38" a="1"/>
  <c r="O244" i="38" s="1"/>
  <c r="P244" i="38" a="1"/>
  <c r="P244" i="38" s="1"/>
  <c r="Q244" i="38" a="1"/>
  <c r="Q244" i="38" s="1"/>
  <c r="R244" i="38" a="1"/>
  <c r="R244" i="38" s="1"/>
  <c r="S244" i="38" a="1"/>
  <c r="S244" i="38" s="1"/>
  <c r="C245" i="38" a="1"/>
  <c r="C245" i="38" s="1"/>
  <c r="D245" i="38" a="1"/>
  <c r="D245" i="38" s="1"/>
  <c r="E245" i="38" a="1"/>
  <c r="E245" i="38" s="1"/>
  <c r="F245" i="38" a="1"/>
  <c r="F245" i="38" s="1"/>
  <c r="G245" i="38" a="1"/>
  <c r="G245" i="38" s="1"/>
  <c r="H245" i="38" a="1"/>
  <c r="H245" i="38" s="1"/>
  <c r="I245" i="38" a="1"/>
  <c r="I245" i="38" s="1"/>
  <c r="J245" i="38" a="1"/>
  <c r="J245" i="38" s="1"/>
  <c r="K245" i="38" a="1"/>
  <c r="K245" i="38" s="1"/>
  <c r="L245" i="38" a="1"/>
  <c r="L245" i="38" s="1"/>
  <c r="M245" i="38" a="1"/>
  <c r="M245" i="38" s="1"/>
  <c r="N245" i="38" a="1"/>
  <c r="N245" i="38" s="1"/>
  <c r="O245" i="38" a="1"/>
  <c r="O245" i="38" s="1"/>
  <c r="P245" i="38" a="1"/>
  <c r="P245" i="38" s="1"/>
  <c r="Q245" i="38" a="1"/>
  <c r="Q245" i="38" s="1"/>
  <c r="R245" i="38" a="1"/>
  <c r="R245" i="38" s="1"/>
  <c r="S245" i="38" a="1"/>
  <c r="S245" i="38" s="1"/>
  <c r="C246" i="38" a="1"/>
  <c r="C246" i="38" s="1"/>
  <c r="D246" i="38" a="1"/>
  <c r="D246" i="38" s="1"/>
  <c r="E246" i="38" a="1"/>
  <c r="E246" i="38" s="1"/>
  <c r="F246" i="38" a="1"/>
  <c r="F246" i="38" s="1"/>
  <c r="G246" i="38" a="1"/>
  <c r="G246" i="38" s="1"/>
  <c r="H246" i="38" a="1"/>
  <c r="H246" i="38" s="1"/>
  <c r="I246" i="38" a="1"/>
  <c r="I246" i="38" s="1"/>
  <c r="J246" i="38" a="1"/>
  <c r="J246" i="38" s="1"/>
  <c r="K246" i="38" a="1"/>
  <c r="K246" i="38" s="1"/>
  <c r="L246" i="38" a="1"/>
  <c r="L246" i="38" s="1"/>
  <c r="M246" i="38" a="1"/>
  <c r="M246" i="38" s="1"/>
  <c r="N246" i="38" a="1"/>
  <c r="N246" i="38" s="1"/>
  <c r="O246" i="38" a="1"/>
  <c r="O246" i="38" s="1"/>
  <c r="P246" i="38" a="1"/>
  <c r="P246" i="38" s="1"/>
  <c r="Q246" i="38" a="1"/>
  <c r="Q246" i="38" s="1"/>
  <c r="R246" i="38" a="1"/>
  <c r="R246" i="38" s="1"/>
  <c r="S246" i="38" a="1"/>
  <c r="S246" i="38" s="1"/>
  <c r="C247" i="38" a="1"/>
  <c r="C247" i="38" s="1"/>
  <c r="D247" i="38" a="1"/>
  <c r="D247" i="38" s="1"/>
  <c r="E247" i="38" a="1"/>
  <c r="E247" i="38" s="1"/>
  <c r="F247" i="38" a="1"/>
  <c r="F247" i="38" s="1"/>
  <c r="G247" i="38" a="1"/>
  <c r="G247" i="38" s="1"/>
  <c r="H247" i="38" a="1"/>
  <c r="H247" i="38" s="1"/>
  <c r="I247" i="38" a="1"/>
  <c r="I247" i="38" s="1"/>
  <c r="J247" i="38" a="1"/>
  <c r="J247" i="38" s="1"/>
  <c r="K247" i="38" a="1"/>
  <c r="K247" i="38" s="1"/>
  <c r="L247" i="38" a="1"/>
  <c r="L247" i="38" s="1"/>
  <c r="M247" i="38" a="1"/>
  <c r="M247" i="38" s="1"/>
  <c r="N247" i="38" a="1"/>
  <c r="N247" i="38" s="1"/>
  <c r="O247" i="38" a="1"/>
  <c r="O247" i="38" s="1"/>
  <c r="P247" i="38" a="1"/>
  <c r="P247" i="38" s="1"/>
  <c r="Q247" i="38" a="1"/>
  <c r="Q247" i="38" s="1"/>
  <c r="R247" i="38" a="1"/>
  <c r="R247" i="38" s="1"/>
  <c r="S247" i="38" a="1"/>
  <c r="S247" i="38" s="1"/>
  <c r="C248" i="38" a="1"/>
  <c r="C248" i="38" s="1"/>
  <c r="D248" i="38" a="1"/>
  <c r="D248" i="38" s="1"/>
  <c r="E248" i="38" a="1"/>
  <c r="E248" i="38" s="1"/>
  <c r="F248" i="38" a="1"/>
  <c r="F248" i="38" s="1"/>
  <c r="G248" i="38" a="1"/>
  <c r="G248" i="38" s="1"/>
  <c r="H248" i="38" a="1"/>
  <c r="H248" i="38" s="1"/>
  <c r="I248" i="38" a="1"/>
  <c r="I248" i="38" s="1"/>
  <c r="J248" i="38" a="1"/>
  <c r="J248" i="38" s="1"/>
  <c r="K248" i="38" a="1"/>
  <c r="K248" i="38" s="1"/>
  <c r="L248" i="38" a="1"/>
  <c r="L248" i="38" s="1"/>
  <c r="M248" i="38" a="1"/>
  <c r="M248" i="38" s="1"/>
  <c r="N248" i="38" a="1"/>
  <c r="N248" i="38" s="1"/>
  <c r="O248" i="38" a="1"/>
  <c r="O248" i="38" s="1"/>
  <c r="P248" i="38" a="1"/>
  <c r="P248" i="38" s="1"/>
  <c r="Q248" i="38" a="1"/>
  <c r="Q248" i="38" s="1"/>
  <c r="R248" i="38" a="1"/>
  <c r="R248" i="38" s="1"/>
  <c r="S248" i="38" a="1"/>
  <c r="S248" i="38" s="1"/>
  <c r="C249" i="38" a="1"/>
  <c r="C249" i="38" s="1"/>
  <c r="D249" i="38" a="1"/>
  <c r="D249" i="38" s="1"/>
  <c r="E249" i="38" a="1"/>
  <c r="E249" i="38" s="1"/>
  <c r="F249" i="38" a="1"/>
  <c r="F249" i="38" s="1"/>
  <c r="G249" i="38" a="1"/>
  <c r="G249" i="38" s="1"/>
  <c r="H249" i="38" a="1"/>
  <c r="H249" i="38" s="1"/>
  <c r="I249" i="38" a="1"/>
  <c r="I249" i="38" s="1"/>
  <c r="J249" i="38" a="1"/>
  <c r="J249" i="38" s="1"/>
  <c r="K249" i="38" a="1"/>
  <c r="K249" i="38" s="1"/>
  <c r="L249" i="38" a="1"/>
  <c r="L249" i="38" s="1"/>
  <c r="M249" i="38" a="1"/>
  <c r="M249" i="38" s="1"/>
  <c r="N249" i="38" a="1"/>
  <c r="N249" i="38" s="1"/>
  <c r="O249" i="38" a="1"/>
  <c r="O249" i="38" s="1"/>
  <c r="P249" i="38" a="1"/>
  <c r="P249" i="38" s="1"/>
  <c r="Q249" i="38" a="1"/>
  <c r="Q249" i="38" s="1"/>
  <c r="R249" i="38" a="1"/>
  <c r="R249" i="38" s="1"/>
  <c r="S249" i="38" a="1"/>
  <c r="S249" i="38" s="1"/>
  <c r="C250" i="38" a="1"/>
  <c r="C250" i="38" s="1"/>
  <c r="D250" i="38" a="1"/>
  <c r="D250" i="38" s="1"/>
  <c r="E250" i="38" a="1"/>
  <c r="E250" i="38" s="1"/>
  <c r="F250" i="38" a="1"/>
  <c r="F250" i="38" s="1"/>
  <c r="G250" i="38" a="1"/>
  <c r="G250" i="38" s="1"/>
  <c r="H250" i="38" a="1"/>
  <c r="H250" i="38" s="1"/>
  <c r="I250" i="38" a="1"/>
  <c r="I250" i="38" s="1"/>
  <c r="J250" i="38" a="1"/>
  <c r="J250" i="38" s="1"/>
  <c r="K250" i="38" a="1"/>
  <c r="K250" i="38" s="1"/>
  <c r="L250" i="38" a="1"/>
  <c r="L250" i="38" s="1"/>
  <c r="M250" i="38" a="1"/>
  <c r="M250" i="38" s="1"/>
  <c r="N250" i="38" a="1"/>
  <c r="N250" i="38" s="1"/>
  <c r="O250" i="38" a="1"/>
  <c r="O250" i="38" s="1"/>
  <c r="P250" i="38" a="1"/>
  <c r="P250" i="38" s="1"/>
  <c r="Q250" i="38" a="1"/>
  <c r="Q250" i="38" s="1"/>
  <c r="R250" i="38" a="1"/>
  <c r="R250" i="38" s="1"/>
  <c r="S250" i="38" a="1"/>
  <c r="S250" i="38" s="1"/>
  <c r="C251" i="38" a="1"/>
  <c r="C251" i="38" s="1"/>
  <c r="D251" i="38" a="1"/>
  <c r="D251" i="38" s="1"/>
  <c r="E251" i="38" a="1"/>
  <c r="E251" i="38" s="1"/>
  <c r="F251" i="38" a="1"/>
  <c r="F251" i="38" s="1"/>
  <c r="G251" i="38" a="1"/>
  <c r="G251" i="38" s="1"/>
  <c r="H251" i="38" a="1"/>
  <c r="H251" i="38" s="1"/>
  <c r="I251" i="38" a="1"/>
  <c r="I251" i="38" s="1"/>
  <c r="J251" i="38" a="1"/>
  <c r="J251" i="38" s="1"/>
  <c r="K251" i="38" a="1"/>
  <c r="K251" i="38" s="1"/>
  <c r="L251" i="38" a="1"/>
  <c r="L251" i="38" s="1"/>
  <c r="M251" i="38" a="1"/>
  <c r="M251" i="38" s="1"/>
  <c r="N251" i="38" a="1"/>
  <c r="N251" i="38" s="1"/>
  <c r="O251" i="38" a="1"/>
  <c r="O251" i="38" s="1"/>
  <c r="P251" i="38" a="1"/>
  <c r="P251" i="38" s="1"/>
  <c r="Q251" i="38" a="1"/>
  <c r="Q251" i="38" s="1"/>
  <c r="R251" i="38" a="1"/>
  <c r="R251" i="38" s="1"/>
  <c r="S251" i="38" a="1"/>
  <c r="S251" i="38" s="1"/>
  <c r="C252" i="38" a="1"/>
  <c r="C252" i="38" s="1"/>
  <c r="D252" i="38" a="1"/>
  <c r="D252" i="38" s="1"/>
  <c r="E252" i="38" a="1"/>
  <c r="E252" i="38" s="1"/>
  <c r="F252" i="38" a="1"/>
  <c r="F252" i="38" s="1"/>
  <c r="G252" i="38" a="1"/>
  <c r="G252" i="38" s="1"/>
  <c r="H252" i="38" a="1"/>
  <c r="H252" i="38" s="1"/>
  <c r="I252" i="38" a="1"/>
  <c r="I252" i="38" s="1"/>
  <c r="J252" i="38" a="1"/>
  <c r="J252" i="38" s="1"/>
  <c r="K252" i="38" a="1"/>
  <c r="K252" i="38" s="1"/>
  <c r="L252" i="38" a="1"/>
  <c r="L252" i="38" s="1"/>
  <c r="M252" i="38" a="1"/>
  <c r="M252" i="38" s="1"/>
  <c r="N252" i="38" a="1"/>
  <c r="N252" i="38" s="1"/>
  <c r="O252" i="38" a="1"/>
  <c r="O252" i="38" s="1"/>
  <c r="P252" i="38" a="1"/>
  <c r="P252" i="38" s="1"/>
  <c r="Q252" i="38" a="1"/>
  <c r="Q252" i="38" s="1"/>
  <c r="R252" i="38" a="1"/>
  <c r="R252" i="38" s="1"/>
  <c r="S252" i="38" a="1"/>
  <c r="S252" i="38" s="1"/>
  <c r="C253" i="38" a="1"/>
  <c r="C253" i="38" s="1"/>
  <c r="D253" i="38" a="1"/>
  <c r="D253" i="38" s="1"/>
  <c r="E253" i="38" a="1"/>
  <c r="E253" i="38" s="1"/>
  <c r="F253" i="38" a="1"/>
  <c r="F253" i="38" s="1"/>
  <c r="G253" i="38" a="1"/>
  <c r="G253" i="38" s="1"/>
  <c r="H253" i="38" a="1"/>
  <c r="H253" i="38" s="1"/>
  <c r="I253" i="38" a="1"/>
  <c r="I253" i="38" s="1"/>
  <c r="J253" i="38" a="1"/>
  <c r="J253" i="38" s="1"/>
  <c r="K253" i="38" a="1"/>
  <c r="K253" i="38" s="1"/>
  <c r="L253" i="38" a="1"/>
  <c r="L253" i="38" s="1"/>
  <c r="M253" i="38" a="1"/>
  <c r="M253" i="38" s="1"/>
  <c r="N253" i="38" a="1"/>
  <c r="N253" i="38" s="1"/>
  <c r="O253" i="38" a="1"/>
  <c r="O253" i="38" s="1"/>
  <c r="P253" i="38" a="1"/>
  <c r="P253" i="38" s="1"/>
  <c r="Q253" i="38" a="1"/>
  <c r="Q253" i="38" s="1"/>
  <c r="R253" i="38" a="1"/>
  <c r="R253" i="38" s="1"/>
  <c r="S253" i="38" a="1"/>
  <c r="S253" i="38" s="1"/>
  <c r="C254" i="38" a="1"/>
  <c r="C254" i="38" s="1"/>
  <c r="D254" i="38" a="1"/>
  <c r="D254" i="38" s="1"/>
  <c r="E254" i="38" a="1"/>
  <c r="E254" i="38" s="1"/>
  <c r="F254" i="38" a="1"/>
  <c r="F254" i="38" s="1"/>
  <c r="G254" i="38" a="1"/>
  <c r="G254" i="38" s="1"/>
  <c r="H254" i="38" a="1"/>
  <c r="H254" i="38" s="1"/>
  <c r="I254" i="38" a="1"/>
  <c r="I254" i="38" s="1"/>
  <c r="J254" i="38" a="1"/>
  <c r="J254" i="38" s="1"/>
  <c r="K254" i="38" a="1"/>
  <c r="K254" i="38" s="1"/>
  <c r="L254" i="38" a="1"/>
  <c r="L254" i="38" s="1"/>
  <c r="M254" i="38" a="1"/>
  <c r="M254" i="38" s="1"/>
  <c r="N254" i="38" a="1"/>
  <c r="N254" i="38" s="1"/>
  <c r="O254" i="38" a="1"/>
  <c r="O254" i="38" s="1"/>
  <c r="P254" i="38" a="1"/>
  <c r="P254" i="38" s="1"/>
  <c r="Q254" i="38" a="1"/>
  <c r="Q254" i="38" s="1"/>
  <c r="R254" i="38" a="1"/>
  <c r="R254" i="38" s="1"/>
  <c r="S254" i="38" a="1"/>
  <c r="S254" i="38" s="1"/>
  <c r="C255" i="38" a="1"/>
  <c r="C255" i="38" s="1"/>
  <c r="D255" i="38" a="1"/>
  <c r="D255" i="38" s="1"/>
  <c r="E255" i="38" a="1"/>
  <c r="E255" i="38" s="1"/>
  <c r="F255" i="38" a="1"/>
  <c r="F255" i="38" s="1"/>
  <c r="G255" i="38" a="1"/>
  <c r="G255" i="38" s="1"/>
  <c r="H255" i="38" a="1"/>
  <c r="H255" i="38" s="1"/>
  <c r="I255" i="38" a="1"/>
  <c r="I255" i="38" s="1"/>
  <c r="J255" i="38" a="1"/>
  <c r="J255" i="38" s="1"/>
  <c r="K255" i="38" a="1"/>
  <c r="K255" i="38" s="1"/>
  <c r="L255" i="38" a="1"/>
  <c r="L255" i="38" s="1"/>
  <c r="M255" i="38" a="1"/>
  <c r="M255" i="38" s="1"/>
  <c r="N255" i="38" a="1"/>
  <c r="N255" i="38" s="1"/>
  <c r="O255" i="38" a="1"/>
  <c r="O255" i="38" s="1"/>
  <c r="P255" i="38" a="1"/>
  <c r="P255" i="38" s="1"/>
  <c r="Q255" i="38" a="1"/>
  <c r="Q255" i="38" s="1"/>
  <c r="R255" i="38" a="1"/>
  <c r="R255" i="38" s="1"/>
  <c r="S255" i="38" a="1"/>
  <c r="S255" i="38" s="1"/>
  <c r="C256" i="38" a="1"/>
  <c r="C256" i="38" s="1"/>
  <c r="D256" i="38" a="1"/>
  <c r="D256" i="38" s="1"/>
  <c r="E256" i="38" a="1"/>
  <c r="E256" i="38" s="1"/>
  <c r="F256" i="38" a="1"/>
  <c r="F256" i="38" s="1"/>
  <c r="G256" i="38" a="1"/>
  <c r="G256" i="38" s="1"/>
  <c r="H256" i="38" a="1"/>
  <c r="H256" i="38" s="1"/>
  <c r="I256" i="38" a="1"/>
  <c r="I256" i="38" s="1"/>
  <c r="J256" i="38" a="1"/>
  <c r="J256" i="38" s="1"/>
  <c r="K256" i="38" a="1"/>
  <c r="K256" i="38" s="1"/>
  <c r="L256" i="38" a="1"/>
  <c r="L256" i="38" s="1"/>
  <c r="M256" i="38" a="1"/>
  <c r="M256" i="38" s="1"/>
  <c r="N256" i="38" a="1"/>
  <c r="N256" i="38" s="1"/>
  <c r="O256" i="38" a="1"/>
  <c r="O256" i="38" s="1"/>
  <c r="P256" i="38" a="1"/>
  <c r="P256" i="38" s="1"/>
  <c r="Q256" i="38" a="1"/>
  <c r="Q256" i="38" s="1"/>
  <c r="R256" i="38" a="1"/>
  <c r="R256" i="38" s="1"/>
  <c r="S256" i="38" a="1"/>
  <c r="S256" i="38" s="1"/>
  <c r="C257" i="38" a="1"/>
  <c r="C257" i="38" s="1"/>
  <c r="D257" i="38" a="1"/>
  <c r="D257" i="38" s="1"/>
  <c r="E257" i="38" a="1"/>
  <c r="E257" i="38" s="1"/>
  <c r="F257" i="38" a="1"/>
  <c r="F257" i="38" s="1"/>
  <c r="G257" i="38" a="1"/>
  <c r="G257" i="38" s="1"/>
  <c r="H257" i="38" a="1"/>
  <c r="H257" i="38" s="1"/>
  <c r="I257" i="38" a="1"/>
  <c r="I257" i="38" s="1"/>
  <c r="J257" i="38" a="1"/>
  <c r="J257" i="38" s="1"/>
  <c r="K257" i="38" a="1"/>
  <c r="K257" i="38" s="1"/>
  <c r="L257" i="38" a="1"/>
  <c r="L257" i="38" s="1"/>
  <c r="M257" i="38" a="1"/>
  <c r="M257" i="38" s="1"/>
  <c r="N257" i="38" a="1"/>
  <c r="N257" i="38" s="1"/>
  <c r="O257" i="38" a="1"/>
  <c r="O257" i="38" s="1"/>
  <c r="P257" i="38" a="1"/>
  <c r="P257" i="38" s="1"/>
  <c r="Q257" i="38" a="1"/>
  <c r="Q257" i="38" s="1"/>
  <c r="R257" i="38" a="1"/>
  <c r="R257" i="38" s="1"/>
  <c r="S257" i="38" a="1"/>
  <c r="S257" i="38" s="1"/>
  <c r="C258" i="38" a="1"/>
  <c r="C258" i="38" s="1"/>
  <c r="D258" i="38" a="1"/>
  <c r="D258" i="38" s="1"/>
  <c r="E258" i="38" a="1"/>
  <c r="E258" i="38" s="1"/>
  <c r="F258" i="38" a="1"/>
  <c r="F258" i="38" s="1"/>
  <c r="G258" i="38" a="1"/>
  <c r="G258" i="38" s="1"/>
  <c r="H258" i="38" a="1"/>
  <c r="H258" i="38" s="1"/>
  <c r="I258" i="38" a="1"/>
  <c r="I258" i="38" s="1"/>
  <c r="J258" i="38" a="1"/>
  <c r="J258" i="38" s="1"/>
  <c r="K258" i="38" a="1"/>
  <c r="K258" i="38" s="1"/>
  <c r="L258" i="38" a="1"/>
  <c r="L258" i="38" s="1"/>
  <c r="M258" i="38" a="1"/>
  <c r="M258" i="38" s="1"/>
  <c r="N258" i="38" a="1"/>
  <c r="N258" i="38" s="1"/>
  <c r="O258" i="38" a="1"/>
  <c r="O258" i="38" s="1"/>
  <c r="P258" i="38" a="1"/>
  <c r="P258" i="38" s="1"/>
  <c r="Q258" i="38" a="1"/>
  <c r="Q258" i="38" s="1"/>
  <c r="R258" i="38" a="1"/>
  <c r="R258" i="38" s="1"/>
  <c r="S258" i="38" a="1"/>
  <c r="S258" i="38" s="1"/>
  <c r="C259" i="38" a="1"/>
  <c r="C259" i="38" s="1"/>
  <c r="D259" i="38" a="1"/>
  <c r="D259" i="38" s="1"/>
  <c r="E259" i="38" a="1"/>
  <c r="E259" i="38" s="1"/>
  <c r="F259" i="38" a="1"/>
  <c r="F259" i="38" s="1"/>
  <c r="G259" i="38" a="1"/>
  <c r="G259" i="38" s="1"/>
  <c r="H259" i="38" a="1"/>
  <c r="H259" i="38" s="1"/>
  <c r="I259" i="38" a="1"/>
  <c r="I259" i="38" s="1"/>
  <c r="J259" i="38" a="1"/>
  <c r="J259" i="38" s="1"/>
  <c r="K259" i="38" a="1"/>
  <c r="K259" i="38" s="1"/>
  <c r="L259" i="38" a="1"/>
  <c r="L259" i="38" s="1"/>
  <c r="M259" i="38" a="1"/>
  <c r="M259" i="38" s="1"/>
  <c r="N259" i="38" a="1"/>
  <c r="N259" i="38" s="1"/>
  <c r="O259" i="38" a="1"/>
  <c r="O259" i="38" s="1"/>
  <c r="P259" i="38" a="1"/>
  <c r="P259" i="38" s="1"/>
  <c r="Q259" i="38" a="1"/>
  <c r="Q259" i="38" s="1"/>
  <c r="R259" i="38" a="1"/>
  <c r="R259" i="38" s="1"/>
  <c r="S259" i="38" a="1"/>
  <c r="S259" i="38" s="1"/>
  <c r="C260" i="38" a="1"/>
  <c r="C260" i="38" s="1"/>
  <c r="D260" i="38" a="1"/>
  <c r="D260" i="38" s="1"/>
  <c r="E260" i="38" a="1"/>
  <c r="E260" i="38" s="1"/>
  <c r="F260" i="38" a="1"/>
  <c r="F260" i="38" s="1"/>
  <c r="G260" i="38" a="1"/>
  <c r="G260" i="38" s="1"/>
  <c r="H260" i="38" a="1"/>
  <c r="H260" i="38" s="1"/>
  <c r="I260" i="38" a="1"/>
  <c r="I260" i="38" s="1"/>
  <c r="J260" i="38" a="1"/>
  <c r="J260" i="38" s="1"/>
  <c r="K260" i="38" a="1"/>
  <c r="K260" i="38" s="1"/>
  <c r="L260" i="38" a="1"/>
  <c r="L260" i="38" s="1"/>
  <c r="M260" i="38" a="1"/>
  <c r="M260" i="38" s="1"/>
  <c r="N260" i="38" a="1"/>
  <c r="N260" i="38" s="1"/>
  <c r="O260" i="38" a="1"/>
  <c r="O260" i="38" s="1"/>
  <c r="P260" i="38" a="1"/>
  <c r="P260" i="38" s="1"/>
  <c r="Q260" i="38" a="1"/>
  <c r="Q260" i="38" s="1"/>
  <c r="R260" i="38" a="1"/>
  <c r="R260" i="38" s="1"/>
  <c r="S260" i="38" a="1"/>
  <c r="S260" i="38" s="1"/>
  <c r="C261" i="38" a="1"/>
  <c r="C261" i="38" s="1"/>
  <c r="D261" i="38" a="1"/>
  <c r="D261" i="38" s="1"/>
  <c r="E261" i="38" a="1"/>
  <c r="E261" i="38" s="1"/>
  <c r="F261" i="38" a="1"/>
  <c r="F261" i="38" s="1"/>
  <c r="G261" i="38" a="1"/>
  <c r="G261" i="38" s="1"/>
  <c r="H261" i="38" a="1"/>
  <c r="H261" i="38" s="1"/>
  <c r="I261" i="38" a="1"/>
  <c r="I261" i="38" s="1"/>
  <c r="J261" i="38" a="1"/>
  <c r="J261" i="38" s="1"/>
  <c r="K261" i="38" a="1"/>
  <c r="K261" i="38" s="1"/>
  <c r="L261" i="38" a="1"/>
  <c r="L261" i="38" s="1"/>
  <c r="M261" i="38" a="1"/>
  <c r="M261" i="38" s="1"/>
  <c r="N261" i="38" a="1"/>
  <c r="N261" i="38" s="1"/>
  <c r="O261" i="38" a="1"/>
  <c r="O261" i="38" s="1"/>
  <c r="P261" i="38" a="1"/>
  <c r="P261" i="38" s="1"/>
  <c r="Q261" i="38" a="1"/>
  <c r="Q261" i="38" s="1"/>
  <c r="R261" i="38" a="1"/>
  <c r="R261" i="38" s="1"/>
  <c r="S261" i="38" a="1"/>
  <c r="S261" i="38" s="1"/>
  <c r="C262" i="38" a="1"/>
  <c r="C262" i="38" s="1"/>
  <c r="D262" i="38" a="1"/>
  <c r="D262" i="38" s="1"/>
  <c r="E262" i="38" a="1"/>
  <c r="E262" i="38" s="1"/>
  <c r="F262" i="38" a="1"/>
  <c r="F262" i="38" s="1"/>
  <c r="G262" i="38" a="1"/>
  <c r="G262" i="38" s="1"/>
  <c r="H262" i="38" a="1"/>
  <c r="H262" i="38" s="1"/>
  <c r="I262" i="38" a="1"/>
  <c r="I262" i="38" s="1"/>
  <c r="J262" i="38" a="1"/>
  <c r="J262" i="38" s="1"/>
  <c r="K262" i="38" a="1"/>
  <c r="K262" i="38" s="1"/>
  <c r="L262" i="38" a="1"/>
  <c r="L262" i="38" s="1"/>
  <c r="M262" i="38" a="1"/>
  <c r="M262" i="38" s="1"/>
  <c r="N262" i="38" a="1"/>
  <c r="N262" i="38" s="1"/>
  <c r="O262" i="38" a="1"/>
  <c r="O262" i="38" s="1"/>
  <c r="P262" i="38" a="1"/>
  <c r="P262" i="38" s="1"/>
  <c r="Q262" i="38" a="1"/>
  <c r="Q262" i="38" s="1"/>
  <c r="R262" i="38" a="1"/>
  <c r="R262" i="38" s="1"/>
  <c r="S262" i="38" a="1"/>
  <c r="S262" i="38" s="1"/>
  <c r="C263" i="38" a="1"/>
  <c r="C263" i="38" s="1"/>
  <c r="D263" i="38" a="1"/>
  <c r="D263" i="38" s="1"/>
  <c r="E263" i="38" a="1"/>
  <c r="E263" i="38" s="1"/>
  <c r="F263" i="38" a="1"/>
  <c r="F263" i="38" s="1"/>
  <c r="G263" i="38" a="1"/>
  <c r="G263" i="38" s="1"/>
  <c r="H263" i="38" a="1"/>
  <c r="H263" i="38" s="1"/>
  <c r="I263" i="38" a="1"/>
  <c r="I263" i="38" s="1"/>
  <c r="J263" i="38" a="1"/>
  <c r="J263" i="38" s="1"/>
  <c r="K263" i="38" a="1"/>
  <c r="K263" i="38" s="1"/>
  <c r="L263" i="38" a="1"/>
  <c r="L263" i="38" s="1"/>
  <c r="M263" i="38" a="1"/>
  <c r="M263" i="38" s="1"/>
  <c r="N263" i="38" a="1"/>
  <c r="N263" i="38" s="1"/>
  <c r="O263" i="38" a="1"/>
  <c r="O263" i="38" s="1"/>
  <c r="P263" i="38" a="1"/>
  <c r="P263" i="38" s="1"/>
  <c r="Q263" i="38" a="1"/>
  <c r="Q263" i="38" s="1"/>
  <c r="R263" i="38" a="1"/>
  <c r="R263" i="38" s="1"/>
  <c r="S263" i="38" a="1"/>
  <c r="S263" i="38" s="1"/>
  <c r="C264" i="38" a="1"/>
  <c r="C264" i="38" s="1"/>
  <c r="D264" i="38" a="1"/>
  <c r="D264" i="38" s="1"/>
  <c r="E264" i="38" a="1"/>
  <c r="E264" i="38" s="1"/>
  <c r="F264" i="38" a="1"/>
  <c r="F264" i="38" s="1"/>
  <c r="G264" i="38" a="1"/>
  <c r="G264" i="38" s="1"/>
  <c r="H264" i="38" a="1"/>
  <c r="H264" i="38" s="1"/>
  <c r="I264" i="38" a="1"/>
  <c r="I264" i="38" s="1"/>
  <c r="J264" i="38" a="1"/>
  <c r="J264" i="38" s="1"/>
  <c r="K264" i="38" a="1"/>
  <c r="K264" i="38" s="1"/>
  <c r="L264" i="38" a="1"/>
  <c r="L264" i="38" s="1"/>
  <c r="M264" i="38" a="1"/>
  <c r="M264" i="38" s="1"/>
  <c r="N264" i="38" a="1"/>
  <c r="N264" i="38" s="1"/>
  <c r="O264" i="38" a="1"/>
  <c r="O264" i="38" s="1"/>
  <c r="P264" i="38" a="1"/>
  <c r="P264" i="38" s="1"/>
  <c r="Q264" i="38" a="1"/>
  <c r="Q264" i="38" s="1"/>
  <c r="R264" i="38" a="1"/>
  <c r="R264" i="38" s="1"/>
  <c r="S264" i="38" a="1"/>
  <c r="S264" i="38" s="1"/>
  <c r="C265" i="38" a="1"/>
  <c r="C265" i="38" s="1"/>
  <c r="D265" i="38" a="1"/>
  <c r="D265" i="38" s="1"/>
  <c r="E265" i="38" a="1"/>
  <c r="E265" i="38" s="1"/>
  <c r="F265" i="38" a="1"/>
  <c r="F265" i="38" s="1"/>
  <c r="G265" i="38" a="1"/>
  <c r="G265" i="38" s="1"/>
  <c r="H265" i="38" a="1"/>
  <c r="H265" i="38" s="1"/>
  <c r="I265" i="38" a="1"/>
  <c r="I265" i="38" s="1"/>
  <c r="J265" i="38" a="1"/>
  <c r="J265" i="38" s="1"/>
  <c r="K265" i="38" a="1"/>
  <c r="K265" i="38" s="1"/>
  <c r="L265" i="38" a="1"/>
  <c r="L265" i="38" s="1"/>
  <c r="M265" i="38" a="1"/>
  <c r="M265" i="38" s="1"/>
  <c r="N265" i="38" a="1"/>
  <c r="N265" i="38" s="1"/>
  <c r="O265" i="38" a="1"/>
  <c r="O265" i="38" s="1"/>
  <c r="P265" i="38" a="1"/>
  <c r="P265" i="38" s="1"/>
  <c r="Q265" i="38" a="1"/>
  <c r="Q265" i="38" s="1"/>
  <c r="R265" i="38" a="1"/>
  <c r="R265" i="38" s="1"/>
  <c r="S265" i="38" a="1"/>
  <c r="S265" i="38" s="1"/>
  <c r="C266" i="38" a="1"/>
  <c r="C266" i="38" s="1"/>
  <c r="D266" i="38" a="1"/>
  <c r="D266" i="38" s="1"/>
  <c r="E266" i="38" a="1"/>
  <c r="E266" i="38" s="1"/>
  <c r="F266" i="38" a="1"/>
  <c r="F266" i="38" s="1"/>
  <c r="G266" i="38" a="1"/>
  <c r="G266" i="38" s="1"/>
  <c r="H266" i="38" a="1"/>
  <c r="H266" i="38" s="1"/>
  <c r="I266" i="38" a="1"/>
  <c r="I266" i="38" s="1"/>
  <c r="J266" i="38" a="1"/>
  <c r="J266" i="38" s="1"/>
  <c r="K266" i="38" a="1"/>
  <c r="K266" i="38" s="1"/>
  <c r="L266" i="38" a="1"/>
  <c r="L266" i="38" s="1"/>
  <c r="M266" i="38" a="1"/>
  <c r="M266" i="38" s="1"/>
  <c r="N266" i="38" a="1"/>
  <c r="N266" i="38" s="1"/>
  <c r="O266" i="38" a="1"/>
  <c r="O266" i="38" s="1"/>
  <c r="P266" i="38" a="1"/>
  <c r="P266" i="38" s="1"/>
  <c r="Q266" i="38" a="1"/>
  <c r="Q266" i="38" s="1"/>
  <c r="R266" i="38" a="1"/>
  <c r="R266" i="38" s="1"/>
  <c r="S266" i="38" a="1"/>
  <c r="S266" i="38" s="1"/>
  <c r="C267" i="38" a="1"/>
  <c r="C267" i="38" s="1"/>
  <c r="D267" i="38" a="1"/>
  <c r="D267" i="38" s="1"/>
  <c r="E267" i="38" a="1"/>
  <c r="E267" i="38" s="1"/>
  <c r="F267" i="38" a="1"/>
  <c r="F267" i="38" s="1"/>
  <c r="G267" i="38" a="1"/>
  <c r="G267" i="38" s="1"/>
  <c r="H267" i="38" a="1"/>
  <c r="H267" i="38" s="1"/>
  <c r="I267" i="38" a="1"/>
  <c r="I267" i="38" s="1"/>
  <c r="J267" i="38" a="1"/>
  <c r="J267" i="38" s="1"/>
  <c r="K267" i="38" a="1"/>
  <c r="K267" i="38" s="1"/>
  <c r="L267" i="38" a="1"/>
  <c r="L267" i="38" s="1"/>
  <c r="M267" i="38" a="1"/>
  <c r="M267" i="38" s="1"/>
  <c r="N267" i="38" a="1"/>
  <c r="N267" i="38" s="1"/>
  <c r="O267" i="38" a="1"/>
  <c r="O267" i="38" s="1"/>
  <c r="P267" i="38" a="1"/>
  <c r="P267" i="38" s="1"/>
  <c r="Q267" i="38" a="1"/>
  <c r="Q267" i="38" s="1"/>
  <c r="R267" i="38" a="1"/>
  <c r="R267" i="38" s="1"/>
  <c r="S267" i="38" a="1"/>
  <c r="S267" i="38" s="1"/>
  <c r="C268" i="38" a="1"/>
  <c r="C268" i="38" s="1"/>
  <c r="D268" i="38" a="1"/>
  <c r="D268" i="38" s="1"/>
  <c r="E268" i="38" a="1"/>
  <c r="E268" i="38" s="1"/>
  <c r="F268" i="38" a="1"/>
  <c r="F268" i="38" s="1"/>
  <c r="G268" i="38" a="1"/>
  <c r="G268" i="38" s="1"/>
  <c r="H268" i="38" a="1"/>
  <c r="H268" i="38" s="1"/>
  <c r="I268" i="38" a="1"/>
  <c r="I268" i="38" s="1"/>
  <c r="J268" i="38" a="1"/>
  <c r="J268" i="38" s="1"/>
  <c r="K268" i="38" a="1"/>
  <c r="K268" i="38" s="1"/>
  <c r="L268" i="38" a="1"/>
  <c r="L268" i="38" s="1"/>
  <c r="M268" i="38" a="1"/>
  <c r="M268" i="38" s="1"/>
  <c r="N268" i="38" a="1"/>
  <c r="N268" i="38" s="1"/>
  <c r="O268" i="38" a="1"/>
  <c r="O268" i="38" s="1"/>
  <c r="P268" i="38" a="1"/>
  <c r="P268" i="38" s="1"/>
  <c r="Q268" i="38" a="1"/>
  <c r="Q268" i="38" s="1"/>
  <c r="R268" i="38" a="1"/>
  <c r="R268" i="38" s="1"/>
  <c r="S268" i="38" a="1"/>
  <c r="S268" i="38" s="1"/>
  <c r="C269" i="38" a="1"/>
  <c r="C269" i="38" s="1"/>
  <c r="D269" i="38" a="1"/>
  <c r="D269" i="38" s="1"/>
  <c r="E269" i="38" a="1"/>
  <c r="E269" i="38" s="1"/>
  <c r="F269" i="38" a="1"/>
  <c r="F269" i="38" s="1"/>
  <c r="G269" i="38" a="1"/>
  <c r="G269" i="38" s="1"/>
  <c r="H269" i="38" a="1"/>
  <c r="H269" i="38" s="1"/>
  <c r="I269" i="38" a="1"/>
  <c r="I269" i="38" s="1"/>
  <c r="J269" i="38" a="1"/>
  <c r="J269" i="38" s="1"/>
  <c r="K269" i="38" a="1"/>
  <c r="K269" i="38" s="1"/>
  <c r="L269" i="38" a="1"/>
  <c r="L269" i="38" s="1"/>
  <c r="M269" i="38" a="1"/>
  <c r="M269" i="38" s="1"/>
  <c r="N269" i="38" a="1"/>
  <c r="N269" i="38" s="1"/>
  <c r="O269" i="38" a="1"/>
  <c r="O269" i="38" s="1"/>
  <c r="P269" i="38" a="1"/>
  <c r="P269" i="38" s="1"/>
  <c r="Q269" i="38" a="1"/>
  <c r="Q269" i="38" s="1"/>
  <c r="R269" i="38" a="1"/>
  <c r="R269" i="38" s="1"/>
  <c r="S269" i="38" a="1"/>
  <c r="S269" i="38" s="1"/>
  <c r="C270" i="38" a="1"/>
  <c r="C270" i="38" s="1"/>
  <c r="D270" i="38" a="1"/>
  <c r="D270" i="38" s="1"/>
  <c r="E270" i="38" a="1"/>
  <c r="E270" i="38" s="1"/>
  <c r="F270" i="38" a="1"/>
  <c r="F270" i="38" s="1"/>
  <c r="G270" i="38" a="1"/>
  <c r="G270" i="38" s="1"/>
  <c r="H270" i="38" a="1"/>
  <c r="H270" i="38" s="1"/>
  <c r="I270" i="38" a="1"/>
  <c r="I270" i="38" s="1"/>
  <c r="J270" i="38" a="1"/>
  <c r="J270" i="38" s="1"/>
  <c r="K270" i="38" a="1"/>
  <c r="K270" i="38" s="1"/>
  <c r="L270" i="38" a="1"/>
  <c r="L270" i="38" s="1"/>
  <c r="M270" i="38" a="1"/>
  <c r="M270" i="38" s="1"/>
  <c r="N270" i="38" a="1"/>
  <c r="N270" i="38" s="1"/>
  <c r="O270" i="38" a="1"/>
  <c r="O270" i="38" s="1"/>
  <c r="P270" i="38" a="1"/>
  <c r="P270" i="38" s="1"/>
  <c r="Q270" i="38" a="1"/>
  <c r="Q270" i="38" s="1"/>
  <c r="R270" i="38" a="1"/>
  <c r="R270" i="38" s="1"/>
  <c r="S270" i="38" a="1"/>
  <c r="S270" i="38" s="1"/>
  <c r="C271" i="38" a="1"/>
  <c r="C271" i="38" s="1"/>
  <c r="D271" i="38" a="1"/>
  <c r="D271" i="38" s="1"/>
  <c r="E271" i="38" a="1"/>
  <c r="E271" i="38" s="1"/>
  <c r="F271" i="38" a="1"/>
  <c r="F271" i="38" s="1"/>
  <c r="G271" i="38" a="1"/>
  <c r="G271" i="38" s="1"/>
  <c r="H271" i="38" a="1"/>
  <c r="H271" i="38" s="1"/>
  <c r="I271" i="38" a="1"/>
  <c r="I271" i="38" s="1"/>
  <c r="J271" i="38" a="1"/>
  <c r="J271" i="38" s="1"/>
  <c r="K271" i="38" a="1"/>
  <c r="K271" i="38" s="1"/>
  <c r="L271" i="38" a="1"/>
  <c r="L271" i="38" s="1"/>
  <c r="M271" i="38" a="1"/>
  <c r="M271" i="38" s="1"/>
  <c r="N271" i="38" a="1"/>
  <c r="N271" i="38" s="1"/>
  <c r="O271" i="38" a="1"/>
  <c r="O271" i="38" s="1"/>
  <c r="P271" i="38" a="1"/>
  <c r="P271" i="38" s="1"/>
  <c r="Q271" i="38" a="1"/>
  <c r="Q271" i="38" s="1"/>
  <c r="R271" i="38" a="1"/>
  <c r="R271" i="38" s="1"/>
  <c r="S271" i="38" a="1"/>
  <c r="S271" i="38" s="1"/>
  <c r="C272" i="38" a="1"/>
  <c r="C272" i="38" s="1"/>
  <c r="D272" i="38" a="1"/>
  <c r="D272" i="38" s="1"/>
  <c r="E272" i="38" a="1"/>
  <c r="E272" i="38" s="1"/>
  <c r="F272" i="38" a="1"/>
  <c r="F272" i="38" s="1"/>
  <c r="G272" i="38" a="1"/>
  <c r="G272" i="38" s="1"/>
  <c r="H272" i="38" a="1"/>
  <c r="H272" i="38" s="1"/>
  <c r="I272" i="38" a="1"/>
  <c r="I272" i="38" s="1"/>
  <c r="J272" i="38" a="1"/>
  <c r="J272" i="38" s="1"/>
  <c r="K272" i="38" a="1"/>
  <c r="K272" i="38" s="1"/>
  <c r="L272" i="38" a="1"/>
  <c r="L272" i="38" s="1"/>
  <c r="M272" i="38" a="1"/>
  <c r="M272" i="38" s="1"/>
  <c r="N272" i="38" a="1"/>
  <c r="N272" i="38" s="1"/>
  <c r="O272" i="38" a="1"/>
  <c r="O272" i="38" s="1"/>
  <c r="P272" i="38" a="1"/>
  <c r="P272" i="38" s="1"/>
  <c r="Q272" i="38" a="1"/>
  <c r="Q272" i="38" s="1"/>
  <c r="R272" i="38" a="1"/>
  <c r="R272" i="38" s="1"/>
  <c r="S272" i="38" a="1"/>
  <c r="S272" i="38" s="1"/>
  <c r="C273" i="38" a="1"/>
  <c r="C273" i="38" s="1"/>
  <c r="D273" i="38" a="1"/>
  <c r="D273" i="38" s="1"/>
  <c r="E273" i="38" a="1"/>
  <c r="E273" i="38" s="1"/>
  <c r="F273" i="38" a="1"/>
  <c r="F273" i="38" s="1"/>
  <c r="G273" i="38" a="1"/>
  <c r="G273" i="38" s="1"/>
  <c r="H273" i="38" a="1"/>
  <c r="H273" i="38" s="1"/>
  <c r="I273" i="38" a="1"/>
  <c r="I273" i="38" s="1"/>
  <c r="J273" i="38" a="1"/>
  <c r="J273" i="38" s="1"/>
  <c r="K273" i="38" a="1"/>
  <c r="K273" i="38" s="1"/>
  <c r="L273" i="38" a="1"/>
  <c r="L273" i="38" s="1"/>
  <c r="M273" i="38" a="1"/>
  <c r="M273" i="38" s="1"/>
  <c r="N273" i="38" a="1"/>
  <c r="N273" i="38" s="1"/>
  <c r="O273" i="38" a="1"/>
  <c r="O273" i="38" s="1"/>
  <c r="P273" i="38" a="1"/>
  <c r="P273" i="38" s="1"/>
  <c r="Q273" i="38" a="1"/>
  <c r="Q273" i="38" s="1"/>
  <c r="R273" i="38" a="1"/>
  <c r="R273" i="38" s="1"/>
  <c r="S273" i="38" a="1"/>
  <c r="S273" i="38" s="1"/>
  <c r="C274" i="38" a="1"/>
  <c r="C274" i="38" s="1"/>
  <c r="D274" i="38" a="1"/>
  <c r="D274" i="38" s="1"/>
  <c r="E274" i="38" a="1"/>
  <c r="E274" i="38" s="1"/>
  <c r="F274" i="38" a="1"/>
  <c r="F274" i="38" s="1"/>
  <c r="G274" i="38" a="1"/>
  <c r="G274" i="38" s="1"/>
  <c r="H274" i="38" a="1"/>
  <c r="H274" i="38" s="1"/>
  <c r="I274" i="38" a="1"/>
  <c r="I274" i="38" s="1"/>
  <c r="J274" i="38" a="1"/>
  <c r="J274" i="38" s="1"/>
  <c r="K274" i="38" a="1"/>
  <c r="K274" i="38" s="1"/>
  <c r="L274" i="38" a="1"/>
  <c r="L274" i="38" s="1"/>
  <c r="M274" i="38" a="1"/>
  <c r="M274" i="38" s="1"/>
  <c r="N274" i="38" a="1"/>
  <c r="N274" i="38" s="1"/>
  <c r="O274" i="38" a="1"/>
  <c r="O274" i="38" s="1"/>
  <c r="P274" i="38" a="1"/>
  <c r="P274" i="38" s="1"/>
  <c r="Q274" i="38" a="1"/>
  <c r="Q274" i="38" s="1"/>
  <c r="R274" i="38" a="1"/>
  <c r="R274" i="38" s="1"/>
  <c r="S274" i="38" a="1"/>
  <c r="S274" i="38" s="1"/>
  <c r="C275" i="38" a="1"/>
  <c r="C275" i="38" s="1"/>
  <c r="D275" i="38" a="1"/>
  <c r="D275" i="38" s="1"/>
  <c r="E275" i="38" a="1"/>
  <c r="E275" i="38" s="1"/>
  <c r="F275" i="38" a="1"/>
  <c r="F275" i="38" s="1"/>
  <c r="G275" i="38" a="1"/>
  <c r="G275" i="38" s="1"/>
  <c r="H275" i="38" a="1"/>
  <c r="H275" i="38" s="1"/>
  <c r="I275" i="38" a="1"/>
  <c r="I275" i="38" s="1"/>
  <c r="J275" i="38" a="1"/>
  <c r="J275" i="38" s="1"/>
  <c r="K275" i="38" a="1"/>
  <c r="K275" i="38" s="1"/>
  <c r="L275" i="38" a="1"/>
  <c r="L275" i="38" s="1"/>
  <c r="M275" i="38" a="1"/>
  <c r="M275" i="38" s="1"/>
  <c r="N275" i="38" a="1"/>
  <c r="N275" i="38" s="1"/>
  <c r="O275" i="38" a="1"/>
  <c r="O275" i="38" s="1"/>
  <c r="P275" i="38" a="1"/>
  <c r="P275" i="38" s="1"/>
  <c r="Q275" i="38" a="1"/>
  <c r="Q275" i="38" s="1"/>
  <c r="R275" i="38" a="1"/>
  <c r="R275" i="38" s="1"/>
  <c r="S275" i="38" a="1"/>
  <c r="S275" i="38" s="1"/>
  <c r="C276" i="38" a="1"/>
  <c r="C276" i="38" s="1"/>
  <c r="D276" i="38" a="1"/>
  <c r="D276" i="38" s="1"/>
  <c r="E276" i="38" a="1"/>
  <c r="E276" i="38" s="1"/>
  <c r="F276" i="38" a="1"/>
  <c r="F276" i="38" s="1"/>
  <c r="G276" i="38" a="1"/>
  <c r="G276" i="38" s="1"/>
  <c r="H276" i="38" a="1"/>
  <c r="H276" i="38" s="1"/>
  <c r="I276" i="38" a="1"/>
  <c r="I276" i="38" s="1"/>
  <c r="J276" i="38" a="1"/>
  <c r="J276" i="38" s="1"/>
  <c r="K276" i="38" a="1"/>
  <c r="K276" i="38" s="1"/>
  <c r="L276" i="38" a="1"/>
  <c r="L276" i="38" s="1"/>
  <c r="M276" i="38" a="1"/>
  <c r="M276" i="38" s="1"/>
  <c r="N276" i="38" a="1"/>
  <c r="N276" i="38" s="1"/>
  <c r="O276" i="38" a="1"/>
  <c r="O276" i="38" s="1"/>
  <c r="P276" i="38" a="1"/>
  <c r="P276" i="38" s="1"/>
  <c r="Q276" i="38" a="1"/>
  <c r="Q276" i="38" s="1"/>
  <c r="R276" i="38" a="1"/>
  <c r="R276" i="38" s="1"/>
  <c r="S276" i="38" a="1"/>
  <c r="S276" i="38" s="1"/>
  <c r="C277" i="38" a="1"/>
  <c r="C277" i="38" s="1"/>
  <c r="D277" i="38" a="1"/>
  <c r="D277" i="38" s="1"/>
  <c r="E277" i="38" a="1"/>
  <c r="E277" i="38" s="1"/>
  <c r="F277" i="38" a="1"/>
  <c r="F277" i="38" s="1"/>
  <c r="G277" i="38" a="1"/>
  <c r="G277" i="38" s="1"/>
  <c r="H277" i="38" a="1"/>
  <c r="H277" i="38" s="1"/>
  <c r="I277" i="38" a="1"/>
  <c r="I277" i="38" s="1"/>
  <c r="J277" i="38" a="1"/>
  <c r="J277" i="38" s="1"/>
  <c r="K277" i="38" a="1"/>
  <c r="K277" i="38" s="1"/>
  <c r="L277" i="38" a="1"/>
  <c r="L277" i="38" s="1"/>
  <c r="M277" i="38" a="1"/>
  <c r="M277" i="38" s="1"/>
  <c r="N277" i="38" a="1"/>
  <c r="N277" i="38" s="1"/>
  <c r="O277" i="38" a="1"/>
  <c r="O277" i="38" s="1"/>
  <c r="P277" i="38" a="1"/>
  <c r="P277" i="38" s="1"/>
  <c r="Q277" i="38" a="1"/>
  <c r="Q277" i="38" s="1"/>
  <c r="R277" i="38" a="1"/>
  <c r="R277" i="38" s="1"/>
  <c r="S277" i="38" a="1"/>
  <c r="S277" i="38" s="1"/>
  <c r="C278" i="38" a="1"/>
  <c r="C278" i="38" s="1"/>
  <c r="D278" i="38" a="1"/>
  <c r="D278" i="38" s="1"/>
  <c r="E278" i="38" a="1"/>
  <c r="E278" i="38" s="1"/>
  <c r="F278" i="38" a="1"/>
  <c r="F278" i="38" s="1"/>
  <c r="G278" i="38" a="1"/>
  <c r="G278" i="38" s="1"/>
  <c r="H278" i="38" a="1"/>
  <c r="H278" i="38" s="1"/>
  <c r="I278" i="38" a="1"/>
  <c r="I278" i="38" s="1"/>
  <c r="J278" i="38" a="1"/>
  <c r="J278" i="38" s="1"/>
  <c r="K278" i="38" a="1"/>
  <c r="K278" i="38" s="1"/>
  <c r="L278" i="38" a="1"/>
  <c r="L278" i="38" s="1"/>
  <c r="M278" i="38" a="1"/>
  <c r="M278" i="38" s="1"/>
  <c r="N278" i="38" a="1"/>
  <c r="N278" i="38" s="1"/>
  <c r="O278" i="38" a="1"/>
  <c r="O278" i="38" s="1"/>
  <c r="P278" i="38" a="1"/>
  <c r="P278" i="38" s="1"/>
  <c r="Q278" i="38" a="1"/>
  <c r="Q278" i="38" s="1"/>
  <c r="R278" i="38" a="1"/>
  <c r="R278" i="38" s="1"/>
  <c r="S278" i="38" a="1"/>
  <c r="S278" i="38" s="1"/>
  <c r="C279" i="38" a="1"/>
  <c r="C279" i="38" s="1"/>
  <c r="D279" i="38" a="1"/>
  <c r="D279" i="38" s="1"/>
  <c r="E279" i="38" a="1"/>
  <c r="E279" i="38" s="1"/>
  <c r="F279" i="38" a="1"/>
  <c r="F279" i="38" s="1"/>
  <c r="G279" i="38" a="1"/>
  <c r="G279" i="38" s="1"/>
  <c r="H279" i="38" a="1"/>
  <c r="H279" i="38" s="1"/>
  <c r="I279" i="38" a="1"/>
  <c r="I279" i="38" s="1"/>
  <c r="J279" i="38" a="1"/>
  <c r="J279" i="38" s="1"/>
  <c r="K279" i="38" a="1"/>
  <c r="K279" i="38" s="1"/>
  <c r="L279" i="38" a="1"/>
  <c r="L279" i="38" s="1"/>
  <c r="M279" i="38" a="1"/>
  <c r="M279" i="38" s="1"/>
  <c r="N279" i="38" a="1"/>
  <c r="N279" i="38" s="1"/>
  <c r="O279" i="38" a="1"/>
  <c r="O279" i="38" s="1"/>
  <c r="P279" i="38" a="1"/>
  <c r="P279" i="38" s="1"/>
  <c r="Q279" i="38" a="1"/>
  <c r="Q279" i="38" s="1"/>
  <c r="R279" i="38" a="1"/>
  <c r="R279" i="38" s="1"/>
  <c r="S279" i="38" a="1"/>
  <c r="S279" i="38" s="1"/>
  <c r="C280" i="38" a="1"/>
  <c r="C280" i="38" s="1"/>
  <c r="D280" i="38" a="1"/>
  <c r="D280" i="38" s="1"/>
  <c r="E280" i="38" a="1"/>
  <c r="E280" i="38" s="1"/>
  <c r="F280" i="38" a="1"/>
  <c r="F280" i="38" s="1"/>
  <c r="G280" i="38" a="1"/>
  <c r="G280" i="38" s="1"/>
  <c r="H280" i="38" a="1"/>
  <c r="H280" i="38" s="1"/>
  <c r="I280" i="38" a="1"/>
  <c r="I280" i="38" s="1"/>
  <c r="J280" i="38" a="1"/>
  <c r="J280" i="38" s="1"/>
  <c r="K280" i="38" a="1"/>
  <c r="K280" i="38" s="1"/>
  <c r="L280" i="38" a="1"/>
  <c r="L280" i="38" s="1"/>
  <c r="M280" i="38" a="1"/>
  <c r="M280" i="38" s="1"/>
  <c r="N280" i="38" a="1"/>
  <c r="N280" i="38" s="1"/>
  <c r="O280" i="38" a="1"/>
  <c r="O280" i="38" s="1"/>
  <c r="P280" i="38" a="1"/>
  <c r="P280" i="38" s="1"/>
  <c r="Q280" i="38" a="1"/>
  <c r="Q280" i="38" s="1"/>
  <c r="R280" i="38" a="1"/>
  <c r="R280" i="38" s="1"/>
  <c r="S280" i="38" a="1"/>
  <c r="S280" i="38" s="1"/>
  <c r="C281" i="38" a="1"/>
  <c r="C281" i="38" s="1"/>
  <c r="D281" i="38" a="1"/>
  <c r="D281" i="38" s="1"/>
  <c r="E281" i="38" a="1"/>
  <c r="E281" i="38" s="1"/>
  <c r="F281" i="38" a="1"/>
  <c r="F281" i="38" s="1"/>
  <c r="G281" i="38" a="1"/>
  <c r="G281" i="38" s="1"/>
  <c r="H281" i="38" a="1"/>
  <c r="H281" i="38" s="1"/>
  <c r="I281" i="38" a="1"/>
  <c r="I281" i="38" s="1"/>
  <c r="J281" i="38" a="1"/>
  <c r="J281" i="38" s="1"/>
  <c r="K281" i="38" a="1"/>
  <c r="K281" i="38" s="1"/>
  <c r="L281" i="38" a="1"/>
  <c r="L281" i="38" s="1"/>
  <c r="M281" i="38" a="1"/>
  <c r="M281" i="38" s="1"/>
  <c r="N281" i="38" a="1"/>
  <c r="N281" i="38" s="1"/>
  <c r="O281" i="38" a="1"/>
  <c r="O281" i="38" s="1"/>
  <c r="P281" i="38" a="1"/>
  <c r="P281" i="38" s="1"/>
  <c r="Q281" i="38" a="1"/>
  <c r="Q281" i="38" s="1"/>
  <c r="R281" i="38" a="1"/>
  <c r="R281" i="38" s="1"/>
  <c r="S281" i="38" a="1"/>
  <c r="S281" i="38" s="1"/>
  <c r="C282" i="38" a="1"/>
  <c r="C282" i="38" s="1"/>
  <c r="D282" i="38" a="1"/>
  <c r="D282" i="38" s="1"/>
  <c r="E282" i="38" a="1"/>
  <c r="E282" i="38" s="1"/>
  <c r="F282" i="38" a="1"/>
  <c r="F282" i="38" s="1"/>
  <c r="G282" i="38" a="1"/>
  <c r="G282" i="38" s="1"/>
  <c r="H282" i="38" a="1"/>
  <c r="H282" i="38" s="1"/>
  <c r="I282" i="38" a="1"/>
  <c r="I282" i="38" s="1"/>
  <c r="J282" i="38" a="1"/>
  <c r="J282" i="38" s="1"/>
  <c r="K282" i="38" a="1"/>
  <c r="K282" i="38" s="1"/>
  <c r="L282" i="38" a="1"/>
  <c r="L282" i="38" s="1"/>
  <c r="M282" i="38" a="1"/>
  <c r="M282" i="38" s="1"/>
  <c r="N282" i="38" a="1"/>
  <c r="N282" i="38" s="1"/>
  <c r="O282" i="38" a="1"/>
  <c r="O282" i="38" s="1"/>
  <c r="P282" i="38" a="1"/>
  <c r="P282" i="38" s="1"/>
  <c r="Q282" i="38" a="1"/>
  <c r="Q282" i="38" s="1"/>
  <c r="R282" i="38" a="1"/>
  <c r="R282" i="38" s="1"/>
  <c r="S282" i="38" a="1"/>
  <c r="S282" i="38" s="1"/>
  <c r="C283" i="38" a="1"/>
  <c r="C283" i="38" s="1"/>
  <c r="D283" i="38" a="1"/>
  <c r="D283" i="38" s="1"/>
  <c r="E283" i="38" a="1"/>
  <c r="E283" i="38" s="1"/>
  <c r="F283" i="38" a="1"/>
  <c r="F283" i="38" s="1"/>
  <c r="G283" i="38" a="1"/>
  <c r="G283" i="38" s="1"/>
  <c r="H283" i="38" a="1"/>
  <c r="H283" i="38" s="1"/>
  <c r="I283" i="38" a="1"/>
  <c r="I283" i="38" s="1"/>
  <c r="J283" i="38" a="1"/>
  <c r="J283" i="38" s="1"/>
  <c r="K283" i="38" a="1"/>
  <c r="K283" i="38" s="1"/>
  <c r="L283" i="38" a="1"/>
  <c r="L283" i="38" s="1"/>
  <c r="M283" i="38" a="1"/>
  <c r="M283" i="38" s="1"/>
  <c r="N283" i="38" a="1"/>
  <c r="N283" i="38" s="1"/>
  <c r="O283" i="38" a="1"/>
  <c r="O283" i="38" s="1"/>
  <c r="P283" i="38" a="1"/>
  <c r="P283" i="38" s="1"/>
  <c r="Q283" i="38" a="1"/>
  <c r="Q283" i="38" s="1"/>
  <c r="R283" i="38" a="1"/>
  <c r="R283" i="38" s="1"/>
  <c r="S283" i="38" a="1"/>
  <c r="S283" i="38" s="1"/>
  <c r="C284" i="38" a="1"/>
  <c r="C284" i="38" s="1"/>
  <c r="D284" i="38" a="1"/>
  <c r="D284" i="38" s="1"/>
  <c r="E284" i="38" a="1"/>
  <c r="E284" i="38" s="1"/>
  <c r="F284" i="38" a="1"/>
  <c r="F284" i="38" s="1"/>
  <c r="G284" i="38" a="1"/>
  <c r="G284" i="38" s="1"/>
  <c r="H284" i="38" a="1"/>
  <c r="H284" i="38" s="1"/>
  <c r="I284" i="38" a="1"/>
  <c r="I284" i="38" s="1"/>
  <c r="J284" i="38" a="1"/>
  <c r="J284" i="38" s="1"/>
  <c r="K284" i="38" a="1"/>
  <c r="K284" i="38" s="1"/>
  <c r="L284" i="38" a="1"/>
  <c r="L284" i="38" s="1"/>
  <c r="M284" i="38" a="1"/>
  <c r="M284" i="38" s="1"/>
  <c r="N284" i="38" a="1"/>
  <c r="N284" i="38" s="1"/>
  <c r="O284" i="38" a="1"/>
  <c r="O284" i="38" s="1"/>
  <c r="P284" i="38" a="1"/>
  <c r="P284" i="38" s="1"/>
  <c r="Q284" i="38" a="1"/>
  <c r="Q284" i="38" s="1"/>
  <c r="R284" i="38" a="1"/>
  <c r="R284" i="38" s="1"/>
  <c r="S284" i="38" a="1"/>
  <c r="S284" i="38" s="1"/>
  <c r="C285" i="38" a="1"/>
  <c r="C285" i="38" s="1"/>
  <c r="D285" i="38" a="1"/>
  <c r="D285" i="38" s="1"/>
  <c r="E285" i="38" a="1"/>
  <c r="E285" i="38" s="1"/>
  <c r="F285" i="38" a="1"/>
  <c r="F285" i="38" s="1"/>
  <c r="G285" i="38" a="1"/>
  <c r="G285" i="38" s="1"/>
  <c r="H285" i="38" a="1"/>
  <c r="H285" i="38" s="1"/>
  <c r="I285" i="38" a="1"/>
  <c r="I285" i="38" s="1"/>
  <c r="J285" i="38" a="1"/>
  <c r="J285" i="38" s="1"/>
  <c r="K285" i="38" a="1"/>
  <c r="K285" i="38" s="1"/>
  <c r="L285" i="38" a="1"/>
  <c r="L285" i="38" s="1"/>
  <c r="M285" i="38" a="1"/>
  <c r="M285" i="38" s="1"/>
  <c r="N285" i="38" a="1"/>
  <c r="N285" i="38" s="1"/>
  <c r="O285" i="38" a="1"/>
  <c r="O285" i="38" s="1"/>
  <c r="P285" i="38" a="1"/>
  <c r="P285" i="38" s="1"/>
  <c r="Q285" i="38" a="1"/>
  <c r="Q285" i="38" s="1"/>
  <c r="R285" i="38" a="1"/>
  <c r="R285" i="38" s="1"/>
  <c r="S285" i="38" a="1"/>
  <c r="S285" i="38" s="1"/>
  <c r="C286" i="38" a="1"/>
  <c r="C286" i="38" s="1"/>
  <c r="D286" i="38" a="1"/>
  <c r="D286" i="38" s="1"/>
  <c r="E286" i="38" a="1"/>
  <c r="E286" i="38" s="1"/>
  <c r="F286" i="38" a="1"/>
  <c r="F286" i="38" s="1"/>
  <c r="G286" i="38" a="1"/>
  <c r="G286" i="38" s="1"/>
  <c r="H286" i="38" a="1"/>
  <c r="H286" i="38" s="1"/>
  <c r="I286" i="38" a="1"/>
  <c r="I286" i="38" s="1"/>
  <c r="J286" i="38" a="1"/>
  <c r="J286" i="38" s="1"/>
  <c r="K286" i="38" a="1"/>
  <c r="K286" i="38" s="1"/>
  <c r="L286" i="38" a="1"/>
  <c r="L286" i="38" s="1"/>
  <c r="M286" i="38" a="1"/>
  <c r="M286" i="38" s="1"/>
  <c r="N286" i="38" a="1"/>
  <c r="N286" i="38" s="1"/>
  <c r="O286" i="38" a="1"/>
  <c r="O286" i="38" s="1"/>
  <c r="P286" i="38" a="1"/>
  <c r="P286" i="38" s="1"/>
  <c r="Q286" i="38" a="1"/>
  <c r="Q286" i="38" s="1"/>
  <c r="R286" i="38" a="1"/>
  <c r="R286" i="38" s="1"/>
  <c r="S286" i="38" a="1"/>
  <c r="S286" i="38" s="1"/>
  <c r="C287" i="38" a="1"/>
  <c r="C287" i="38" s="1"/>
  <c r="D287" i="38" a="1"/>
  <c r="D287" i="38" s="1"/>
  <c r="E287" i="38" a="1"/>
  <c r="E287" i="38" s="1"/>
  <c r="F287" i="38" a="1"/>
  <c r="F287" i="38" s="1"/>
  <c r="G287" i="38" a="1"/>
  <c r="G287" i="38" s="1"/>
  <c r="H287" i="38" a="1"/>
  <c r="H287" i="38" s="1"/>
  <c r="I287" i="38" a="1"/>
  <c r="I287" i="38" s="1"/>
  <c r="J287" i="38" a="1"/>
  <c r="J287" i="38" s="1"/>
  <c r="K287" i="38" a="1"/>
  <c r="K287" i="38" s="1"/>
  <c r="L287" i="38" a="1"/>
  <c r="L287" i="38" s="1"/>
  <c r="M287" i="38" a="1"/>
  <c r="M287" i="38" s="1"/>
  <c r="N287" i="38" a="1"/>
  <c r="N287" i="38" s="1"/>
  <c r="O287" i="38" a="1"/>
  <c r="O287" i="38" s="1"/>
  <c r="P287" i="38" a="1"/>
  <c r="P287" i="38" s="1"/>
  <c r="Q287" i="38" a="1"/>
  <c r="Q287" i="38" s="1"/>
  <c r="R287" i="38" a="1"/>
  <c r="R287" i="38" s="1"/>
  <c r="S287" i="38" a="1"/>
  <c r="S287" i="38" s="1"/>
  <c r="C288" i="38" a="1"/>
  <c r="C288" i="38" s="1"/>
  <c r="D288" i="38" a="1"/>
  <c r="D288" i="38" s="1"/>
  <c r="E288" i="38" a="1"/>
  <c r="E288" i="38" s="1"/>
  <c r="F288" i="38" a="1"/>
  <c r="F288" i="38" s="1"/>
  <c r="G288" i="38" a="1"/>
  <c r="G288" i="38" s="1"/>
  <c r="H288" i="38" a="1"/>
  <c r="H288" i="38" s="1"/>
  <c r="I288" i="38" a="1"/>
  <c r="I288" i="38" s="1"/>
  <c r="J288" i="38" a="1"/>
  <c r="J288" i="38" s="1"/>
  <c r="K288" i="38" a="1"/>
  <c r="K288" i="38" s="1"/>
  <c r="L288" i="38" a="1"/>
  <c r="L288" i="38" s="1"/>
  <c r="M288" i="38" a="1"/>
  <c r="M288" i="38" s="1"/>
  <c r="N288" i="38" a="1"/>
  <c r="N288" i="38" s="1"/>
  <c r="O288" i="38" a="1"/>
  <c r="O288" i="38" s="1"/>
  <c r="P288" i="38" a="1"/>
  <c r="P288" i="38" s="1"/>
  <c r="Q288" i="38" a="1"/>
  <c r="Q288" i="38" s="1"/>
  <c r="R288" i="38" a="1"/>
  <c r="R288" i="38" s="1"/>
  <c r="S288" i="38" a="1"/>
  <c r="S288" i="38" s="1"/>
  <c r="C289" i="38" a="1"/>
  <c r="C289" i="38" s="1"/>
  <c r="D289" i="38" a="1"/>
  <c r="D289" i="38" s="1"/>
  <c r="E289" i="38" a="1"/>
  <c r="E289" i="38" s="1"/>
  <c r="F289" i="38" a="1"/>
  <c r="F289" i="38" s="1"/>
  <c r="G289" i="38" a="1"/>
  <c r="G289" i="38" s="1"/>
  <c r="H289" i="38" a="1"/>
  <c r="H289" i="38" s="1"/>
  <c r="I289" i="38" a="1"/>
  <c r="I289" i="38" s="1"/>
  <c r="J289" i="38" a="1"/>
  <c r="J289" i="38" s="1"/>
  <c r="K289" i="38" a="1"/>
  <c r="K289" i="38" s="1"/>
  <c r="L289" i="38" a="1"/>
  <c r="L289" i="38" s="1"/>
  <c r="M289" i="38" a="1"/>
  <c r="M289" i="38" s="1"/>
  <c r="N289" i="38" a="1"/>
  <c r="N289" i="38" s="1"/>
  <c r="O289" i="38" a="1"/>
  <c r="O289" i="38" s="1"/>
  <c r="P289" i="38" a="1"/>
  <c r="P289" i="38" s="1"/>
  <c r="Q289" i="38" a="1"/>
  <c r="Q289" i="38" s="1"/>
  <c r="R289" i="38" a="1"/>
  <c r="R289" i="38" s="1"/>
  <c r="S289" i="38" a="1"/>
  <c r="S289" i="38" s="1"/>
  <c r="C290" i="38" a="1"/>
  <c r="C290" i="38" s="1"/>
  <c r="D290" i="38" a="1"/>
  <c r="D290" i="38" s="1"/>
  <c r="E290" i="38" a="1"/>
  <c r="E290" i="38" s="1"/>
  <c r="F290" i="38" a="1"/>
  <c r="F290" i="38" s="1"/>
  <c r="G290" i="38" a="1"/>
  <c r="G290" i="38" s="1"/>
  <c r="H290" i="38" a="1"/>
  <c r="H290" i="38" s="1"/>
  <c r="I290" i="38" a="1"/>
  <c r="I290" i="38" s="1"/>
  <c r="J290" i="38" a="1"/>
  <c r="J290" i="38" s="1"/>
  <c r="K290" i="38" a="1"/>
  <c r="K290" i="38" s="1"/>
  <c r="L290" i="38" a="1"/>
  <c r="L290" i="38" s="1"/>
  <c r="M290" i="38" a="1"/>
  <c r="M290" i="38" s="1"/>
  <c r="N290" i="38" a="1"/>
  <c r="N290" i="38" s="1"/>
  <c r="O290" i="38" a="1"/>
  <c r="O290" i="38" s="1"/>
  <c r="P290" i="38" a="1"/>
  <c r="P290" i="38" s="1"/>
  <c r="Q290" i="38" a="1"/>
  <c r="Q290" i="38" s="1"/>
  <c r="R290" i="38" a="1"/>
  <c r="R290" i="38" s="1"/>
  <c r="S290" i="38" a="1"/>
  <c r="S290" i="38" s="1"/>
  <c r="C291" i="38" a="1"/>
  <c r="C291" i="38" s="1"/>
  <c r="D291" i="38" a="1"/>
  <c r="D291" i="38" s="1"/>
  <c r="E291" i="38" a="1"/>
  <c r="E291" i="38" s="1"/>
  <c r="F291" i="38" a="1"/>
  <c r="F291" i="38" s="1"/>
  <c r="G291" i="38" a="1"/>
  <c r="G291" i="38" s="1"/>
  <c r="H291" i="38" a="1"/>
  <c r="H291" i="38" s="1"/>
  <c r="I291" i="38" a="1"/>
  <c r="I291" i="38" s="1"/>
  <c r="J291" i="38" a="1"/>
  <c r="J291" i="38" s="1"/>
  <c r="K291" i="38" a="1"/>
  <c r="K291" i="38" s="1"/>
  <c r="L291" i="38" a="1"/>
  <c r="L291" i="38" s="1"/>
  <c r="M291" i="38" a="1"/>
  <c r="M291" i="38" s="1"/>
  <c r="N291" i="38" a="1"/>
  <c r="N291" i="38" s="1"/>
  <c r="O291" i="38" a="1"/>
  <c r="O291" i="38" s="1"/>
  <c r="P291" i="38" a="1"/>
  <c r="P291" i="38" s="1"/>
  <c r="Q291" i="38" a="1"/>
  <c r="Q291" i="38" s="1"/>
  <c r="R291" i="38" a="1"/>
  <c r="R291" i="38" s="1"/>
  <c r="S291" i="38" a="1"/>
  <c r="S291" i="38" s="1"/>
  <c r="C292" i="38" a="1"/>
  <c r="C292" i="38" s="1"/>
  <c r="D292" i="38" a="1"/>
  <c r="D292" i="38" s="1"/>
  <c r="E292" i="38" a="1"/>
  <c r="E292" i="38" s="1"/>
  <c r="F292" i="38" a="1"/>
  <c r="F292" i="38" s="1"/>
  <c r="G292" i="38" a="1"/>
  <c r="G292" i="38" s="1"/>
  <c r="H292" i="38" a="1"/>
  <c r="H292" i="38" s="1"/>
  <c r="I292" i="38" a="1"/>
  <c r="I292" i="38" s="1"/>
  <c r="J292" i="38" a="1"/>
  <c r="J292" i="38" s="1"/>
  <c r="K292" i="38" a="1"/>
  <c r="K292" i="38" s="1"/>
  <c r="L292" i="38" a="1"/>
  <c r="L292" i="38" s="1"/>
  <c r="M292" i="38" a="1"/>
  <c r="M292" i="38" s="1"/>
  <c r="N292" i="38" a="1"/>
  <c r="N292" i="38" s="1"/>
  <c r="O292" i="38" a="1"/>
  <c r="O292" i="38" s="1"/>
  <c r="P292" i="38" a="1"/>
  <c r="P292" i="38" s="1"/>
  <c r="Q292" i="38" a="1"/>
  <c r="Q292" i="38" s="1"/>
  <c r="R292" i="38" a="1"/>
  <c r="R292" i="38" s="1"/>
  <c r="S292" i="38" a="1"/>
  <c r="S292" i="38" s="1"/>
  <c r="C293" i="38" a="1"/>
  <c r="C293" i="38" s="1"/>
  <c r="D293" i="38" a="1"/>
  <c r="D293" i="38" s="1"/>
  <c r="E293" i="38" a="1"/>
  <c r="E293" i="38" s="1"/>
  <c r="F293" i="38" a="1"/>
  <c r="F293" i="38" s="1"/>
  <c r="G293" i="38" a="1"/>
  <c r="G293" i="38" s="1"/>
  <c r="H293" i="38" a="1"/>
  <c r="H293" i="38" s="1"/>
  <c r="I293" i="38" a="1"/>
  <c r="I293" i="38" s="1"/>
  <c r="J293" i="38" a="1"/>
  <c r="J293" i="38" s="1"/>
  <c r="K293" i="38" a="1"/>
  <c r="K293" i="38" s="1"/>
  <c r="L293" i="38" a="1"/>
  <c r="L293" i="38" s="1"/>
  <c r="M293" i="38" a="1"/>
  <c r="M293" i="38" s="1"/>
  <c r="N293" i="38" a="1"/>
  <c r="N293" i="38" s="1"/>
  <c r="O293" i="38" a="1"/>
  <c r="O293" i="38" s="1"/>
  <c r="P293" i="38" a="1"/>
  <c r="P293" i="38" s="1"/>
  <c r="Q293" i="38" a="1"/>
  <c r="Q293" i="38" s="1"/>
  <c r="R293" i="38" a="1"/>
  <c r="R293" i="38" s="1"/>
  <c r="S293" i="38" a="1"/>
  <c r="S293" i="38" s="1"/>
  <c r="C294" i="38" a="1"/>
  <c r="C294" i="38" s="1"/>
  <c r="D294" i="38" a="1"/>
  <c r="D294" i="38" s="1"/>
  <c r="E294" i="38" a="1"/>
  <c r="E294" i="38" s="1"/>
  <c r="F294" i="38" a="1"/>
  <c r="F294" i="38" s="1"/>
  <c r="G294" i="38" a="1"/>
  <c r="G294" i="38" s="1"/>
  <c r="H294" i="38" a="1"/>
  <c r="H294" i="38" s="1"/>
  <c r="I294" i="38" a="1"/>
  <c r="I294" i="38" s="1"/>
  <c r="J294" i="38" a="1"/>
  <c r="J294" i="38" s="1"/>
  <c r="K294" i="38" a="1"/>
  <c r="K294" i="38" s="1"/>
  <c r="L294" i="38" a="1"/>
  <c r="L294" i="38" s="1"/>
  <c r="M294" i="38" a="1"/>
  <c r="M294" i="38" s="1"/>
  <c r="N294" i="38" a="1"/>
  <c r="N294" i="38" s="1"/>
  <c r="O294" i="38" a="1"/>
  <c r="O294" i="38" s="1"/>
  <c r="P294" i="38" a="1"/>
  <c r="P294" i="38" s="1"/>
  <c r="Q294" i="38" a="1"/>
  <c r="Q294" i="38" s="1"/>
  <c r="R294" i="38" a="1"/>
  <c r="R294" i="38" s="1"/>
  <c r="S294" i="38" a="1"/>
  <c r="S294" i="38" s="1"/>
  <c r="C295" i="38" a="1"/>
  <c r="C295" i="38" s="1"/>
  <c r="D295" i="38" a="1"/>
  <c r="D295" i="38" s="1"/>
  <c r="E295" i="38" a="1"/>
  <c r="E295" i="38" s="1"/>
  <c r="F295" i="38" a="1"/>
  <c r="F295" i="38" s="1"/>
  <c r="G295" i="38" a="1"/>
  <c r="G295" i="38" s="1"/>
  <c r="H295" i="38" a="1"/>
  <c r="H295" i="38" s="1"/>
  <c r="I295" i="38" a="1"/>
  <c r="I295" i="38" s="1"/>
  <c r="J295" i="38" a="1"/>
  <c r="J295" i="38" s="1"/>
  <c r="K295" i="38" a="1"/>
  <c r="K295" i="38" s="1"/>
  <c r="L295" i="38" a="1"/>
  <c r="L295" i="38" s="1"/>
  <c r="M295" i="38" a="1"/>
  <c r="M295" i="38" s="1"/>
  <c r="N295" i="38" a="1"/>
  <c r="N295" i="38" s="1"/>
  <c r="O295" i="38" a="1"/>
  <c r="O295" i="38" s="1"/>
  <c r="P295" i="38" a="1"/>
  <c r="P295" i="38" s="1"/>
  <c r="Q295" i="38" a="1"/>
  <c r="Q295" i="38" s="1"/>
  <c r="R295" i="38" a="1"/>
  <c r="R295" i="38" s="1"/>
  <c r="S295" i="38" a="1"/>
  <c r="S295" i="38" s="1"/>
  <c r="C296" i="38" a="1"/>
  <c r="C296" i="38" s="1"/>
  <c r="D296" i="38" a="1"/>
  <c r="D296" i="38" s="1"/>
  <c r="E296" i="38" a="1"/>
  <c r="E296" i="38" s="1"/>
  <c r="F296" i="38" a="1"/>
  <c r="F296" i="38" s="1"/>
  <c r="G296" i="38" a="1"/>
  <c r="G296" i="38" s="1"/>
  <c r="H296" i="38" a="1"/>
  <c r="H296" i="38" s="1"/>
  <c r="I296" i="38" a="1"/>
  <c r="I296" i="38" s="1"/>
  <c r="J296" i="38" a="1"/>
  <c r="J296" i="38" s="1"/>
  <c r="K296" i="38" a="1"/>
  <c r="K296" i="38" s="1"/>
  <c r="L296" i="38" a="1"/>
  <c r="L296" i="38" s="1"/>
  <c r="M296" i="38" a="1"/>
  <c r="M296" i="38" s="1"/>
  <c r="N296" i="38" a="1"/>
  <c r="N296" i="38" s="1"/>
  <c r="O296" i="38" a="1"/>
  <c r="O296" i="38" s="1"/>
  <c r="P296" i="38" a="1"/>
  <c r="P296" i="38" s="1"/>
  <c r="Q296" i="38" a="1"/>
  <c r="Q296" i="38" s="1"/>
  <c r="R296" i="38" a="1"/>
  <c r="R296" i="38" s="1"/>
  <c r="S296" i="38" a="1"/>
  <c r="S296" i="38" s="1"/>
  <c r="C297" i="38" a="1"/>
  <c r="C297" i="38" s="1"/>
  <c r="D297" i="38" a="1"/>
  <c r="D297" i="38" s="1"/>
  <c r="E297" i="38" a="1"/>
  <c r="E297" i="38" s="1"/>
  <c r="F297" i="38" a="1"/>
  <c r="F297" i="38" s="1"/>
  <c r="G297" i="38" a="1"/>
  <c r="G297" i="38" s="1"/>
  <c r="H297" i="38" a="1"/>
  <c r="H297" i="38" s="1"/>
  <c r="I297" i="38" a="1"/>
  <c r="I297" i="38" s="1"/>
  <c r="J297" i="38" a="1"/>
  <c r="J297" i="38" s="1"/>
  <c r="K297" i="38" a="1"/>
  <c r="K297" i="38" s="1"/>
  <c r="L297" i="38" a="1"/>
  <c r="L297" i="38" s="1"/>
  <c r="M297" i="38" a="1"/>
  <c r="M297" i="38" s="1"/>
  <c r="N297" i="38" a="1"/>
  <c r="N297" i="38" s="1"/>
  <c r="O297" i="38" a="1"/>
  <c r="O297" i="38" s="1"/>
  <c r="P297" i="38" a="1"/>
  <c r="P297" i="38" s="1"/>
  <c r="Q297" i="38" a="1"/>
  <c r="Q297" i="38" s="1"/>
  <c r="R297" i="38" a="1"/>
  <c r="R297" i="38" s="1"/>
  <c r="S297" i="38" a="1"/>
  <c r="S297" i="38" s="1"/>
  <c r="C298" i="38" a="1"/>
  <c r="C298" i="38" s="1"/>
  <c r="D298" i="38" a="1"/>
  <c r="D298" i="38" s="1"/>
  <c r="E298" i="38" a="1"/>
  <c r="E298" i="38" s="1"/>
  <c r="F298" i="38" a="1"/>
  <c r="F298" i="38" s="1"/>
  <c r="G298" i="38" a="1"/>
  <c r="G298" i="38" s="1"/>
  <c r="H298" i="38" a="1"/>
  <c r="H298" i="38" s="1"/>
  <c r="I298" i="38" a="1"/>
  <c r="I298" i="38" s="1"/>
  <c r="J298" i="38" a="1"/>
  <c r="J298" i="38" s="1"/>
  <c r="K298" i="38" a="1"/>
  <c r="K298" i="38" s="1"/>
  <c r="L298" i="38" a="1"/>
  <c r="L298" i="38" s="1"/>
  <c r="M298" i="38" a="1"/>
  <c r="M298" i="38" s="1"/>
  <c r="N298" i="38" a="1"/>
  <c r="N298" i="38" s="1"/>
  <c r="O298" i="38" a="1"/>
  <c r="O298" i="38" s="1"/>
  <c r="P298" i="38" a="1"/>
  <c r="P298" i="38" s="1"/>
  <c r="Q298" i="38" a="1"/>
  <c r="Q298" i="38" s="1"/>
  <c r="R298" i="38" a="1"/>
  <c r="R298" i="38" s="1"/>
  <c r="S298" i="38" a="1"/>
  <c r="S298" i="38" s="1"/>
  <c r="C299" i="38" a="1"/>
  <c r="C299" i="38" s="1"/>
  <c r="D299" i="38" a="1"/>
  <c r="D299" i="38" s="1"/>
  <c r="E299" i="38" a="1"/>
  <c r="E299" i="38" s="1"/>
  <c r="F299" i="38" a="1"/>
  <c r="F299" i="38" s="1"/>
  <c r="G299" i="38" a="1"/>
  <c r="G299" i="38" s="1"/>
  <c r="H299" i="38" a="1"/>
  <c r="H299" i="38" s="1"/>
  <c r="I299" i="38" a="1"/>
  <c r="I299" i="38" s="1"/>
  <c r="J299" i="38" a="1"/>
  <c r="J299" i="38" s="1"/>
  <c r="K299" i="38" a="1"/>
  <c r="K299" i="38" s="1"/>
  <c r="L299" i="38" a="1"/>
  <c r="L299" i="38" s="1"/>
  <c r="M299" i="38" a="1"/>
  <c r="M299" i="38" s="1"/>
  <c r="N299" i="38" a="1"/>
  <c r="N299" i="38" s="1"/>
  <c r="O299" i="38" a="1"/>
  <c r="O299" i="38" s="1"/>
  <c r="P299" i="38" a="1"/>
  <c r="P299" i="38" s="1"/>
  <c r="Q299" i="38" a="1"/>
  <c r="Q299" i="38" s="1"/>
  <c r="R299" i="38" a="1"/>
  <c r="R299" i="38" s="1"/>
  <c r="S299" i="38" a="1"/>
  <c r="S299" i="38" s="1"/>
  <c r="C300" i="38" a="1"/>
  <c r="C300" i="38" s="1"/>
  <c r="D300" i="38" a="1"/>
  <c r="D300" i="38" s="1"/>
  <c r="E300" i="38" a="1"/>
  <c r="E300" i="38" s="1"/>
  <c r="F300" i="38" a="1"/>
  <c r="F300" i="38" s="1"/>
  <c r="G300" i="38" a="1"/>
  <c r="G300" i="38" s="1"/>
  <c r="H300" i="38" a="1"/>
  <c r="H300" i="38" s="1"/>
  <c r="I300" i="38" a="1"/>
  <c r="I300" i="38" s="1"/>
  <c r="J300" i="38" a="1"/>
  <c r="J300" i="38" s="1"/>
  <c r="K300" i="38" a="1"/>
  <c r="K300" i="38" s="1"/>
  <c r="L300" i="38" a="1"/>
  <c r="L300" i="38" s="1"/>
  <c r="M300" i="38" a="1"/>
  <c r="M300" i="38" s="1"/>
  <c r="N300" i="38" a="1"/>
  <c r="N300" i="38" s="1"/>
  <c r="O300" i="38" a="1"/>
  <c r="O300" i="38" s="1"/>
  <c r="P300" i="38" a="1"/>
  <c r="P300" i="38" s="1"/>
  <c r="Q300" i="38" a="1"/>
  <c r="Q300" i="38" s="1"/>
  <c r="R300" i="38" a="1"/>
  <c r="R300" i="38" s="1"/>
  <c r="S300" i="38" a="1"/>
  <c r="S300" i="38" s="1"/>
  <c r="D2" i="38" a="1"/>
  <c r="D2" i="38" s="1"/>
  <c r="E2" i="38" a="1"/>
  <c r="E2" i="38" s="1"/>
  <c r="F2" i="38" a="1"/>
  <c r="F2" i="38" s="1"/>
  <c r="G2" i="38" a="1"/>
  <c r="G2" i="38" s="1"/>
  <c r="H2" i="38" a="1"/>
  <c r="H2" i="38" s="1"/>
  <c r="I2" i="38" a="1"/>
  <c r="I2" i="38" s="1"/>
  <c r="J2" i="38" a="1"/>
  <c r="J2" i="38" s="1"/>
  <c r="K2" i="38" a="1"/>
  <c r="K2" i="38" s="1"/>
  <c r="L2" i="38" a="1"/>
  <c r="L2" i="38" s="1"/>
  <c r="M2" i="38" a="1"/>
  <c r="M2" i="38" s="1"/>
  <c r="N2" i="38" a="1"/>
  <c r="N2" i="38" s="1"/>
  <c r="O2" i="38" a="1"/>
  <c r="O2" i="38" s="1"/>
  <c r="P2" i="38" a="1"/>
  <c r="P2" i="38" s="1"/>
  <c r="Q2" i="38" a="1"/>
  <c r="Q2" i="38" s="1"/>
  <c r="R2" i="38" a="1"/>
  <c r="R2" i="38" s="1"/>
  <c r="S2" i="38" a="1"/>
  <c r="S2" i="38" s="1"/>
  <c r="C2" i="38" a="1"/>
  <c r="C2" i="38" s="1"/>
  <c r="F2" i="35" a="1"/>
  <c r="F2" i="35" s="1"/>
  <c r="R128" i="45" a="1"/>
  <c r="R128" i="45" s="1"/>
  <c r="Q128" i="45" a="1"/>
  <c r="Q128" i="45" s="1"/>
  <c r="K128" i="45"/>
  <c r="H128" i="45"/>
  <c r="R127" i="45" a="1"/>
  <c r="R127" i="45" s="1"/>
  <c r="Q127" i="45" a="1"/>
  <c r="Q127" i="45" s="1"/>
  <c r="K127" i="45"/>
  <c r="H127" i="45"/>
  <c r="R126" i="45" a="1"/>
  <c r="R126" i="45" s="1"/>
  <c r="Q126" i="45" a="1"/>
  <c r="Q126" i="45" s="1"/>
  <c r="K126" i="45"/>
  <c r="H126" i="45"/>
  <c r="R125" i="45" a="1"/>
  <c r="R125" i="45" s="1"/>
  <c r="Q125" i="45" a="1"/>
  <c r="Q125" i="45" s="1"/>
  <c r="K125" i="45"/>
  <c r="H125" i="45"/>
  <c r="R124" i="45" a="1"/>
  <c r="R124" i="45" s="1"/>
  <c r="Q124" i="45" a="1"/>
  <c r="Q124" i="45" s="1"/>
  <c r="K124" i="45"/>
  <c r="H124" i="45"/>
  <c r="R123" i="45" a="1"/>
  <c r="R123" i="45" s="1"/>
  <c r="Q123" i="45" a="1"/>
  <c r="Q123" i="45" s="1"/>
  <c r="K123" i="45"/>
  <c r="H123" i="45"/>
  <c r="R122" i="45" a="1"/>
  <c r="R122" i="45" s="1"/>
  <c r="Q122" i="45" a="1"/>
  <c r="Q122" i="45" s="1"/>
  <c r="K122" i="45"/>
  <c r="H122" i="45"/>
  <c r="R121" i="45" a="1"/>
  <c r="R121" i="45" s="1"/>
  <c r="Q121" i="45" a="1"/>
  <c r="Q121" i="45" s="1"/>
  <c r="K121" i="45"/>
  <c r="H121" i="45"/>
  <c r="R120" i="45" a="1"/>
  <c r="R120" i="45" s="1"/>
  <c r="Q120" i="45" a="1"/>
  <c r="Q120" i="45" s="1"/>
  <c r="K120" i="45"/>
  <c r="H120" i="45"/>
  <c r="R119" i="45" a="1"/>
  <c r="R119" i="45" s="1"/>
  <c r="Q119" i="45" a="1"/>
  <c r="Q119" i="45" s="1"/>
  <c r="K119" i="45"/>
  <c r="H119" i="45"/>
  <c r="R118" i="45" a="1"/>
  <c r="R118" i="45" s="1"/>
  <c r="Q118" i="45" a="1"/>
  <c r="Q118" i="45" s="1"/>
  <c r="K118" i="45"/>
  <c r="H118" i="45"/>
  <c r="R117" i="45" a="1"/>
  <c r="R117" i="45" s="1"/>
  <c r="Q117" i="45" a="1"/>
  <c r="Q117" i="45" s="1"/>
  <c r="M117" i="45"/>
  <c r="K117" i="45"/>
  <c r="H117" i="45"/>
  <c r="R116" i="45" a="1"/>
  <c r="R116" i="45" s="1"/>
  <c r="Q116" i="45" a="1"/>
  <c r="Q116" i="45" s="1"/>
  <c r="M116" i="45"/>
  <c r="K116" i="45"/>
  <c r="H116" i="45"/>
  <c r="R115" i="45" a="1"/>
  <c r="R115" i="45" s="1"/>
  <c r="Q115" i="45" a="1"/>
  <c r="Q115" i="45" s="1"/>
  <c r="K115" i="45"/>
  <c r="H115" i="45"/>
  <c r="R114" i="45" a="1"/>
  <c r="R114" i="45" s="1"/>
  <c r="Q114" i="45" a="1"/>
  <c r="Q114" i="45" s="1"/>
  <c r="K114" i="45"/>
  <c r="H114" i="45"/>
  <c r="R113" i="45" a="1"/>
  <c r="R113" i="45" s="1"/>
  <c r="Q113" i="45" a="1"/>
  <c r="Q113" i="45" s="1"/>
  <c r="K113" i="45"/>
  <c r="H113" i="45"/>
  <c r="R112" i="45" a="1"/>
  <c r="R112" i="45" s="1"/>
  <c r="Q112" i="45" a="1"/>
  <c r="Q112" i="45" s="1"/>
  <c r="K112" i="45"/>
  <c r="H112" i="45"/>
  <c r="R111" i="45" a="1"/>
  <c r="R111" i="45" s="1"/>
  <c r="Q111" i="45" a="1"/>
  <c r="Q111" i="45" s="1"/>
  <c r="K111" i="45"/>
  <c r="H111" i="45"/>
  <c r="R110" i="45" a="1"/>
  <c r="R110" i="45" s="1"/>
  <c r="Q110" i="45" a="1"/>
  <c r="Q110" i="45" s="1"/>
  <c r="K110" i="45"/>
  <c r="H110" i="45"/>
  <c r="R109" i="45" a="1"/>
  <c r="R109" i="45" s="1"/>
  <c r="Q109" i="45" a="1"/>
  <c r="Q109" i="45" s="1"/>
  <c r="K109" i="45"/>
  <c r="H109" i="45"/>
  <c r="R108" i="45" a="1"/>
  <c r="R108" i="45" s="1"/>
  <c r="Q108" i="45" a="1"/>
  <c r="Q108" i="45" s="1"/>
  <c r="K108" i="45"/>
  <c r="H108" i="45"/>
  <c r="R107" i="45" a="1"/>
  <c r="R107" i="45" s="1"/>
  <c r="Q107" i="45" a="1"/>
  <c r="Q107" i="45" s="1"/>
  <c r="K107" i="45"/>
  <c r="H107" i="45"/>
  <c r="R106" i="45" a="1"/>
  <c r="R106" i="45" s="1"/>
  <c r="Q106" i="45" a="1"/>
  <c r="Q106" i="45" s="1"/>
  <c r="K106" i="45"/>
  <c r="H106" i="45"/>
  <c r="R105" i="45" a="1"/>
  <c r="R105" i="45" s="1"/>
  <c r="Q105" i="45" a="1"/>
  <c r="Q105" i="45" s="1"/>
  <c r="K105" i="45"/>
  <c r="H105" i="45"/>
  <c r="R104" i="45" a="1"/>
  <c r="R104" i="45" s="1"/>
  <c r="Q104" i="45" a="1"/>
  <c r="Q104" i="45" s="1"/>
  <c r="K104" i="45"/>
  <c r="H104" i="45"/>
  <c r="R103" i="45" a="1"/>
  <c r="R103" i="45" s="1"/>
  <c r="Q103" i="45" a="1"/>
  <c r="Q103" i="45" s="1"/>
  <c r="K103" i="45"/>
  <c r="H103" i="45"/>
  <c r="R102" i="45" a="1"/>
  <c r="R102" i="45" s="1"/>
  <c r="Q102" i="45" a="1"/>
  <c r="Q102" i="45" s="1"/>
  <c r="K102" i="45"/>
  <c r="H102" i="45"/>
  <c r="R101" i="45" a="1"/>
  <c r="R101" i="45" s="1"/>
  <c r="Q101" i="45" a="1"/>
  <c r="Q101" i="45" s="1"/>
  <c r="M101" i="45"/>
  <c r="K101" i="45"/>
  <c r="H101" i="45"/>
  <c r="R100" i="45" a="1"/>
  <c r="R100" i="45" s="1"/>
  <c r="Q100" i="45" a="1"/>
  <c r="Q100" i="45" s="1"/>
  <c r="M100" i="45"/>
  <c r="K100" i="45"/>
  <c r="H100" i="45"/>
  <c r="R99" i="45" a="1"/>
  <c r="R99" i="45" s="1"/>
  <c r="Q99" i="45" a="1"/>
  <c r="Q99" i="45" s="1"/>
  <c r="K99" i="45"/>
  <c r="H99" i="45"/>
  <c r="R98" i="45" a="1"/>
  <c r="R98" i="45" s="1"/>
  <c r="Q98" i="45" a="1"/>
  <c r="Q98" i="45" s="1"/>
  <c r="K98" i="45"/>
  <c r="H98" i="45"/>
  <c r="R97" i="45" a="1"/>
  <c r="R97" i="45" s="1"/>
  <c r="Q97" i="45" a="1"/>
  <c r="Q97" i="45" s="1"/>
  <c r="K97" i="45"/>
  <c r="H97" i="45"/>
  <c r="R96" i="45" a="1"/>
  <c r="R96" i="45" s="1"/>
  <c r="Q96" i="45" a="1"/>
  <c r="Q96" i="45" s="1"/>
  <c r="K96" i="45"/>
  <c r="H96" i="45"/>
  <c r="R95" i="45" a="1"/>
  <c r="R95" i="45" s="1"/>
  <c r="Q95" i="45" a="1"/>
  <c r="Q95" i="45" s="1"/>
  <c r="K95" i="45"/>
  <c r="H95" i="45"/>
  <c r="R94" i="45" a="1"/>
  <c r="R94" i="45" s="1"/>
  <c r="Q94" i="45" a="1"/>
  <c r="Q94" i="45" s="1"/>
  <c r="K94" i="45"/>
  <c r="H94" i="45"/>
  <c r="R93" i="45" a="1"/>
  <c r="R93" i="45" s="1"/>
  <c r="Q93" i="45" a="1"/>
  <c r="Q93" i="45" s="1"/>
  <c r="M93" i="45"/>
  <c r="K93" i="45"/>
  <c r="H93" i="45"/>
  <c r="R92" i="45" a="1"/>
  <c r="R92" i="45" s="1"/>
  <c r="Q92" i="45" a="1"/>
  <c r="Q92" i="45" s="1"/>
  <c r="M92" i="45"/>
  <c r="K92" i="45"/>
  <c r="H92" i="45"/>
  <c r="R91" i="45" a="1"/>
  <c r="R91" i="45" s="1"/>
  <c r="Q91" i="45" a="1"/>
  <c r="Q91" i="45" s="1"/>
  <c r="K91" i="45"/>
  <c r="H91" i="45"/>
  <c r="R90" i="45" a="1"/>
  <c r="R90" i="45" s="1"/>
  <c r="Q90" i="45" a="1"/>
  <c r="Q90" i="45" s="1"/>
  <c r="K90" i="45"/>
  <c r="H90" i="45"/>
  <c r="R89" i="45" a="1"/>
  <c r="R89" i="45" s="1"/>
  <c r="Q89" i="45" a="1"/>
  <c r="Q89" i="45" s="1"/>
  <c r="K89" i="45"/>
  <c r="H89" i="45"/>
  <c r="R88" i="45" a="1"/>
  <c r="R88" i="45" s="1"/>
  <c r="Q88" i="45" a="1"/>
  <c r="Q88" i="45" s="1"/>
  <c r="K88" i="45"/>
  <c r="H88" i="45"/>
  <c r="R87" i="45" a="1"/>
  <c r="R87" i="45" s="1"/>
  <c r="Q87" i="45" a="1"/>
  <c r="Q87" i="45" s="1"/>
  <c r="K87" i="45"/>
  <c r="H87" i="45"/>
  <c r="R86" i="45" a="1"/>
  <c r="R86" i="45" s="1"/>
  <c r="Q86" i="45" a="1"/>
  <c r="Q86" i="45" s="1"/>
  <c r="K86" i="45"/>
  <c r="H86" i="45"/>
  <c r="R85" i="45" a="1"/>
  <c r="R85" i="45" s="1"/>
  <c r="Q85" i="45" a="1"/>
  <c r="Q85" i="45" s="1"/>
  <c r="K85" i="45"/>
  <c r="H85" i="45"/>
  <c r="R84" i="45" a="1"/>
  <c r="R84" i="45" s="1"/>
  <c r="Q84" i="45" a="1"/>
  <c r="Q84" i="45" s="1"/>
  <c r="K84" i="45"/>
  <c r="H84" i="45"/>
  <c r="R83" i="45" a="1"/>
  <c r="R83" i="45" s="1"/>
  <c r="Q83" i="45" a="1"/>
  <c r="Q83" i="45" s="1"/>
  <c r="K83" i="45"/>
  <c r="H83" i="45"/>
  <c r="R82" i="45" a="1"/>
  <c r="R82" i="45" s="1"/>
  <c r="Q82" i="45" a="1"/>
  <c r="Q82" i="45" s="1"/>
  <c r="K82" i="45"/>
  <c r="H82" i="45"/>
  <c r="R81" i="45" a="1"/>
  <c r="R81" i="45" s="1"/>
  <c r="Q81" i="45" a="1"/>
  <c r="Q81" i="45" s="1"/>
  <c r="K81" i="45"/>
  <c r="H81" i="45"/>
  <c r="R80" i="45" a="1"/>
  <c r="R80" i="45" s="1"/>
  <c r="Q80" i="45" a="1"/>
  <c r="Q80" i="45" s="1"/>
  <c r="K80" i="45"/>
  <c r="H80" i="45"/>
  <c r="R79" i="45" a="1"/>
  <c r="R79" i="45" s="1"/>
  <c r="Q79" i="45" a="1"/>
  <c r="Q79" i="45" s="1"/>
  <c r="K79" i="45"/>
  <c r="H79" i="45"/>
  <c r="R78" i="45" a="1"/>
  <c r="R78" i="45" s="1"/>
  <c r="Q78" i="45" a="1"/>
  <c r="Q78" i="45" s="1"/>
  <c r="K78" i="45"/>
  <c r="H78" i="45"/>
  <c r="R77" i="45" a="1"/>
  <c r="R77" i="45" s="1"/>
  <c r="Q77" i="45" a="1"/>
  <c r="Q77" i="45" s="1"/>
  <c r="K77" i="45"/>
  <c r="H77" i="45"/>
  <c r="R76" i="45" a="1"/>
  <c r="R76" i="45" s="1"/>
  <c r="Q76" i="45" a="1"/>
  <c r="Q76" i="45" s="1"/>
  <c r="K76" i="45"/>
  <c r="H76" i="45"/>
  <c r="R75" i="45" a="1"/>
  <c r="R75" i="45" s="1"/>
  <c r="Q75" i="45" a="1"/>
  <c r="Q75" i="45" s="1"/>
  <c r="K75" i="45"/>
  <c r="H75" i="45"/>
  <c r="R74" i="45" a="1"/>
  <c r="R74" i="45" s="1"/>
  <c r="Q74" i="45" a="1"/>
  <c r="Q74" i="45" s="1"/>
  <c r="K74" i="45"/>
  <c r="H74" i="45"/>
  <c r="R73" i="45" a="1"/>
  <c r="R73" i="45" s="1"/>
  <c r="Q73" i="45" a="1"/>
  <c r="Q73" i="45" s="1"/>
  <c r="K73" i="45"/>
  <c r="H73" i="45"/>
  <c r="R72" i="45" a="1"/>
  <c r="R72" i="45" s="1"/>
  <c r="Q72" i="45" a="1"/>
  <c r="Q72" i="45" s="1"/>
  <c r="K72" i="45"/>
  <c r="H72" i="45"/>
  <c r="R71" i="45" a="1"/>
  <c r="R71" i="45" s="1"/>
  <c r="Q71" i="45" a="1"/>
  <c r="Q71" i="45" s="1"/>
  <c r="K71" i="45"/>
  <c r="H71" i="45"/>
  <c r="R70" i="45" a="1"/>
  <c r="R70" i="45" s="1"/>
  <c r="Q70" i="45" a="1"/>
  <c r="Q70" i="45" s="1"/>
  <c r="K70" i="45"/>
  <c r="H70" i="45"/>
  <c r="R69" i="45" a="1"/>
  <c r="R69" i="45" s="1"/>
  <c r="Q69" i="45" a="1"/>
  <c r="Q69" i="45" s="1"/>
  <c r="K69" i="45"/>
  <c r="H69" i="45"/>
  <c r="U68" i="45"/>
  <c r="U71" i="45" s="1"/>
  <c r="R68" i="45" a="1"/>
  <c r="R68" i="45" s="1"/>
  <c r="Q68" i="45" a="1"/>
  <c r="Q68" i="45" s="1"/>
  <c r="K68" i="45"/>
  <c r="H68" i="45"/>
  <c r="R67" i="45" a="1"/>
  <c r="R67" i="45" s="1"/>
  <c r="Q67" i="45" a="1"/>
  <c r="Q67" i="45" s="1"/>
  <c r="K67" i="45"/>
  <c r="H67" i="45"/>
  <c r="R66" i="45" a="1"/>
  <c r="R66" i="45" s="1"/>
  <c r="Q66" i="45" a="1"/>
  <c r="Q66" i="45" s="1"/>
  <c r="K66" i="45"/>
  <c r="H66" i="45"/>
  <c r="R65" i="45" a="1"/>
  <c r="R65" i="45" s="1"/>
  <c r="Q65" i="45" a="1"/>
  <c r="Q65" i="45" s="1"/>
  <c r="K65" i="45"/>
  <c r="H65" i="45"/>
  <c r="R64" i="45" a="1"/>
  <c r="R64" i="45" s="1"/>
  <c r="Q64" i="45" a="1"/>
  <c r="Q64" i="45" s="1"/>
  <c r="K64" i="45"/>
  <c r="H64" i="45"/>
  <c r="R63" i="45" a="1"/>
  <c r="R63" i="45" s="1"/>
  <c r="Q63" i="45" a="1"/>
  <c r="Q63" i="45" s="1"/>
  <c r="K63" i="45"/>
  <c r="H63" i="45"/>
  <c r="R62" i="45" a="1"/>
  <c r="R62" i="45" s="1"/>
  <c r="Q62" i="45" a="1"/>
  <c r="Q62" i="45" s="1"/>
  <c r="M62" i="45"/>
  <c r="K62" i="45"/>
  <c r="H62" i="45"/>
  <c r="R61" i="45" a="1"/>
  <c r="R61" i="45" s="1"/>
  <c r="Q61" i="45" a="1"/>
  <c r="Q61" i="45" s="1"/>
  <c r="M61" i="45"/>
  <c r="K61" i="45"/>
  <c r="H61" i="45"/>
  <c r="U60" i="45"/>
  <c r="U61" i="45" s="1"/>
  <c r="R60" i="45" a="1"/>
  <c r="R60" i="45" s="1"/>
  <c r="Q60" i="45" a="1"/>
  <c r="Q60" i="45" s="1"/>
  <c r="M60" i="45"/>
  <c r="K60" i="45"/>
  <c r="H60" i="45"/>
  <c r="R59" i="45" a="1"/>
  <c r="R59" i="45" s="1"/>
  <c r="Q59" i="45" a="1"/>
  <c r="Q59" i="45" s="1"/>
  <c r="M59" i="45"/>
  <c r="K59" i="45"/>
  <c r="H59" i="45"/>
  <c r="R58" i="45" a="1"/>
  <c r="R58" i="45" s="1"/>
  <c r="Q58" i="45" a="1"/>
  <c r="Q58" i="45" s="1"/>
  <c r="M58" i="45"/>
  <c r="K58" i="45"/>
  <c r="H58" i="45"/>
  <c r="U57" i="45"/>
  <c r="R57" i="45" a="1"/>
  <c r="R57" i="45" s="1"/>
  <c r="Q57" i="45" a="1"/>
  <c r="Q57" i="45" s="1"/>
  <c r="M57" i="45"/>
  <c r="K57" i="45"/>
  <c r="H57" i="45"/>
  <c r="U56" i="45"/>
  <c r="R56" i="45" a="1"/>
  <c r="R56" i="45" s="1"/>
  <c r="Q56" i="45" a="1"/>
  <c r="Q56" i="45" s="1"/>
  <c r="M56" i="45"/>
  <c r="K56" i="45"/>
  <c r="H56" i="45"/>
  <c r="U55" i="45"/>
  <c r="R55" i="45" a="1"/>
  <c r="R55" i="45" s="1"/>
  <c r="Q55" i="45" a="1"/>
  <c r="Q55" i="45" s="1"/>
  <c r="M55" i="45"/>
  <c r="K55" i="45"/>
  <c r="H55" i="45"/>
  <c r="R54" i="45" a="1"/>
  <c r="R54" i="45" s="1"/>
  <c r="Q54" i="45" a="1"/>
  <c r="Q54" i="45" s="1"/>
  <c r="M54" i="45"/>
  <c r="K54" i="45"/>
  <c r="H54" i="45"/>
  <c r="R53" i="45" a="1"/>
  <c r="R53" i="45" s="1"/>
  <c r="Q53" i="45" a="1"/>
  <c r="Q53" i="45" s="1"/>
  <c r="L53" i="45"/>
  <c r="K53" i="45"/>
  <c r="H53" i="45"/>
  <c r="R52" i="45" a="1"/>
  <c r="R52" i="45" s="1"/>
  <c r="Q52" i="45" a="1"/>
  <c r="Q52" i="45" s="1"/>
  <c r="K52" i="45"/>
  <c r="H52" i="45"/>
  <c r="R51" i="45" a="1"/>
  <c r="R51" i="45" s="1"/>
  <c r="Q51" i="45" a="1"/>
  <c r="Q51" i="45" s="1"/>
  <c r="M51" i="45"/>
  <c r="K51" i="45"/>
  <c r="H51" i="45"/>
  <c r="R50" i="45" a="1"/>
  <c r="R50" i="45" s="1"/>
  <c r="Q50" i="45" a="1"/>
  <c r="Q50" i="45" s="1"/>
  <c r="K50" i="45"/>
  <c r="H50" i="45"/>
  <c r="R49" i="45" a="1"/>
  <c r="R49" i="45" s="1"/>
  <c r="Q49" i="45" a="1"/>
  <c r="Q49" i="45" s="1"/>
  <c r="K49" i="45"/>
  <c r="H49" i="45"/>
  <c r="Z48" i="45"/>
  <c r="R48" i="45" a="1"/>
  <c r="R48" i="45" s="1"/>
  <c r="Q48" i="45" a="1"/>
  <c r="Q48" i="45" s="1"/>
  <c r="K48" i="45"/>
  <c r="H48" i="45"/>
  <c r="R47" i="45" a="1"/>
  <c r="R47" i="45" s="1"/>
  <c r="Q47" i="45" a="1"/>
  <c r="Q47" i="45" s="1"/>
  <c r="K47" i="45"/>
  <c r="H47" i="45"/>
  <c r="R46" i="45" a="1"/>
  <c r="R46" i="45" s="1"/>
  <c r="Q46" i="45" a="1"/>
  <c r="Q46" i="45" s="1"/>
  <c r="K46" i="45"/>
  <c r="H46" i="45"/>
  <c r="Z45" i="45"/>
  <c r="L91" i="45" s="1"/>
  <c r="R45" i="45" a="1"/>
  <c r="R45" i="45" s="1"/>
  <c r="Q45" i="45" a="1"/>
  <c r="Q45" i="45" s="1"/>
  <c r="K45" i="45"/>
  <c r="H45" i="45"/>
  <c r="Z44" i="45"/>
  <c r="I112" i="45" s="1"/>
  <c r="R44" i="45" a="1"/>
  <c r="R44" i="45" s="1"/>
  <c r="Q44" i="45" a="1"/>
  <c r="Q44" i="45" s="1"/>
  <c r="K44" i="45"/>
  <c r="H44" i="45"/>
  <c r="R43" i="45" a="1"/>
  <c r="R43" i="45" s="1"/>
  <c r="Q43" i="45" a="1"/>
  <c r="Q43" i="45" s="1"/>
  <c r="K43" i="45"/>
  <c r="H43" i="45"/>
  <c r="U42" i="45"/>
  <c r="U43" i="45" s="1"/>
  <c r="R42" i="45" a="1"/>
  <c r="R42" i="45" s="1"/>
  <c r="Q42" i="45" a="1"/>
  <c r="Q42" i="45" s="1"/>
  <c r="K42" i="45"/>
  <c r="H42" i="45"/>
  <c r="R41" i="45" a="1"/>
  <c r="R41" i="45" s="1"/>
  <c r="Q41" i="45" a="1"/>
  <c r="Q41" i="45" s="1"/>
  <c r="K41" i="45"/>
  <c r="H41" i="45"/>
  <c r="U40" i="45"/>
  <c r="R40" i="45" a="1"/>
  <c r="R40" i="45" s="1"/>
  <c r="Q40" i="45" a="1"/>
  <c r="Q40" i="45" s="1"/>
  <c r="K40" i="45"/>
  <c r="H40" i="45"/>
  <c r="U39" i="45"/>
  <c r="U41" i="45" s="1"/>
  <c r="R39" i="45" a="1"/>
  <c r="R39" i="45" s="1"/>
  <c r="Q39" i="45" a="1"/>
  <c r="Q39" i="45" s="1"/>
  <c r="K39" i="45"/>
  <c r="H39" i="45"/>
  <c r="U38" i="45"/>
  <c r="R38" i="45" a="1"/>
  <c r="R38" i="45" s="1"/>
  <c r="Q38" i="45" a="1"/>
  <c r="Q38" i="45" s="1"/>
  <c r="K38" i="45"/>
  <c r="H38" i="45"/>
  <c r="U37" i="45"/>
  <c r="R37" i="45" a="1"/>
  <c r="R37" i="45" s="1"/>
  <c r="Q37" i="45" a="1"/>
  <c r="Q37" i="45" s="1"/>
  <c r="K37" i="45"/>
  <c r="H37" i="45"/>
  <c r="R36" i="45" a="1"/>
  <c r="R36" i="45" s="1"/>
  <c r="Q36" i="45" a="1"/>
  <c r="Q36" i="45" s="1"/>
  <c r="K36" i="45"/>
  <c r="H36" i="45"/>
  <c r="R35" i="45" a="1"/>
  <c r="R35" i="45" s="1"/>
  <c r="Q35" i="45" a="1"/>
  <c r="Q35" i="45" s="1"/>
  <c r="K35" i="45"/>
  <c r="H35" i="45"/>
  <c r="Z34" i="45"/>
  <c r="R34" i="45" a="1"/>
  <c r="R34" i="45" s="1"/>
  <c r="Q34" i="45" a="1"/>
  <c r="Q34" i="45" s="1"/>
  <c r="K34" i="45"/>
  <c r="H34" i="45"/>
  <c r="Z33" i="45"/>
  <c r="R33" i="45" a="1"/>
  <c r="R33" i="45" s="1"/>
  <c r="Q33" i="45" a="1"/>
  <c r="Q33" i="45" s="1"/>
  <c r="K33" i="45"/>
  <c r="H33" i="45"/>
  <c r="R32" i="45" a="1"/>
  <c r="R32" i="45" s="1"/>
  <c r="Q32" i="45" a="1"/>
  <c r="Q32" i="45" s="1"/>
  <c r="K32" i="45"/>
  <c r="H32" i="45"/>
  <c r="R31" i="45" a="1"/>
  <c r="R31" i="45" s="1"/>
  <c r="Q31" i="45" a="1"/>
  <c r="Q31" i="45" s="1"/>
  <c r="K31" i="45"/>
  <c r="H31" i="45"/>
  <c r="Z30" i="45"/>
  <c r="R30" i="45" a="1"/>
  <c r="R30" i="45" s="1"/>
  <c r="Q30" i="45" a="1"/>
  <c r="Q30" i="45" s="1"/>
  <c r="K30" i="45"/>
  <c r="H30" i="45"/>
  <c r="Z29" i="45"/>
  <c r="R29" i="45" a="1"/>
  <c r="R29" i="45" s="1"/>
  <c r="Q29" i="45" a="1"/>
  <c r="Q29" i="45" s="1"/>
  <c r="K29" i="45"/>
  <c r="H29" i="45"/>
  <c r="R28" i="45" a="1"/>
  <c r="R28" i="45" s="1"/>
  <c r="Q28" i="45" a="1"/>
  <c r="Q28" i="45" s="1"/>
  <c r="M28" i="45"/>
  <c r="K28" i="45"/>
  <c r="H28" i="45"/>
  <c r="Z27" i="45"/>
  <c r="R27" i="45" a="1"/>
  <c r="R27" i="45" s="1"/>
  <c r="Q27" i="45" a="1"/>
  <c r="Q27" i="45" s="1"/>
  <c r="M27" i="45"/>
  <c r="K27" i="45"/>
  <c r="H27" i="45"/>
  <c r="Z26" i="45"/>
  <c r="R26" i="45" a="1"/>
  <c r="R26" i="45" s="1"/>
  <c r="Q26" i="45" a="1"/>
  <c r="Q26" i="45" s="1"/>
  <c r="K26" i="45"/>
  <c r="H26" i="45"/>
  <c r="R25" i="45" a="1"/>
  <c r="R25" i="45" s="1"/>
  <c r="Q25" i="45" a="1"/>
  <c r="Q25" i="45" s="1"/>
  <c r="K25" i="45"/>
  <c r="H25" i="45"/>
  <c r="R24" i="45" a="1"/>
  <c r="R24" i="45" s="1"/>
  <c r="Q24" i="45" a="1"/>
  <c r="Q24" i="45" s="1"/>
  <c r="K24" i="45"/>
  <c r="H24" i="45"/>
  <c r="U23" i="45"/>
  <c r="R23" i="45" a="1"/>
  <c r="R23" i="45" s="1"/>
  <c r="Q23" i="45" a="1"/>
  <c r="Q23" i="45" s="1"/>
  <c r="K23" i="45"/>
  <c r="H23" i="45"/>
  <c r="Z22" i="45"/>
  <c r="L118" i="45" s="1"/>
  <c r="R22" i="45" a="1"/>
  <c r="R22" i="45" s="1"/>
  <c r="Q22" i="45" a="1"/>
  <c r="Q22" i="45" s="1"/>
  <c r="K22" i="45"/>
  <c r="H22" i="45"/>
  <c r="Z21" i="45"/>
  <c r="U21" i="45"/>
  <c r="U24" i="45" s="1"/>
  <c r="R21" i="45" a="1"/>
  <c r="R21" i="45" s="1"/>
  <c r="Q21" i="45" a="1"/>
  <c r="Q21" i="45" s="1"/>
  <c r="K21" i="45"/>
  <c r="H21" i="45"/>
  <c r="U20" i="45"/>
  <c r="R20" i="45" a="1"/>
  <c r="R20" i="45" s="1"/>
  <c r="Q20" i="45" a="1"/>
  <c r="Q20" i="45" s="1"/>
  <c r="K20" i="45"/>
  <c r="H20" i="45"/>
  <c r="U19" i="45"/>
  <c r="R19" i="45" a="1"/>
  <c r="R19" i="45" s="1"/>
  <c r="Q19" i="45" a="1"/>
  <c r="Q19" i="45" s="1"/>
  <c r="K19" i="45"/>
  <c r="H19" i="45"/>
  <c r="R18" i="45" a="1"/>
  <c r="R18" i="45" s="1"/>
  <c r="Q18" i="45" a="1"/>
  <c r="Q18" i="45" s="1"/>
  <c r="K18" i="45"/>
  <c r="H18" i="45"/>
  <c r="R17" i="45" a="1"/>
  <c r="R17" i="45" s="1"/>
  <c r="Q17" i="45" a="1"/>
  <c r="Q17" i="45" s="1"/>
  <c r="M17" i="45"/>
  <c r="K17" i="45"/>
  <c r="H17" i="45"/>
  <c r="R16" i="45" a="1"/>
  <c r="R16" i="45" s="1"/>
  <c r="Q16" i="45" a="1"/>
  <c r="Q16" i="45" s="1"/>
  <c r="L16" i="45"/>
  <c r="K16" i="45"/>
  <c r="H16" i="45"/>
  <c r="R15" i="45" a="1"/>
  <c r="R15" i="45" s="1"/>
  <c r="Q15" i="45" a="1"/>
  <c r="Q15" i="45" s="1"/>
  <c r="M15" i="45"/>
  <c r="K15" i="45"/>
  <c r="H15" i="45"/>
  <c r="Z14" i="45"/>
  <c r="R14" i="45" a="1"/>
  <c r="R14" i="45" s="1"/>
  <c r="Q14" i="45" a="1"/>
  <c r="Q14" i="45" s="1"/>
  <c r="K14" i="45"/>
  <c r="I14" i="45"/>
  <c r="H14" i="45"/>
  <c r="Z13" i="45"/>
  <c r="R13" i="45" a="1"/>
  <c r="R13" i="45" s="1"/>
  <c r="Q13" i="45" a="1"/>
  <c r="Q13" i="45" s="1"/>
  <c r="K13" i="45"/>
  <c r="H13" i="45"/>
  <c r="R12" i="45" a="1"/>
  <c r="R12" i="45" s="1"/>
  <c r="Q12" i="45" a="1"/>
  <c r="Q12" i="45" s="1"/>
  <c r="K12" i="45"/>
  <c r="H12" i="45"/>
  <c r="Z11" i="45"/>
  <c r="R11" i="45" a="1"/>
  <c r="R11" i="45" s="1"/>
  <c r="Q11" i="45" a="1"/>
  <c r="Q11" i="45" s="1"/>
  <c r="M11" i="45"/>
  <c r="K11" i="45"/>
  <c r="H11" i="45"/>
  <c r="Z10" i="45"/>
  <c r="U10" i="45"/>
  <c r="R10" i="45" a="1"/>
  <c r="R10" i="45" s="1"/>
  <c r="Q10" i="45" a="1"/>
  <c r="Q10" i="45" s="1"/>
  <c r="K10" i="45"/>
  <c r="H10" i="45"/>
  <c r="R9" i="45" a="1"/>
  <c r="R9" i="45" s="1"/>
  <c r="Q9" i="45" a="1"/>
  <c r="Q9" i="45" s="1"/>
  <c r="M9" i="45"/>
  <c r="K9" i="45"/>
  <c r="H9" i="45"/>
  <c r="U8" i="45"/>
  <c r="U11" i="45" s="1"/>
  <c r="R8" i="45" a="1"/>
  <c r="R8" i="45" s="1"/>
  <c r="Q8" i="45" a="1"/>
  <c r="Q8" i="45" s="1"/>
  <c r="M8" i="45"/>
  <c r="K8" i="45"/>
  <c r="H8" i="45"/>
  <c r="Z7" i="45"/>
  <c r="M119" i="45" s="1"/>
  <c r="U7" i="45"/>
  <c r="R7" i="45" a="1"/>
  <c r="R7" i="45" s="1"/>
  <c r="Q7" i="45" a="1"/>
  <c r="Q7" i="45" s="1"/>
  <c r="K7" i="45"/>
  <c r="H7" i="45"/>
  <c r="Z6" i="45"/>
  <c r="J90" i="45" s="1"/>
  <c r="U6" i="45"/>
  <c r="R6" i="45" a="1"/>
  <c r="R6" i="45" s="1"/>
  <c r="Q6" i="45" a="1"/>
  <c r="Q6" i="45" s="1"/>
  <c r="M6" i="45"/>
  <c r="L6" i="45"/>
  <c r="K6" i="45"/>
  <c r="H6" i="45"/>
  <c r="R5" i="45" a="1"/>
  <c r="R5" i="45" s="1"/>
  <c r="Q5" i="45" a="1"/>
  <c r="Q5" i="45" s="1"/>
  <c r="K5" i="45"/>
  <c r="I5" i="45"/>
  <c r="H5" i="45"/>
  <c r="R4" i="45" a="1"/>
  <c r="R4" i="45" s="1"/>
  <c r="Q4" i="45" a="1"/>
  <c r="Q4" i="45" s="1"/>
  <c r="M4" i="45"/>
  <c r="K4" i="45"/>
  <c r="H4" i="45"/>
  <c r="R3" i="45" a="1"/>
  <c r="R3" i="45" s="1"/>
  <c r="Q3" i="45" a="1"/>
  <c r="Q3" i="45" s="1"/>
  <c r="M3" i="45"/>
  <c r="L3" i="45"/>
  <c r="K3" i="45"/>
  <c r="H3" i="45"/>
  <c r="R2" i="45" a="1"/>
  <c r="R2" i="45" s="1"/>
  <c r="Q2" i="45" a="1"/>
  <c r="Q2" i="45" s="1"/>
  <c r="M2" i="45"/>
  <c r="L2" i="45"/>
  <c r="K2" i="45"/>
  <c r="H2" i="45"/>
  <c r="U71" i="44"/>
  <c r="U70" i="44"/>
  <c r="U68" i="44"/>
  <c r="U58" i="44"/>
  <c r="U57" i="44"/>
  <c r="U56" i="44"/>
  <c r="U55" i="44"/>
  <c r="U43" i="44"/>
  <c r="U41" i="44"/>
  <c r="U40" i="44"/>
  <c r="U39" i="44"/>
  <c r="U21" i="44"/>
  <c r="U24" i="44" s="1"/>
  <c r="U26" i="44" s="1"/>
  <c r="U20" i="44"/>
  <c r="H2" i="44"/>
  <c r="K2" i="44"/>
  <c r="L2" i="44"/>
  <c r="M2" i="44"/>
  <c r="U19" i="44"/>
  <c r="U23" i="44"/>
  <c r="U10" i="44"/>
  <c r="U8" i="44"/>
  <c r="U11" i="44" s="1"/>
  <c r="U13" i="44" s="1"/>
  <c r="U7" i="44"/>
  <c r="U6" i="44"/>
  <c r="R128" i="44" a="1"/>
  <c r="R128" i="44" s="1"/>
  <c r="Q128" i="44" a="1"/>
  <c r="Q128" i="44" s="1"/>
  <c r="K128" i="44"/>
  <c r="H128" i="44"/>
  <c r="R127" i="44" a="1"/>
  <c r="R127" i="44" s="1"/>
  <c r="Q127" i="44" a="1"/>
  <c r="Q127" i="44" s="1"/>
  <c r="K127" i="44"/>
  <c r="H127" i="44"/>
  <c r="R126" i="44" a="1"/>
  <c r="R126" i="44" s="1"/>
  <c r="Q126" i="44" a="1"/>
  <c r="Q126" i="44" s="1"/>
  <c r="K126" i="44"/>
  <c r="H126" i="44"/>
  <c r="R125" i="44" a="1"/>
  <c r="R125" i="44" s="1"/>
  <c r="Q125" i="44" a="1"/>
  <c r="Q125" i="44" s="1"/>
  <c r="K125" i="44"/>
  <c r="H125" i="44"/>
  <c r="R124" i="44" a="1"/>
  <c r="R124" i="44" s="1"/>
  <c r="Q124" i="44" a="1"/>
  <c r="Q124" i="44" s="1"/>
  <c r="K124" i="44"/>
  <c r="H124" i="44"/>
  <c r="R123" i="44" a="1"/>
  <c r="R123" i="44" s="1"/>
  <c r="Q123" i="44" a="1"/>
  <c r="Q123" i="44" s="1"/>
  <c r="K123" i="44"/>
  <c r="H123" i="44"/>
  <c r="R122" i="44" a="1"/>
  <c r="R122" i="44" s="1"/>
  <c r="Q122" i="44" a="1"/>
  <c r="Q122" i="44" s="1"/>
  <c r="K122" i="44"/>
  <c r="H122" i="44"/>
  <c r="R121" i="44" a="1"/>
  <c r="R121" i="44" s="1"/>
  <c r="Q121" i="44" a="1"/>
  <c r="Q121" i="44" s="1"/>
  <c r="K121" i="44"/>
  <c r="H121" i="44"/>
  <c r="R120" i="44" a="1"/>
  <c r="R120" i="44" s="1"/>
  <c r="Q120" i="44" a="1"/>
  <c r="Q120" i="44" s="1"/>
  <c r="K120" i="44"/>
  <c r="H120" i="44"/>
  <c r="R119" i="44" a="1"/>
  <c r="R119" i="44" s="1"/>
  <c r="Q119" i="44" a="1"/>
  <c r="Q119" i="44" s="1"/>
  <c r="K119" i="44"/>
  <c r="H119" i="44"/>
  <c r="R118" i="44" a="1"/>
  <c r="R118" i="44" s="1"/>
  <c r="Q118" i="44" a="1"/>
  <c r="Q118" i="44" s="1"/>
  <c r="K118" i="44"/>
  <c r="H118" i="44"/>
  <c r="R117" i="44" a="1"/>
  <c r="R117" i="44" s="1"/>
  <c r="Q117" i="44" a="1"/>
  <c r="Q117" i="44" s="1"/>
  <c r="K117" i="44"/>
  <c r="H117" i="44"/>
  <c r="R116" i="44" a="1"/>
  <c r="R116" i="44" s="1"/>
  <c r="Q116" i="44" a="1"/>
  <c r="Q116" i="44" s="1"/>
  <c r="K116" i="44"/>
  <c r="H116" i="44"/>
  <c r="R115" i="44" a="1"/>
  <c r="R115" i="44" s="1"/>
  <c r="Q115" i="44" a="1"/>
  <c r="Q115" i="44" s="1"/>
  <c r="K115" i="44"/>
  <c r="H115" i="44"/>
  <c r="R114" i="44" a="1"/>
  <c r="R114" i="44" s="1"/>
  <c r="Q114" i="44" a="1"/>
  <c r="Q114" i="44" s="1"/>
  <c r="K114" i="44"/>
  <c r="H114" i="44"/>
  <c r="R113" i="44" a="1"/>
  <c r="R113" i="44" s="1"/>
  <c r="Q113" i="44" a="1"/>
  <c r="Q113" i="44" s="1"/>
  <c r="K113" i="44"/>
  <c r="H113" i="44"/>
  <c r="R112" i="44" a="1"/>
  <c r="R112" i="44" s="1"/>
  <c r="Q112" i="44" a="1"/>
  <c r="Q112" i="44" s="1"/>
  <c r="K112" i="44"/>
  <c r="H112" i="44"/>
  <c r="R111" i="44" a="1"/>
  <c r="R111" i="44" s="1"/>
  <c r="Q111" i="44" a="1"/>
  <c r="Q111" i="44" s="1"/>
  <c r="K111" i="44"/>
  <c r="H111" i="44"/>
  <c r="R110" i="44" a="1"/>
  <c r="R110" i="44" s="1"/>
  <c r="Q110" i="44" a="1"/>
  <c r="Q110" i="44" s="1"/>
  <c r="K110" i="44"/>
  <c r="H110" i="44"/>
  <c r="R109" i="44" a="1"/>
  <c r="R109" i="44" s="1"/>
  <c r="Q109" i="44" a="1"/>
  <c r="Q109" i="44" s="1"/>
  <c r="K109" i="44"/>
  <c r="H109" i="44"/>
  <c r="R108" i="44" a="1"/>
  <c r="R108" i="44" s="1"/>
  <c r="Q108" i="44" a="1"/>
  <c r="Q108" i="44" s="1"/>
  <c r="K108" i="44"/>
  <c r="H108" i="44"/>
  <c r="R107" i="44" a="1"/>
  <c r="R107" i="44" s="1"/>
  <c r="Q107" i="44" a="1"/>
  <c r="Q107" i="44" s="1"/>
  <c r="K107" i="44"/>
  <c r="H107" i="44"/>
  <c r="R106" i="44" a="1"/>
  <c r="R106" i="44" s="1"/>
  <c r="Q106" i="44" a="1"/>
  <c r="Q106" i="44" s="1"/>
  <c r="K106" i="44"/>
  <c r="H106" i="44"/>
  <c r="R105" i="44" a="1"/>
  <c r="R105" i="44" s="1"/>
  <c r="Q105" i="44" a="1"/>
  <c r="Q105" i="44" s="1"/>
  <c r="K105" i="44"/>
  <c r="H105" i="44"/>
  <c r="R104" i="44" a="1"/>
  <c r="R104" i="44" s="1"/>
  <c r="Q104" i="44" a="1"/>
  <c r="Q104" i="44" s="1"/>
  <c r="K104" i="44"/>
  <c r="H104" i="44"/>
  <c r="R103" i="44" a="1"/>
  <c r="R103" i="44" s="1"/>
  <c r="Q103" i="44" a="1"/>
  <c r="Q103" i="44" s="1"/>
  <c r="K103" i="44"/>
  <c r="H103" i="44"/>
  <c r="R102" i="44" a="1"/>
  <c r="R102" i="44" s="1"/>
  <c r="Q102" i="44" a="1"/>
  <c r="Q102" i="44" s="1"/>
  <c r="K102" i="44"/>
  <c r="H102" i="44"/>
  <c r="R101" i="44" a="1"/>
  <c r="R101" i="44" s="1"/>
  <c r="Q101" i="44" a="1"/>
  <c r="Q101" i="44" s="1"/>
  <c r="K101" i="44"/>
  <c r="H101" i="44"/>
  <c r="R100" i="44" a="1"/>
  <c r="R100" i="44" s="1"/>
  <c r="Q100" i="44" a="1"/>
  <c r="Q100" i="44" s="1"/>
  <c r="K100" i="44"/>
  <c r="H100" i="44"/>
  <c r="R99" i="44" a="1"/>
  <c r="R99" i="44" s="1"/>
  <c r="Q99" i="44" a="1"/>
  <c r="Q99" i="44" s="1"/>
  <c r="K99" i="44"/>
  <c r="H99" i="44"/>
  <c r="R98" i="44" a="1"/>
  <c r="R98" i="44" s="1"/>
  <c r="Q98" i="44" a="1"/>
  <c r="Q98" i="44" s="1"/>
  <c r="K98" i="44"/>
  <c r="H98" i="44"/>
  <c r="R97" i="44" a="1"/>
  <c r="R97" i="44" s="1"/>
  <c r="Q97" i="44" a="1"/>
  <c r="Q97" i="44" s="1"/>
  <c r="K97" i="44"/>
  <c r="H97" i="44"/>
  <c r="R96" i="44" a="1"/>
  <c r="R96" i="44" s="1"/>
  <c r="Q96" i="44" a="1"/>
  <c r="Q96" i="44" s="1"/>
  <c r="K96" i="44"/>
  <c r="H96" i="44"/>
  <c r="R95" i="44" a="1"/>
  <c r="R95" i="44" s="1"/>
  <c r="Q95" i="44" a="1"/>
  <c r="Q95" i="44" s="1"/>
  <c r="K95" i="44"/>
  <c r="H95" i="44"/>
  <c r="R94" i="44" a="1"/>
  <c r="R94" i="44" s="1"/>
  <c r="Q94" i="44" a="1"/>
  <c r="Q94" i="44" s="1"/>
  <c r="K94" i="44"/>
  <c r="H94" i="44"/>
  <c r="R93" i="44" a="1"/>
  <c r="R93" i="44" s="1"/>
  <c r="Q93" i="44" a="1"/>
  <c r="Q93" i="44" s="1"/>
  <c r="K93" i="44"/>
  <c r="H93" i="44"/>
  <c r="R92" i="44" a="1"/>
  <c r="R92" i="44" s="1"/>
  <c r="Q92" i="44" a="1"/>
  <c r="Q92" i="44" s="1"/>
  <c r="K92" i="44"/>
  <c r="H92" i="44"/>
  <c r="R91" i="44" a="1"/>
  <c r="R91" i="44" s="1"/>
  <c r="Q91" i="44" a="1"/>
  <c r="Q91" i="44" s="1"/>
  <c r="K91" i="44"/>
  <c r="H91" i="44"/>
  <c r="R90" i="44" a="1"/>
  <c r="R90" i="44" s="1"/>
  <c r="Q90" i="44" a="1"/>
  <c r="Q90" i="44" s="1"/>
  <c r="K90" i="44"/>
  <c r="H90" i="44"/>
  <c r="R89" i="44" a="1"/>
  <c r="R89" i="44" s="1"/>
  <c r="Q89" i="44" a="1"/>
  <c r="Q89" i="44" s="1"/>
  <c r="K89" i="44"/>
  <c r="H89" i="44"/>
  <c r="R88" i="44" a="1"/>
  <c r="R88" i="44" s="1"/>
  <c r="Q88" i="44" a="1"/>
  <c r="Q88" i="44" s="1"/>
  <c r="K88" i="44"/>
  <c r="H88" i="44"/>
  <c r="R87" i="44" a="1"/>
  <c r="R87" i="44" s="1"/>
  <c r="Q87" i="44" a="1"/>
  <c r="Q87" i="44" s="1"/>
  <c r="K87" i="44"/>
  <c r="H87" i="44"/>
  <c r="R86" i="44" a="1"/>
  <c r="R86" i="44" s="1"/>
  <c r="Q86" i="44" a="1"/>
  <c r="Q86" i="44" s="1"/>
  <c r="K86" i="44"/>
  <c r="H86" i="44"/>
  <c r="R85" i="44" a="1"/>
  <c r="R85" i="44" s="1"/>
  <c r="Q85" i="44" a="1"/>
  <c r="Q85" i="44" s="1"/>
  <c r="K85" i="44"/>
  <c r="H85" i="44"/>
  <c r="R84" i="44" a="1"/>
  <c r="R84" i="44" s="1"/>
  <c r="Q84" i="44" a="1"/>
  <c r="Q84" i="44" s="1"/>
  <c r="K84" i="44"/>
  <c r="H84" i="44"/>
  <c r="R83" i="44" a="1"/>
  <c r="R83" i="44" s="1"/>
  <c r="Q83" i="44" a="1"/>
  <c r="Q83" i="44" s="1"/>
  <c r="K83" i="44"/>
  <c r="H83" i="44"/>
  <c r="R82" i="44" a="1"/>
  <c r="R82" i="44" s="1"/>
  <c r="Q82" i="44" a="1"/>
  <c r="Q82" i="44" s="1"/>
  <c r="K82" i="44"/>
  <c r="H82" i="44"/>
  <c r="R81" i="44" a="1"/>
  <c r="R81" i="44" s="1"/>
  <c r="Q81" i="44" a="1"/>
  <c r="Q81" i="44" s="1"/>
  <c r="K81" i="44"/>
  <c r="H81" i="44"/>
  <c r="R80" i="44" a="1"/>
  <c r="R80" i="44" s="1"/>
  <c r="Q80" i="44" a="1"/>
  <c r="Q80" i="44" s="1"/>
  <c r="K80" i="44"/>
  <c r="H80" i="44"/>
  <c r="R79" i="44" a="1"/>
  <c r="R79" i="44" s="1"/>
  <c r="Q79" i="44" a="1"/>
  <c r="Q79" i="44" s="1"/>
  <c r="K79" i="44"/>
  <c r="H79" i="44"/>
  <c r="R78" i="44" a="1"/>
  <c r="R78" i="44" s="1"/>
  <c r="Q78" i="44" a="1"/>
  <c r="Q78" i="44" s="1"/>
  <c r="K78" i="44"/>
  <c r="H78" i="44"/>
  <c r="R77" i="44" a="1"/>
  <c r="R77" i="44" s="1"/>
  <c r="Q77" i="44" a="1"/>
  <c r="Q77" i="44" s="1"/>
  <c r="K77" i="44"/>
  <c r="H77" i="44"/>
  <c r="R76" i="44" a="1"/>
  <c r="R76" i="44" s="1"/>
  <c r="Q76" i="44" a="1"/>
  <c r="Q76" i="44" s="1"/>
  <c r="K76" i="44"/>
  <c r="H76" i="44"/>
  <c r="R75" i="44" a="1"/>
  <c r="R75" i="44" s="1"/>
  <c r="Q75" i="44" a="1"/>
  <c r="Q75" i="44" s="1"/>
  <c r="K75" i="44"/>
  <c r="H75" i="44"/>
  <c r="R74" i="44" a="1"/>
  <c r="R74" i="44" s="1"/>
  <c r="Q74" i="44" a="1"/>
  <c r="Q74" i="44" s="1"/>
  <c r="K74" i="44"/>
  <c r="H74" i="44"/>
  <c r="R73" i="44" a="1"/>
  <c r="R73" i="44" s="1"/>
  <c r="Q73" i="44" a="1"/>
  <c r="Q73" i="44" s="1"/>
  <c r="K73" i="44"/>
  <c r="H73" i="44"/>
  <c r="R72" i="44" a="1"/>
  <c r="R72" i="44" s="1"/>
  <c r="Q72" i="44" a="1"/>
  <c r="Q72" i="44" s="1"/>
  <c r="K72" i="44"/>
  <c r="H72" i="44"/>
  <c r="R71" i="44" a="1"/>
  <c r="R71" i="44" s="1"/>
  <c r="Q71" i="44" a="1"/>
  <c r="Q71" i="44" s="1"/>
  <c r="K71" i="44"/>
  <c r="H71" i="44"/>
  <c r="R70" i="44" a="1"/>
  <c r="R70" i="44" s="1"/>
  <c r="Q70" i="44" a="1"/>
  <c r="Q70" i="44" s="1"/>
  <c r="K70" i="44"/>
  <c r="H70" i="44"/>
  <c r="R69" i="44" a="1"/>
  <c r="R69" i="44" s="1"/>
  <c r="Q69" i="44" a="1"/>
  <c r="Q69" i="44" s="1"/>
  <c r="K69" i="44"/>
  <c r="H69" i="44"/>
  <c r="R68" i="44" a="1"/>
  <c r="R68" i="44" s="1"/>
  <c r="Q68" i="44" a="1"/>
  <c r="Q68" i="44" s="1"/>
  <c r="K68" i="44"/>
  <c r="H68" i="44"/>
  <c r="R67" i="44" a="1"/>
  <c r="R67" i="44" s="1"/>
  <c r="Q67" i="44" a="1"/>
  <c r="Q67" i="44" s="1"/>
  <c r="K67" i="44"/>
  <c r="H67" i="44"/>
  <c r="R66" i="44" a="1"/>
  <c r="R66" i="44" s="1"/>
  <c r="Q66" i="44" a="1"/>
  <c r="Q66" i="44" s="1"/>
  <c r="K66" i="44"/>
  <c r="H66" i="44"/>
  <c r="R65" i="44" a="1"/>
  <c r="R65" i="44" s="1"/>
  <c r="Q65" i="44" a="1"/>
  <c r="Q65" i="44" s="1"/>
  <c r="K65" i="44"/>
  <c r="H65" i="44"/>
  <c r="R64" i="44" a="1"/>
  <c r="R64" i="44" s="1"/>
  <c r="Q64" i="44" a="1"/>
  <c r="Q64" i="44" s="1"/>
  <c r="K64" i="44"/>
  <c r="H64" i="44"/>
  <c r="R63" i="44" a="1"/>
  <c r="R63" i="44" s="1"/>
  <c r="Q63" i="44" a="1"/>
  <c r="Q63" i="44" s="1"/>
  <c r="K63" i="44"/>
  <c r="H63" i="44"/>
  <c r="R62" i="44" a="1"/>
  <c r="R62" i="44" s="1"/>
  <c r="Q62" i="44" a="1"/>
  <c r="Q62" i="44" s="1"/>
  <c r="K62" i="44"/>
  <c r="H62" i="44"/>
  <c r="R61" i="44" a="1"/>
  <c r="R61" i="44" s="1"/>
  <c r="Q61" i="44" a="1"/>
  <c r="Q61" i="44" s="1"/>
  <c r="K61" i="44"/>
  <c r="H61" i="44"/>
  <c r="R60" i="44" a="1"/>
  <c r="R60" i="44" s="1"/>
  <c r="Q60" i="44" a="1"/>
  <c r="Q60" i="44" s="1"/>
  <c r="K60" i="44"/>
  <c r="H60" i="44"/>
  <c r="R59" i="44" a="1"/>
  <c r="R59" i="44" s="1"/>
  <c r="Q59" i="44" a="1"/>
  <c r="Q59" i="44" s="1"/>
  <c r="K59" i="44"/>
  <c r="H59" i="44"/>
  <c r="R58" i="44" a="1"/>
  <c r="R58" i="44" s="1"/>
  <c r="Q58" i="44" a="1"/>
  <c r="Q58" i="44" s="1"/>
  <c r="K58" i="44"/>
  <c r="H58" i="44"/>
  <c r="R57" i="44" a="1"/>
  <c r="R57" i="44" s="1"/>
  <c r="Q57" i="44" a="1"/>
  <c r="Q57" i="44" s="1"/>
  <c r="K57" i="44"/>
  <c r="H57" i="44"/>
  <c r="R56" i="44" a="1"/>
  <c r="R56" i="44" s="1"/>
  <c r="Q56" i="44" a="1"/>
  <c r="Q56" i="44" s="1"/>
  <c r="K56" i="44"/>
  <c r="H56" i="44"/>
  <c r="R55" i="44" a="1"/>
  <c r="R55" i="44" s="1"/>
  <c r="Q55" i="44" a="1"/>
  <c r="Q55" i="44" s="1"/>
  <c r="K55" i="44"/>
  <c r="H55" i="44"/>
  <c r="R54" i="44" a="1"/>
  <c r="R54" i="44" s="1"/>
  <c r="Q54" i="44" a="1"/>
  <c r="Q54" i="44" s="1"/>
  <c r="K54" i="44"/>
  <c r="H54" i="44"/>
  <c r="R53" i="44" a="1"/>
  <c r="R53" i="44" s="1"/>
  <c r="Q53" i="44" a="1"/>
  <c r="Q53" i="44" s="1"/>
  <c r="K53" i="44"/>
  <c r="H53" i="44"/>
  <c r="R52" i="44" a="1"/>
  <c r="R52" i="44" s="1"/>
  <c r="Q52" i="44" a="1"/>
  <c r="Q52" i="44" s="1"/>
  <c r="K52" i="44"/>
  <c r="H52" i="44"/>
  <c r="R51" i="44" a="1"/>
  <c r="R51" i="44" s="1"/>
  <c r="Q51" i="44" a="1"/>
  <c r="Q51" i="44" s="1"/>
  <c r="K51" i="44"/>
  <c r="H51" i="44"/>
  <c r="R50" i="44" a="1"/>
  <c r="R50" i="44" s="1"/>
  <c r="Q50" i="44" a="1"/>
  <c r="Q50" i="44" s="1"/>
  <c r="K50" i="44"/>
  <c r="H50" i="44"/>
  <c r="R49" i="44" a="1"/>
  <c r="R49" i="44" s="1"/>
  <c r="Q49" i="44" a="1"/>
  <c r="Q49" i="44" s="1"/>
  <c r="K49" i="44"/>
  <c r="H49" i="44"/>
  <c r="R48" i="44" a="1"/>
  <c r="R48" i="44" s="1"/>
  <c r="Q48" i="44" a="1"/>
  <c r="Q48" i="44" s="1"/>
  <c r="K48" i="44"/>
  <c r="H48" i="44"/>
  <c r="R47" i="44" a="1"/>
  <c r="R47" i="44" s="1"/>
  <c r="Q47" i="44" a="1"/>
  <c r="Q47" i="44" s="1"/>
  <c r="K47" i="44"/>
  <c r="H47" i="44"/>
  <c r="R46" i="44" a="1"/>
  <c r="R46" i="44" s="1"/>
  <c r="Q46" i="44" a="1"/>
  <c r="Q46" i="44" s="1"/>
  <c r="K46" i="44"/>
  <c r="H46" i="44"/>
  <c r="Z45" i="44"/>
  <c r="R45" i="44" a="1"/>
  <c r="R45" i="44" s="1"/>
  <c r="Q45" i="44" a="1"/>
  <c r="Q45" i="44" s="1"/>
  <c r="K45" i="44"/>
  <c r="H45" i="44"/>
  <c r="Z44" i="44"/>
  <c r="R44" i="44" a="1"/>
  <c r="R44" i="44" s="1"/>
  <c r="Q44" i="44" a="1"/>
  <c r="Q44" i="44" s="1"/>
  <c r="K44" i="44"/>
  <c r="H44" i="44"/>
  <c r="R43" i="44" a="1"/>
  <c r="R43" i="44" s="1"/>
  <c r="Q43" i="44" a="1"/>
  <c r="Q43" i="44" s="1"/>
  <c r="K43" i="44"/>
  <c r="H43" i="44"/>
  <c r="R42" i="44" a="1"/>
  <c r="R42" i="44" s="1"/>
  <c r="Q42" i="44" a="1"/>
  <c r="Q42" i="44" s="1"/>
  <c r="K42" i="44"/>
  <c r="H42" i="44"/>
  <c r="R41" i="44" a="1"/>
  <c r="R41" i="44" s="1"/>
  <c r="Q41" i="44" a="1"/>
  <c r="Q41" i="44" s="1"/>
  <c r="K41" i="44"/>
  <c r="H41" i="44"/>
  <c r="R40" i="44" a="1"/>
  <c r="R40" i="44" s="1"/>
  <c r="Q40" i="44" a="1"/>
  <c r="Q40" i="44" s="1"/>
  <c r="K40" i="44"/>
  <c r="H40" i="44"/>
  <c r="R39" i="44" a="1"/>
  <c r="R39" i="44" s="1"/>
  <c r="Q39" i="44" a="1"/>
  <c r="Q39" i="44" s="1"/>
  <c r="K39" i="44"/>
  <c r="H39" i="44"/>
  <c r="R38" i="44" a="1"/>
  <c r="R38" i="44" s="1"/>
  <c r="Q38" i="44" a="1"/>
  <c r="Q38" i="44" s="1"/>
  <c r="K38" i="44"/>
  <c r="H38" i="44"/>
  <c r="R37" i="44" a="1"/>
  <c r="R37" i="44" s="1"/>
  <c r="Q37" i="44" a="1"/>
  <c r="Q37" i="44" s="1"/>
  <c r="K37" i="44"/>
  <c r="H37" i="44"/>
  <c r="R36" i="44" a="1"/>
  <c r="R36" i="44" s="1"/>
  <c r="Q36" i="44" a="1"/>
  <c r="Q36" i="44" s="1"/>
  <c r="K36" i="44"/>
  <c r="H36" i="44"/>
  <c r="R35" i="44" a="1"/>
  <c r="R35" i="44" s="1"/>
  <c r="Q35" i="44" a="1"/>
  <c r="Q35" i="44" s="1"/>
  <c r="K35" i="44"/>
  <c r="H35" i="44"/>
  <c r="Z34" i="44"/>
  <c r="R34" i="44" a="1"/>
  <c r="R34" i="44" s="1"/>
  <c r="Q34" i="44" a="1"/>
  <c r="Q34" i="44" s="1"/>
  <c r="K34" i="44"/>
  <c r="H34" i="44"/>
  <c r="Z33" i="44"/>
  <c r="R33" i="44" a="1"/>
  <c r="R33" i="44" s="1"/>
  <c r="Q33" i="44" a="1"/>
  <c r="Q33" i="44" s="1"/>
  <c r="K33" i="44"/>
  <c r="H33" i="44"/>
  <c r="R32" i="44" a="1"/>
  <c r="R32" i="44" s="1"/>
  <c r="Q32" i="44" a="1"/>
  <c r="Q32" i="44" s="1"/>
  <c r="K32" i="44"/>
  <c r="H32" i="44"/>
  <c r="R31" i="44" a="1"/>
  <c r="R31" i="44" s="1"/>
  <c r="Q31" i="44" a="1"/>
  <c r="Q31" i="44" s="1"/>
  <c r="K31" i="44"/>
  <c r="H31" i="44"/>
  <c r="Z30" i="44"/>
  <c r="R30" i="44" a="1"/>
  <c r="R30" i="44" s="1"/>
  <c r="Q30" i="44" a="1"/>
  <c r="Q30" i="44" s="1"/>
  <c r="K30" i="44"/>
  <c r="H30" i="44"/>
  <c r="Z29" i="44"/>
  <c r="R29" i="44" a="1"/>
  <c r="R29" i="44" s="1"/>
  <c r="Q29" i="44" a="1"/>
  <c r="Q29" i="44" s="1"/>
  <c r="K29" i="44"/>
  <c r="H29" i="44"/>
  <c r="R28" i="44" a="1"/>
  <c r="R28" i="44" s="1"/>
  <c r="Q28" i="44" a="1"/>
  <c r="Q28" i="44" s="1"/>
  <c r="K28" i="44"/>
  <c r="H28" i="44"/>
  <c r="Z27" i="44"/>
  <c r="R27" i="44" a="1"/>
  <c r="R27" i="44" s="1"/>
  <c r="Q27" i="44" a="1"/>
  <c r="Q27" i="44" s="1"/>
  <c r="K27" i="44"/>
  <c r="H27" i="44"/>
  <c r="Z26" i="44"/>
  <c r="R26" i="44" a="1"/>
  <c r="R26" i="44" s="1"/>
  <c r="Q26" i="44" a="1"/>
  <c r="Q26" i="44" s="1"/>
  <c r="K26" i="44"/>
  <c r="H26" i="44"/>
  <c r="R25" i="44" a="1"/>
  <c r="R25" i="44" s="1"/>
  <c r="Q25" i="44" a="1"/>
  <c r="Q25" i="44" s="1"/>
  <c r="K25" i="44"/>
  <c r="H25" i="44"/>
  <c r="R24" i="44" a="1"/>
  <c r="R24" i="44" s="1"/>
  <c r="Q24" i="44" a="1"/>
  <c r="Q24" i="44" s="1"/>
  <c r="K24" i="44"/>
  <c r="H24" i="44"/>
  <c r="R23" i="44" a="1"/>
  <c r="R23" i="44" s="1"/>
  <c r="Q23" i="44" a="1"/>
  <c r="Q23" i="44" s="1"/>
  <c r="K23" i="44"/>
  <c r="H23" i="44"/>
  <c r="Z22" i="44"/>
  <c r="L91" i="44" s="1"/>
  <c r="R22" i="44" a="1"/>
  <c r="R22" i="44" s="1"/>
  <c r="Q22" i="44" a="1"/>
  <c r="Q22" i="44" s="1"/>
  <c r="K22" i="44"/>
  <c r="H22" i="44"/>
  <c r="Z21" i="44"/>
  <c r="I2" i="44" s="1"/>
  <c r="R21" i="44" a="1"/>
  <c r="R21" i="44" s="1"/>
  <c r="Q21" i="44" a="1"/>
  <c r="Q21" i="44" s="1"/>
  <c r="K21" i="44"/>
  <c r="H21" i="44"/>
  <c r="R20" i="44" a="1"/>
  <c r="R20" i="44" s="1"/>
  <c r="Q20" i="44" a="1"/>
  <c r="Q20" i="44" s="1"/>
  <c r="K20" i="44"/>
  <c r="H20" i="44"/>
  <c r="R19" i="44" a="1"/>
  <c r="R19" i="44" s="1"/>
  <c r="Q19" i="44" a="1"/>
  <c r="Q19" i="44" s="1"/>
  <c r="K19" i="44"/>
  <c r="H19" i="44"/>
  <c r="R18" i="44" a="1"/>
  <c r="R18" i="44" s="1"/>
  <c r="Q18" i="44" a="1"/>
  <c r="Q18" i="44" s="1"/>
  <c r="K18" i="44"/>
  <c r="H18" i="44"/>
  <c r="R17" i="44" a="1"/>
  <c r="R17" i="44" s="1"/>
  <c r="Q17" i="44" a="1"/>
  <c r="Q17" i="44" s="1"/>
  <c r="K17" i="44"/>
  <c r="H17" i="44"/>
  <c r="R16" i="44" a="1"/>
  <c r="R16" i="44" s="1"/>
  <c r="Q16" i="44" a="1"/>
  <c r="Q16" i="44" s="1"/>
  <c r="K16" i="44"/>
  <c r="H16" i="44"/>
  <c r="R15" i="44" a="1"/>
  <c r="R15" i="44" s="1"/>
  <c r="Q15" i="44" a="1"/>
  <c r="Q15" i="44" s="1"/>
  <c r="K15" i="44"/>
  <c r="H15" i="44"/>
  <c r="Z14" i="44"/>
  <c r="R14" i="44" a="1"/>
  <c r="R14" i="44" s="1"/>
  <c r="Q14" i="44" a="1"/>
  <c r="Q14" i="44" s="1"/>
  <c r="K14" i="44"/>
  <c r="H14" i="44"/>
  <c r="Z13" i="44"/>
  <c r="R13" i="44" a="1"/>
  <c r="R13" i="44" s="1"/>
  <c r="Q13" i="44" a="1"/>
  <c r="Q13" i="44" s="1"/>
  <c r="K13" i="44"/>
  <c r="H13" i="44"/>
  <c r="R12" i="44" a="1"/>
  <c r="R12" i="44" s="1"/>
  <c r="Q12" i="44" a="1"/>
  <c r="Q12" i="44" s="1"/>
  <c r="K12" i="44"/>
  <c r="H12" i="44"/>
  <c r="Z11" i="44"/>
  <c r="R11" i="44" a="1"/>
  <c r="R11" i="44" s="1"/>
  <c r="Q11" i="44" a="1"/>
  <c r="Q11" i="44" s="1"/>
  <c r="K11" i="44"/>
  <c r="H11" i="44"/>
  <c r="Z10" i="44"/>
  <c r="R10" i="44" a="1"/>
  <c r="R10" i="44" s="1"/>
  <c r="Q10" i="44" a="1"/>
  <c r="Q10" i="44" s="1"/>
  <c r="K10" i="44"/>
  <c r="H10" i="44"/>
  <c r="R9" i="44" a="1"/>
  <c r="R9" i="44" s="1"/>
  <c r="Q9" i="44" a="1"/>
  <c r="Q9" i="44" s="1"/>
  <c r="K9" i="44"/>
  <c r="H9" i="44"/>
  <c r="R8" i="44" a="1"/>
  <c r="R8" i="44" s="1"/>
  <c r="Q8" i="44" a="1"/>
  <c r="Q8" i="44" s="1"/>
  <c r="K8" i="44"/>
  <c r="H8" i="44"/>
  <c r="Z7" i="44"/>
  <c r="M116" i="44" s="1"/>
  <c r="R7" i="44" a="1"/>
  <c r="R7" i="44" s="1"/>
  <c r="Q7" i="44" a="1"/>
  <c r="Q7" i="44" s="1"/>
  <c r="K7" i="44"/>
  <c r="H7" i="44"/>
  <c r="Z6" i="44"/>
  <c r="J116" i="44" s="1"/>
  <c r="R6" i="44" a="1"/>
  <c r="R6" i="44" s="1"/>
  <c r="Q6" i="44" a="1"/>
  <c r="Q6" i="44" s="1"/>
  <c r="K6" i="44"/>
  <c r="H6" i="44"/>
  <c r="R5" i="44" a="1"/>
  <c r="R5" i="44" s="1"/>
  <c r="Q5" i="44" a="1"/>
  <c r="Q5" i="44" s="1"/>
  <c r="K5" i="44"/>
  <c r="H5" i="44"/>
  <c r="R4" i="44" a="1"/>
  <c r="R4" i="44" s="1"/>
  <c r="Q4" i="44" a="1"/>
  <c r="Q4" i="44" s="1"/>
  <c r="K4" i="44"/>
  <c r="H4" i="44"/>
  <c r="R3" i="44" a="1"/>
  <c r="R3" i="44" s="1"/>
  <c r="Q3" i="44" a="1"/>
  <c r="Q3" i="44" s="1"/>
  <c r="K3" i="44"/>
  <c r="H3" i="44"/>
  <c r="R2" i="44" a="1"/>
  <c r="R2" i="44" s="1"/>
  <c r="Q2" i="44" a="1"/>
  <c r="Q2" i="44" s="1"/>
  <c r="Y290" i="38" l="1"/>
  <c r="Y274" i="38"/>
  <c r="Y258" i="38"/>
  <c r="Y242" i="38"/>
  <c r="Y226" i="38"/>
  <c r="Y210" i="38"/>
  <c r="Y194" i="38"/>
  <c r="Y178" i="38"/>
  <c r="Y162" i="38"/>
  <c r="Y146" i="38"/>
  <c r="Y130" i="38"/>
  <c r="Y114" i="38"/>
  <c r="Y98" i="38"/>
  <c r="Y82" i="38"/>
  <c r="Y66" i="38"/>
  <c r="Y50" i="38"/>
  <c r="Y34" i="38"/>
  <c r="Y18" i="38"/>
  <c r="Y262" i="38"/>
  <c r="Y14" i="38"/>
  <c r="Y246" i="38"/>
  <c r="Y288" i="38"/>
  <c r="Y272" i="38"/>
  <c r="Y256" i="38"/>
  <c r="Y240" i="38"/>
  <c r="Y224" i="38"/>
  <c r="Y208" i="38"/>
  <c r="Y192" i="38"/>
  <c r="Y176" i="38"/>
  <c r="Y160" i="38"/>
  <c r="Y144" i="38"/>
  <c r="Y128" i="38"/>
  <c r="Y112" i="38"/>
  <c r="Y96" i="38"/>
  <c r="Y80" i="38"/>
  <c r="Y64" i="38"/>
  <c r="Y48" i="38"/>
  <c r="Y32" i="38"/>
  <c r="Y16" i="38"/>
  <c r="Y158" i="38"/>
  <c r="Y285" i="38"/>
  <c r="Y269" i="38"/>
  <c r="Y253" i="38"/>
  <c r="Y237" i="38"/>
  <c r="Y221" i="38"/>
  <c r="Y205" i="38"/>
  <c r="Y189" i="38"/>
  <c r="Y173" i="38"/>
  <c r="Y157" i="38"/>
  <c r="Y141" i="38"/>
  <c r="Y125" i="38"/>
  <c r="Y109" i="38"/>
  <c r="Y93" i="38"/>
  <c r="Y77" i="38"/>
  <c r="Y61" i="38"/>
  <c r="Y45" i="38"/>
  <c r="Y29" i="38"/>
  <c r="Y13" i="38"/>
  <c r="Y46" i="38"/>
  <c r="Y300" i="38"/>
  <c r="Y284" i="38"/>
  <c r="Y268" i="38"/>
  <c r="Y252" i="38"/>
  <c r="Y236" i="38"/>
  <c r="Y220" i="38"/>
  <c r="Y204" i="38"/>
  <c r="Y188" i="38"/>
  <c r="Y172" i="38"/>
  <c r="Y156" i="38"/>
  <c r="Y140" i="38"/>
  <c r="Y124" i="38"/>
  <c r="Y108" i="38"/>
  <c r="Y92" i="38"/>
  <c r="Y76" i="38"/>
  <c r="Y60" i="38"/>
  <c r="Y44" i="38"/>
  <c r="Y28" i="38"/>
  <c r="Y12" i="38"/>
  <c r="Y254" i="38"/>
  <c r="Y238" i="38"/>
  <c r="Y222" i="38"/>
  <c r="Y299" i="38"/>
  <c r="Y283" i="38"/>
  <c r="Y267" i="38"/>
  <c r="Y251" i="38"/>
  <c r="Y235" i="38"/>
  <c r="Y219" i="38"/>
  <c r="Y203" i="38"/>
  <c r="Y187" i="38"/>
  <c r="Y171" i="38"/>
  <c r="Y155" i="38"/>
  <c r="Y139" i="38"/>
  <c r="Y123" i="38"/>
  <c r="Y107" i="38"/>
  <c r="Y91" i="38"/>
  <c r="Y75" i="38"/>
  <c r="Y59" i="38"/>
  <c r="Y43" i="38"/>
  <c r="Y27" i="38"/>
  <c r="Y11" i="38"/>
  <c r="Y174" i="38"/>
  <c r="Y126" i="38"/>
  <c r="Y298" i="38"/>
  <c r="Y282" i="38"/>
  <c r="Y266" i="38"/>
  <c r="Y250" i="38"/>
  <c r="Y234" i="38"/>
  <c r="Y218" i="38"/>
  <c r="Y202" i="38"/>
  <c r="Y186" i="38"/>
  <c r="Y170" i="38"/>
  <c r="Y154" i="38"/>
  <c r="Y138" i="38"/>
  <c r="Y122" i="38"/>
  <c r="Y106" i="38"/>
  <c r="Y90" i="38"/>
  <c r="Y74" i="38"/>
  <c r="Y58" i="38"/>
  <c r="Y42" i="38"/>
  <c r="Y26" i="38"/>
  <c r="Y10" i="38"/>
  <c r="Y286" i="38"/>
  <c r="Y190" i="38"/>
  <c r="Y78" i="38"/>
  <c r="Y62" i="38"/>
  <c r="Y297" i="38"/>
  <c r="Y281" i="38"/>
  <c r="Y265" i="38"/>
  <c r="Y249" i="38"/>
  <c r="Y233" i="38"/>
  <c r="Y217" i="38"/>
  <c r="Y201" i="38"/>
  <c r="Y185" i="38"/>
  <c r="Y169" i="38"/>
  <c r="Y153" i="38"/>
  <c r="Y137" i="38"/>
  <c r="Y121" i="38"/>
  <c r="Y105" i="38"/>
  <c r="Y89" i="38"/>
  <c r="Y73" i="38"/>
  <c r="Y57" i="38"/>
  <c r="Y41" i="38"/>
  <c r="Y25" i="38"/>
  <c r="Y9" i="38"/>
  <c r="Y270" i="38"/>
  <c r="Y206" i="38"/>
  <c r="Y142" i="38"/>
  <c r="Y110" i="38"/>
  <c r="Y94" i="38"/>
  <c r="Y30" i="38"/>
  <c r="Y296" i="38"/>
  <c r="Y280" i="38"/>
  <c r="Y264" i="38"/>
  <c r="Y248" i="38"/>
  <c r="Y232" i="38"/>
  <c r="Y216" i="38"/>
  <c r="Y200" i="38"/>
  <c r="Y184" i="38"/>
  <c r="Y168" i="38"/>
  <c r="Y152" i="38"/>
  <c r="Y136" i="38"/>
  <c r="Y120" i="38"/>
  <c r="Y104" i="38"/>
  <c r="Y88" i="38"/>
  <c r="Y72" i="38"/>
  <c r="Y56" i="38"/>
  <c r="Y40" i="38"/>
  <c r="Y24" i="38"/>
  <c r="Y8" i="38"/>
  <c r="Y295" i="38"/>
  <c r="Y279" i="38"/>
  <c r="Y263" i="38"/>
  <c r="Y247" i="38"/>
  <c r="Y231" i="38"/>
  <c r="Y215" i="38"/>
  <c r="Y199" i="38"/>
  <c r="Y183" i="38"/>
  <c r="Y167" i="38"/>
  <c r="Y151" i="38"/>
  <c r="Y135" i="38"/>
  <c r="Y119" i="38"/>
  <c r="Y103" i="38"/>
  <c r="Y87" i="38"/>
  <c r="Y71" i="38"/>
  <c r="Y55" i="38"/>
  <c r="Y49" i="38"/>
  <c r="Y39" i="38"/>
  <c r="Y33" i="38"/>
  <c r="Y23" i="38"/>
  <c r="Y17" i="38"/>
  <c r="Y7" i="38"/>
  <c r="Y182" i="38"/>
  <c r="Y166" i="38"/>
  <c r="Y150" i="38"/>
  <c r="Y134" i="38"/>
  <c r="Y118" i="38"/>
  <c r="Y102" i="38"/>
  <c r="Y86" i="38"/>
  <c r="Y70" i="38"/>
  <c r="Y54" i="38"/>
  <c r="Y38" i="38"/>
  <c r="Y22" i="38"/>
  <c r="Y6" i="38"/>
  <c r="Y230" i="38"/>
  <c r="Y293" i="38"/>
  <c r="Y289" i="38"/>
  <c r="Y287" i="38"/>
  <c r="Y277" i="38"/>
  <c r="Y273" i="38"/>
  <c r="Y271" i="38"/>
  <c r="Y261" i="38"/>
  <c r="Y257" i="38"/>
  <c r="Y255" i="38"/>
  <c r="Y245" i="38"/>
  <c r="Y241" i="38"/>
  <c r="Y239" i="38"/>
  <c r="Y229" i="38"/>
  <c r="Y225" i="38"/>
  <c r="Y223" i="38"/>
  <c r="Y213" i="38"/>
  <c r="Y209" i="38"/>
  <c r="Y207" i="38"/>
  <c r="Y197" i="38"/>
  <c r="Y193" i="38"/>
  <c r="Y191" i="38"/>
  <c r="Y181" i="38"/>
  <c r="Y177" i="38"/>
  <c r="Y175" i="38"/>
  <c r="Y165" i="38"/>
  <c r="Y161" i="38"/>
  <c r="Y159" i="38"/>
  <c r="Y149" i="38"/>
  <c r="Y145" i="38"/>
  <c r="Y143" i="38"/>
  <c r="Y133" i="38"/>
  <c r="Y129" i="38"/>
  <c r="Y127" i="38"/>
  <c r="Y117" i="38"/>
  <c r="Y113" i="38"/>
  <c r="Y111" i="38"/>
  <c r="Y101" i="38"/>
  <c r="Y97" i="38"/>
  <c r="Y95" i="38"/>
  <c r="Y85" i="38"/>
  <c r="Y81" i="38"/>
  <c r="Y79" i="38"/>
  <c r="Y69" i="38"/>
  <c r="Y65" i="38"/>
  <c r="Y63" i="38"/>
  <c r="Y53" i="38"/>
  <c r="Y47" i="38"/>
  <c r="Y37" i="38"/>
  <c r="Y31" i="38"/>
  <c r="Y21" i="38"/>
  <c r="Y15" i="38"/>
  <c r="Y5" i="38"/>
  <c r="Y294" i="38"/>
  <c r="Y214" i="38"/>
  <c r="Y292" i="38"/>
  <c r="Y276" i="38"/>
  <c r="Y260" i="38"/>
  <c r="Y244" i="38"/>
  <c r="Y228" i="38"/>
  <c r="Y212" i="38"/>
  <c r="Y196" i="38"/>
  <c r="Y180" i="38"/>
  <c r="Y164" i="38"/>
  <c r="Y148" i="38"/>
  <c r="Y132" i="38"/>
  <c r="Y116" i="38"/>
  <c r="Y100" i="38"/>
  <c r="Y84" i="38"/>
  <c r="Y68" i="38"/>
  <c r="Y52" i="38"/>
  <c r="Y36" i="38"/>
  <c r="Y20" i="38"/>
  <c r="Y4" i="38"/>
  <c r="Y278" i="38"/>
  <c r="Y198" i="38"/>
  <c r="Y291" i="38"/>
  <c r="Y275" i="38"/>
  <c r="Y259" i="38"/>
  <c r="Y243" i="38"/>
  <c r="Y227" i="38"/>
  <c r="Y211" i="38"/>
  <c r="Y195" i="38"/>
  <c r="Y179" i="38"/>
  <c r="Y163" i="38"/>
  <c r="Y147" i="38"/>
  <c r="Y131" i="38"/>
  <c r="Y115" i="38"/>
  <c r="Y99" i="38"/>
  <c r="Y83" i="38"/>
  <c r="Y67" i="38"/>
  <c r="Y51" i="38"/>
  <c r="Y35" i="38"/>
  <c r="Y19" i="38"/>
  <c r="Y3" i="38"/>
  <c r="X288" i="38"/>
  <c r="X272" i="38"/>
  <c r="X256" i="38"/>
  <c r="X240" i="38"/>
  <c r="X192" i="38"/>
  <c r="X160" i="38"/>
  <c r="X144" i="38"/>
  <c r="X128" i="38"/>
  <c r="X112" i="38"/>
  <c r="X96" i="38"/>
  <c r="X48" i="38"/>
  <c r="X32" i="38"/>
  <c r="X16" i="38"/>
  <c r="Y2" i="38"/>
  <c r="X143" i="38"/>
  <c r="X15" i="38"/>
  <c r="X286" i="38"/>
  <c r="X270" i="38"/>
  <c r="X254" i="38"/>
  <c r="X238" i="38"/>
  <c r="X222" i="38"/>
  <c r="X206" i="38"/>
  <c r="X190" i="38"/>
  <c r="X174" i="38"/>
  <c r="X158" i="38"/>
  <c r="X142" i="38"/>
  <c r="X126" i="38"/>
  <c r="X110" i="38"/>
  <c r="X94" i="38"/>
  <c r="X78" i="38"/>
  <c r="X62" i="38"/>
  <c r="X46" i="38"/>
  <c r="X30" i="38"/>
  <c r="X14" i="38"/>
  <c r="X285" i="38"/>
  <c r="X269" i="38"/>
  <c r="X253" i="38"/>
  <c r="X237" i="38"/>
  <c r="X221" i="38"/>
  <c r="X205" i="38"/>
  <c r="X189" i="38"/>
  <c r="X173" i="38"/>
  <c r="X157" i="38"/>
  <c r="X141" i="38"/>
  <c r="X125" i="38"/>
  <c r="X109" i="38"/>
  <c r="X93" i="38"/>
  <c r="X77" i="38"/>
  <c r="X61" i="38"/>
  <c r="X45" i="38"/>
  <c r="X29" i="38"/>
  <c r="X13" i="38"/>
  <c r="X255" i="38"/>
  <c r="X300" i="38"/>
  <c r="X284" i="38"/>
  <c r="X268" i="38"/>
  <c r="X252" i="38"/>
  <c r="X236" i="38"/>
  <c r="X220" i="38"/>
  <c r="X204" i="38"/>
  <c r="X188" i="38"/>
  <c r="X172" i="38"/>
  <c r="X156" i="38"/>
  <c r="X140" i="38"/>
  <c r="X124" i="38"/>
  <c r="X108" i="38"/>
  <c r="X92" i="38"/>
  <c r="X76" i="38"/>
  <c r="X60" i="38"/>
  <c r="X44" i="38"/>
  <c r="X28" i="38"/>
  <c r="X12" i="38"/>
  <c r="X175" i="38"/>
  <c r="X159" i="38"/>
  <c r="X79" i="38"/>
  <c r="X63" i="38"/>
  <c r="X299" i="38"/>
  <c r="X283" i="38"/>
  <c r="X267" i="38"/>
  <c r="X251" i="38"/>
  <c r="X235" i="38"/>
  <c r="X219" i="38"/>
  <c r="X203" i="38"/>
  <c r="X187" i="38"/>
  <c r="X171" i="38"/>
  <c r="X155" i="38"/>
  <c r="X139" i="38"/>
  <c r="X123" i="38"/>
  <c r="X107" i="38"/>
  <c r="X91" i="38"/>
  <c r="X75" i="38"/>
  <c r="X59" i="38"/>
  <c r="X43" i="38"/>
  <c r="X27" i="38"/>
  <c r="X11" i="38"/>
  <c r="X80" i="38"/>
  <c r="X223" i="38"/>
  <c r="X298" i="38"/>
  <c r="X282" i="38"/>
  <c r="X266" i="38"/>
  <c r="X250" i="38"/>
  <c r="X234" i="38"/>
  <c r="X218" i="38"/>
  <c r="X202" i="38"/>
  <c r="X186" i="38"/>
  <c r="X170" i="38"/>
  <c r="X154" i="38"/>
  <c r="X138" i="38"/>
  <c r="X122" i="38"/>
  <c r="X106" i="38"/>
  <c r="X90" i="38"/>
  <c r="X74" i="38"/>
  <c r="X58" i="38"/>
  <c r="X42" i="38"/>
  <c r="X26" i="38"/>
  <c r="X10" i="38"/>
  <c r="X271" i="38"/>
  <c r="X127" i="38"/>
  <c r="X111" i="38"/>
  <c r="X95" i="38"/>
  <c r="X31" i="38"/>
  <c r="X297" i="38"/>
  <c r="X281" i="38"/>
  <c r="X265" i="38"/>
  <c r="X249" i="38"/>
  <c r="X233" i="38"/>
  <c r="X217" i="38"/>
  <c r="X201" i="38"/>
  <c r="X185" i="38"/>
  <c r="X169" i="38"/>
  <c r="X153" i="38"/>
  <c r="X137" i="38"/>
  <c r="X121" i="38"/>
  <c r="X105" i="38"/>
  <c r="X89" i="38"/>
  <c r="X73" i="38"/>
  <c r="X57" i="38"/>
  <c r="X41" i="38"/>
  <c r="X25" i="38"/>
  <c r="X9" i="38"/>
  <c r="X296" i="38"/>
  <c r="X290" i="38"/>
  <c r="X280" i="38"/>
  <c r="X274" i="38"/>
  <c r="X264" i="38"/>
  <c r="X258" i="38"/>
  <c r="X248" i="38"/>
  <c r="X242" i="38"/>
  <c r="X232" i="38"/>
  <c r="X226" i="38"/>
  <c r="X216" i="38"/>
  <c r="X210" i="38"/>
  <c r="X200" i="38"/>
  <c r="X194" i="38"/>
  <c r="X184" i="38"/>
  <c r="X178" i="38"/>
  <c r="X168" i="38"/>
  <c r="X162" i="38"/>
  <c r="X152" i="38"/>
  <c r="X146" i="38"/>
  <c r="X136" i="38"/>
  <c r="X130" i="38"/>
  <c r="X120" i="38"/>
  <c r="X114" i="38"/>
  <c r="X104" i="38"/>
  <c r="X98" i="38"/>
  <c r="X88" i="38"/>
  <c r="X82" i="38"/>
  <c r="X72" i="38"/>
  <c r="X66" i="38"/>
  <c r="X56" i="38"/>
  <c r="X50" i="38"/>
  <c r="X40" i="38"/>
  <c r="X34" i="38"/>
  <c r="X24" i="38"/>
  <c r="X18" i="38"/>
  <c r="X8" i="38"/>
  <c r="X191" i="38"/>
  <c r="X295" i="38"/>
  <c r="X289" i="38"/>
  <c r="X279" i="38"/>
  <c r="X273" i="38"/>
  <c r="X263" i="38"/>
  <c r="X257" i="38"/>
  <c r="X247" i="38"/>
  <c r="X241" i="38"/>
  <c r="X231" i="38"/>
  <c r="X225" i="38"/>
  <c r="X215" i="38"/>
  <c r="X209" i="38"/>
  <c r="X199" i="38"/>
  <c r="X193" i="38"/>
  <c r="X183" i="38"/>
  <c r="X177" i="38"/>
  <c r="X167" i="38"/>
  <c r="X161" i="38"/>
  <c r="X151" i="38"/>
  <c r="X145" i="38"/>
  <c r="X135" i="38"/>
  <c r="X129" i="38"/>
  <c r="X119" i="38"/>
  <c r="X113" i="38"/>
  <c r="X103" i="38"/>
  <c r="X97" i="38"/>
  <c r="X87" i="38"/>
  <c r="X81" i="38"/>
  <c r="X71" i="38"/>
  <c r="X65" i="38"/>
  <c r="X55" i="38"/>
  <c r="X49" i="38"/>
  <c r="X39" i="38"/>
  <c r="X33" i="38"/>
  <c r="X23" i="38"/>
  <c r="X17" i="38"/>
  <c r="X7" i="38"/>
  <c r="X224" i="38"/>
  <c r="X64" i="38"/>
  <c r="X239" i="38"/>
  <c r="X294" i="38"/>
  <c r="X278" i="38"/>
  <c r="X262" i="38"/>
  <c r="X246" i="38"/>
  <c r="X230" i="38"/>
  <c r="X214" i="38"/>
  <c r="X198" i="38"/>
  <c r="X182" i="38"/>
  <c r="X166" i="38"/>
  <c r="X150" i="38"/>
  <c r="X134" i="38"/>
  <c r="X118" i="38"/>
  <c r="X102" i="38"/>
  <c r="X86" i="38"/>
  <c r="X70" i="38"/>
  <c r="X54" i="38"/>
  <c r="X38" i="38"/>
  <c r="X22" i="38"/>
  <c r="X6" i="38"/>
  <c r="X287" i="38"/>
  <c r="X293" i="38"/>
  <c r="X277" i="38"/>
  <c r="X261" i="38"/>
  <c r="X245" i="38"/>
  <c r="X229" i="38"/>
  <c r="X213" i="38"/>
  <c r="X197" i="38"/>
  <c r="X181" i="38"/>
  <c r="X165" i="38"/>
  <c r="X149" i="38"/>
  <c r="X133" i="38"/>
  <c r="X117" i="38"/>
  <c r="X101" i="38"/>
  <c r="X85" i="38"/>
  <c r="X69" i="38"/>
  <c r="X53" i="38"/>
  <c r="X37" i="38"/>
  <c r="X21" i="38"/>
  <c r="X5" i="38"/>
  <c r="X208" i="38"/>
  <c r="X176" i="38"/>
  <c r="X47" i="38"/>
  <c r="X292" i="38"/>
  <c r="X276" i="38"/>
  <c r="X260" i="38"/>
  <c r="X244" i="38"/>
  <c r="X228" i="38"/>
  <c r="X212" i="38"/>
  <c r="X196" i="38"/>
  <c r="X180" i="38"/>
  <c r="X164" i="38"/>
  <c r="X148" i="38"/>
  <c r="X132" i="38"/>
  <c r="X116" i="38"/>
  <c r="X100" i="38"/>
  <c r="X84" i="38"/>
  <c r="X68" i="38"/>
  <c r="X52" i="38"/>
  <c r="X36" i="38"/>
  <c r="X20" i="38"/>
  <c r="X4" i="38"/>
  <c r="X207" i="38"/>
  <c r="X291" i="38"/>
  <c r="X275" i="38"/>
  <c r="X259" i="38"/>
  <c r="X243" i="38"/>
  <c r="X227" i="38"/>
  <c r="X211" i="38"/>
  <c r="X195" i="38"/>
  <c r="X179" i="38"/>
  <c r="X163" i="38"/>
  <c r="X147" i="38"/>
  <c r="X131" i="38"/>
  <c r="X115" i="38"/>
  <c r="X99" i="38"/>
  <c r="X83" i="38"/>
  <c r="X67" i="38"/>
  <c r="X51" i="38"/>
  <c r="X35" i="38"/>
  <c r="X19" i="38"/>
  <c r="X3" i="38"/>
  <c r="W288" i="38"/>
  <c r="W272" i="38"/>
  <c r="W256" i="38"/>
  <c r="W208" i="38"/>
  <c r="W192" i="38"/>
  <c r="W176" i="38"/>
  <c r="W144" i="38"/>
  <c r="W128" i="38"/>
  <c r="W112" i="38"/>
  <c r="W96" i="38"/>
  <c r="W64" i="38"/>
  <c r="W48" i="38"/>
  <c r="W32" i="38"/>
  <c r="W16" i="38"/>
  <c r="X2" i="38"/>
  <c r="W143" i="38"/>
  <c r="W111" i="38"/>
  <c r="W286" i="38"/>
  <c r="W270" i="38"/>
  <c r="W254" i="38"/>
  <c r="W238" i="38"/>
  <c r="W222" i="38"/>
  <c r="W206" i="38"/>
  <c r="W190" i="38"/>
  <c r="W174" i="38"/>
  <c r="W158" i="38"/>
  <c r="W142" i="38"/>
  <c r="W126" i="38"/>
  <c r="W110" i="38"/>
  <c r="W94" i="38"/>
  <c r="W78" i="38"/>
  <c r="W62" i="38"/>
  <c r="W46" i="38"/>
  <c r="W30" i="38"/>
  <c r="W14" i="38"/>
  <c r="W79" i="38"/>
  <c r="W285" i="38"/>
  <c r="W269" i="38"/>
  <c r="W253" i="38"/>
  <c r="W237" i="38"/>
  <c r="W221" i="38"/>
  <c r="W205" i="38"/>
  <c r="W189" i="38"/>
  <c r="W173" i="38"/>
  <c r="W157" i="38"/>
  <c r="W141" i="38"/>
  <c r="W125" i="38"/>
  <c r="W109" i="38"/>
  <c r="W93" i="38"/>
  <c r="W77" i="38"/>
  <c r="W61" i="38"/>
  <c r="W45" i="38"/>
  <c r="W29" i="38"/>
  <c r="W13" i="38"/>
  <c r="W255" i="38"/>
  <c r="W47" i="38"/>
  <c r="W300" i="38"/>
  <c r="W284" i="38"/>
  <c r="W268" i="38"/>
  <c r="W252" i="38"/>
  <c r="W236" i="38"/>
  <c r="W220" i="38"/>
  <c r="W204" i="38"/>
  <c r="W188" i="38"/>
  <c r="W172" i="38"/>
  <c r="W156" i="38"/>
  <c r="W140" i="38"/>
  <c r="W124" i="38"/>
  <c r="W108" i="38"/>
  <c r="W92" i="38"/>
  <c r="W76" i="38"/>
  <c r="W60" i="38"/>
  <c r="W44" i="38"/>
  <c r="W28" i="38"/>
  <c r="W12" i="38"/>
  <c r="W207" i="38"/>
  <c r="W127" i="38"/>
  <c r="W95" i="38"/>
  <c r="W299" i="38"/>
  <c r="W283" i="38"/>
  <c r="W267" i="38"/>
  <c r="W251" i="38"/>
  <c r="W235" i="38"/>
  <c r="W219" i="38"/>
  <c r="W203" i="38"/>
  <c r="W187" i="38"/>
  <c r="W171" i="38"/>
  <c r="W155" i="38"/>
  <c r="W139" i="38"/>
  <c r="W123" i="38"/>
  <c r="W107" i="38"/>
  <c r="W91" i="38"/>
  <c r="W75" i="38"/>
  <c r="W59" i="38"/>
  <c r="W43" i="38"/>
  <c r="W27" i="38"/>
  <c r="W11" i="38"/>
  <c r="W224" i="38"/>
  <c r="W298" i="38"/>
  <c r="W282" i="38"/>
  <c r="W266" i="38"/>
  <c r="W250" i="38"/>
  <c r="W234" i="38"/>
  <c r="W218" i="38"/>
  <c r="W202" i="38"/>
  <c r="W186" i="38"/>
  <c r="W170" i="38"/>
  <c r="W154" i="38"/>
  <c r="W138" i="38"/>
  <c r="W122" i="38"/>
  <c r="W106" i="38"/>
  <c r="W90" i="38"/>
  <c r="W74" i="38"/>
  <c r="W58" i="38"/>
  <c r="W42" i="38"/>
  <c r="W26" i="38"/>
  <c r="W10" i="38"/>
  <c r="W159" i="38"/>
  <c r="W297" i="38"/>
  <c r="W281" i="38"/>
  <c r="W265" i="38"/>
  <c r="W249" i="38"/>
  <c r="W233" i="38"/>
  <c r="W217" i="38"/>
  <c r="W201" i="38"/>
  <c r="W185" i="38"/>
  <c r="W169" i="38"/>
  <c r="W153" i="38"/>
  <c r="W137" i="38"/>
  <c r="W121" i="38"/>
  <c r="W105" i="38"/>
  <c r="W89" i="38"/>
  <c r="W73" i="38"/>
  <c r="W57" i="38"/>
  <c r="W41" i="38"/>
  <c r="W25" i="38"/>
  <c r="W9" i="38"/>
  <c r="W160" i="38"/>
  <c r="W271" i="38"/>
  <c r="W175" i="38"/>
  <c r="W296" i="38"/>
  <c r="W280" i="38"/>
  <c r="W264" i="38"/>
  <c r="W248" i="38"/>
  <c r="W232" i="38"/>
  <c r="W216" i="38"/>
  <c r="W200" i="38"/>
  <c r="W184" i="38"/>
  <c r="W168" i="38"/>
  <c r="W152" i="38"/>
  <c r="W136" i="38"/>
  <c r="W130" i="38"/>
  <c r="W120" i="38"/>
  <c r="W114" i="38"/>
  <c r="W104" i="38"/>
  <c r="W98" i="38"/>
  <c r="W88" i="38"/>
  <c r="W82" i="38"/>
  <c r="W72" i="38"/>
  <c r="W66" i="38"/>
  <c r="W56" i="38"/>
  <c r="W50" i="38"/>
  <c r="W40" i="38"/>
  <c r="W34" i="38"/>
  <c r="W24" i="38"/>
  <c r="W18" i="38"/>
  <c r="W17" i="38"/>
  <c r="W8" i="38"/>
  <c r="W295" i="38"/>
  <c r="W290" i="38"/>
  <c r="W279" i="38"/>
  <c r="W274" i="38"/>
  <c r="W263" i="38"/>
  <c r="W258" i="38"/>
  <c r="W247" i="38"/>
  <c r="W242" i="38"/>
  <c r="W231" i="38"/>
  <c r="W226" i="38"/>
  <c r="W215" i="38"/>
  <c r="W210" i="38"/>
  <c r="W199" i="38"/>
  <c r="W194" i="38"/>
  <c r="W183" i="38"/>
  <c r="W178" i="38"/>
  <c r="W167" i="38"/>
  <c r="W162" i="38"/>
  <c r="W151" i="38"/>
  <c r="W146" i="38"/>
  <c r="W129" i="38"/>
  <c r="W119" i="38"/>
  <c r="W113" i="38"/>
  <c r="W103" i="38"/>
  <c r="W97" i="38"/>
  <c r="W87" i="38"/>
  <c r="W81" i="38"/>
  <c r="W71" i="38"/>
  <c r="W65" i="38"/>
  <c r="W55" i="38"/>
  <c r="W49" i="38"/>
  <c r="W39" i="38"/>
  <c r="W33" i="38"/>
  <c r="W23" i="38"/>
  <c r="W7" i="38"/>
  <c r="W239" i="38"/>
  <c r="W191" i="38"/>
  <c r="W294" i="38"/>
  <c r="W289" i="38"/>
  <c r="W278" i="38"/>
  <c r="W273" i="38"/>
  <c r="W262" i="38"/>
  <c r="W257" i="38"/>
  <c r="W246" i="38"/>
  <c r="W241" i="38"/>
  <c r="W230" i="38"/>
  <c r="W225" i="38"/>
  <c r="W214" i="38"/>
  <c r="W209" i="38"/>
  <c r="W198" i="38"/>
  <c r="W193" i="38"/>
  <c r="W182" i="38"/>
  <c r="W177" i="38"/>
  <c r="W166" i="38"/>
  <c r="W161" i="38"/>
  <c r="W150" i="38"/>
  <c r="W145" i="38"/>
  <c r="W134" i="38"/>
  <c r="W118" i="38"/>
  <c r="W102" i="38"/>
  <c r="W86" i="38"/>
  <c r="W70" i="38"/>
  <c r="W54" i="38"/>
  <c r="W38" i="38"/>
  <c r="W22" i="38"/>
  <c r="W6" i="38"/>
  <c r="W293" i="38"/>
  <c r="W277" i="38"/>
  <c r="W261" i="38"/>
  <c r="W245" i="38"/>
  <c r="W229" i="38"/>
  <c r="W213" i="38"/>
  <c r="W197" i="38"/>
  <c r="W181" i="38"/>
  <c r="W165" i="38"/>
  <c r="W149" i="38"/>
  <c r="W133" i="38"/>
  <c r="W117" i="38"/>
  <c r="W101" i="38"/>
  <c r="W85" i="38"/>
  <c r="W69" i="38"/>
  <c r="W53" i="38"/>
  <c r="W37" i="38"/>
  <c r="W21" i="38"/>
  <c r="W5" i="38"/>
  <c r="W80" i="38"/>
  <c r="W223" i="38"/>
  <c r="W63" i="38"/>
  <c r="W15" i="38"/>
  <c r="W292" i="38"/>
  <c r="W276" i="38"/>
  <c r="W260" i="38"/>
  <c r="W244" i="38"/>
  <c r="W228" i="38"/>
  <c r="W212" i="38"/>
  <c r="W196" i="38"/>
  <c r="W180" i="38"/>
  <c r="W164" i="38"/>
  <c r="W148" i="38"/>
  <c r="W132" i="38"/>
  <c r="W116" i="38"/>
  <c r="W100" i="38"/>
  <c r="W84" i="38"/>
  <c r="W68" i="38"/>
  <c r="W52" i="38"/>
  <c r="W36" i="38"/>
  <c r="W20" i="38"/>
  <c r="W4" i="38"/>
  <c r="W240" i="38"/>
  <c r="W31" i="38"/>
  <c r="W291" i="38"/>
  <c r="W275" i="38"/>
  <c r="W259" i="38"/>
  <c r="W243" i="38"/>
  <c r="W227" i="38"/>
  <c r="W211" i="38"/>
  <c r="W195" i="38"/>
  <c r="W179" i="38"/>
  <c r="W163" i="38"/>
  <c r="W147" i="38"/>
  <c r="W131" i="38"/>
  <c r="W115" i="38"/>
  <c r="W99" i="38"/>
  <c r="W83" i="38"/>
  <c r="W67" i="38"/>
  <c r="W51" i="38"/>
  <c r="W35" i="38"/>
  <c r="W19" i="38"/>
  <c r="W3" i="38"/>
  <c r="W287" i="38"/>
  <c r="W135" i="38"/>
  <c r="W2" i="38"/>
  <c r="V33" i="38"/>
  <c r="V174" i="38"/>
  <c r="V158" i="38"/>
  <c r="V142" i="38"/>
  <c r="V111" i="38"/>
  <c r="V95" i="38"/>
  <c r="V63" i="38"/>
  <c r="V47" i="38"/>
  <c r="V31" i="38"/>
  <c r="V269" i="38"/>
  <c r="V253" i="38"/>
  <c r="V221" i="38"/>
  <c r="V205" i="38"/>
  <c r="V189" i="38"/>
  <c r="V300" i="38"/>
  <c r="V127" i="38"/>
  <c r="V126" i="38"/>
  <c r="V286" i="38"/>
  <c r="V270" i="38"/>
  <c r="V254" i="38"/>
  <c r="V238" i="38"/>
  <c r="V222" i="38"/>
  <c r="V206" i="38"/>
  <c r="V190" i="38"/>
  <c r="V175" i="38"/>
  <c r="V159" i="38"/>
  <c r="V143" i="38"/>
  <c r="V128" i="38"/>
  <c r="V112" i="38"/>
  <c r="V96" i="38"/>
  <c r="V81" i="38"/>
  <c r="V80" i="38"/>
  <c r="V64" i="38"/>
  <c r="V48" i="38"/>
  <c r="V32" i="38"/>
  <c r="V16" i="38"/>
  <c r="V299" i="38"/>
  <c r="V283" i="38"/>
  <c r="V267" i="38"/>
  <c r="V251" i="38"/>
  <c r="V235" i="38"/>
  <c r="V219" i="38"/>
  <c r="V203" i="38"/>
  <c r="V187" i="38"/>
  <c r="V172" i="38"/>
  <c r="V156" i="38"/>
  <c r="V145" i="38"/>
  <c r="V140" i="38"/>
  <c r="V129" i="38"/>
  <c r="V125" i="38"/>
  <c r="V113" i="38"/>
  <c r="V109" i="38"/>
  <c r="V93" i="38"/>
  <c r="V77" i="38"/>
  <c r="V61" i="38"/>
  <c r="V45" i="38"/>
  <c r="V29" i="38"/>
  <c r="V13" i="38"/>
  <c r="V14" i="38"/>
  <c r="V298" i="38"/>
  <c r="V282" i="38"/>
  <c r="V266" i="38"/>
  <c r="V250" i="38"/>
  <c r="V241" i="38"/>
  <c r="V234" i="38"/>
  <c r="V225" i="38"/>
  <c r="V218" i="38"/>
  <c r="V209" i="38"/>
  <c r="V202" i="38"/>
  <c r="V193" i="38"/>
  <c r="V186" i="38"/>
  <c r="V177" i="38"/>
  <c r="V171" i="38"/>
  <c r="V161" i="38"/>
  <c r="V155" i="38"/>
  <c r="V139" i="38"/>
  <c r="V124" i="38"/>
  <c r="V108" i="38"/>
  <c r="V92" i="38"/>
  <c r="V76" i="38"/>
  <c r="V60" i="38"/>
  <c r="V44" i="38"/>
  <c r="V28" i="38"/>
  <c r="V12" i="38"/>
  <c r="V15" i="38"/>
  <c r="V297" i="38"/>
  <c r="V289" i="38"/>
  <c r="V281" i="38"/>
  <c r="V273" i="38"/>
  <c r="V265" i="38"/>
  <c r="V257" i="38"/>
  <c r="V249" i="38"/>
  <c r="V233" i="38"/>
  <c r="V217" i="38"/>
  <c r="V201" i="38"/>
  <c r="V185" i="38"/>
  <c r="V170" i="38"/>
  <c r="V154" i="38"/>
  <c r="V138" i="38"/>
  <c r="V123" i="38"/>
  <c r="V107" i="38"/>
  <c r="V91" i="38"/>
  <c r="V75" i="38"/>
  <c r="V59" i="38"/>
  <c r="V43" i="38"/>
  <c r="V27" i="38"/>
  <c r="V11" i="38"/>
  <c r="V296" i="38"/>
  <c r="V280" i="38"/>
  <c r="V264" i="38"/>
  <c r="V248" i="38"/>
  <c r="V232" i="38"/>
  <c r="V216" i="38"/>
  <c r="V200" i="38"/>
  <c r="V184" i="38"/>
  <c r="V169" i="38"/>
  <c r="V153" i="38"/>
  <c r="V137" i="38"/>
  <c r="V122" i="38"/>
  <c r="V106" i="38"/>
  <c r="V90" i="38"/>
  <c r="V58" i="38"/>
  <c r="V42" i="38"/>
  <c r="V26" i="38"/>
  <c r="V10" i="38"/>
  <c r="V284" i="38"/>
  <c r="V173" i="38"/>
  <c r="V78" i="38"/>
  <c r="V295" i="38"/>
  <c r="V279" i="38"/>
  <c r="V263" i="38"/>
  <c r="V247" i="38"/>
  <c r="V231" i="38"/>
  <c r="V215" i="38"/>
  <c r="V199" i="38"/>
  <c r="V183" i="38"/>
  <c r="V168" i="38"/>
  <c r="V152" i="38"/>
  <c r="V136" i="38"/>
  <c r="V121" i="38"/>
  <c r="V105" i="38"/>
  <c r="V73" i="38"/>
  <c r="V57" i="38"/>
  <c r="V41" i="38"/>
  <c r="V25" i="38"/>
  <c r="V9" i="38"/>
  <c r="V252" i="38"/>
  <c r="V204" i="38"/>
  <c r="V97" i="38"/>
  <c r="V294" i="38"/>
  <c r="V278" i="38"/>
  <c r="V262" i="38"/>
  <c r="V246" i="38"/>
  <c r="V230" i="38"/>
  <c r="V214" i="38"/>
  <c r="V198" i="38"/>
  <c r="V182" i="38"/>
  <c r="V167" i="38"/>
  <c r="V151" i="38"/>
  <c r="V120" i="38"/>
  <c r="V104" i="38"/>
  <c r="V88" i="38"/>
  <c r="V72" i="38"/>
  <c r="V56" i="38"/>
  <c r="V40" i="38"/>
  <c r="V24" i="38"/>
  <c r="V8" i="38"/>
  <c r="V268" i="38"/>
  <c r="V220" i="38"/>
  <c r="V157" i="38"/>
  <c r="V293" i="38"/>
  <c r="V277" i="38"/>
  <c r="V261" i="38"/>
  <c r="V245" i="38"/>
  <c r="V229" i="38"/>
  <c r="V213" i="38"/>
  <c r="V197" i="38"/>
  <c r="V181" i="38"/>
  <c r="V166" i="38"/>
  <c r="V150" i="38"/>
  <c r="V135" i="38"/>
  <c r="V119" i="38"/>
  <c r="V103" i="38"/>
  <c r="V71" i="38"/>
  <c r="V55" i="38"/>
  <c r="V39" i="38"/>
  <c r="V23" i="38"/>
  <c r="V7" i="38"/>
  <c r="V285" i="38"/>
  <c r="V237" i="38"/>
  <c r="V188" i="38"/>
  <c r="V62" i="38"/>
  <c r="V292" i="38"/>
  <c r="V276" i="38"/>
  <c r="V260" i="38"/>
  <c r="V244" i="38"/>
  <c r="V228" i="38"/>
  <c r="V212" i="38"/>
  <c r="V196" i="38"/>
  <c r="V180" i="38"/>
  <c r="V165" i="38"/>
  <c r="V149" i="38"/>
  <c r="V134" i="38"/>
  <c r="V118" i="38"/>
  <c r="V102" i="38"/>
  <c r="V86" i="38"/>
  <c r="V70" i="38"/>
  <c r="V54" i="38"/>
  <c r="V38" i="38"/>
  <c r="V22" i="38"/>
  <c r="V6" i="38"/>
  <c r="V79" i="38"/>
  <c r="V94" i="38"/>
  <c r="V291" i="38"/>
  <c r="V275" i="38"/>
  <c r="V259" i="38"/>
  <c r="V243" i="38"/>
  <c r="V227" i="38"/>
  <c r="V211" i="38"/>
  <c r="V195" i="38"/>
  <c r="V179" i="38"/>
  <c r="V164" i="38"/>
  <c r="V148" i="38"/>
  <c r="V133" i="38"/>
  <c r="V117" i="38"/>
  <c r="V101" i="38"/>
  <c r="V85" i="38"/>
  <c r="V69" i="38"/>
  <c r="V53" i="38"/>
  <c r="V37" i="38"/>
  <c r="V21" i="38"/>
  <c r="V46" i="38"/>
  <c r="V290" i="38"/>
  <c r="V274" i="38"/>
  <c r="V258" i="38"/>
  <c r="V242" i="38"/>
  <c r="V226" i="38"/>
  <c r="V210" i="38"/>
  <c r="V194" i="38"/>
  <c r="V178" i="38"/>
  <c r="V163" i="38"/>
  <c r="V147" i="38"/>
  <c r="V132" i="38"/>
  <c r="V116" i="38"/>
  <c r="V100" i="38"/>
  <c r="V84" i="38"/>
  <c r="V68" i="38"/>
  <c r="V52" i="38"/>
  <c r="V36" i="38"/>
  <c r="V20" i="38"/>
  <c r="V17" i="38"/>
  <c r="V4" i="38"/>
  <c r="V110" i="38"/>
  <c r="V162" i="38"/>
  <c r="V146" i="38"/>
  <c r="V131" i="38"/>
  <c r="V115" i="38"/>
  <c r="V99" i="38"/>
  <c r="V83" i="38"/>
  <c r="V67" i="38"/>
  <c r="V51" i="38"/>
  <c r="V35" i="38"/>
  <c r="V19" i="38"/>
  <c r="V3" i="38"/>
  <c r="V236" i="38"/>
  <c r="V30" i="38"/>
  <c r="V288" i="38"/>
  <c r="V272" i="38"/>
  <c r="V256" i="38"/>
  <c r="V240" i="38"/>
  <c r="V224" i="38"/>
  <c r="V208" i="38"/>
  <c r="V192" i="38"/>
  <c r="V176" i="38"/>
  <c r="V130" i="38"/>
  <c r="V114" i="38"/>
  <c r="V98" i="38"/>
  <c r="V82" i="38"/>
  <c r="V66" i="38"/>
  <c r="V65" i="38"/>
  <c r="V50" i="38"/>
  <c r="V49" i="38"/>
  <c r="V34" i="38"/>
  <c r="V18" i="38"/>
  <c r="V141" i="38"/>
  <c r="V287" i="38"/>
  <c r="V271" i="38"/>
  <c r="V255" i="38"/>
  <c r="V239" i="38"/>
  <c r="V223" i="38"/>
  <c r="V207" i="38"/>
  <c r="V191" i="38"/>
  <c r="V160" i="38"/>
  <c r="V144" i="38"/>
  <c r="V74" i="38"/>
  <c r="V89" i="38"/>
  <c r="V87" i="38"/>
  <c r="V5" i="38"/>
  <c r="V2" i="38"/>
  <c r="I8" i="45"/>
  <c r="J8" i="45"/>
  <c r="I10" i="45"/>
  <c r="J114" i="45"/>
  <c r="I3" i="45"/>
  <c r="P3" i="45" s="1"/>
  <c r="J3" i="45"/>
  <c r="J12" i="45"/>
  <c r="I16" i="45"/>
  <c r="I18" i="45"/>
  <c r="J39" i="45"/>
  <c r="J41" i="45"/>
  <c r="I51" i="45"/>
  <c r="L99" i="45"/>
  <c r="J43" i="45"/>
  <c r="J51" i="45"/>
  <c r="J78" i="45"/>
  <c r="L92" i="45"/>
  <c r="J116" i="45"/>
  <c r="J100" i="45"/>
  <c r="J92" i="45"/>
  <c r="J54" i="45"/>
  <c r="J117" i="45"/>
  <c r="J101" i="45"/>
  <c r="J93" i="45"/>
  <c r="J62" i="45"/>
  <c r="J61" i="45"/>
  <c r="J60" i="45"/>
  <c r="J59" i="45"/>
  <c r="J58" i="45"/>
  <c r="J57" i="45"/>
  <c r="J56" i="45"/>
  <c r="J55" i="45"/>
  <c r="J28" i="45"/>
  <c r="J27" i="45"/>
  <c r="J11" i="45"/>
  <c r="J9" i="45"/>
  <c r="J4" i="45"/>
  <c r="J118" i="45"/>
  <c r="J102" i="45"/>
  <c r="J94" i="45"/>
  <c r="J63" i="45"/>
  <c r="J31" i="45"/>
  <c r="J30" i="45"/>
  <c r="J29" i="45"/>
  <c r="J26" i="45"/>
  <c r="J25" i="45"/>
  <c r="J24" i="45"/>
  <c r="J23" i="45"/>
  <c r="J22" i="45"/>
  <c r="J18" i="45"/>
  <c r="J10" i="45"/>
  <c r="J5" i="45"/>
  <c r="P5" i="45" s="1"/>
  <c r="J119" i="45"/>
  <c r="J103" i="45"/>
  <c r="J95" i="45"/>
  <c r="J79" i="45"/>
  <c r="J64" i="45"/>
  <c r="J32" i="45"/>
  <c r="J21" i="45"/>
  <c r="J20" i="45"/>
  <c r="J19" i="45"/>
  <c r="J120" i="45"/>
  <c r="J104" i="45"/>
  <c r="J96" i="45"/>
  <c r="J80" i="45"/>
  <c r="J65" i="45"/>
  <c r="J35" i="45"/>
  <c r="J34" i="45"/>
  <c r="J33" i="45"/>
  <c r="J121" i="45"/>
  <c r="J105" i="45"/>
  <c r="J97" i="45"/>
  <c r="J81" i="45"/>
  <c r="J66" i="45"/>
  <c r="J36" i="45"/>
  <c r="J122" i="45"/>
  <c r="J106" i="45"/>
  <c r="J82" i="45"/>
  <c r="J67" i="45"/>
  <c r="J37" i="45"/>
  <c r="J123" i="45"/>
  <c r="J107" i="45"/>
  <c r="J83" i="45"/>
  <c r="J69" i="45"/>
  <c r="J68" i="45"/>
  <c r="J15" i="45"/>
  <c r="J6" i="45"/>
  <c r="J124" i="45"/>
  <c r="J108" i="45"/>
  <c r="J84" i="45"/>
  <c r="J72" i="45"/>
  <c r="J71" i="45"/>
  <c r="J70" i="45"/>
  <c r="J125" i="45"/>
  <c r="J109" i="45"/>
  <c r="J85" i="45"/>
  <c r="J73" i="45"/>
  <c r="J126" i="45"/>
  <c r="J110" i="45"/>
  <c r="J98" i="45"/>
  <c r="J86" i="45"/>
  <c r="J74" i="45"/>
  <c r="J127" i="45"/>
  <c r="J111" i="45"/>
  <c r="J87" i="45"/>
  <c r="J75" i="45"/>
  <c r="J49" i="45"/>
  <c r="J48" i="45"/>
  <c r="J47" i="45"/>
  <c r="J128" i="45"/>
  <c r="J112" i="45"/>
  <c r="J88" i="45"/>
  <c r="J76" i="45"/>
  <c r="J50" i="45"/>
  <c r="J16" i="45"/>
  <c r="J115" i="45"/>
  <c r="J99" i="45"/>
  <c r="J91" i="45"/>
  <c r="J53" i="45"/>
  <c r="I11" i="45"/>
  <c r="I9" i="45"/>
  <c r="I4" i="45"/>
  <c r="I21" i="45"/>
  <c r="I20" i="45"/>
  <c r="I19" i="45"/>
  <c r="I13" i="45"/>
  <c r="I12" i="45"/>
  <c r="I15" i="45"/>
  <c r="I6" i="45"/>
  <c r="I2" i="45"/>
  <c r="P2" i="45" s="1"/>
  <c r="I7" i="45"/>
  <c r="P7" i="45" s="1"/>
  <c r="J14" i="45"/>
  <c r="I115" i="45"/>
  <c r="I76" i="45"/>
  <c r="I88" i="45"/>
  <c r="J7" i="45"/>
  <c r="J45" i="45"/>
  <c r="I113" i="45"/>
  <c r="L115" i="45"/>
  <c r="J113" i="45"/>
  <c r="J2" i="45"/>
  <c r="I50" i="45"/>
  <c r="J13" i="45"/>
  <c r="I17" i="45"/>
  <c r="P17" i="45" s="1"/>
  <c r="J38" i="45"/>
  <c r="Z47" i="45"/>
  <c r="I77" i="45"/>
  <c r="I128" i="45"/>
  <c r="J17" i="45"/>
  <c r="U26" i="45"/>
  <c r="J40" i="45"/>
  <c r="J42" i="45"/>
  <c r="L50" i="45"/>
  <c r="J52" i="45"/>
  <c r="J77" i="45"/>
  <c r="U13" i="45"/>
  <c r="J44" i="45"/>
  <c r="L18" i="45"/>
  <c r="L10" i="45"/>
  <c r="L5" i="45"/>
  <c r="L14" i="45"/>
  <c r="P14" i="45" s="1"/>
  <c r="L13" i="45"/>
  <c r="L12" i="45"/>
  <c r="L15" i="45"/>
  <c r="L7" i="45"/>
  <c r="L17" i="45"/>
  <c r="L8" i="45"/>
  <c r="L11" i="45"/>
  <c r="L9" i="45"/>
  <c r="L4" i="45"/>
  <c r="L54" i="45"/>
  <c r="U59" i="45"/>
  <c r="L100" i="45"/>
  <c r="I89" i="45"/>
  <c r="L116" i="45"/>
  <c r="J46" i="45"/>
  <c r="J89" i="45"/>
  <c r="M5" i="45"/>
  <c r="M10" i="45"/>
  <c r="M18" i="45"/>
  <c r="M22" i="45"/>
  <c r="M23" i="45"/>
  <c r="M24" i="45"/>
  <c r="M25" i="45"/>
  <c r="M26" i="45"/>
  <c r="L27" i="45"/>
  <c r="L28" i="45"/>
  <c r="M29" i="45"/>
  <c r="M30" i="45"/>
  <c r="M31" i="45"/>
  <c r="I52" i="45"/>
  <c r="L55" i="45"/>
  <c r="L56" i="45"/>
  <c r="L57" i="45"/>
  <c r="L58" i="45"/>
  <c r="L59" i="45"/>
  <c r="L60" i="45"/>
  <c r="L61" i="45"/>
  <c r="L62" i="45"/>
  <c r="M63" i="45"/>
  <c r="I78" i="45"/>
  <c r="P78" i="45" s="1"/>
  <c r="I90" i="45"/>
  <c r="L93" i="45"/>
  <c r="M94" i="45"/>
  <c r="L101" i="45"/>
  <c r="M102" i="45"/>
  <c r="I114" i="45"/>
  <c r="L117" i="45"/>
  <c r="M118" i="45"/>
  <c r="I47" i="45"/>
  <c r="I48" i="45"/>
  <c r="I49" i="45"/>
  <c r="L52" i="45"/>
  <c r="M53" i="45"/>
  <c r="I75" i="45"/>
  <c r="L78" i="45"/>
  <c r="I87" i="45"/>
  <c r="L90" i="45"/>
  <c r="M91" i="45"/>
  <c r="M99" i="45"/>
  <c r="I111" i="45"/>
  <c r="L114" i="45"/>
  <c r="M115" i="45"/>
  <c r="I127" i="45"/>
  <c r="I38" i="45"/>
  <c r="I39" i="45"/>
  <c r="I40" i="45"/>
  <c r="I41" i="45"/>
  <c r="I42" i="45"/>
  <c r="I43" i="45"/>
  <c r="I44" i="45"/>
  <c r="I45" i="45"/>
  <c r="I46" i="45"/>
  <c r="L51" i="45"/>
  <c r="M52" i="45"/>
  <c r="U70" i="45"/>
  <c r="I74" i="45"/>
  <c r="L77" i="45"/>
  <c r="M78" i="45"/>
  <c r="I86" i="45"/>
  <c r="L89" i="45"/>
  <c r="M90" i="45"/>
  <c r="I98" i="45"/>
  <c r="P98" i="45" s="1"/>
  <c r="I110" i="45"/>
  <c r="L113" i="45"/>
  <c r="M114" i="45"/>
  <c r="I126" i="45"/>
  <c r="I73" i="45"/>
  <c r="L76" i="45"/>
  <c r="M77" i="45"/>
  <c r="I85" i="45"/>
  <c r="L88" i="45"/>
  <c r="M89" i="45"/>
  <c r="I109" i="45"/>
  <c r="L112" i="45"/>
  <c r="M113" i="45"/>
  <c r="I125" i="45"/>
  <c r="L128" i="45"/>
  <c r="M16" i="45"/>
  <c r="L47" i="45"/>
  <c r="L48" i="45"/>
  <c r="L49" i="45"/>
  <c r="M50" i="45"/>
  <c r="I70" i="45"/>
  <c r="I71" i="45"/>
  <c r="I72" i="45"/>
  <c r="L75" i="45"/>
  <c r="M76" i="45"/>
  <c r="I84" i="45"/>
  <c r="L87" i="45"/>
  <c r="M88" i="45"/>
  <c r="I108" i="45"/>
  <c r="L111" i="45"/>
  <c r="M112" i="45"/>
  <c r="I124" i="45"/>
  <c r="L127" i="45"/>
  <c r="M128" i="45"/>
  <c r="L38" i="45"/>
  <c r="L39" i="45"/>
  <c r="L40" i="45"/>
  <c r="L41" i="45"/>
  <c r="L42" i="45"/>
  <c r="L43" i="45"/>
  <c r="L44" i="45"/>
  <c r="L45" i="45"/>
  <c r="L46" i="45"/>
  <c r="M47" i="45"/>
  <c r="M48" i="45"/>
  <c r="M49" i="45"/>
  <c r="I68" i="45"/>
  <c r="I69" i="45"/>
  <c r="L74" i="45"/>
  <c r="M75" i="45"/>
  <c r="I83" i="45"/>
  <c r="L86" i="45"/>
  <c r="M87" i="45"/>
  <c r="L98" i="45"/>
  <c r="I107" i="45"/>
  <c r="L110" i="45"/>
  <c r="M111" i="45"/>
  <c r="I123" i="45"/>
  <c r="L126" i="45"/>
  <c r="M127" i="45"/>
  <c r="M7" i="45"/>
  <c r="U12" i="45"/>
  <c r="I37" i="45"/>
  <c r="P37" i="45" s="1"/>
  <c r="M38" i="45"/>
  <c r="M39" i="45"/>
  <c r="M40" i="45"/>
  <c r="M41" i="45"/>
  <c r="M42" i="45"/>
  <c r="M43" i="45"/>
  <c r="M44" i="45"/>
  <c r="M45" i="45"/>
  <c r="M46" i="45"/>
  <c r="I67" i="45"/>
  <c r="L73" i="45"/>
  <c r="M74" i="45"/>
  <c r="I82" i="45"/>
  <c r="L85" i="45"/>
  <c r="M86" i="45"/>
  <c r="M98" i="45"/>
  <c r="I106" i="45"/>
  <c r="L109" i="45"/>
  <c r="M110" i="45"/>
  <c r="I122" i="45"/>
  <c r="L125" i="45"/>
  <c r="M126" i="45"/>
  <c r="I36" i="45"/>
  <c r="I66" i="45"/>
  <c r="L70" i="45"/>
  <c r="L71" i="45"/>
  <c r="L72" i="45"/>
  <c r="M73" i="45"/>
  <c r="I81" i="45"/>
  <c r="L84" i="45"/>
  <c r="M85" i="45"/>
  <c r="I97" i="45"/>
  <c r="I105" i="45"/>
  <c r="L108" i="45"/>
  <c r="M109" i="45"/>
  <c r="I121" i="45"/>
  <c r="L124" i="45"/>
  <c r="M125" i="45"/>
  <c r="U25" i="45"/>
  <c r="I33" i="45"/>
  <c r="I34" i="45"/>
  <c r="I35" i="45"/>
  <c r="I65" i="45"/>
  <c r="L68" i="45"/>
  <c r="L69" i="45"/>
  <c r="M70" i="45"/>
  <c r="M71" i="45"/>
  <c r="M72" i="45"/>
  <c r="I80" i="45"/>
  <c r="L83" i="45"/>
  <c r="M84" i="45"/>
  <c r="I96" i="45"/>
  <c r="I104" i="45"/>
  <c r="L107" i="45"/>
  <c r="M108" i="45"/>
  <c r="I120" i="45"/>
  <c r="L123" i="45"/>
  <c r="M124" i="45"/>
  <c r="I32" i="45"/>
  <c r="L37" i="45"/>
  <c r="U58" i="45"/>
  <c r="I64" i="45"/>
  <c r="L67" i="45"/>
  <c r="M68" i="45"/>
  <c r="M69" i="45"/>
  <c r="I79" i="45"/>
  <c r="L82" i="45"/>
  <c r="M83" i="45"/>
  <c r="I95" i="45"/>
  <c r="I103" i="45"/>
  <c r="L106" i="45"/>
  <c r="M107" i="45"/>
  <c r="I119" i="45"/>
  <c r="L122" i="45"/>
  <c r="M123" i="45"/>
  <c r="I22" i="45"/>
  <c r="I23" i="45"/>
  <c r="I24" i="45"/>
  <c r="I25" i="45"/>
  <c r="I26" i="45"/>
  <c r="I29" i="45"/>
  <c r="I30" i="45"/>
  <c r="I31" i="45"/>
  <c r="L36" i="45"/>
  <c r="M37" i="45"/>
  <c r="I63" i="45"/>
  <c r="L66" i="45"/>
  <c r="M67" i="45"/>
  <c r="L81" i="45"/>
  <c r="M82" i="45"/>
  <c r="I94" i="45"/>
  <c r="L97" i="45"/>
  <c r="I102" i="45"/>
  <c r="L105" i="45"/>
  <c r="M106" i="45"/>
  <c r="I118" i="45"/>
  <c r="L121" i="45"/>
  <c r="M122" i="45"/>
  <c r="I27" i="45"/>
  <c r="I28" i="45"/>
  <c r="L33" i="45"/>
  <c r="L34" i="45"/>
  <c r="L35" i="45"/>
  <c r="M36" i="45"/>
  <c r="I55" i="45"/>
  <c r="I56" i="45"/>
  <c r="I57" i="45"/>
  <c r="I58" i="45"/>
  <c r="I59" i="45"/>
  <c r="I60" i="45"/>
  <c r="I61" i="45"/>
  <c r="I62" i="45"/>
  <c r="L65" i="45"/>
  <c r="M66" i="45"/>
  <c r="L80" i="45"/>
  <c r="M81" i="45"/>
  <c r="I93" i="45"/>
  <c r="L96" i="45"/>
  <c r="M97" i="45"/>
  <c r="P97" i="45" s="1"/>
  <c r="I101" i="45"/>
  <c r="L104" i="45"/>
  <c r="M105" i="45"/>
  <c r="I117" i="45"/>
  <c r="L120" i="45"/>
  <c r="M121" i="45"/>
  <c r="M12" i="45"/>
  <c r="M13" i="45"/>
  <c r="L19" i="45"/>
  <c r="L20" i="45"/>
  <c r="L21" i="45"/>
  <c r="L32" i="45"/>
  <c r="M33" i="45"/>
  <c r="M34" i="45"/>
  <c r="M35" i="45"/>
  <c r="I54" i="45"/>
  <c r="L64" i="45"/>
  <c r="M65" i="45"/>
  <c r="L79" i="45"/>
  <c r="M80" i="45"/>
  <c r="I92" i="45"/>
  <c r="L95" i="45"/>
  <c r="M96" i="45"/>
  <c r="I100" i="45"/>
  <c r="L103" i="45"/>
  <c r="M104" i="45"/>
  <c r="I116" i="45"/>
  <c r="L119" i="45"/>
  <c r="M120" i="45"/>
  <c r="M14" i="45"/>
  <c r="M19" i="45"/>
  <c r="M20" i="45"/>
  <c r="M21" i="45"/>
  <c r="L22" i="45"/>
  <c r="L23" i="45"/>
  <c r="L24" i="45"/>
  <c r="L25" i="45"/>
  <c r="L26" i="45"/>
  <c r="L29" i="45"/>
  <c r="L30" i="45"/>
  <c r="L31" i="45"/>
  <c r="M32" i="45"/>
  <c r="I53" i="45"/>
  <c r="L63" i="45"/>
  <c r="M64" i="45"/>
  <c r="M79" i="45"/>
  <c r="I91" i="45"/>
  <c r="L94" i="45"/>
  <c r="M95" i="45"/>
  <c r="I99" i="45"/>
  <c r="L102" i="45"/>
  <c r="M103" i="45"/>
  <c r="U12" i="44"/>
  <c r="J2" i="44"/>
  <c r="U25" i="44"/>
  <c r="J67" i="44"/>
  <c r="J60" i="44"/>
  <c r="J21" i="44"/>
  <c r="L42" i="44"/>
  <c r="L37" i="44"/>
  <c r="J89" i="44"/>
  <c r="J40" i="44"/>
  <c r="J103" i="44"/>
  <c r="L43" i="44"/>
  <c r="M46" i="44"/>
  <c r="L15" i="44"/>
  <c r="J34" i="44"/>
  <c r="M43" i="44"/>
  <c r="M64" i="44"/>
  <c r="J22" i="44"/>
  <c r="M25" i="44"/>
  <c r="J79" i="44"/>
  <c r="J112" i="44"/>
  <c r="J119" i="44"/>
  <c r="L53" i="44"/>
  <c r="L9" i="44"/>
  <c r="M28" i="44"/>
  <c r="J61" i="44"/>
  <c r="J41" i="44"/>
  <c r="J76" i="44"/>
  <c r="M27" i="44"/>
  <c r="M8" i="44"/>
  <c r="M100" i="44"/>
  <c r="J51" i="44"/>
  <c r="J20" i="44"/>
  <c r="J7" i="44"/>
  <c r="J35" i="44"/>
  <c r="J88" i="44"/>
  <c r="J113" i="44"/>
  <c r="J23" i="44"/>
  <c r="I102" i="44"/>
  <c r="J77" i="44"/>
  <c r="J95" i="44"/>
  <c r="M10" i="44"/>
  <c r="J4" i="44"/>
  <c r="L17" i="44"/>
  <c r="J33" i="44"/>
  <c r="I14" i="44"/>
  <c r="I19" i="44"/>
  <c r="M45" i="44"/>
  <c r="L118" i="44"/>
  <c r="L25" i="44"/>
  <c r="I39" i="44"/>
  <c r="I76" i="44"/>
  <c r="L81" i="44"/>
  <c r="I94" i="44"/>
  <c r="L115" i="44"/>
  <c r="I13" i="44"/>
  <c r="I50" i="44"/>
  <c r="L63" i="44"/>
  <c r="L69" i="44"/>
  <c r="I88" i="44"/>
  <c r="L105" i="44"/>
  <c r="I111" i="44"/>
  <c r="M63" i="44"/>
  <c r="M92" i="44"/>
  <c r="L4" i="44"/>
  <c r="L16" i="44"/>
  <c r="L11" i="44"/>
  <c r="L10" i="44"/>
  <c r="L78" i="44"/>
  <c r="L18" i="44"/>
  <c r="L12" i="44"/>
  <c r="L6" i="44"/>
  <c r="L19" i="44"/>
  <c r="L14" i="44"/>
  <c r="L13" i="44"/>
  <c r="L114" i="44"/>
  <c r="L20" i="44"/>
  <c r="L7" i="44"/>
  <c r="L8" i="44"/>
  <c r="L121" i="44"/>
  <c r="L90" i="44"/>
  <c r="L99" i="44"/>
  <c r="I60" i="44"/>
  <c r="M11" i="44"/>
  <c r="M15" i="44"/>
  <c r="I115" i="44"/>
  <c r="M44" i="44"/>
  <c r="M54" i="44"/>
  <c r="I59" i="44"/>
  <c r="I20" i="44"/>
  <c r="I112" i="44"/>
  <c r="I40" i="44"/>
  <c r="I66" i="44"/>
  <c r="L97" i="44"/>
  <c r="I15" i="44"/>
  <c r="I3" i="44"/>
  <c r="I8" i="44"/>
  <c r="I118" i="44"/>
  <c r="I27" i="44"/>
  <c r="I26" i="44"/>
  <c r="I16" i="44"/>
  <c r="I4" i="44"/>
  <c r="I17" i="44"/>
  <c r="I9" i="44"/>
  <c r="I5" i="44"/>
  <c r="I11" i="44"/>
  <c r="I10" i="44"/>
  <c r="I75" i="44"/>
  <c r="I87" i="44"/>
  <c r="I12" i="44"/>
  <c r="I6" i="44"/>
  <c r="I7" i="44"/>
  <c r="L3" i="44"/>
  <c r="L24" i="44"/>
  <c r="L5" i="44"/>
  <c r="M119" i="44"/>
  <c r="M103" i="44"/>
  <c r="M95" i="44"/>
  <c r="M79" i="44"/>
  <c r="M67" i="44"/>
  <c r="M51" i="44"/>
  <c r="M35" i="44"/>
  <c r="M34" i="44"/>
  <c r="M33" i="44"/>
  <c r="M120" i="44"/>
  <c r="M104" i="44"/>
  <c r="M96" i="44"/>
  <c r="M80" i="44"/>
  <c r="M68" i="44"/>
  <c r="M52" i="44"/>
  <c r="M36" i="44"/>
  <c r="M16" i="44"/>
  <c r="M5" i="44"/>
  <c r="M121" i="44"/>
  <c r="M105" i="44"/>
  <c r="M97" i="44"/>
  <c r="M81" i="44"/>
  <c r="M69" i="44"/>
  <c r="M53" i="44"/>
  <c r="M37" i="44"/>
  <c r="M17" i="44"/>
  <c r="M123" i="44"/>
  <c r="M107" i="44"/>
  <c r="M83" i="44"/>
  <c r="M71" i="44"/>
  <c r="M55" i="44"/>
  <c r="M124" i="44"/>
  <c r="M108" i="44"/>
  <c r="M84" i="44"/>
  <c r="M72" i="44"/>
  <c r="M56" i="44"/>
  <c r="M125" i="44"/>
  <c r="M109" i="44"/>
  <c r="M85" i="44"/>
  <c r="M73" i="44"/>
  <c r="M57" i="44"/>
  <c r="M126" i="44"/>
  <c r="M110" i="44"/>
  <c r="M98" i="44"/>
  <c r="M86" i="44"/>
  <c r="M74" i="44"/>
  <c r="M58" i="44"/>
  <c r="M38" i="44"/>
  <c r="M18" i="44"/>
  <c r="M12" i="44"/>
  <c r="M6" i="44"/>
  <c r="M127" i="44"/>
  <c r="M111" i="44"/>
  <c r="M87" i="44"/>
  <c r="M75" i="44"/>
  <c r="M59" i="44"/>
  <c r="M39" i="44"/>
  <c r="M19" i="44"/>
  <c r="M14" i="44"/>
  <c r="M13" i="44"/>
  <c r="M128" i="44"/>
  <c r="M112" i="44"/>
  <c r="M88" i="44"/>
  <c r="M76" i="44"/>
  <c r="M60" i="44"/>
  <c r="M40" i="44"/>
  <c r="M20" i="44"/>
  <c r="M115" i="44"/>
  <c r="M99" i="44"/>
  <c r="M91" i="44"/>
  <c r="M113" i="44"/>
  <c r="M89" i="44"/>
  <c r="M77" i="44"/>
  <c r="M61" i="44"/>
  <c r="M41" i="44"/>
  <c r="M23" i="44"/>
  <c r="M22" i="44"/>
  <c r="M21" i="44"/>
  <c r="M7" i="44"/>
  <c r="M114" i="44"/>
  <c r="M90" i="44"/>
  <c r="M78" i="44"/>
  <c r="M62" i="44"/>
  <c r="M42" i="44"/>
  <c r="M24" i="44"/>
  <c r="M117" i="44"/>
  <c r="M101" i="44"/>
  <c r="M93" i="44"/>
  <c r="M65" i="44"/>
  <c r="M49" i="44"/>
  <c r="M48" i="44"/>
  <c r="M47" i="44"/>
  <c r="M31" i="44"/>
  <c r="M30" i="44"/>
  <c r="M29" i="44"/>
  <c r="M118" i="44"/>
  <c r="M102" i="44"/>
  <c r="M94" i="44"/>
  <c r="M66" i="44"/>
  <c r="M50" i="44"/>
  <c r="M32" i="44"/>
  <c r="M4" i="44"/>
  <c r="M9" i="44"/>
  <c r="M122" i="44"/>
  <c r="M106" i="44"/>
  <c r="M3" i="44"/>
  <c r="M26" i="44"/>
  <c r="I32" i="44"/>
  <c r="L62" i="44"/>
  <c r="M70" i="44"/>
  <c r="M82" i="44"/>
  <c r="J3" i="44"/>
  <c r="J15" i="44"/>
  <c r="I24" i="44"/>
  <c r="J25" i="44"/>
  <c r="L29" i="44"/>
  <c r="L30" i="44"/>
  <c r="L31" i="44"/>
  <c r="I42" i="44"/>
  <c r="J43" i="44"/>
  <c r="L47" i="44"/>
  <c r="L48" i="44"/>
  <c r="L49" i="44"/>
  <c r="I62" i="44"/>
  <c r="J63" i="44"/>
  <c r="L65" i="44"/>
  <c r="I78" i="44"/>
  <c r="I90" i="44"/>
  <c r="J91" i="44"/>
  <c r="L93" i="44"/>
  <c r="J99" i="44"/>
  <c r="L101" i="44"/>
  <c r="I114" i="44"/>
  <c r="J115" i="44"/>
  <c r="L117" i="44"/>
  <c r="I21" i="44"/>
  <c r="I22" i="44"/>
  <c r="I23" i="44"/>
  <c r="J24" i="44"/>
  <c r="L26" i="44"/>
  <c r="L27" i="44"/>
  <c r="L28" i="44"/>
  <c r="I41" i="44"/>
  <c r="J42" i="44"/>
  <c r="L44" i="44"/>
  <c r="L45" i="44"/>
  <c r="L46" i="44"/>
  <c r="I61" i="44"/>
  <c r="J62" i="44"/>
  <c r="L64" i="44"/>
  <c r="I77" i="44"/>
  <c r="J78" i="44"/>
  <c r="I89" i="44"/>
  <c r="J90" i="44"/>
  <c r="L92" i="44"/>
  <c r="L100" i="44"/>
  <c r="I113" i="44"/>
  <c r="J114" i="44"/>
  <c r="L116" i="44"/>
  <c r="I128" i="44"/>
  <c r="I127" i="44"/>
  <c r="J128" i="44"/>
  <c r="J13" i="44"/>
  <c r="J14" i="44"/>
  <c r="I18" i="44"/>
  <c r="J19" i="44"/>
  <c r="L21" i="44"/>
  <c r="L22" i="44"/>
  <c r="L23" i="44"/>
  <c r="I38" i="44"/>
  <c r="J39" i="44"/>
  <c r="L41" i="44"/>
  <c r="I58" i="44"/>
  <c r="J59" i="44"/>
  <c r="L61" i="44"/>
  <c r="I74" i="44"/>
  <c r="J75" i="44"/>
  <c r="L77" i="44"/>
  <c r="I86" i="44"/>
  <c r="J87" i="44"/>
  <c r="L89" i="44"/>
  <c r="I98" i="44"/>
  <c r="I110" i="44"/>
  <c r="J111" i="44"/>
  <c r="L113" i="44"/>
  <c r="I126" i="44"/>
  <c r="J127" i="44"/>
  <c r="J6" i="44"/>
  <c r="J12" i="44"/>
  <c r="J18" i="44"/>
  <c r="J38" i="44"/>
  <c r="L40" i="44"/>
  <c r="I57" i="44"/>
  <c r="J58" i="44"/>
  <c r="L60" i="44"/>
  <c r="I73" i="44"/>
  <c r="J74" i="44"/>
  <c r="L76" i="44"/>
  <c r="I85" i="44"/>
  <c r="J86" i="44"/>
  <c r="L88" i="44"/>
  <c r="J98" i="44"/>
  <c r="I109" i="44"/>
  <c r="J110" i="44"/>
  <c r="L112" i="44"/>
  <c r="I125" i="44"/>
  <c r="J126" i="44"/>
  <c r="L128" i="44"/>
  <c r="L39" i="44"/>
  <c r="I56" i="44"/>
  <c r="J57" i="44"/>
  <c r="L59" i="44"/>
  <c r="I72" i="44"/>
  <c r="J73" i="44"/>
  <c r="L75" i="44"/>
  <c r="I84" i="44"/>
  <c r="J85" i="44"/>
  <c r="L87" i="44"/>
  <c r="I108" i="44"/>
  <c r="J109" i="44"/>
  <c r="L111" i="44"/>
  <c r="I124" i="44"/>
  <c r="J125" i="44"/>
  <c r="L127" i="44"/>
  <c r="L38" i="44"/>
  <c r="I55" i="44"/>
  <c r="J56" i="44"/>
  <c r="L58" i="44"/>
  <c r="I71" i="44"/>
  <c r="J72" i="44"/>
  <c r="L74" i="44"/>
  <c r="I83" i="44"/>
  <c r="J84" i="44"/>
  <c r="L86" i="44"/>
  <c r="L98" i="44"/>
  <c r="I107" i="44"/>
  <c r="J108" i="44"/>
  <c r="L110" i="44"/>
  <c r="I123" i="44"/>
  <c r="J124" i="44"/>
  <c r="L126" i="44"/>
  <c r="I54" i="44"/>
  <c r="J55" i="44"/>
  <c r="L57" i="44"/>
  <c r="I70" i="44"/>
  <c r="J71" i="44"/>
  <c r="L73" i="44"/>
  <c r="I82" i="44"/>
  <c r="J83" i="44"/>
  <c r="L85" i="44"/>
  <c r="I106" i="44"/>
  <c r="J107" i="44"/>
  <c r="L109" i="44"/>
  <c r="I122" i="44"/>
  <c r="J123" i="44"/>
  <c r="L125" i="44"/>
  <c r="J10" i="44"/>
  <c r="J11" i="44"/>
  <c r="I37" i="44"/>
  <c r="I53" i="44"/>
  <c r="J54" i="44"/>
  <c r="L56" i="44"/>
  <c r="I69" i="44"/>
  <c r="J70" i="44"/>
  <c r="L72" i="44"/>
  <c r="I81" i="44"/>
  <c r="J82" i="44"/>
  <c r="L84" i="44"/>
  <c r="I97" i="44"/>
  <c r="I105" i="44"/>
  <c r="J106" i="44"/>
  <c r="L108" i="44"/>
  <c r="I121" i="44"/>
  <c r="J122" i="44"/>
  <c r="L124" i="44"/>
  <c r="J5" i="44"/>
  <c r="J9" i="44"/>
  <c r="J17" i="44"/>
  <c r="I36" i="44"/>
  <c r="J37" i="44"/>
  <c r="I52" i="44"/>
  <c r="J53" i="44"/>
  <c r="L55" i="44"/>
  <c r="I68" i="44"/>
  <c r="J69" i="44"/>
  <c r="L71" i="44"/>
  <c r="I80" i="44"/>
  <c r="J81" i="44"/>
  <c r="L83" i="44"/>
  <c r="I96" i="44"/>
  <c r="J97" i="44"/>
  <c r="I104" i="44"/>
  <c r="J105" i="44"/>
  <c r="L107" i="44"/>
  <c r="I120" i="44"/>
  <c r="J121" i="44"/>
  <c r="L123" i="44"/>
  <c r="J16" i="44"/>
  <c r="I33" i="44"/>
  <c r="I34" i="44"/>
  <c r="I35" i="44"/>
  <c r="J36" i="44"/>
  <c r="Z47" i="44"/>
  <c r="Z48" i="44"/>
  <c r="I51" i="44"/>
  <c r="J52" i="44"/>
  <c r="L54" i="44"/>
  <c r="I67" i="44"/>
  <c r="J68" i="44"/>
  <c r="L70" i="44"/>
  <c r="I79" i="44"/>
  <c r="J80" i="44"/>
  <c r="L82" i="44"/>
  <c r="I95" i="44"/>
  <c r="J96" i="44"/>
  <c r="I103" i="44"/>
  <c r="J104" i="44"/>
  <c r="L106" i="44"/>
  <c r="I119" i="44"/>
  <c r="J120" i="44"/>
  <c r="L122" i="44"/>
  <c r="I29" i="44"/>
  <c r="I30" i="44"/>
  <c r="I31" i="44"/>
  <c r="J32" i="44"/>
  <c r="L36" i="44"/>
  <c r="I47" i="44"/>
  <c r="I48" i="44"/>
  <c r="I49" i="44"/>
  <c r="J50" i="44"/>
  <c r="L52" i="44"/>
  <c r="I65" i="44"/>
  <c r="J66" i="44"/>
  <c r="L68" i="44"/>
  <c r="L80" i="44"/>
  <c r="I93" i="44"/>
  <c r="J94" i="44"/>
  <c r="L96" i="44"/>
  <c r="I101" i="44"/>
  <c r="J102" i="44"/>
  <c r="L104" i="44"/>
  <c r="I117" i="44"/>
  <c r="J118" i="44"/>
  <c r="L120" i="44"/>
  <c r="I28" i="44"/>
  <c r="J29" i="44"/>
  <c r="J30" i="44"/>
  <c r="J31" i="44"/>
  <c r="L33" i="44"/>
  <c r="L34" i="44"/>
  <c r="L35" i="44"/>
  <c r="I44" i="44"/>
  <c r="I45" i="44"/>
  <c r="I46" i="44"/>
  <c r="J47" i="44"/>
  <c r="J48" i="44"/>
  <c r="J49" i="44"/>
  <c r="L51" i="44"/>
  <c r="I64" i="44"/>
  <c r="J65" i="44"/>
  <c r="L67" i="44"/>
  <c r="L79" i="44"/>
  <c r="I92" i="44"/>
  <c r="J93" i="44"/>
  <c r="L95" i="44"/>
  <c r="I100" i="44"/>
  <c r="J101" i="44"/>
  <c r="L103" i="44"/>
  <c r="I116" i="44"/>
  <c r="J117" i="44"/>
  <c r="L119" i="44"/>
  <c r="J8" i="44"/>
  <c r="I25" i="44"/>
  <c r="J26" i="44"/>
  <c r="J27" i="44"/>
  <c r="J28" i="44"/>
  <c r="L32" i="44"/>
  <c r="I43" i="44"/>
  <c r="J44" i="44"/>
  <c r="J45" i="44"/>
  <c r="J46" i="44"/>
  <c r="L50" i="44"/>
  <c r="I63" i="44"/>
  <c r="J64" i="44"/>
  <c r="L66" i="44"/>
  <c r="I91" i="44"/>
  <c r="J92" i="44"/>
  <c r="L94" i="44"/>
  <c r="I99" i="44"/>
  <c r="J100" i="44"/>
  <c r="L102" i="44"/>
  <c r="K99" i="40"/>
  <c r="H99" i="40"/>
  <c r="K36" i="40"/>
  <c r="H36" i="40"/>
  <c r="K107" i="40"/>
  <c r="H107" i="40"/>
  <c r="K98" i="40"/>
  <c r="H98" i="40"/>
  <c r="K9" i="40"/>
  <c r="H9" i="40"/>
  <c r="K41" i="40"/>
  <c r="H41" i="40"/>
  <c r="K60" i="40"/>
  <c r="H60" i="40"/>
  <c r="K100" i="40"/>
  <c r="H100" i="40"/>
  <c r="K106" i="40"/>
  <c r="H106" i="40"/>
  <c r="K105" i="40"/>
  <c r="H105" i="40"/>
  <c r="K97" i="40"/>
  <c r="H97" i="40"/>
  <c r="K54" i="40"/>
  <c r="H54" i="40"/>
  <c r="K104" i="40"/>
  <c r="H104" i="40"/>
  <c r="K124" i="40"/>
  <c r="H124" i="40"/>
  <c r="K103" i="40"/>
  <c r="H103" i="40"/>
  <c r="K53" i="40"/>
  <c r="H53" i="40"/>
  <c r="K102" i="40"/>
  <c r="H102" i="40"/>
  <c r="K52" i="40"/>
  <c r="H52" i="40"/>
  <c r="K8" i="40"/>
  <c r="H8" i="40"/>
  <c r="K101" i="40"/>
  <c r="H101" i="40"/>
  <c r="K22" i="40"/>
  <c r="H22" i="40"/>
  <c r="K40" i="40"/>
  <c r="H40" i="40"/>
  <c r="K21" i="40"/>
  <c r="H21" i="40"/>
  <c r="K32" i="40"/>
  <c r="H32" i="40"/>
  <c r="K74" i="40"/>
  <c r="H74" i="40"/>
  <c r="K20" i="40"/>
  <c r="H20" i="40"/>
  <c r="K19" i="40"/>
  <c r="H19" i="40"/>
  <c r="K18" i="40"/>
  <c r="H18" i="40"/>
  <c r="K39" i="40"/>
  <c r="H39" i="40"/>
  <c r="K17" i="40"/>
  <c r="H17" i="40"/>
  <c r="K16" i="40"/>
  <c r="H16" i="40"/>
  <c r="K15" i="40"/>
  <c r="H15" i="40"/>
  <c r="K118" i="40"/>
  <c r="H118" i="40"/>
  <c r="K94" i="40"/>
  <c r="H94" i="40"/>
  <c r="K23" i="40"/>
  <c r="H23" i="40"/>
  <c r="K85" i="40"/>
  <c r="H85" i="40"/>
  <c r="K84" i="40"/>
  <c r="H84" i="40"/>
  <c r="K83" i="40"/>
  <c r="H83" i="40"/>
  <c r="K82" i="40"/>
  <c r="H82" i="40"/>
  <c r="K7" i="40"/>
  <c r="H7" i="40"/>
  <c r="K50" i="40"/>
  <c r="H50" i="40"/>
  <c r="K117" i="40"/>
  <c r="H117" i="40"/>
  <c r="K116" i="40"/>
  <c r="H116" i="40"/>
  <c r="K115" i="40"/>
  <c r="H115" i="40"/>
  <c r="K114" i="40"/>
  <c r="H114" i="40"/>
  <c r="K31" i="40"/>
  <c r="H31" i="40"/>
  <c r="K37" i="40"/>
  <c r="H37" i="40"/>
  <c r="K47" i="40"/>
  <c r="H47" i="40"/>
  <c r="K81" i="40"/>
  <c r="H81" i="40"/>
  <c r="K30" i="40"/>
  <c r="H30" i="40"/>
  <c r="K14" i="40"/>
  <c r="H14" i="40"/>
  <c r="K127" i="40"/>
  <c r="H127" i="40"/>
  <c r="K126" i="40"/>
  <c r="H126" i="40"/>
  <c r="K111" i="40"/>
  <c r="H111" i="40"/>
  <c r="K69" i="40"/>
  <c r="H69" i="40"/>
  <c r="K113" i="40"/>
  <c r="H113" i="40"/>
  <c r="K80" i="40"/>
  <c r="H80" i="40"/>
  <c r="K79" i="40"/>
  <c r="H79" i="40"/>
  <c r="K78" i="40"/>
  <c r="H78" i="40"/>
  <c r="K77" i="40"/>
  <c r="H77" i="40"/>
  <c r="K42" i="40"/>
  <c r="H42" i="40"/>
  <c r="K95" i="40"/>
  <c r="H95" i="40"/>
  <c r="K6" i="40"/>
  <c r="H6" i="40"/>
  <c r="K123" i="40"/>
  <c r="H123" i="40"/>
  <c r="K122" i="40"/>
  <c r="H122" i="40"/>
  <c r="K128" i="40"/>
  <c r="H128" i="40"/>
  <c r="K57" i="40"/>
  <c r="H57" i="40"/>
  <c r="K76" i="40"/>
  <c r="H76" i="40"/>
  <c r="K5" i="40"/>
  <c r="H5" i="40"/>
  <c r="K75" i="40"/>
  <c r="H75" i="40"/>
  <c r="K46" i="40"/>
  <c r="H46" i="40"/>
  <c r="K110" i="40"/>
  <c r="H110" i="40"/>
  <c r="K93" i="40"/>
  <c r="H93" i="40"/>
  <c r="K92" i="40"/>
  <c r="H92" i="40"/>
  <c r="K56" i="40"/>
  <c r="H56" i="40"/>
  <c r="K108" i="40"/>
  <c r="H108" i="40"/>
  <c r="K72" i="40"/>
  <c r="H72" i="40"/>
  <c r="K68" i="40"/>
  <c r="H68" i="40"/>
  <c r="K121" i="40"/>
  <c r="H121" i="40"/>
  <c r="K120" i="40"/>
  <c r="H120" i="40"/>
  <c r="K91" i="40"/>
  <c r="H91" i="40"/>
  <c r="K90" i="40"/>
  <c r="H90" i="40"/>
  <c r="K96" i="40"/>
  <c r="H96" i="40"/>
  <c r="S45" i="40"/>
  <c r="K45" i="40"/>
  <c r="H45" i="40"/>
  <c r="S44" i="40"/>
  <c r="K71" i="40"/>
  <c r="H71" i="40"/>
  <c r="K4" i="40"/>
  <c r="H4" i="40"/>
  <c r="K89" i="40"/>
  <c r="H89" i="40"/>
  <c r="K119" i="40"/>
  <c r="H119" i="40"/>
  <c r="K88" i="40"/>
  <c r="H88" i="40"/>
  <c r="K70" i="40"/>
  <c r="H70" i="40"/>
  <c r="K87" i="40"/>
  <c r="H87" i="40"/>
  <c r="K35" i="40"/>
  <c r="H35" i="40"/>
  <c r="K86" i="40"/>
  <c r="H86" i="40"/>
  <c r="K109" i="40"/>
  <c r="H109" i="40"/>
  <c r="S34" i="40"/>
  <c r="K48" i="40"/>
  <c r="H48" i="40"/>
  <c r="S33" i="40"/>
  <c r="K28" i="40"/>
  <c r="H28" i="40"/>
  <c r="K61" i="40"/>
  <c r="H61" i="40"/>
  <c r="K44" i="40"/>
  <c r="H44" i="40"/>
  <c r="S30" i="40"/>
  <c r="K59" i="40"/>
  <c r="H59" i="40"/>
  <c r="K27" i="40"/>
  <c r="H27" i="40"/>
  <c r="K43" i="40"/>
  <c r="H43" i="40"/>
  <c r="S27" i="40"/>
  <c r="K55" i="40"/>
  <c r="H55" i="40"/>
  <c r="S26" i="40"/>
  <c r="K26" i="40"/>
  <c r="H26" i="40"/>
  <c r="K25" i="40"/>
  <c r="H25" i="40"/>
  <c r="K24" i="40"/>
  <c r="I24" i="40"/>
  <c r="H24" i="40"/>
  <c r="K58" i="40"/>
  <c r="H58" i="40"/>
  <c r="S22" i="40"/>
  <c r="K66" i="40"/>
  <c r="H66" i="40"/>
  <c r="S21" i="40"/>
  <c r="K65" i="40"/>
  <c r="H65" i="40"/>
  <c r="K62" i="40"/>
  <c r="H62" i="40"/>
  <c r="K64" i="40"/>
  <c r="H64" i="40"/>
  <c r="K34" i="40"/>
  <c r="H34" i="40"/>
  <c r="K49" i="40"/>
  <c r="H49" i="40"/>
  <c r="K33" i="40"/>
  <c r="H33" i="40"/>
  <c r="K3" i="40"/>
  <c r="H3" i="40"/>
  <c r="S14" i="40"/>
  <c r="K112" i="40"/>
  <c r="H112" i="40"/>
  <c r="S13" i="40"/>
  <c r="K38" i="40"/>
  <c r="H38" i="40"/>
  <c r="K13" i="40"/>
  <c r="H13" i="40"/>
  <c r="S11" i="40"/>
  <c r="K12" i="40"/>
  <c r="H12" i="40"/>
  <c r="S10" i="40"/>
  <c r="K63" i="40"/>
  <c r="H63" i="40"/>
  <c r="K2" i="40"/>
  <c r="H2" i="40"/>
  <c r="K29" i="40"/>
  <c r="H29" i="40"/>
  <c r="S7" i="40"/>
  <c r="M105" i="40" s="1"/>
  <c r="K67" i="40"/>
  <c r="H67" i="40"/>
  <c r="S6" i="40"/>
  <c r="J104" i="40" s="1"/>
  <c r="K11" i="40"/>
  <c r="H11" i="40"/>
  <c r="K10" i="40"/>
  <c r="H10" i="40"/>
  <c r="K51" i="40"/>
  <c r="H51" i="40"/>
  <c r="K73" i="40"/>
  <c r="H73" i="40"/>
  <c r="K125" i="40"/>
  <c r="H125" i="40"/>
  <c r="Q2" i="39" a="1"/>
  <c r="Q2" i="39" s="1"/>
  <c r="Q3" i="39" a="1"/>
  <c r="Q3" i="39" s="1"/>
  <c r="Q4" i="39" a="1"/>
  <c r="Q4" i="39" s="1"/>
  <c r="Q5" i="39" a="1"/>
  <c r="Q5" i="39" s="1"/>
  <c r="Q6" i="39" a="1"/>
  <c r="Q6" i="39" s="1"/>
  <c r="Q7" i="39" a="1"/>
  <c r="Q7" i="39" s="1"/>
  <c r="Q8" i="39" a="1"/>
  <c r="Q8" i="39" s="1"/>
  <c r="Q9" i="39" a="1"/>
  <c r="Q9" i="39" s="1"/>
  <c r="Q10" i="39" a="1"/>
  <c r="Q10" i="39" s="1"/>
  <c r="Q11" i="39" a="1"/>
  <c r="Q11" i="39" s="1"/>
  <c r="Q12" i="39" a="1"/>
  <c r="Q12" i="39" s="1"/>
  <c r="Q13" i="39" a="1"/>
  <c r="Q13" i="39" s="1"/>
  <c r="Q14" i="39" a="1"/>
  <c r="Q14" i="39" s="1"/>
  <c r="Q15" i="39" a="1"/>
  <c r="Q15" i="39" s="1"/>
  <c r="Q16" i="39" a="1"/>
  <c r="Q16" i="39" s="1"/>
  <c r="Q17" i="39" a="1"/>
  <c r="Q17" i="39" s="1"/>
  <c r="Q18" i="39" a="1"/>
  <c r="Q18" i="39" s="1"/>
  <c r="Q19" i="39" a="1"/>
  <c r="Q19" i="39" s="1"/>
  <c r="Q20" i="39" a="1"/>
  <c r="Q20" i="39" s="1"/>
  <c r="Q21" i="39" a="1"/>
  <c r="Q21" i="39" s="1"/>
  <c r="Q22" i="39" a="1"/>
  <c r="Q22" i="39" s="1"/>
  <c r="Q23" i="39" a="1"/>
  <c r="Q23" i="39" s="1"/>
  <c r="Q24" i="39" a="1"/>
  <c r="Q24" i="39" s="1"/>
  <c r="Q25" i="39" a="1"/>
  <c r="Q25" i="39" s="1"/>
  <c r="Q26" i="39" a="1"/>
  <c r="Q26" i="39" s="1"/>
  <c r="Q27" i="39" a="1"/>
  <c r="Q27" i="39" s="1"/>
  <c r="Q28" i="39" a="1"/>
  <c r="Q28" i="39" s="1"/>
  <c r="Q29" i="39" a="1"/>
  <c r="Q29" i="39" s="1"/>
  <c r="Q30" i="39" a="1"/>
  <c r="Q30" i="39" s="1"/>
  <c r="Q31" i="39" a="1"/>
  <c r="Q31" i="39" s="1"/>
  <c r="Q32" i="39" a="1"/>
  <c r="Q32" i="39" s="1"/>
  <c r="Q33" i="39" a="1"/>
  <c r="Q33" i="39" s="1"/>
  <c r="Q34" i="39" a="1"/>
  <c r="Q34" i="39" s="1"/>
  <c r="Q35" i="39" a="1"/>
  <c r="Q35" i="39" s="1"/>
  <c r="Q36" i="39" a="1"/>
  <c r="Q36" i="39" s="1"/>
  <c r="Q37" i="39" a="1"/>
  <c r="Q37" i="39" s="1"/>
  <c r="Q38" i="39" a="1"/>
  <c r="Q38" i="39" s="1"/>
  <c r="Q39" i="39" a="1"/>
  <c r="Q39" i="39" s="1"/>
  <c r="Q40" i="39" a="1"/>
  <c r="Q40" i="39" s="1"/>
  <c r="Q41" i="39" a="1"/>
  <c r="Q41" i="39" s="1"/>
  <c r="Q42" i="39" a="1"/>
  <c r="Q42" i="39" s="1"/>
  <c r="Q43" i="39" a="1"/>
  <c r="Q43" i="39" s="1"/>
  <c r="Q44" i="39" a="1"/>
  <c r="Q44" i="39" s="1"/>
  <c r="Q45" i="39" a="1"/>
  <c r="Q45" i="39" s="1"/>
  <c r="Q46" i="39" a="1"/>
  <c r="Q46" i="39" s="1"/>
  <c r="Q47" i="39" a="1"/>
  <c r="Q47" i="39" s="1"/>
  <c r="Q48" i="39" a="1"/>
  <c r="Q48" i="39" s="1"/>
  <c r="Q49" i="39" a="1"/>
  <c r="Q49" i="39" s="1"/>
  <c r="Q50" i="39" a="1"/>
  <c r="Q50" i="39" s="1"/>
  <c r="Q51" i="39" a="1"/>
  <c r="Q51" i="39" s="1"/>
  <c r="Q52" i="39" a="1"/>
  <c r="Q52" i="39" s="1"/>
  <c r="Q53" i="39" a="1"/>
  <c r="Q53" i="39" s="1"/>
  <c r="Q54" i="39" a="1"/>
  <c r="Q54" i="39" s="1"/>
  <c r="Q55" i="39" a="1"/>
  <c r="Q55" i="39" s="1"/>
  <c r="Q56" i="39" a="1"/>
  <c r="Q56" i="39" s="1"/>
  <c r="Q57" i="39" a="1"/>
  <c r="Q57" i="39" s="1"/>
  <c r="Q58" i="39" a="1"/>
  <c r="Q58" i="39" s="1"/>
  <c r="Q59" i="39" a="1"/>
  <c r="Q59" i="39" s="1"/>
  <c r="Q60" i="39" a="1"/>
  <c r="Q60" i="39" s="1"/>
  <c r="Q61" i="39" a="1"/>
  <c r="Q61" i="39" s="1"/>
  <c r="Q62" i="39" a="1"/>
  <c r="Q62" i="39" s="1"/>
  <c r="Q63" i="39" a="1"/>
  <c r="Q63" i="39" s="1"/>
  <c r="Q64" i="39" a="1"/>
  <c r="Q64" i="39" s="1"/>
  <c r="Q65" i="39" a="1"/>
  <c r="Q65" i="39" s="1"/>
  <c r="Q66" i="39" a="1"/>
  <c r="Q66" i="39" s="1"/>
  <c r="Q67" i="39" a="1"/>
  <c r="Q67" i="39" s="1"/>
  <c r="Q68" i="39" a="1"/>
  <c r="Q68" i="39" s="1"/>
  <c r="Q69" i="39" a="1"/>
  <c r="Q69" i="39" s="1"/>
  <c r="Q70" i="39" a="1"/>
  <c r="Q70" i="39" s="1"/>
  <c r="Q71" i="39" a="1"/>
  <c r="Q71" i="39" s="1"/>
  <c r="Q72" i="39" a="1"/>
  <c r="Q72" i="39" s="1"/>
  <c r="Q73" i="39" a="1"/>
  <c r="Q73" i="39" s="1"/>
  <c r="Q74" i="39" a="1"/>
  <c r="Q74" i="39" s="1"/>
  <c r="Q75" i="39" a="1"/>
  <c r="Q75" i="39" s="1"/>
  <c r="Q76" i="39" a="1"/>
  <c r="Q76" i="39" s="1"/>
  <c r="Q77" i="39" a="1"/>
  <c r="Q77" i="39" s="1"/>
  <c r="Q78" i="39" a="1"/>
  <c r="Q78" i="39" s="1"/>
  <c r="Q79" i="39" a="1"/>
  <c r="Q79" i="39" s="1"/>
  <c r="Q80" i="39" a="1"/>
  <c r="Q80" i="39" s="1"/>
  <c r="Q81" i="39" a="1"/>
  <c r="Q81" i="39" s="1"/>
  <c r="Q82" i="39" a="1"/>
  <c r="Q82" i="39" s="1"/>
  <c r="Q83" i="39" a="1"/>
  <c r="Q83" i="39" s="1"/>
  <c r="Q84" i="39" a="1"/>
  <c r="Q84" i="39" s="1"/>
  <c r="Q85" i="39" a="1"/>
  <c r="Q85" i="39" s="1"/>
  <c r="Q86" i="39" a="1"/>
  <c r="Q86" i="39" s="1"/>
  <c r="Q87" i="39" a="1"/>
  <c r="Q87" i="39" s="1"/>
  <c r="Q88" i="39" a="1"/>
  <c r="Q88" i="39" s="1"/>
  <c r="Q89" i="39" a="1"/>
  <c r="Q89" i="39" s="1"/>
  <c r="Q90" i="39" a="1"/>
  <c r="Q90" i="39" s="1"/>
  <c r="Q91" i="39" a="1"/>
  <c r="Q91" i="39" s="1"/>
  <c r="Q92" i="39" a="1"/>
  <c r="Q92" i="39" s="1"/>
  <c r="Q93" i="39" a="1"/>
  <c r="Q93" i="39" s="1"/>
  <c r="Q94" i="39" a="1"/>
  <c r="Q94" i="39" s="1"/>
  <c r="Q95" i="39" a="1"/>
  <c r="Q95" i="39" s="1"/>
  <c r="Q96" i="39" a="1"/>
  <c r="Q96" i="39" s="1"/>
  <c r="Q97" i="39" a="1"/>
  <c r="Q97" i="39" s="1"/>
  <c r="Q98" i="39" a="1"/>
  <c r="Q98" i="39" s="1"/>
  <c r="Q99" i="39" a="1"/>
  <c r="Q99" i="39" s="1"/>
  <c r="Q100" i="39" a="1"/>
  <c r="Q100" i="39" s="1"/>
  <c r="Q101" i="39" a="1"/>
  <c r="Q101" i="39" s="1"/>
  <c r="Q102" i="39" a="1"/>
  <c r="Q102" i="39" s="1"/>
  <c r="Q103" i="39" a="1"/>
  <c r="Q103" i="39" s="1"/>
  <c r="Q104" i="39" a="1"/>
  <c r="Q104" i="39" s="1"/>
  <c r="Q105" i="39" a="1"/>
  <c r="Q105" i="39" s="1"/>
  <c r="Q106" i="39" a="1"/>
  <c r="Q106" i="39" s="1"/>
  <c r="Q107" i="39" a="1"/>
  <c r="Q107" i="39" s="1"/>
  <c r="Q108" i="39" a="1"/>
  <c r="Q108" i="39" s="1"/>
  <c r="Q109" i="39" a="1"/>
  <c r="Q109" i="39" s="1"/>
  <c r="Q110" i="39" a="1"/>
  <c r="Q110" i="39" s="1"/>
  <c r="Q111" i="39" a="1"/>
  <c r="Q111" i="39" s="1"/>
  <c r="Q112" i="39" a="1"/>
  <c r="Q112" i="39" s="1"/>
  <c r="Q113" i="39" a="1"/>
  <c r="Q113" i="39" s="1"/>
  <c r="Q114" i="39" a="1"/>
  <c r="Q114" i="39" s="1"/>
  <c r="Q115" i="39" a="1"/>
  <c r="Q115" i="39" s="1"/>
  <c r="Q116" i="39" a="1"/>
  <c r="Q116" i="39" s="1"/>
  <c r="Q117" i="39" a="1"/>
  <c r="Q117" i="39" s="1"/>
  <c r="Q118" i="39" a="1"/>
  <c r="Q118" i="39" s="1"/>
  <c r="Q119" i="39" a="1"/>
  <c r="Q119" i="39" s="1"/>
  <c r="Q120" i="39" a="1"/>
  <c r="Q120" i="39" s="1"/>
  <c r="Q121" i="39" a="1"/>
  <c r="Q121" i="39" s="1"/>
  <c r="Q122" i="39" a="1"/>
  <c r="Q122" i="39" s="1"/>
  <c r="Q123" i="39" a="1"/>
  <c r="Q123" i="39" s="1"/>
  <c r="Q124" i="39" a="1"/>
  <c r="Q124" i="39" s="1"/>
  <c r="Q125" i="39" a="1"/>
  <c r="Q125" i="39" s="1"/>
  <c r="Q126" i="39" a="1"/>
  <c r="Q126" i="39" s="1"/>
  <c r="Q127" i="39" a="1"/>
  <c r="Q127" i="39" s="1"/>
  <c r="Q128" i="39" a="1"/>
  <c r="Q128" i="39" s="1"/>
  <c r="K2" i="39"/>
  <c r="R128" i="39" a="1"/>
  <c r="R128" i="39" s="1"/>
  <c r="K128" i="39"/>
  <c r="H128" i="39"/>
  <c r="R127" i="39" a="1"/>
  <c r="R127" i="39" s="1"/>
  <c r="K127" i="39"/>
  <c r="H127" i="39"/>
  <c r="R126" i="39" a="1"/>
  <c r="R126" i="39" s="1"/>
  <c r="K126" i="39"/>
  <c r="H126" i="39"/>
  <c r="R125" i="39" a="1"/>
  <c r="R125" i="39" s="1"/>
  <c r="K125" i="39"/>
  <c r="H125" i="39"/>
  <c r="R124" i="39" a="1"/>
  <c r="R124" i="39" s="1"/>
  <c r="K124" i="39"/>
  <c r="H124" i="39"/>
  <c r="R123" i="39" a="1"/>
  <c r="R123" i="39" s="1"/>
  <c r="K123" i="39"/>
  <c r="H123" i="39"/>
  <c r="R122" i="39" a="1"/>
  <c r="R122" i="39" s="1"/>
  <c r="K122" i="39"/>
  <c r="H122" i="39"/>
  <c r="R121" i="39" a="1"/>
  <c r="R121" i="39" s="1"/>
  <c r="K121" i="39"/>
  <c r="H121" i="39"/>
  <c r="R120" i="39" a="1"/>
  <c r="R120" i="39" s="1"/>
  <c r="K120" i="39"/>
  <c r="H120" i="39"/>
  <c r="R119" i="39" a="1"/>
  <c r="R119" i="39" s="1"/>
  <c r="K119" i="39"/>
  <c r="H119" i="39"/>
  <c r="R118" i="39" a="1"/>
  <c r="R118" i="39" s="1"/>
  <c r="K118" i="39"/>
  <c r="H118" i="39"/>
  <c r="R117" i="39" a="1"/>
  <c r="R117" i="39" s="1"/>
  <c r="K117" i="39"/>
  <c r="H117" i="39"/>
  <c r="R116" i="39" a="1"/>
  <c r="R116" i="39" s="1"/>
  <c r="K116" i="39"/>
  <c r="H116" i="39"/>
  <c r="R115" i="39" a="1"/>
  <c r="R115" i="39" s="1"/>
  <c r="K115" i="39"/>
  <c r="H115" i="39"/>
  <c r="R114" i="39" a="1"/>
  <c r="R114" i="39" s="1"/>
  <c r="K114" i="39"/>
  <c r="H114" i="39"/>
  <c r="R113" i="39" a="1"/>
  <c r="R113" i="39" s="1"/>
  <c r="K113" i="39"/>
  <c r="H113" i="39"/>
  <c r="R112" i="39" a="1"/>
  <c r="R112" i="39" s="1"/>
  <c r="K112" i="39"/>
  <c r="H112" i="39"/>
  <c r="R111" i="39" a="1"/>
  <c r="R111" i="39" s="1"/>
  <c r="K111" i="39"/>
  <c r="H111" i="39"/>
  <c r="R110" i="39" a="1"/>
  <c r="R110" i="39" s="1"/>
  <c r="K110" i="39"/>
  <c r="H110" i="39"/>
  <c r="R109" i="39" a="1"/>
  <c r="R109" i="39" s="1"/>
  <c r="K109" i="39"/>
  <c r="H109" i="39"/>
  <c r="R108" i="39" a="1"/>
  <c r="R108" i="39" s="1"/>
  <c r="K108" i="39"/>
  <c r="H108" i="39"/>
  <c r="R107" i="39" a="1"/>
  <c r="R107" i="39" s="1"/>
  <c r="K107" i="39"/>
  <c r="H107" i="39"/>
  <c r="R106" i="39" a="1"/>
  <c r="R106" i="39" s="1"/>
  <c r="K106" i="39"/>
  <c r="H106" i="39"/>
  <c r="R105" i="39" a="1"/>
  <c r="R105" i="39" s="1"/>
  <c r="K105" i="39"/>
  <c r="H105" i="39"/>
  <c r="R104" i="39" a="1"/>
  <c r="R104" i="39" s="1"/>
  <c r="K104" i="39"/>
  <c r="H104" i="39"/>
  <c r="R103" i="39" a="1"/>
  <c r="R103" i="39" s="1"/>
  <c r="K103" i="39"/>
  <c r="H103" i="39"/>
  <c r="R102" i="39" a="1"/>
  <c r="R102" i="39" s="1"/>
  <c r="K102" i="39"/>
  <c r="H102" i="39"/>
  <c r="R101" i="39" a="1"/>
  <c r="R101" i="39" s="1"/>
  <c r="K101" i="39"/>
  <c r="H101" i="39"/>
  <c r="R100" i="39" a="1"/>
  <c r="R100" i="39" s="1"/>
  <c r="K100" i="39"/>
  <c r="H100" i="39"/>
  <c r="R99" i="39" a="1"/>
  <c r="R99" i="39" s="1"/>
  <c r="K99" i="39"/>
  <c r="H99" i="39"/>
  <c r="R98" i="39" a="1"/>
  <c r="R98" i="39" s="1"/>
  <c r="K98" i="39"/>
  <c r="H98" i="39"/>
  <c r="R97" i="39" a="1"/>
  <c r="R97" i="39" s="1"/>
  <c r="K97" i="39"/>
  <c r="H97" i="39"/>
  <c r="R96" i="39" a="1"/>
  <c r="R96" i="39" s="1"/>
  <c r="K96" i="39"/>
  <c r="H96" i="39"/>
  <c r="R95" i="39" a="1"/>
  <c r="R95" i="39" s="1"/>
  <c r="K95" i="39"/>
  <c r="H95" i="39"/>
  <c r="R94" i="39" a="1"/>
  <c r="R94" i="39" s="1"/>
  <c r="K94" i="39"/>
  <c r="H94" i="39"/>
  <c r="R93" i="39" a="1"/>
  <c r="R93" i="39" s="1"/>
  <c r="K93" i="39"/>
  <c r="H93" i="39"/>
  <c r="R92" i="39" a="1"/>
  <c r="R92" i="39" s="1"/>
  <c r="K92" i="39"/>
  <c r="H92" i="39"/>
  <c r="R91" i="39" a="1"/>
  <c r="R91" i="39" s="1"/>
  <c r="K91" i="39"/>
  <c r="H91" i="39"/>
  <c r="R90" i="39" a="1"/>
  <c r="R90" i="39" s="1"/>
  <c r="K90" i="39"/>
  <c r="H90" i="39"/>
  <c r="R89" i="39" a="1"/>
  <c r="R89" i="39" s="1"/>
  <c r="K89" i="39"/>
  <c r="H89" i="39"/>
  <c r="R88" i="39" a="1"/>
  <c r="R88" i="39" s="1"/>
  <c r="K88" i="39"/>
  <c r="H88" i="39"/>
  <c r="R87" i="39" a="1"/>
  <c r="R87" i="39" s="1"/>
  <c r="K87" i="39"/>
  <c r="H87" i="39"/>
  <c r="R86" i="39" a="1"/>
  <c r="R86" i="39" s="1"/>
  <c r="K86" i="39"/>
  <c r="H86" i="39"/>
  <c r="R85" i="39" a="1"/>
  <c r="R85" i="39" s="1"/>
  <c r="K85" i="39"/>
  <c r="H85" i="39"/>
  <c r="R84" i="39" a="1"/>
  <c r="R84" i="39" s="1"/>
  <c r="K84" i="39"/>
  <c r="H84" i="39"/>
  <c r="R83" i="39" a="1"/>
  <c r="R83" i="39" s="1"/>
  <c r="K83" i="39"/>
  <c r="H83" i="39"/>
  <c r="R82" i="39" a="1"/>
  <c r="R82" i="39" s="1"/>
  <c r="K82" i="39"/>
  <c r="H82" i="39"/>
  <c r="R81" i="39" a="1"/>
  <c r="R81" i="39" s="1"/>
  <c r="K81" i="39"/>
  <c r="H81" i="39"/>
  <c r="R80" i="39" a="1"/>
  <c r="R80" i="39" s="1"/>
  <c r="K80" i="39"/>
  <c r="H80" i="39"/>
  <c r="R79" i="39" a="1"/>
  <c r="R79" i="39" s="1"/>
  <c r="K79" i="39"/>
  <c r="H79" i="39"/>
  <c r="R78" i="39" a="1"/>
  <c r="R78" i="39" s="1"/>
  <c r="K78" i="39"/>
  <c r="H78" i="39"/>
  <c r="R77" i="39" a="1"/>
  <c r="R77" i="39" s="1"/>
  <c r="K77" i="39"/>
  <c r="H77" i="39"/>
  <c r="R76" i="39" a="1"/>
  <c r="R76" i="39" s="1"/>
  <c r="K76" i="39"/>
  <c r="H76" i="39"/>
  <c r="R75" i="39" a="1"/>
  <c r="R75" i="39" s="1"/>
  <c r="K75" i="39"/>
  <c r="H75" i="39"/>
  <c r="R74" i="39" a="1"/>
  <c r="R74" i="39" s="1"/>
  <c r="K74" i="39"/>
  <c r="H74" i="39"/>
  <c r="R73" i="39" a="1"/>
  <c r="R73" i="39" s="1"/>
  <c r="K73" i="39"/>
  <c r="H73" i="39"/>
  <c r="R72" i="39" a="1"/>
  <c r="R72" i="39" s="1"/>
  <c r="K72" i="39"/>
  <c r="H72" i="39"/>
  <c r="R71" i="39" a="1"/>
  <c r="R71" i="39" s="1"/>
  <c r="K71" i="39"/>
  <c r="H71" i="39"/>
  <c r="R70" i="39" a="1"/>
  <c r="R70" i="39" s="1"/>
  <c r="K70" i="39"/>
  <c r="H70" i="39"/>
  <c r="R69" i="39" a="1"/>
  <c r="R69" i="39" s="1"/>
  <c r="K69" i="39"/>
  <c r="H69" i="39"/>
  <c r="R68" i="39" a="1"/>
  <c r="R68" i="39" s="1"/>
  <c r="K68" i="39"/>
  <c r="H68" i="39"/>
  <c r="R67" i="39" a="1"/>
  <c r="R67" i="39" s="1"/>
  <c r="K67" i="39"/>
  <c r="H67" i="39"/>
  <c r="R66" i="39" a="1"/>
  <c r="R66" i="39" s="1"/>
  <c r="K66" i="39"/>
  <c r="H66" i="39"/>
  <c r="R65" i="39" a="1"/>
  <c r="R65" i="39" s="1"/>
  <c r="K65" i="39"/>
  <c r="H65" i="39"/>
  <c r="R64" i="39" a="1"/>
  <c r="R64" i="39" s="1"/>
  <c r="K64" i="39"/>
  <c r="H64" i="39"/>
  <c r="R63" i="39" a="1"/>
  <c r="R63" i="39" s="1"/>
  <c r="K63" i="39"/>
  <c r="H63" i="39"/>
  <c r="R62" i="39" a="1"/>
  <c r="R62" i="39" s="1"/>
  <c r="K62" i="39"/>
  <c r="H62" i="39"/>
  <c r="R61" i="39" a="1"/>
  <c r="R61" i="39" s="1"/>
  <c r="K61" i="39"/>
  <c r="H61" i="39"/>
  <c r="R60" i="39" a="1"/>
  <c r="R60" i="39" s="1"/>
  <c r="K60" i="39"/>
  <c r="H60" i="39"/>
  <c r="R59" i="39" a="1"/>
  <c r="R59" i="39" s="1"/>
  <c r="K59" i="39"/>
  <c r="H59" i="39"/>
  <c r="R58" i="39" a="1"/>
  <c r="R58" i="39" s="1"/>
  <c r="K58" i="39"/>
  <c r="H58" i="39"/>
  <c r="R57" i="39" a="1"/>
  <c r="R57" i="39" s="1"/>
  <c r="K57" i="39"/>
  <c r="H57" i="39"/>
  <c r="R56" i="39" a="1"/>
  <c r="R56" i="39" s="1"/>
  <c r="K56" i="39"/>
  <c r="H56" i="39"/>
  <c r="R55" i="39" a="1"/>
  <c r="R55" i="39" s="1"/>
  <c r="K55" i="39"/>
  <c r="H55" i="39"/>
  <c r="R54" i="39" a="1"/>
  <c r="R54" i="39" s="1"/>
  <c r="K54" i="39"/>
  <c r="H54" i="39"/>
  <c r="R53" i="39" a="1"/>
  <c r="R53" i="39" s="1"/>
  <c r="K53" i="39"/>
  <c r="H53" i="39"/>
  <c r="R52" i="39" a="1"/>
  <c r="R52" i="39" s="1"/>
  <c r="K52" i="39"/>
  <c r="H52" i="39"/>
  <c r="R51" i="39" a="1"/>
  <c r="R51" i="39" s="1"/>
  <c r="K51" i="39"/>
  <c r="H51" i="39"/>
  <c r="R50" i="39" a="1"/>
  <c r="R50" i="39" s="1"/>
  <c r="K50" i="39"/>
  <c r="H50" i="39"/>
  <c r="R49" i="39" a="1"/>
  <c r="R49" i="39" s="1"/>
  <c r="K49" i="39"/>
  <c r="H49" i="39"/>
  <c r="R48" i="39" a="1"/>
  <c r="R48" i="39" s="1"/>
  <c r="K48" i="39"/>
  <c r="H48" i="39"/>
  <c r="R47" i="39" a="1"/>
  <c r="R47" i="39" s="1"/>
  <c r="K47" i="39"/>
  <c r="H47" i="39"/>
  <c r="R46" i="39" a="1"/>
  <c r="R46" i="39" s="1"/>
  <c r="K46" i="39"/>
  <c r="H46" i="39"/>
  <c r="X45" i="39"/>
  <c r="R45" i="39" a="1"/>
  <c r="R45" i="39" s="1"/>
  <c r="K45" i="39"/>
  <c r="H45" i="39"/>
  <c r="X44" i="39"/>
  <c r="R44" i="39" a="1"/>
  <c r="R44" i="39" s="1"/>
  <c r="K44" i="39"/>
  <c r="H44" i="39"/>
  <c r="R43" i="39" a="1"/>
  <c r="R43" i="39" s="1"/>
  <c r="K43" i="39"/>
  <c r="H43" i="39"/>
  <c r="R42" i="39" a="1"/>
  <c r="R42" i="39" s="1"/>
  <c r="K42" i="39"/>
  <c r="H42" i="39"/>
  <c r="R41" i="39" a="1"/>
  <c r="R41" i="39" s="1"/>
  <c r="K41" i="39"/>
  <c r="H41" i="39"/>
  <c r="R40" i="39" a="1"/>
  <c r="R40" i="39" s="1"/>
  <c r="K40" i="39"/>
  <c r="H40" i="39"/>
  <c r="R39" i="39" a="1"/>
  <c r="R39" i="39" s="1"/>
  <c r="K39" i="39"/>
  <c r="H39" i="39"/>
  <c r="R38" i="39" a="1"/>
  <c r="R38" i="39" s="1"/>
  <c r="K38" i="39"/>
  <c r="H38" i="39"/>
  <c r="R37" i="39" a="1"/>
  <c r="R37" i="39" s="1"/>
  <c r="K37" i="39"/>
  <c r="H37" i="39"/>
  <c r="R36" i="39" a="1"/>
  <c r="R36" i="39" s="1"/>
  <c r="K36" i="39"/>
  <c r="H36" i="39"/>
  <c r="R35" i="39" a="1"/>
  <c r="R35" i="39" s="1"/>
  <c r="K35" i="39"/>
  <c r="H35" i="39"/>
  <c r="X34" i="39"/>
  <c r="R34" i="39" a="1"/>
  <c r="R34" i="39" s="1"/>
  <c r="K34" i="39"/>
  <c r="H34" i="39"/>
  <c r="X33" i="39"/>
  <c r="R33" i="39" a="1"/>
  <c r="R33" i="39" s="1"/>
  <c r="K33" i="39"/>
  <c r="H33" i="39"/>
  <c r="R32" i="39" a="1"/>
  <c r="R32" i="39" s="1"/>
  <c r="K32" i="39"/>
  <c r="H32" i="39"/>
  <c r="R31" i="39" a="1"/>
  <c r="R31" i="39" s="1"/>
  <c r="K31" i="39"/>
  <c r="H31" i="39"/>
  <c r="X30" i="39"/>
  <c r="R30" i="39" a="1"/>
  <c r="R30" i="39" s="1"/>
  <c r="K30" i="39"/>
  <c r="H30" i="39"/>
  <c r="X29" i="39"/>
  <c r="R29" i="39" a="1"/>
  <c r="R29" i="39" s="1"/>
  <c r="K29" i="39"/>
  <c r="H29" i="39"/>
  <c r="R28" i="39" a="1"/>
  <c r="R28" i="39" s="1"/>
  <c r="K28" i="39"/>
  <c r="H28" i="39"/>
  <c r="X27" i="39"/>
  <c r="R27" i="39" a="1"/>
  <c r="R27" i="39" s="1"/>
  <c r="K27" i="39"/>
  <c r="H27" i="39"/>
  <c r="X26" i="39"/>
  <c r="R26" i="39" a="1"/>
  <c r="R26" i="39" s="1"/>
  <c r="K26" i="39"/>
  <c r="H26" i="39"/>
  <c r="R25" i="39" a="1"/>
  <c r="R25" i="39" s="1"/>
  <c r="K25" i="39"/>
  <c r="H25" i="39"/>
  <c r="R24" i="39" a="1"/>
  <c r="R24" i="39" s="1"/>
  <c r="K24" i="39"/>
  <c r="H24" i="39"/>
  <c r="R23" i="39" a="1"/>
  <c r="R23" i="39" s="1"/>
  <c r="K23" i="39"/>
  <c r="H23" i="39"/>
  <c r="X22" i="39"/>
  <c r="R22" i="39" a="1"/>
  <c r="R22" i="39" s="1"/>
  <c r="K22" i="39"/>
  <c r="H22" i="39"/>
  <c r="X21" i="39"/>
  <c r="R21" i="39" a="1"/>
  <c r="R21" i="39" s="1"/>
  <c r="K21" i="39"/>
  <c r="H21" i="39"/>
  <c r="R20" i="39" a="1"/>
  <c r="R20" i="39" s="1"/>
  <c r="K20" i="39"/>
  <c r="H20" i="39"/>
  <c r="R19" i="39" a="1"/>
  <c r="R19" i="39" s="1"/>
  <c r="K19" i="39"/>
  <c r="H19" i="39"/>
  <c r="R18" i="39" a="1"/>
  <c r="R18" i="39" s="1"/>
  <c r="K18" i="39"/>
  <c r="H18" i="39"/>
  <c r="R17" i="39" a="1"/>
  <c r="R17" i="39" s="1"/>
  <c r="K17" i="39"/>
  <c r="H17" i="39"/>
  <c r="R16" i="39" a="1"/>
  <c r="R16" i="39" s="1"/>
  <c r="K16" i="39"/>
  <c r="H16" i="39"/>
  <c r="R15" i="39" a="1"/>
  <c r="R15" i="39" s="1"/>
  <c r="K15" i="39"/>
  <c r="H15" i="39"/>
  <c r="X14" i="39"/>
  <c r="R14" i="39" a="1"/>
  <c r="R14" i="39" s="1"/>
  <c r="K14" i="39"/>
  <c r="H14" i="39"/>
  <c r="X13" i="39"/>
  <c r="R13" i="39" a="1"/>
  <c r="R13" i="39" s="1"/>
  <c r="K13" i="39"/>
  <c r="H13" i="39"/>
  <c r="R12" i="39" a="1"/>
  <c r="R12" i="39" s="1"/>
  <c r="K12" i="39"/>
  <c r="H12" i="39"/>
  <c r="X11" i="39"/>
  <c r="R11" i="39" a="1"/>
  <c r="R11" i="39" s="1"/>
  <c r="K11" i="39"/>
  <c r="H11" i="39"/>
  <c r="X10" i="39"/>
  <c r="R10" i="39" a="1"/>
  <c r="R10" i="39" s="1"/>
  <c r="K10" i="39"/>
  <c r="H10" i="39"/>
  <c r="R9" i="39" a="1"/>
  <c r="R9" i="39" s="1"/>
  <c r="K9" i="39"/>
  <c r="H9" i="39"/>
  <c r="R8" i="39" a="1"/>
  <c r="R8" i="39" s="1"/>
  <c r="K8" i="39"/>
  <c r="H8" i="39"/>
  <c r="X7" i="39"/>
  <c r="M119" i="39" s="1"/>
  <c r="R7" i="39" a="1"/>
  <c r="R7" i="39" s="1"/>
  <c r="K7" i="39"/>
  <c r="H7" i="39"/>
  <c r="X6" i="39"/>
  <c r="J116" i="39" s="1"/>
  <c r="R6" i="39" a="1"/>
  <c r="R6" i="39" s="1"/>
  <c r="K6" i="39"/>
  <c r="H6" i="39"/>
  <c r="R5" i="39" a="1"/>
  <c r="R5" i="39" s="1"/>
  <c r="K5" i="39"/>
  <c r="H5" i="39"/>
  <c r="R4" i="39" a="1"/>
  <c r="R4" i="39" s="1"/>
  <c r="K4" i="39"/>
  <c r="H4" i="39"/>
  <c r="R3" i="39" a="1"/>
  <c r="R3" i="39" s="1"/>
  <c r="K3" i="39"/>
  <c r="H3" i="39"/>
  <c r="R2" i="39" a="1"/>
  <c r="R2" i="39" s="1"/>
  <c r="H2" i="39"/>
  <c r="K42" i="36"/>
  <c r="K41" i="36"/>
  <c r="K39" i="36"/>
  <c r="K38" i="36"/>
  <c r="L35" i="36"/>
  <c r="K34" i="36"/>
  <c r="F3" i="36"/>
  <c r="F4" i="36"/>
  <c r="F5" i="36"/>
  <c r="F6" i="36"/>
  <c r="F7" i="36"/>
  <c r="F8" i="36"/>
  <c r="F9" i="36"/>
  <c r="F10" i="36"/>
  <c r="F11" i="36"/>
  <c r="F12" i="36"/>
  <c r="F13" i="36"/>
  <c r="F14" i="36"/>
  <c r="F15" i="36"/>
  <c r="F16" i="36"/>
  <c r="F17" i="36"/>
  <c r="F18" i="36"/>
  <c r="F19" i="36"/>
  <c r="F20" i="36"/>
  <c r="F21" i="36"/>
  <c r="F22" i="36"/>
  <c r="F23" i="36"/>
  <c r="F24" i="36"/>
  <c r="F25" i="36"/>
  <c r="F26" i="36"/>
  <c r="F27" i="36"/>
  <c r="F28" i="36"/>
  <c r="F29" i="36"/>
  <c r="F30" i="36"/>
  <c r="F31" i="36"/>
  <c r="F32" i="36"/>
  <c r="F33" i="36"/>
  <c r="F34" i="36"/>
  <c r="F35" i="36"/>
  <c r="F36" i="36"/>
  <c r="F37" i="36"/>
  <c r="F38" i="36"/>
  <c r="F39" i="36"/>
  <c r="F40" i="36"/>
  <c r="F41" i="36"/>
  <c r="F42" i="36"/>
  <c r="F43" i="36"/>
  <c r="F44" i="36"/>
  <c r="F45" i="36"/>
  <c r="F46" i="36"/>
  <c r="F47" i="36"/>
  <c r="F48" i="36"/>
  <c r="F49" i="36"/>
  <c r="F50" i="36"/>
  <c r="F51" i="36"/>
  <c r="F52" i="36"/>
  <c r="F53" i="36"/>
  <c r="F54" i="36"/>
  <c r="F55" i="36"/>
  <c r="F56" i="36"/>
  <c r="F57" i="36"/>
  <c r="F58" i="36"/>
  <c r="F59" i="36"/>
  <c r="F60" i="36"/>
  <c r="F61" i="36"/>
  <c r="F62" i="36"/>
  <c r="F63" i="36"/>
  <c r="F64" i="36"/>
  <c r="F65" i="36"/>
  <c r="F66" i="36"/>
  <c r="F67" i="36"/>
  <c r="F68" i="36"/>
  <c r="F69" i="36"/>
  <c r="F70" i="36"/>
  <c r="F71" i="36"/>
  <c r="F72" i="36"/>
  <c r="F73" i="36"/>
  <c r="F74" i="36"/>
  <c r="F75" i="36"/>
  <c r="F76" i="36"/>
  <c r="F77" i="36"/>
  <c r="F78" i="36"/>
  <c r="F79" i="36"/>
  <c r="F80" i="36"/>
  <c r="F81" i="36"/>
  <c r="F82" i="36"/>
  <c r="F83" i="36"/>
  <c r="F84" i="36"/>
  <c r="F85" i="36"/>
  <c r="F86" i="36"/>
  <c r="F87" i="36"/>
  <c r="F88" i="36"/>
  <c r="F89" i="36"/>
  <c r="F90" i="36"/>
  <c r="F91" i="36"/>
  <c r="F92" i="36"/>
  <c r="F93" i="36"/>
  <c r="F94" i="36"/>
  <c r="F95" i="36"/>
  <c r="F96" i="36"/>
  <c r="F97" i="36"/>
  <c r="F98" i="36"/>
  <c r="F99" i="36"/>
  <c r="F100" i="36"/>
  <c r="F101" i="36"/>
  <c r="F102" i="36"/>
  <c r="F103" i="36"/>
  <c r="F104" i="36"/>
  <c r="F105" i="36"/>
  <c r="F106" i="36"/>
  <c r="F107" i="36"/>
  <c r="F108" i="36"/>
  <c r="F109" i="36"/>
  <c r="F110" i="36"/>
  <c r="F111" i="36"/>
  <c r="F112" i="36"/>
  <c r="F113" i="36"/>
  <c r="F114" i="36"/>
  <c r="F115" i="36"/>
  <c r="F116" i="36"/>
  <c r="F117" i="36"/>
  <c r="F118" i="36"/>
  <c r="F119" i="36"/>
  <c r="F120" i="36"/>
  <c r="F121" i="36"/>
  <c r="F122" i="36"/>
  <c r="F123" i="36"/>
  <c r="F124" i="36"/>
  <c r="F125" i="36"/>
  <c r="F126" i="36"/>
  <c r="F127" i="36"/>
  <c r="F128" i="36"/>
  <c r="F2" i="36"/>
  <c r="E3" i="36"/>
  <c r="E4" i="36"/>
  <c r="E5" i="36"/>
  <c r="E6" i="36"/>
  <c r="E7" i="36"/>
  <c r="E8" i="36"/>
  <c r="E9" i="36"/>
  <c r="E10" i="36"/>
  <c r="E11" i="36"/>
  <c r="E12" i="36"/>
  <c r="E13" i="36"/>
  <c r="E14" i="36"/>
  <c r="E15" i="36"/>
  <c r="E16" i="36"/>
  <c r="E17" i="36"/>
  <c r="E18" i="36"/>
  <c r="E19" i="36"/>
  <c r="E20" i="36"/>
  <c r="E21" i="36"/>
  <c r="E22" i="36"/>
  <c r="E23" i="36"/>
  <c r="E24" i="36"/>
  <c r="E25" i="36"/>
  <c r="E26" i="36"/>
  <c r="E27" i="36"/>
  <c r="E28" i="36"/>
  <c r="E29" i="36"/>
  <c r="E30" i="36"/>
  <c r="E31" i="36"/>
  <c r="E32" i="36"/>
  <c r="E33" i="36"/>
  <c r="E34" i="36"/>
  <c r="E35" i="36"/>
  <c r="E36" i="36"/>
  <c r="E37" i="36"/>
  <c r="E38" i="36"/>
  <c r="E39" i="36"/>
  <c r="E40" i="36"/>
  <c r="E41" i="36"/>
  <c r="E42" i="36"/>
  <c r="E43" i="36"/>
  <c r="E44" i="36"/>
  <c r="E45" i="36"/>
  <c r="E46" i="36"/>
  <c r="E47" i="36"/>
  <c r="E48" i="36"/>
  <c r="E49" i="36"/>
  <c r="E50" i="36"/>
  <c r="E51" i="36"/>
  <c r="E52" i="36"/>
  <c r="E53" i="36"/>
  <c r="E54" i="36"/>
  <c r="E55" i="36"/>
  <c r="E56" i="36"/>
  <c r="E57" i="36"/>
  <c r="E58" i="36"/>
  <c r="E59" i="36"/>
  <c r="E60" i="36"/>
  <c r="E61" i="36"/>
  <c r="E62" i="36"/>
  <c r="E63" i="36"/>
  <c r="E64" i="36"/>
  <c r="E65" i="36"/>
  <c r="E66" i="36"/>
  <c r="E67" i="36"/>
  <c r="E68" i="36"/>
  <c r="E69" i="36"/>
  <c r="E70" i="36"/>
  <c r="E71" i="36"/>
  <c r="E72" i="36"/>
  <c r="E73" i="36"/>
  <c r="E74" i="36"/>
  <c r="E75" i="36"/>
  <c r="E76" i="36"/>
  <c r="E77" i="36"/>
  <c r="E78" i="36"/>
  <c r="E79" i="36"/>
  <c r="E80" i="36"/>
  <c r="E81" i="36"/>
  <c r="E82" i="36"/>
  <c r="E83" i="36"/>
  <c r="E84" i="36"/>
  <c r="E85" i="36"/>
  <c r="E86" i="36"/>
  <c r="E87" i="36"/>
  <c r="E88" i="36"/>
  <c r="E89" i="36"/>
  <c r="E90" i="36"/>
  <c r="E91" i="36"/>
  <c r="E92" i="36"/>
  <c r="E93" i="36"/>
  <c r="E94" i="36"/>
  <c r="E95" i="36"/>
  <c r="E96" i="36"/>
  <c r="E97" i="36"/>
  <c r="E98" i="36"/>
  <c r="E99" i="36"/>
  <c r="E100" i="36"/>
  <c r="E101" i="36"/>
  <c r="E102" i="36"/>
  <c r="E103" i="36"/>
  <c r="E104" i="36"/>
  <c r="E105" i="36"/>
  <c r="E106" i="36"/>
  <c r="E107" i="36"/>
  <c r="E108" i="36"/>
  <c r="E109" i="36"/>
  <c r="E110" i="36"/>
  <c r="E111" i="36"/>
  <c r="E112" i="36"/>
  <c r="E113" i="36"/>
  <c r="E114" i="36"/>
  <c r="E115" i="36"/>
  <c r="E116" i="36"/>
  <c r="E117" i="36"/>
  <c r="E118" i="36"/>
  <c r="E119" i="36"/>
  <c r="E120" i="36"/>
  <c r="E121" i="36"/>
  <c r="E122" i="36"/>
  <c r="E123" i="36"/>
  <c r="E124" i="36"/>
  <c r="E125" i="36"/>
  <c r="E126" i="36"/>
  <c r="E127" i="36"/>
  <c r="E128" i="36"/>
  <c r="E2" i="36"/>
  <c r="J27" i="36"/>
  <c r="J26" i="36"/>
  <c r="J16" i="36"/>
  <c r="J15" i="36"/>
  <c r="J12" i="36"/>
  <c r="J11" i="36"/>
  <c r="J9" i="36"/>
  <c r="J8" i="36"/>
  <c r="J4" i="36"/>
  <c r="J3" i="36"/>
  <c r="R59" i="34" a="1"/>
  <c r="R59" i="34" s="1"/>
  <c r="R2" i="34" a="1"/>
  <c r="R2" i="34" s="1"/>
  <c r="R3" i="34" a="1"/>
  <c r="R3" i="34" s="1"/>
  <c r="R4" i="34" a="1"/>
  <c r="R4" i="34" s="1"/>
  <c r="R5" i="34" a="1"/>
  <c r="R5" i="34" s="1"/>
  <c r="R6" i="34" a="1"/>
  <c r="R6" i="34" s="1"/>
  <c r="R7" i="34" a="1"/>
  <c r="R7" i="34" s="1"/>
  <c r="R8" i="34" a="1"/>
  <c r="R8" i="34" s="1"/>
  <c r="R9" i="34" a="1"/>
  <c r="R9" i="34" s="1"/>
  <c r="R10" i="34" a="1"/>
  <c r="R10" i="34" s="1"/>
  <c r="R11" i="34" a="1"/>
  <c r="R11" i="34" s="1"/>
  <c r="R12" i="34" a="1"/>
  <c r="R12" i="34" s="1"/>
  <c r="R13" i="34" a="1"/>
  <c r="R13" i="34" s="1"/>
  <c r="R14" i="34" a="1"/>
  <c r="R14" i="34" s="1"/>
  <c r="R15" i="34" a="1"/>
  <c r="R15" i="34" s="1"/>
  <c r="R16" i="34" a="1"/>
  <c r="R16" i="34" s="1"/>
  <c r="R17" i="34" a="1"/>
  <c r="R17" i="34" s="1"/>
  <c r="R18" i="34" a="1"/>
  <c r="R18" i="34" s="1"/>
  <c r="R19" i="34" a="1"/>
  <c r="R19" i="34" s="1"/>
  <c r="R20" i="34" a="1"/>
  <c r="R20" i="34" s="1"/>
  <c r="R21" i="34" a="1"/>
  <c r="R21" i="34" s="1"/>
  <c r="R22" i="34" a="1"/>
  <c r="R22" i="34" s="1"/>
  <c r="R23" i="34" a="1"/>
  <c r="R23" i="34" s="1"/>
  <c r="R24" i="34" a="1"/>
  <c r="R24" i="34" s="1"/>
  <c r="R25" i="34" a="1"/>
  <c r="R25" i="34" s="1"/>
  <c r="R26" i="34" a="1"/>
  <c r="R26" i="34" s="1"/>
  <c r="R27" i="34" a="1"/>
  <c r="R27" i="34" s="1"/>
  <c r="R28" i="34" a="1"/>
  <c r="R28" i="34" s="1"/>
  <c r="R29" i="34" a="1"/>
  <c r="R29" i="34" s="1"/>
  <c r="R30" i="34" a="1"/>
  <c r="R30" i="34" s="1"/>
  <c r="R31" i="34" a="1"/>
  <c r="R31" i="34" s="1"/>
  <c r="R32" i="34" a="1"/>
  <c r="R32" i="34" s="1"/>
  <c r="R33" i="34" a="1"/>
  <c r="R33" i="34" s="1"/>
  <c r="R34" i="34" a="1"/>
  <c r="R34" i="34" s="1"/>
  <c r="R35" i="34" a="1"/>
  <c r="R35" i="34" s="1"/>
  <c r="R36" i="34" a="1"/>
  <c r="R36" i="34" s="1"/>
  <c r="R37" i="34" a="1"/>
  <c r="R37" i="34" s="1"/>
  <c r="R38" i="34" a="1"/>
  <c r="R38" i="34" s="1"/>
  <c r="R39" i="34" a="1"/>
  <c r="R39" i="34" s="1"/>
  <c r="R40" i="34" a="1"/>
  <c r="R40" i="34" s="1"/>
  <c r="R41" i="34" a="1"/>
  <c r="R41" i="34" s="1"/>
  <c r="R42" i="34" a="1"/>
  <c r="R42" i="34" s="1"/>
  <c r="R43" i="34" a="1"/>
  <c r="R43" i="34" s="1"/>
  <c r="R44" i="34" a="1"/>
  <c r="R44" i="34" s="1"/>
  <c r="R45" i="34" a="1"/>
  <c r="R45" i="34" s="1"/>
  <c r="R46" i="34" a="1"/>
  <c r="R46" i="34" s="1"/>
  <c r="R47" i="34" a="1"/>
  <c r="R47" i="34" s="1"/>
  <c r="R48" i="34" a="1"/>
  <c r="R48" i="34" s="1"/>
  <c r="R49" i="34" a="1"/>
  <c r="R49" i="34" s="1"/>
  <c r="R50" i="34" a="1"/>
  <c r="R50" i="34" s="1"/>
  <c r="R51" i="34" a="1"/>
  <c r="R51" i="34" s="1"/>
  <c r="R52" i="34" a="1"/>
  <c r="R52" i="34" s="1"/>
  <c r="R53" i="34" a="1"/>
  <c r="R53" i="34" s="1"/>
  <c r="R54" i="34" a="1"/>
  <c r="R54" i="34" s="1"/>
  <c r="R55" i="34" a="1"/>
  <c r="R55" i="34" s="1"/>
  <c r="R56" i="34" a="1"/>
  <c r="R56" i="34" s="1"/>
  <c r="R57" i="34" a="1"/>
  <c r="R57" i="34" s="1"/>
  <c r="R58" i="34" a="1"/>
  <c r="R58" i="34" s="1"/>
  <c r="R60" i="34" a="1"/>
  <c r="R60" i="34" s="1"/>
  <c r="R61" i="34" a="1"/>
  <c r="R61" i="34" s="1"/>
  <c r="R62" i="34" a="1"/>
  <c r="R62" i="34" s="1"/>
  <c r="R63" i="34" a="1"/>
  <c r="R63" i="34" s="1"/>
  <c r="R64" i="34" a="1"/>
  <c r="R64" i="34" s="1"/>
  <c r="R65" i="34" a="1"/>
  <c r="R65" i="34" s="1"/>
  <c r="R66" i="34" a="1"/>
  <c r="R66" i="34" s="1"/>
  <c r="R67" i="34" a="1"/>
  <c r="R67" i="34" s="1"/>
  <c r="R68" i="34" a="1"/>
  <c r="R68" i="34" s="1"/>
  <c r="R69" i="34" a="1"/>
  <c r="R69" i="34" s="1"/>
  <c r="R70" i="34" a="1"/>
  <c r="R70" i="34" s="1"/>
  <c r="R71" i="34" a="1"/>
  <c r="R71" i="34" s="1"/>
  <c r="R72" i="34" a="1"/>
  <c r="R72" i="34" s="1"/>
  <c r="R73" i="34" a="1"/>
  <c r="R73" i="34" s="1"/>
  <c r="R74" i="34" a="1"/>
  <c r="R74" i="34" s="1"/>
  <c r="R75" i="34" a="1"/>
  <c r="R75" i="34" s="1"/>
  <c r="R76" i="34" a="1"/>
  <c r="R76" i="34" s="1"/>
  <c r="R77" i="34" a="1"/>
  <c r="R77" i="34" s="1"/>
  <c r="R78" i="34" a="1"/>
  <c r="R78" i="34" s="1"/>
  <c r="R79" i="34" a="1"/>
  <c r="R79" i="34" s="1"/>
  <c r="R80" i="34" a="1"/>
  <c r="R80" i="34" s="1"/>
  <c r="R81" i="34" a="1"/>
  <c r="R81" i="34" s="1"/>
  <c r="R82" i="34" a="1"/>
  <c r="R82" i="34" s="1"/>
  <c r="R83" i="34" a="1"/>
  <c r="R83" i="34" s="1"/>
  <c r="R84" i="34" a="1"/>
  <c r="R84" i="34" s="1"/>
  <c r="R85" i="34" a="1"/>
  <c r="R85" i="34" s="1"/>
  <c r="R86" i="34" a="1"/>
  <c r="R86" i="34" s="1"/>
  <c r="R87" i="34" a="1"/>
  <c r="R87" i="34" s="1"/>
  <c r="R88" i="34" a="1"/>
  <c r="R88" i="34" s="1"/>
  <c r="R89" i="34" a="1"/>
  <c r="R89" i="34" s="1"/>
  <c r="R90" i="34" a="1"/>
  <c r="R90" i="34" s="1"/>
  <c r="R91" i="34" a="1"/>
  <c r="R91" i="34" s="1"/>
  <c r="R92" i="34" a="1"/>
  <c r="R92" i="34" s="1"/>
  <c r="R93" i="34" a="1"/>
  <c r="R93" i="34" s="1"/>
  <c r="R94" i="34" a="1"/>
  <c r="R94" i="34" s="1"/>
  <c r="R95" i="34" a="1"/>
  <c r="R95" i="34" s="1"/>
  <c r="R96" i="34" a="1"/>
  <c r="R96" i="34" s="1"/>
  <c r="R97" i="34" a="1"/>
  <c r="R97" i="34" s="1"/>
  <c r="R98" i="34" a="1"/>
  <c r="R98" i="34" s="1"/>
  <c r="R99" i="34" a="1"/>
  <c r="R99" i="34" s="1"/>
  <c r="R100" i="34" a="1"/>
  <c r="R100" i="34" s="1"/>
  <c r="R101" i="34" a="1"/>
  <c r="R101" i="34" s="1"/>
  <c r="R102" i="34" a="1"/>
  <c r="R102" i="34" s="1"/>
  <c r="R103" i="34" a="1"/>
  <c r="R103" i="34" s="1"/>
  <c r="R104" i="34" a="1"/>
  <c r="R104" i="34" s="1"/>
  <c r="R105" i="34" a="1"/>
  <c r="R105" i="34" s="1"/>
  <c r="R106" i="34" a="1"/>
  <c r="R106" i="34" s="1"/>
  <c r="R107" i="34" a="1"/>
  <c r="R107" i="34" s="1"/>
  <c r="R108" i="34" a="1"/>
  <c r="R108" i="34" s="1"/>
  <c r="R109" i="34" a="1"/>
  <c r="R109" i="34" s="1"/>
  <c r="R110" i="34" a="1"/>
  <c r="R110" i="34" s="1"/>
  <c r="R111" i="34" a="1"/>
  <c r="R111" i="34" s="1"/>
  <c r="R112" i="34" a="1"/>
  <c r="R112" i="34" s="1"/>
  <c r="R113" i="34" a="1"/>
  <c r="R113" i="34" s="1"/>
  <c r="R114" i="34" a="1"/>
  <c r="R114" i="34" s="1"/>
  <c r="R115" i="34" a="1"/>
  <c r="R115" i="34" s="1"/>
  <c r="R116" i="34" a="1"/>
  <c r="R116" i="34" s="1"/>
  <c r="R117" i="34" a="1"/>
  <c r="R117" i="34" s="1"/>
  <c r="R118" i="34" a="1"/>
  <c r="R118" i="34" s="1"/>
  <c r="R119" i="34" a="1"/>
  <c r="R119" i="34" s="1"/>
  <c r="R120" i="34" a="1"/>
  <c r="R120" i="34" s="1"/>
  <c r="R121" i="34" a="1"/>
  <c r="R121" i="34" s="1"/>
  <c r="R122" i="34" a="1"/>
  <c r="R122" i="34" s="1"/>
  <c r="R123" i="34" a="1"/>
  <c r="R123" i="34" s="1"/>
  <c r="R124" i="34" a="1"/>
  <c r="R124" i="34" s="1"/>
  <c r="R125" i="34" a="1"/>
  <c r="R125" i="34" s="1"/>
  <c r="R126" i="34" a="1"/>
  <c r="R126" i="34" s="1"/>
  <c r="R127" i="34" a="1"/>
  <c r="R127" i="34" s="1"/>
  <c r="R128" i="34" a="1"/>
  <c r="R128" i="34" s="1"/>
  <c r="F3" i="35" a="1"/>
  <c r="F3" i="35" s="1"/>
  <c r="G3" i="35" a="1"/>
  <c r="G3" i="35" s="1"/>
  <c r="H3" i="35" a="1"/>
  <c r="H3" i="35" s="1"/>
  <c r="I3" i="35" a="1"/>
  <c r="I3" i="35" s="1"/>
  <c r="J3" i="35" a="1"/>
  <c r="J3" i="35" s="1"/>
  <c r="K3" i="35" a="1"/>
  <c r="K3" i="35" s="1"/>
  <c r="L3" i="35" a="1"/>
  <c r="L3" i="35" s="1"/>
  <c r="M3" i="35" a="1"/>
  <c r="M3" i="35" s="1"/>
  <c r="N3" i="35" a="1"/>
  <c r="N3" i="35" s="1"/>
  <c r="O3" i="35" a="1"/>
  <c r="O3" i="35" s="1"/>
  <c r="P3" i="35" a="1"/>
  <c r="P3" i="35" s="1"/>
  <c r="Q3" i="35" a="1"/>
  <c r="Q3" i="35" s="1"/>
  <c r="R3" i="35" a="1"/>
  <c r="R3" i="35" s="1"/>
  <c r="S3" i="35" a="1"/>
  <c r="S3" i="35" s="1"/>
  <c r="T3" i="35" a="1"/>
  <c r="T3" i="35" s="1"/>
  <c r="F4" i="35" a="1"/>
  <c r="F4" i="35" s="1"/>
  <c r="G4" i="35" a="1"/>
  <c r="G4" i="35" s="1"/>
  <c r="H4" i="35" a="1"/>
  <c r="H4" i="35" s="1"/>
  <c r="I4" i="35" a="1"/>
  <c r="I4" i="35" s="1"/>
  <c r="J4" i="35" a="1"/>
  <c r="J4" i="35" s="1"/>
  <c r="K4" i="35" a="1"/>
  <c r="K4" i="35" s="1"/>
  <c r="L4" i="35" a="1"/>
  <c r="L4" i="35" s="1"/>
  <c r="M4" i="35" a="1"/>
  <c r="M4" i="35" s="1"/>
  <c r="N4" i="35" a="1"/>
  <c r="N4" i="35" s="1"/>
  <c r="O4" i="35" a="1"/>
  <c r="O4" i="35" s="1"/>
  <c r="P4" i="35" a="1"/>
  <c r="P4" i="35" s="1"/>
  <c r="Q4" i="35" a="1"/>
  <c r="Q4" i="35" s="1"/>
  <c r="R4" i="35" a="1"/>
  <c r="R4" i="35" s="1"/>
  <c r="S4" i="35" a="1"/>
  <c r="S4" i="35" s="1"/>
  <c r="T4" i="35" a="1"/>
  <c r="T4" i="35" s="1"/>
  <c r="F5" i="35" a="1"/>
  <c r="F5" i="35" s="1"/>
  <c r="G5" i="35" a="1"/>
  <c r="G5" i="35" s="1"/>
  <c r="H5" i="35" a="1"/>
  <c r="H5" i="35" s="1"/>
  <c r="I5" i="35" a="1"/>
  <c r="I5" i="35" s="1"/>
  <c r="J5" i="35" a="1"/>
  <c r="J5" i="35" s="1"/>
  <c r="K5" i="35" a="1"/>
  <c r="K5" i="35" s="1"/>
  <c r="L5" i="35" a="1"/>
  <c r="L5" i="35" s="1"/>
  <c r="M5" i="35" a="1"/>
  <c r="M5" i="35" s="1"/>
  <c r="N5" i="35" a="1"/>
  <c r="N5" i="35" s="1"/>
  <c r="O5" i="35" a="1"/>
  <c r="O5" i="35" s="1"/>
  <c r="P5" i="35" a="1"/>
  <c r="P5" i="35" s="1"/>
  <c r="Q5" i="35" a="1"/>
  <c r="Q5" i="35" s="1"/>
  <c r="R5" i="35" a="1"/>
  <c r="R5" i="35" s="1"/>
  <c r="S5" i="35" a="1"/>
  <c r="S5" i="35" s="1"/>
  <c r="T5" i="35" a="1"/>
  <c r="T5" i="35" s="1"/>
  <c r="F6" i="35" a="1"/>
  <c r="F6" i="35" s="1"/>
  <c r="G6" i="35" a="1"/>
  <c r="G6" i="35" s="1"/>
  <c r="H6" i="35" a="1"/>
  <c r="H6" i="35" s="1"/>
  <c r="I6" i="35" a="1"/>
  <c r="I6" i="35" s="1"/>
  <c r="J6" i="35" a="1"/>
  <c r="J6" i="35" s="1"/>
  <c r="K6" i="35" a="1"/>
  <c r="K6" i="35" s="1"/>
  <c r="L6" i="35" a="1"/>
  <c r="L6" i="35" s="1"/>
  <c r="M6" i="35" a="1"/>
  <c r="M6" i="35" s="1"/>
  <c r="N6" i="35" a="1"/>
  <c r="N6" i="35" s="1"/>
  <c r="O6" i="35" a="1"/>
  <c r="O6" i="35" s="1"/>
  <c r="P6" i="35" a="1"/>
  <c r="P6" i="35" s="1"/>
  <c r="Q6" i="35" a="1"/>
  <c r="Q6" i="35" s="1"/>
  <c r="R6" i="35" a="1"/>
  <c r="R6" i="35" s="1"/>
  <c r="S6" i="35" a="1"/>
  <c r="S6" i="35" s="1"/>
  <c r="T6" i="35" a="1"/>
  <c r="T6" i="35" s="1"/>
  <c r="F7" i="35" a="1"/>
  <c r="F7" i="35" s="1"/>
  <c r="G7" i="35" a="1"/>
  <c r="G7" i="35" s="1"/>
  <c r="H7" i="35" a="1"/>
  <c r="H7" i="35" s="1"/>
  <c r="I7" i="35" a="1"/>
  <c r="I7" i="35" s="1"/>
  <c r="J7" i="35" a="1"/>
  <c r="J7" i="35" s="1"/>
  <c r="K7" i="35" a="1"/>
  <c r="K7" i="35" s="1"/>
  <c r="L7" i="35" a="1"/>
  <c r="L7" i="35" s="1"/>
  <c r="M7" i="35" a="1"/>
  <c r="M7" i="35" s="1"/>
  <c r="N7" i="35" a="1"/>
  <c r="N7" i="35" s="1"/>
  <c r="O7" i="35" a="1"/>
  <c r="O7" i="35" s="1"/>
  <c r="P7" i="35" a="1"/>
  <c r="P7" i="35" s="1"/>
  <c r="Q7" i="35" a="1"/>
  <c r="Q7" i="35" s="1"/>
  <c r="R7" i="35" a="1"/>
  <c r="R7" i="35" s="1"/>
  <c r="S7" i="35" a="1"/>
  <c r="S7" i="35" s="1"/>
  <c r="T7" i="35" a="1"/>
  <c r="T7" i="35" s="1"/>
  <c r="F8" i="35" a="1"/>
  <c r="F8" i="35" s="1"/>
  <c r="G8" i="35" a="1"/>
  <c r="G8" i="35" s="1"/>
  <c r="H8" i="35" a="1"/>
  <c r="H8" i="35" s="1"/>
  <c r="I8" i="35" a="1"/>
  <c r="I8" i="35" s="1"/>
  <c r="J8" i="35" a="1"/>
  <c r="J8" i="35" s="1"/>
  <c r="K8" i="35" a="1"/>
  <c r="K8" i="35" s="1"/>
  <c r="L8" i="35" a="1"/>
  <c r="L8" i="35" s="1"/>
  <c r="M8" i="35" a="1"/>
  <c r="M8" i="35" s="1"/>
  <c r="N8" i="35" a="1"/>
  <c r="N8" i="35" s="1"/>
  <c r="O8" i="35" a="1"/>
  <c r="O8" i="35" s="1"/>
  <c r="P8" i="35" a="1"/>
  <c r="P8" i="35" s="1"/>
  <c r="Q8" i="35" a="1"/>
  <c r="Q8" i="35" s="1"/>
  <c r="R8" i="35" a="1"/>
  <c r="R8" i="35" s="1"/>
  <c r="S8" i="35" a="1"/>
  <c r="S8" i="35" s="1"/>
  <c r="T8" i="35" a="1"/>
  <c r="T8" i="35" s="1"/>
  <c r="F9" i="35" a="1"/>
  <c r="F9" i="35" s="1"/>
  <c r="G9" i="35" a="1"/>
  <c r="G9" i="35" s="1"/>
  <c r="H9" i="35" a="1"/>
  <c r="H9" i="35" s="1"/>
  <c r="I9" i="35" a="1"/>
  <c r="I9" i="35" s="1"/>
  <c r="J9" i="35" a="1"/>
  <c r="J9" i="35" s="1"/>
  <c r="K9" i="35" a="1"/>
  <c r="K9" i="35" s="1"/>
  <c r="L9" i="35" a="1"/>
  <c r="L9" i="35" s="1"/>
  <c r="M9" i="35" a="1"/>
  <c r="M9" i="35" s="1"/>
  <c r="N9" i="35" a="1"/>
  <c r="N9" i="35" s="1"/>
  <c r="O9" i="35" a="1"/>
  <c r="O9" i="35" s="1"/>
  <c r="P9" i="35" a="1"/>
  <c r="P9" i="35" s="1"/>
  <c r="Q9" i="35" a="1"/>
  <c r="Q9" i="35" s="1"/>
  <c r="R9" i="35" a="1"/>
  <c r="R9" i="35" s="1"/>
  <c r="S9" i="35" a="1"/>
  <c r="S9" i="35" s="1"/>
  <c r="T9" i="35" a="1"/>
  <c r="T9" i="35" s="1"/>
  <c r="F10" i="35" a="1"/>
  <c r="F10" i="35" s="1"/>
  <c r="G10" i="35" a="1"/>
  <c r="G10" i="35" s="1"/>
  <c r="H10" i="35" a="1"/>
  <c r="H10" i="35" s="1"/>
  <c r="I10" i="35" a="1"/>
  <c r="I10" i="35" s="1"/>
  <c r="J10" i="35" a="1"/>
  <c r="J10" i="35" s="1"/>
  <c r="K10" i="35" a="1"/>
  <c r="K10" i="35" s="1"/>
  <c r="L10" i="35" a="1"/>
  <c r="L10" i="35" s="1"/>
  <c r="M10" i="35" a="1"/>
  <c r="M10" i="35" s="1"/>
  <c r="N10" i="35" a="1"/>
  <c r="N10" i="35" s="1"/>
  <c r="O10" i="35" a="1"/>
  <c r="O10" i="35" s="1"/>
  <c r="P10" i="35" a="1"/>
  <c r="P10" i="35" s="1"/>
  <c r="Q10" i="35" a="1"/>
  <c r="Q10" i="35" s="1"/>
  <c r="R10" i="35" a="1"/>
  <c r="R10" i="35" s="1"/>
  <c r="S10" i="35" a="1"/>
  <c r="S10" i="35" s="1"/>
  <c r="T10" i="35" a="1"/>
  <c r="T10" i="35" s="1"/>
  <c r="F11" i="35" a="1"/>
  <c r="F11" i="35" s="1"/>
  <c r="G11" i="35" a="1"/>
  <c r="G11" i="35" s="1"/>
  <c r="H11" i="35" a="1"/>
  <c r="H11" i="35" s="1"/>
  <c r="I11" i="35" a="1"/>
  <c r="I11" i="35" s="1"/>
  <c r="J11" i="35" a="1"/>
  <c r="J11" i="35" s="1"/>
  <c r="K11" i="35" a="1"/>
  <c r="K11" i="35" s="1"/>
  <c r="L11" i="35" a="1"/>
  <c r="L11" i="35" s="1"/>
  <c r="M11" i="35" a="1"/>
  <c r="M11" i="35" s="1"/>
  <c r="N11" i="35" a="1"/>
  <c r="N11" i="35" s="1"/>
  <c r="O11" i="35" a="1"/>
  <c r="O11" i="35" s="1"/>
  <c r="P11" i="35" a="1"/>
  <c r="P11" i="35" s="1"/>
  <c r="Q11" i="35" a="1"/>
  <c r="Q11" i="35" s="1"/>
  <c r="R11" i="35" a="1"/>
  <c r="R11" i="35" s="1"/>
  <c r="S11" i="35" a="1"/>
  <c r="S11" i="35" s="1"/>
  <c r="T11" i="35" a="1"/>
  <c r="T11" i="35" s="1"/>
  <c r="F12" i="35" a="1"/>
  <c r="F12" i="35" s="1"/>
  <c r="G12" i="35" a="1"/>
  <c r="G12" i="35" s="1"/>
  <c r="H12" i="35" a="1"/>
  <c r="H12" i="35" s="1"/>
  <c r="I12" i="35" a="1"/>
  <c r="I12" i="35" s="1"/>
  <c r="J12" i="35" a="1"/>
  <c r="J12" i="35" s="1"/>
  <c r="K12" i="35" a="1"/>
  <c r="K12" i="35" s="1"/>
  <c r="L12" i="35" a="1"/>
  <c r="L12" i="35" s="1"/>
  <c r="M12" i="35" a="1"/>
  <c r="M12" i="35" s="1"/>
  <c r="N12" i="35" a="1"/>
  <c r="N12" i="35" s="1"/>
  <c r="O12" i="35" a="1"/>
  <c r="O12" i="35" s="1"/>
  <c r="P12" i="35" a="1"/>
  <c r="P12" i="35" s="1"/>
  <c r="Q12" i="35" a="1"/>
  <c r="Q12" i="35" s="1"/>
  <c r="R12" i="35" a="1"/>
  <c r="R12" i="35" s="1"/>
  <c r="S12" i="35" a="1"/>
  <c r="S12" i="35" s="1"/>
  <c r="T12" i="35" a="1"/>
  <c r="T12" i="35" s="1"/>
  <c r="F13" i="35" a="1"/>
  <c r="F13" i="35" s="1"/>
  <c r="G13" i="35" a="1"/>
  <c r="G13" i="35" s="1"/>
  <c r="H13" i="35" a="1"/>
  <c r="H13" i="35" s="1"/>
  <c r="I13" i="35" a="1"/>
  <c r="I13" i="35" s="1"/>
  <c r="J13" i="35" a="1"/>
  <c r="J13" i="35" s="1"/>
  <c r="K13" i="35" a="1"/>
  <c r="K13" i="35" s="1"/>
  <c r="L13" i="35" a="1"/>
  <c r="L13" i="35" s="1"/>
  <c r="M13" i="35" a="1"/>
  <c r="M13" i="35" s="1"/>
  <c r="N13" i="35" a="1"/>
  <c r="N13" i="35" s="1"/>
  <c r="O13" i="35" a="1"/>
  <c r="O13" i="35" s="1"/>
  <c r="P13" i="35" a="1"/>
  <c r="P13" i="35" s="1"/>
  <c r="Q13" i="35" a="1"/>
  <c r="Q13" i="35" s="1"/>
  <c r="R13" i="35" a="1"/>
  <c r="R13" i="35" s="1"/>
  <c r="S13" i="35" a="1"/>
  <c r="S13" i="35" s="1"/>
  <c r="T13" i="35" a="1"/>
  <c r="T13" i="35" s="1"/>
  <c r="F14" i="35" a="1"/>
  <c r="F14" i="35" s="1"/>
  <c r="G14" i="35" a="1"/>
  <c r="G14" i="35" s="1"/>
  <c r="H14" i="35" a="1"/>
  <c r="H14" i="35" s="1"/>
  <c r="I14" i="35" a="1"/>
  <c r="I14" i="35" s="1"/>
  <c r="J14" i="35" a="1"/>
  <c r="J14" i="35" s="1"/>
  <c r="K14" i="35" a="1"/>
  <c r="K14" i="35" s="1"/>
  <c r="L14" i="35" a="1"/>
  <c r="L14" i="35" s="1"/>
  <c r="M14" i="35" a="1"/>
  <c r="M14" i="35" s="1"/>
  <c r="N14" i="35" a="1"/>
  <c r="N14" i="35" s="1"/>
  <c r="O14" i="35" a="1"/>
  <c r="O14" i="35" s="1"/>
  <c r="P14" i="35" a="1"/>
  <c r="P14" i="35" s="1"/>
  <c r="Q14" i="35" a="1"/>
  <c r="Q14" i="35" s="1"/>
  <c r="R14" i="35" a="1"/>
  <c r="R14" i="35" s="1"/>
  <c r="S14" i="35" a="1"/>
  <c r="S14" i="35" s="1"/>
  <c r="T14" i="35" a="1"/>
  <c r="T14" i="35" s="1"/>
  <c r="F15" i="35" a="1"/>
  <c r="F15" i="35" s="1"/>
  <c r="G15" i="35" a="1"/>
  <c r="G15" i="35" s="1"/>
  <c r="H15" i="35" a="1"/>
  <c r="H15" i="35" s="1"/>
  <c r="I15" i="35" a="1"/>
  <c r="I15" i="35" s="1"/>
  <c r="J15" i="35" a="1"/>
  <c r="J15" i="35" s="1"/>
  <c r="K15" i="35" a="1"/>
  <c r="K15" i="35" s="1"/>
  <c r="L15" i="35" a="1"/>
  <c r="L15" i="35" s="1"/>
  <c r="M15" i="35" a="1"/>
  <c r="M15" i="35" s="1"/>
  <c r="N15" i="35" a="1"/>
  <c r="N15" i="35" s="1"/>
  <c r="O15" i="35" a="1"/>
  <c r="O15" i="35" s="1"/>
  <c r="P15" i="35" a="1"/>
  <c r="P15" i="35" s="1"/>
  <c r="Q15" i="35" a="1"/>
  <c r="Q15" i="35" s="1"/>
  <c r="R15" i="35" a="1"/>
  <c r="R15" i="35" s="1"/>
  <c r="S15" i="35" a="1"/>
  <c r="S15" i="35" s="1"/>
  <c r="T15" i="35" a="1"/>
  <c r="T15" i="35" s="1"/>
  <c r="F16" i="35" a="1"/>
  <c r="F16" i="35" s="1"/>
  <c r="G16" i="35" a="1"/>
  <c r="G16" i="35" s="1"/>
  <c r="H16" i="35" a="1"/>
  <c r="H16" i="35" s="1"/>
  <c r="I16" i="35" a="1"/>
  <c r="I16" i="35" s="1"/>
  <c r="J16" i="35" a="1"/>
  <c r="J16" i="35" s="1"/>
  <c r="K16" i="35" a="1"/>
  <c r="K16" i="35" s="1"/>
  <c r="L16" i="35" a="1"/>
  <c r="L16" i="35" s="1"/>
  <c r="M16" i="35" a="1"/>
  <c r="M16" i="35" s="1"/>
  <c r="N16" i="35" a="1"/>
  <c r="N16" i="35" s="1"/>
  <c r="O16" i="35" a="1"/>
  <c r="O16" i="35" s="1"/>
  <c r="P16" i="35" a="1"/>
  <c r="P16" i="35" s="1"/>
  <c r="Q16" i="35" a="1"/>
  <c r="Q16" i="35" s="1"/>
  <c r="R16" i="35" a="1"/>
  <c r="R16" i="35" s="1"/>
  <c r="S16" i="35" a="1"/>
  <c r="S16" i="35" s="1"/>
  <c r="T16" i="35" a="1"/>
  <c r="T16" i="35" s="1"/>
  <c r="F17" i="35" a="1"/>
  <c r="F17" i="35" s="1"/>
  <c r="G17" i="35" a="1"/>
  <c r="G17" i="35" s="1"/>
  <c r="H17" i="35" a="1"/>
  <c r="H17" i="35" s="1"/>
  <c r="I17" i="35" a="1"/>
  <c r="I17" i="35" s="1"/>
  <c r="J17" i="35" a="1"/>
  <c r="J17" i="35" s="1"/>
  <c r="K17" i="35" a="1"/>
  <c r="K17" i="35" s="1"/>
  <c r="L17" i="35" a="1"/>
  <c r="L17" i="35" s="1"/>
  <c r="M17" i="35" a="1"/>
  <c r="M17" i="35" s="1"/>
  <c r="N17" i="35" a="1"/>
  <c r="N17" i="35" s="1"/>
  <c r="O17" i="35" a="1"/>
  <c r="O17" i="35" s="1"/>
  <c r="P17" i="35" a="1"/>
  <c r="P17" i="35" s="1"/>
  <c r="Q17" i="35" a="1"/>
  <c r="Q17" i="35" s="1"/>
  <c r="R17" i="35" a="1"/>
  <c r="R17" i="35" s="1"/>
  <c r="S17" i="35" a="1"/>
  <c r="S17" i="35" s="1"/>
  <c r="T17" i="35" a="1"/>
  <c r="T17" i="35" s="1"/>
  <c r="F18" i="35" a="1"/>
  <c r="F18" i="35" s="1"/>
  <c r="G18" i="35" a="1"/>
  <c r="G18" i="35" s="1"/>
  <c r="H18" i="35" a="1"/>
  <c r="H18" i="35" s="1"/>
  <c r="I18" i="35" a="1"/>
  <c r="I18" i="35" s="1"/>
  <c r="J18" i="35" a="1"/>
  <c r="J18" i="35" s="1"/>
  <c r="K18" i="35" a="1"/>
  <c r="K18" i="35" s="1"/>
  <c r="L18" i="35" a="1"/>
  <c r="L18" i="35" s="1"/>
  <c r="M18" i="35" a="1"/>
  <c r="M18" i="35" s="1"/>
  <c r="N18" i="35" a="1"/>
  <c r="N18" i="35" s="1"/>
  <c r="O18" i="35" a="1"/>
  <c r="O18" i="35" s="1"/>
  <c r="P18" i="35" a="1"/>
  <c r="P18" i="35" s="1"/>
  <c r="Q18" i="35" a="1"/>
  <c r="Q18" i="35" s="1"/>
  <c r="R18" i="35" a="1"/>
  <c r="R18" i="35" s="1"/>
  <c r="S18" i="35" a="1"/>
  <c r="S18" i="35" s="1"/>
  <c r="T18" i="35" a="1"/>
  <c r="T18" i="35" s="1"/>
  <c r="F19" i="35" a="1"/>
  <c r="F19" i="35" s="1"/>
  <c r="G19" i="35" a="1"/>
  <c r="G19" i="35" s="1"/>
  <c r="H19" i="35" a="1"/>
  <c r="H19" i="35" s="1"/>
  <c r="I19" i="35" a="1"/>
  <c r="I19" i="35" s="1"/>
  <c r="J19" i="35" a="1"/>
  <c r="J19" i="35" s="1"/>
  <c r="K19" i="35" a="1"/>
  <c r="K19" i="35" s="1"/>
  <c r="L19" i="35" a="1"/>
  <c r="L19" i="35" s="1"/>
  <c r="M19" i="35" a="1"/>
  <c r="M19" i="35" s="1"/>
  <c r="N19" i="35" a="1"/>
  <c r="N19" i="35" s="1"/>
  <c r="O19" i="35" a="1"/>
  <c r="O19" i="35" s="1"/>
  <c r="P19" i="35" a="1"/>
  <c r="P19" i="35" s="1"/>
  <c r="Q19" i="35" a="1"/>
  <c r="Q19" i="35" s="1"/>
  <c r="R19" i="35" a="1"/>
  <c r="R19" i="35" s="1"/>
  <c r="S19" i="35" a="1"/>
  <c r="S19" i="35" s="1"/>
  <c r="T19" i="35" a="1"/>
  <c r="T19" i="35" s="1"/>
  <c r="F20" i="35" a="1"/>
  <c r="F20" i="35" s="1"/>
  <c r="G20" i="35" a="1"/>
  <c r="G20" i="35" s="1"/>
  <c r="H20" i="35" a="1"/>
  <c r="H20" i="35" s="1"/>
  <c r="I20" i="35" a="1"/>
  <c r="I20" i="35" s="1"/>
  <c r="J20" i="35" a="1"/>
  <c r="J20" i="35" s="1"/>
  <c r="K20" i="35" a="1"/>
  <c r="K20" i="35" s="1"/>
  <c r="L20" i="35" a="1"/>
  <c r="L20" i="35" s="1"/>
  <c r="M20" i="35" a="1"/>
  <c r="M20" i="35" s="1"/>
  <c r="N20" i="35" a="1"/>
  <c r="N20" i="35" s="1"/>
  <c r="O20" i="35" a="1"/>
  <c r="O20" i="35" s="1"/>
  <c r="P20" i="35" a="1"/>
  <c r="P20" i="35" s="1"/>
  <c r="Q20" i="35" a="1"/>
  <c r="Q20" i="35" s="1"/>
  <c r="R20" i="35" a="1"/>
  <c r="R20" i="35" s="1"/>
  <c r="S20" i="35" a="1"/>
  <c r="S20" i="35" s="1"/>
  <c r="T20" i="35" a="1"/>
  <c r="T20" i="35" s="1"/>
  <c r="F21" i="35" a="1"/>
  <c r="F21" i="35" s="1"/>
  <c r="G21" i="35" a="1"/>
  <c r="G21" i="35" s="1"/>
  <c r="H21" i="35" a="1"/>
  <c r="H21" i="35" s="1"/>
  <c r="I21" i="35" a="1"/>
  <c r="I21" i="35" s="1"/>
  <c r="J21" i="35" a="1"/>
  <c r="J21" i="35" s="1"/>
  <c r="K21" i="35" a="1"/>
  <c r="K21" i="35" s="1"/>
  <c r="L21" i="35" a="1"/>
  <c r="L21" i="35" s="1"/>
  <c r="M21" i="35" a="1"/>
  <c r="M21" i="35" s="1"/>
  <c r="N21" i="35" a="1"/>
  <c r="N21" i="35" s="1"/>
  <c r="O21" i="35" a="1"/>
  <c r="O21" i="35" s="1"/>
  <c r="P21" i="35" a="1"/>
  <c r="P21" i="35" s="1"/>
  <c r="Q21" i="35" a="1"/>
  <c r="Q21" i="35" s="1"/>
  <c r="R21" i="35" a="1"/>
  <c r="R21" i="35" s="1"/>
  <c r="S21" i="35" a="1"/>
  <c r="S21" i="35" s="1"/>
  <c r="T21" i="35" a="1"/>
  <c r="T21" i="35" s="1"/>
  <c r="F22" i="35" a="1"/>
  <c r="F22" i="35" s="1"/>
  <c r="G22" i="35" a="1"/>
  <c r="G22" i="35" s="1"/>
  <c r="H22" i="35" a="1"/>
  <c r="H22" i="35" s="1"/>
  <c r="I22" i="35" a="1"/>
  <c r="I22" i="35" s="1"/>
  <c r="J22" i="35" a="1"/>
  <c r="J22" i="35" s="1"/>
  <c r="K22" i="35" a="1"/>
  <c r="K22" i="35" s="1"/>
  <c r="L22" i="35" a="1"/>
  <c r="L22" i="35" s="1"/>
  <c r="M22" i="35" a="1"/>
  <c r="M22" i="35" s="1"/>
  <c r="N22" i="35" a="1"/>
  <c r="N22" i="35" s="1"/>
  <c r="O22" i="35" a="1"/>
  <c r="O22" i="35" s="1"/>
  <c r="P22" i="35" a="1"/>
  <c r="P22" i="35" s="1"/>
  <c r="Q22" i="35" a="1"/>
  <c r="Q22" i="35" s="1"/>
  <c r="R22" i="35" a="1"/>
  <c r="R22" i="35" s="1"/>
  <c r="S22" i="35" a="1"/>
  <c r="S22" i="35" s="1"/>
  <c r="T22" i="35" a="1"/>
  <c r="T22" i="35" s="1"/>
  <c r="F23" i="35" a="1"/>
  <c r="F23" i="35" s="1"/>
  <c r="G23" i="35" a="1"/>
  <c r="G23" i="35" s="1"/>
  <c r="H23" i="35" a="1"/>
  <c r="H23" i="35" s="1"/>
  <c r="I23" i="35" a="1"/>
  <c r="I23" i="35" s="1"/>
  <c r="J23" i="35" a="1"/>
  <c r="J23" i="35" s="1"/>
  <c r="K23" i="35" a="1"/>
  <c r="K23" i="35" s="1"/>
  <c r="L23" i="35" a="1"/>
  <c r="L23" i="35" s="1"/>
  <c r="M23" i="35" a="1"/>
  <c r="M23" i="35" s="1"/>
  <c r="N23" i="35" a="1"/>
  <c r="N23" i="35" s="1"/>
  <c r="O23" i="35" a="1"/>
  <c r="O23" i="35" s="1"/>
  <c r="P23" i="35" a="1"/>
  <c r="P23" i="35" s="1"/>
  <c r="Q23" i="35" a="1"/>
  <c r="Q23" i="35" s="1"/>
  <c r="R23" i="35" a="1"/>
  <c r="R23" i="35" s="1"/>
  <c r="S23" i="35" a="1"/>
  <c r="S23" i="35" s="1"/>
  <c r="T23" i="35" a="1"/>
  <c r="T23" i="35" s="1"/>
  <c r="F24" i="35" a="1"/>
  <c r="F24" i="35" s="1"/>
  <c r="G24" i="35" a="1"/>
  <c r="G24" i="35" s="1"/>
  <c r="H24" i="35" a="1"/>
  <c r="H24" i="35" s="1"/>
  <c r="I24" i="35" a="1"/>
  <c r="I24" i="35" s="1"/>
  <c r="J24" i="35" a="1"/>
  <c r="J24" i="35" s="1"/>
  <c r="K24" i="35" a="1"/>
  <c r="K24" i="35" s="1"/>
  <c r="L24" i="35" a="1"/>
  <c r="L24" i="35" s="1"/>
  <c r="M24" i="35" a="1"/>
  <c r="M24" i="35" s="1"/>
  <c r="N24" i="35" a="1"/>
  <c r="N24" i="35" s="1"/>
  <c r="O24" i="35" a="1"/>
  <c r="O24" i="35" s="1"/>
  <c r="P24" i="35" a="1"/>
  <c r="P24" i="35" s="1"/>
  <c r="Q24" i="35" a="1"/>
  <c r="Q24" i="35" s="1"/>
  <c r="R24" i="35" a="1"/>
  <c r="R24" i="35" s="1"/>
  <c r="S24" i="35" a="1"/>
  <c r="S24" i="35" s="1"/>
  <c r="T24" i="35" a="1"/>
  <c r="T24" i="35" s="1"/>
  <c r="F25" i="35" a="1"/>
  <c r="F25" i="35" s="1"/>
  <c r="G25" i="35" a="1"/>
  <c r="G25" i="35" s="1"/>
  <c r="H25" i="35" a="1"/>
  <c r="H25" i="35" s="1"/>
  <c r="I25" i="35" a="1"/>
  <c r="I25" i="35" s="1"/>
  <c r="J25" i="35" a="1"/>
  <c r="J25" i="35" s="1"/>
  <c r="K25" i="35" a="1"/>
  <c r="K25" i="35" s="1"/>
  <c r="L25" i="35" a="1"/>
  <c r="L25" i="35" s="1"/>
  <c r="M25" i="35" a="1"/>
  <c r="M25" i="35" s="1"/>
  <c r="N25" i="35" a="1"/>
  <c r="N25" i="35" s="1"/>
  <c r="O25" i="35" a="1"/>
  <c r="O25" i="35" s="1"/>
  <c r="P25" i="35" a="1"/>
  <c r="P25" i="35" s="1"/>
  <c r="Q25" i="35" a="1"/>
  <c r="Q25" i="35" s="1"/>
  <c r="R25" i="35" a="1"/>
  <c r="R25" i="35" s="1"/>
  <c r="S25" i="35" a="1"/>
  <c r="S25" i="35" s="1"/>
  <c r="T25" i="35" a="1"/>
  <c r="T25" i="35" s="1"/>
  <c r="F26" i="35" a="1"/>
  <c r="F26" i="35" s="1"/>
  <c r="G26" i="35" a="1"/>
  <c r="G26" i="35" s="1"/>
  <c r="H26" i="35" a="1"/>
  <c r="H26" i="35" s="1"/>
  <c r="I26" i="35" a="1"/>
  <c r="I26" i="35" s="1"/>
  <c r="J26" i="35" a="1"/>
  <c r="J26" i="35" s="1"/>
  <c r="K26" i="35" a="1"/>
  <c r="K26" i="35" s="1"/>
  <c r="L26" i="35" a="1"/>
  <c r="L26" i="35" s="1"/>
  <c r="M26" i="35" a="1"/>
  <c r="M26" i="35" s="1"/>
  <c r="N26" i="35" a="1"/>
  <c r="N26" i="35" s="1"/>
  <c r="O26" i="35" a="1"/>
  <c r="O26" i="35" s="1"/>
  <c r="P26" i="35" a="1"/>
  <c r="P26" i="35" s="1"/>
  <c r="Q26" i="35" a="1"/>
  <c r="Q26" i="35" s="1"/>
  <c r="R26" i="35" a="1"/>
  <c r="R26" i="35" s="1"/>
  <c r="S26" i="35" a="1"/>
  <c r="S26" i="35" s="1"/>
  <c r="T26" i="35" a="1"/>
  <c r="T26" i="35" s="1"/>
  <c r="F27" i="35" a="1"/>
  <c r="F27" i="35" s="1"/>
  <c r="G27" i="35" a="1"/>
  <c r="G27" i="35" s="1"/>
  <c r="H27" i="35" a="1"/>
  <c r="H27" i="35" s="1"/>
  <c r="I27" i="35" a="1"/>
  <c r="I27" i="35" s="1"/>
  <c r="J27" i="35" a="1"/>
  <c r="J27" i="35" s="1"/>
  <c r="K27" i="35" a="1"/>
  <c r="K27" i="35" s="1"/>
  <c r="L27" i="35" a="1"/>
  <c r="L27" i="35" s="1"/>
  <c r="M27" i="35" a="1"/>
  <c r="M27" i="35" s="1"/>
  <c r="N27" i="35" a="1"/>
  <c r="N27" i="35" s="1"/>
  <c r="O27" i="35" a="1"/>
  <c r="O27" i="35" s="1"/>
  <c r="P27" i="35" a="1"/>
  <c r="P27" i="35" s="1"/>
  <c r="Q27" i="35" a="1"/>
  <c r="Q27" i="35" s="1"/>
  <c r="R27" i="35" a="1"/>
  <c r="R27" i="35" s="1"/>
  <c r="S27" i="35" a="1"/>
  <c r="S27" i="35" s="1"/>
  <c r="T27" i="35" a="1"/>
  <c r="T27" i="35" s="1"/>
  <c r="F28" i="35" a="1"/>
  <c r="F28" i="35" s="1"/>
  <c r="G28" i="35" a="1"/>
  <c r="G28" i="35" s="1"/>
  <c r="H28" i="35" a="1"/>
  <c r="H28" i="35" s="1"/>
  <c r="I28" i="35" a="1"/>
  <c r="I28" i="35" s="1"/>
  <c r="J28" i="35" a="1"/>
  <c r="J28" i="35" s="1"/>
  <c r="K28" i="35" a="1"/>
  <c r="K28" i="35" s="1"/>
  <c r="L28" i="35" a="1"/>
  <c r="L28" i="35" s="1"/>
  <c r="M28" i="35" a="1"/>
  <c r="M28" i="35" s="1"/>
  <c r="N28" i="35" a="1"/>
  <c r="N28" i="35" s="1"/>
  <c r="O28" i="35" a="1"/>
  <c r="O28" i="35" s="1"/>
  <c r="P28" i="35" a="1"/>
  <c r="P28" i="35" s="1"/>
  <c r="Q28" i="35" a="1"/>
  <c r="Q28" i="35" s="1"/>
  <c r="R28" i="35" a="1"/>
  <c r="R28" i="35" s="1"/>
  <c r="S28" i="35" a="1"/>
  <c r="S28" i="35" s="1"/>
  <c r="T28" i="35" a="1"/>
  <c r="T28" i="35" s="1"/>
  <c r="F29" i="35" a="1"/>
  <c r="F29" i="35" s="1"/>
  <c r="G29" i="35" a="1"/>
  <c r="G29" i="35" s="1"/>
  <c r="H29" i="35" a="1"/>
  <c r="H29" i="35" s="1"/>
  <c r="I29" i="35" a="1"/>
  <c r="I29" i="35" s="1"/>
  <c r="J29" i="35" a="1"/>
  <c r="J29" i="35" s="1"/>
  <c r="K29" i="35" a="1"/>
  <c r="K29" i="35" s="1"/>
  <c r="L29" i="35" a="1"/>
  <c r="L29" i="35" s="1"/>
  <c r="M29" i="35" a="1"/>
  <c r="M29" i="35" s="1"/>
  <c r="N29" i="35" a="1"/>
  <c r="N29" i="35" s="1"/>
  <c r="O29" i="35" a="1"/>
  <c r="O29" i="35" s="1"/>
  <c r="P29" i="35" a="1"/>
  <c r="P29" i="35" s="1"/>
  <c r="Q29" i="35" a="1"/>
  <c r="Q29" i="35" s="1"/>
  <c r="R29" i="35" a="1"/>
  <c r="R29" i="35" s="1"/>
  <c r="S29" i="35" a="1"/>
  <c r="S29" i="35" s="1"/>
  <c r="T29" i="35" a="1"/>
  <c r="T29" i="35" s="1"/>
  <c r="F30" i="35" a="1"/>
  <c r="F30" i="35" s="1"/>
  <c r="G30" i="35" a="1"/>
  <c r="G30" i="35" s="1"/>
  <c r="H30" i="35" a="1"/>
  <c r="H30" i="35" s="1"/>
  <c r="I30" i="35" a="1"/>
  <c r="I30" i="35" s="1"/>
  <c r="J30" i="35" a="1"/>
  <c r="J30" i="35" s="1"/>
  <c r="K30" i="35" a="1"/>
  <c r="K30" i="35" s="1"/>
  <c r="L30" i="35" a="1"/>
  <c r="L30" i="35" s="1"/>
  <c r="M30" i="35" a="1"/>
  <c r="M30" i="35" s="1"/>
  <c r="N30" i="35" a="1"/>
  <c r="N30" i="35" s="1"/>
  <c r="O30" i="35" a="1"/>
  <c r="O30" i="35" s="1"/>
  <c r="P30" i="35" a="1"/>
  <c r="P30" i="35" s="1"/>
  <c r="Q30" i="35" a="1"/>
  <c r="Q30" i="35" s="1"/>
  <c r="R30" i="35" a="1"/>
  <c r="R30" i="35" s="1"/>
  <c r="S30" i="35" a="1"/>
  <c r="S30" i="35" s="1"/>
  <c r="T30" i="35" a="1"/>
  <c r="T30" i="35" s="1"/>
  <c r="F31" i="35" a="1"/>
  <c r="F31" i="35" s="1"/>
  <c r="G31" i="35" a="1"/>
  <c r="G31" i="35" s="1"/>
  <c r="H31" i="35" a="1"/>
  <c r="H31" i="35" s="1"/>
  <c r="I31" i="35" a="1"/>
  <c r="I31" i="35" s="1"/>
  <c r="J31" i="35" a="1"/>
  <c r="J31" i="35" s="1"/>
  <c r="K31" i="35" a="1"/>
  <c r="K31" i="35" s="1"/>
  <c r="L31" i="35" a="1"/>
  <c r="L31" i="35" s="1"/>
  <c r="M31" i="35" a="1"/>
  <c r="M31" i="35" s="1"/>
  <c r="N31" i="35" a="1"/>
  <c r="N31" i="35" s="1"/>
  <c r="O31" i="35" a="1"/>
  <c r="O31" i="35" s="1"/>
  <c r="P31" i="35" a="1"/>
  <c r="P31" i="35" s="1"/>
  <c r="Q31" i="35" a="1"/>
  <c r="Q31" i="35" s="1"/>
  <c r="R31" i="35" a="1"/>
  <c r="R31" i="35" s="1"/>
  <c r="S31" i="35" a="1"/>
  <c r="S31" i="35" s="1"/>
  <c r="T31" i="35" a="1"/>
  <c r="T31" i="35" s="1"/>
  <c r="F32" i="35" a="1"/>
  <c r="F32" i="35" s="1"/>
  <c r="G32" i="35" a="1"/>
  <c r="G32" i="35" s="1"/>
  <c r="H32" i="35" a="1"/>
  <c r="H32" i="35" s="1"/>
  <c r="I32" i="35" a="1"/>
  <c r="I32" i="35" s="1"/>
  <c r="J32" i="35" a="1"/>
  <c r="J32" i="35" s="1"/>
  <c r="K32" i="35" a="1"/>
  <c r="K32" i="35" s="1"/>
  <c r="L32" i="35" a="1"/>
  <c r="L32" i="35" s="1"/>
  <c r="M32" i="35" a="1"/>
  <c r="M32" i="35" s="1"/>
  <c r="N32" i="35" a="1"/>
  <c r="N32" i="35" s="1"/>
  <c r="O32" i="35" a="1"/>
  <c r="O32" i="35" s="1"/>
  <c r="P32" i="35" a="1"/>
  <c r="P32" i="35" s="1"/>
  <c r="Q32" i="35" a="1"/>
  <c r="Q32" i="35" s="1"/>
  <c r="R32" i="35" a="1"/>
  <c r="R32" i="35" s="1"/>
  <c r="S32" i="35" a="1"/>
  <c r="S32" i="35" s="1"/>
  <c r="T32" i="35" a="1"/>
  <c r="T32" i="35" s="1"/>
  <c r="F33" i="35" a="1"/>
  <c r="F33" i="35" s="1"/>
  <c r="G33" i="35" a="1"/>
  <c r="G33" i="35" s="1"/>
  <c r="H33" i="35" a="1"/>
  <c r="H33" i="35" s="1"/>
  <c r="I33" i="35" a="1"/>
  <c r="I33" i="35" s="1"/>
  <c r="J33" i="35" a="1"/>
  <c r="J33" i="35" s="1"/>
  <c r="K33" i="35" a="1"/>
  <c r="K33" i="35" s="1"/>
  <c r="L33" i="35" a="1"/>
  <c r="L33" i="35" s="1"/>
  <c r="M33" i="35" a="1"/>
  <c r="M33" i="35" s="1"/>
  <c r="N33" i="35" a="1"/>
  <c r="N33" i="35" s="1"/>
  <c r="O33" i="35" a="1"/>
  <c r="O33" i="35" s="1"/>
  <c r="P33" i="35" a="1"/>
  <c r="P33" i="35" s="1"/>
  <c r="Q33" i="35" a="1"/>
  <c r="Q33" i="35" s="1"/>
  <c r="R33" i="35" a="1"/>
  <c r="R33" i="35" s="1"/>
  <c r="S33" i="35" a="1"/>
  <c r="S33" i="35" s="1"/>
  <c r="T33" i="35" a="1"/>
  <c r="T33" i="35" s="1"/>
  <c r="F34" i="35" a="1"/>
  <c r="F34" i="35" s="1"/>
  <c r="G34" i="35" a="1"/>
  <c r="G34" i="35" s="1"/>
  <c r="H34" i="35" a="1"/>
  <c r="H34" i="35" s="1"/>
  <c r="I34" i="35" a="1"/>
  <c r="I34" i="35" s="1"/>
  <c r="J34" i="35" a="1"/>
  <c r="J34" i="35" s="1"/>
  <c r="K34" i="35" a="1"/>
  <c r="K34" i="35" s="1"/>
  <c r="L34" i="35" a="1"/>
  <c r="L34" i="35" s="1"/>
  <c r="M34" i="35" a="1"/>
  <c r="M34" i="35" s="1"/>
  <c r="N34" i="35" a="1"/>
  <c r="N34" i="35" s="1"/>
  <c r="O34" i="35" a="1"/>
  <c r="O34" i="35" s="1"/>
  <c r="P34" i="35" a="1"/>
  <c r="P34" i="35" s="1"/>
  <c r="Q34" i="35" a="1"/>
  <c r="Q34" i="35" s="1"/>
  <c r="R34" i="35" a="1"/>
  <c r="R34" i="35" s="1"/>
  <c r="S34" i="35" a="1"/>
  <c r="S34" i="35" s="1"/>
  <c r="T34" i="35" a="1"/>
  <c r="T34" i="35" s="1"/>
  <c r="F35" i="35" a="1"/>
  <c r="F35" i="35" s="1"/>
  <c r="G35" i="35" a="1"/>
  <c r="G35" i="35" s="1"/>
  <c r="H35" i="35" a="1"/>
  <c r="H35" i="35" s="1"/>
  <c r="I35" i="35" a="1"/>
  <c r="I35" i="35" s="1"/>
  <c r="J35" i="35" a="1"/>
  <c r="J35" i="35" s="1"/>
  <c r="K35" i="35" a="1"/>
  <c r="K35" i="35" s="1"/>
  <c r="L35" i="35" a="1"/>
  <c r="L35" i="35" s="1"/>
  <c r="M35" i="35" a="1"/>
  <c r="M35" i="35" s="1"/>
  <c r="N35" i="35" a="1"/>
  <c r="N35" i="35" s="1"/>
  <c r="O35" i="35" a="1"/>
  <c r="O35" i="35" s="1"/>
  <c r="P35" i="35" a="1"/>
  <c r="P35" i="35" s="1"/>
  <c r="Q35" i="35" a="1"/>
  <c r="Q35" i="35" s="1"/>
  <c r="R35" i="35" a="1"/>
  <c r="R35" i="35" s="1"/>
  <c r="S35" i="35" a="1"/>
  <c r="S35" i="35" s="1"/>
  <c r="T35" i="35" a="1"/>
  <c r="T35" i="35" s="1"/>
  <c r="F36" i="35" a="1"/>
  <c r="F36" i="35" s="1"/>
  <c r="G36" i="35" a="1"/>
  <c r="G36" i="35" s="1"/>
  <c r="H36" i="35" a="1"/>
  <c r="H36" i="35" s="1"/>
  <c r="I36" i="35" a="1"/>
  <c r="I36" i="35" s="1"/>
  <c r="J36" i="35" a="1"/>
  <c r="J36" i="35" s="1"/>
  <c r="K36" i="35" a="1"/>
  <c r="K36" i="35" s="1"/>
  <c r="L36" i="35" a="1"/>
  <c r="L36" i="35" s="1"/>
  <c r="M36" i="35" a="1"/>
  <c r="M36" i="35" s="1"/>
  <c r="N36" i="35" a="1"/>
  <c r="N36" i="35" s="1"/>
  <c r="O36" i="35" a="1"/>
  <c r="O36" i="35" s="1"/>
  <c r="P36" i="35" a="1"/>
  <c r="P36" i="35" s="1"/>
  <c r="Q36" i="35" a="1"/>
  <c r="Q36" i="35" s="1"/>
  <c r="R36" i="35" a="1"/>
  <c r="R36" i="35" s="1"/>
  <c r="S36" i="35" a="1"/>
  <c r="S36" i="35" s="1"/>
  <c r="T36" i="35" a="1"/>
  <c r="T36" i="35" s="1"/>
  <c r="F37" i="35" a="1"/>
  <c r="F37" i="35" s="1"/>
  <c r="G37" i="35" a="1"/>
  <c r="G37" i="35" s="1"/>
  <c r="H37" i="35" a="1"/>
  <c r="H37" i="35" s="1"/>
  <c r="I37" i="35" a="1"/>
  <c r="I37" i="35" s="1"/>
  <c r="J37" i="35" a="1"/>
  <c r="J37" i="35" s="1"/>
  <c r="K37" i="35" a="1"/>
  <c r="K37" i="35" s="1"/>
  <c r="L37" i="35" a="1"/>
  <c r="L37" i="35" s="1"/>
  <c r="M37" i="35" a="1"/>
  <c r="M37" i="35" s="1"/>
  <c r="N37" i="35" a="1"/>
  <c r="N37" i="35" s="1"/>
  <c r="O37" i="35" a="1"/>
  <c r="O37" i="35" s="1"/>
  <c r="P37" i="35" a="1"/>
  <c r="P37" i="35" s="1"/>
  <c r="Q37" i="35" a="1"/>
  <c r="Q37" i="35" s="1"/>
  <c r="R37" i="35" a="1"/>
  <c r="R37" i="35" s="1"/>
  <c r="S37" i="35" a="1"/>
  <c r="S37" i="35" s="1"/>
  <c r="T37" i="35" a="1"/>
  <c r="T37" i="35" s="1"/>
  <c r="F38" i="35" a="1"/>
  <c r="F38" i="35" s="1"/>
  <c r="G38" i="35" a="1"/>
  <c r="G38" i="35" s="1"/>
  <c r="H38" i="35" a="1"/>
  <c r="H38" i="35" s="1"/>
  <c r="I38" i="35" a="1"/>
  <c r="I38" i="35" s="1"/>
  <c r="J38" i="35" a="1"/>
  <c r="J38" i="35" s="1"/>
  <c r="K38" i="35" a="1"/>
  <c r="K38" i="35" s="1"/>
  <c r="L38" i="35" a="1"/>
  <c r="L38" i="35" s="1"/>
  <c r="M38" i="35" a="1"/>
  <c r="M38" i="35" s="1"/>
  <c r="N38" i="35" a="1"/>
  <c r="N38" i="35" s="1"/>
  <c r="O38" i="35" a="1"/>
  <c r="O38" i="35" s="1"/>
  <c r="P38" i="35" a="1"/>
  <c r="P38" i="35" s="1"/>
  <c r="Q38" i="35" a="1"/>
  <c r="Q38" i="35" s="1"/>
  <c r="R38" i="35" a="1"/>
  <c r="R38" i="35" s="1"/>
  <c r="S38" i="35" a="1"/>
  <c r="S38" i="35" s="1"/>
  <c r="T38" i="35" a="1"/>
  <c r="T38" i="35" s="1"/>
  <c r="F39" i="35" a="1"/>
  <c r="F39" i="35" s="1"/>
  <c r="G39" i="35" a="1"/>
  <c r="G39" i="35" s="1"/>
  <c r="H39" i="35" a="1"/>
  <c r="H39" i="35" s="1"/>
  <c r="I39" i="35" a="1"/>
  <c r="I39" i="35" s="1"/>
  <c r="J39" i="35" a="1"/>
  <c r="J39" i="35" s="1"/>
  <c r="K39" i="35" a="1"/>
  <c r="K39" i="35" s="1"/>
  <c r="L39" i="35" a="1"/>
  <c r="L39" i="35" s="1"/>
  <c r="M39" i="35" a="1"/>
  <c r="M39" i="35" s="1"/>
  <c r="N39" i="35" a="1"/>
  <c r="N39" i="35" s="1"/>
  <c r="O39" i="35" a="1"/>
  <c r="O39" i="35" s="1"/>
  <c r="P39" i="35" a="1"/>
  <c r="P39" i="35" s="1"/>
  <c r="Q39" i="35" a="1"/>
  <c r="Q39" i="35" s="1"/>
  <c r="R39" i="35" a="1"/>
  <c r="R39" i="35" s="1"/>
  <c r="S39" i="35" a="1"/>
  <c r="S39" i="35" s="1"/>
  <c r="T39" i="35" a="1"/>
  <c r="T39" i="35" s="1"/>
  <c r="F40" i="35" a="1"/>
  <c r="F40" i="35" s="1"/>
  <c r="G40" i="35" a="1"/>
  <c r="G40" i="35" s="1"/>
  <c r="H40" i="35" a="1"/>
  <c r="H40" i="35" s="1"/>
  <c r="I40" i="35" a="1"/>
  <c r="I40" i="35" s="1"/>
  <c r="J40" i="35" a="1"/>
  <c r="J40" i="35" s="1"/>
  <c r="K40" i="35" a="1"/>
  <c r="K40" i="35" s="1"/>
  <c r="L40" i="35" a="1"/>
  <c r="L40" i="35" s="1"/>
  <c r="M40" i="35" a="1"/>
  <c r="M40" i="35" s="1"/>
  <c r="N40" i="35" a="1"/>
  <c r="N40" i="35" s="1"/>
  <c r="O40" i="35" a="1"/>
  <c r="O40" i="35" s="1"/>
  <c r="P40" i="35" a="1"/>
  <c r="P40" i="35" s="1"/>
  <c r="Q40" i="35" a="1"/>
  <c r="Q40" i="35" s="1"/>
  <c r="R40" i="35" a="1"/>
  <c r="R40" i="35" s="1"/>
  <c r="S40" i="35" a="1"/>
  <c r="S40" i="35" s="1"/>
  <c r="T40" i="35" a="1"/>
  <c r="T40" i="35" s="1"/>
  <c r="F41" i="35" a="1"/>
  <c r="F41" i="35" s="1"/>
  <c r="G41" i="35" a="1"/>
  <c r="G41" i="35" s="1"/>
  <c r="H41" i="35" a="1"/>
  <c r="H41" i="35" s="1"/>
  <c r="I41" i="35" a="1"/>
  <c r="I41" i="35" s="1"/>
  <c r="J41" i="35" a="1"/>
  <c r="J41" i="35" s="1"/>
  <c r="K41" i="35" a="1"/>
  <c r="K41" i="35" s="1"/>
  <c r="L41" i="35" a="1"/>
  <c r="L41" i="35" s="1"/>
  <c r="M41" i="35" a="1"/>
  <c r="M41" i="35" s="1"/>
  <c r="N41" i="35" a="1"/>
  <c r="N41" i="35" s="1"/>
  <c r="O41" i="35" a="1"/>
  <c r="O41" i="35" s="1"/>
  <c r="P41" i="35" a="1"/>
  <c r="P41" i="35" s="1"/>
  <c r="Q41" i="35" a="1"/>
  <c r="Q41" i="35" s="1"/>
  <c r="R41" i="35" a="1"/>
  <c r="R41" i="35" s="1"/>
  <c r="S41" i="35" a="1"/>
  <c r="S41" i="35" s="1"/>
  <c r="T41" i="35" a="1"/>
  <c r="T41" i="35" s="1"/>
  <c r="F42" i="35" a="1"/>
  <c r="F42" i="35" s="1"/>
  <c r="G42" i="35" a="1"/>
  <c r="G42" i="35" s="1"/>
  <c r="H42" i="35" a="1"/>
  <c r="H42" i="35" s="1"/>
  <c r="I42" i="35" a="1"/>
  <c r="I42" i="35" s="1"/>
  <c r="J42" i="35" a="1"/>
  <c r="J42" i="35" s="1"/>
  <c r="K42" i="35" a="1"/>
  <c r="K42" i="35" s="1"/>
  <c r="L42" i="35" a="1"/>
  <c r="L42" i="35" s="1"/>
  <c r="M42" i="35" a="1"/>
  <c r="M42" i="35" s="1"/>
  <c r="N42" i="35" a="1"/>
  <c r="N42" i="35" s="1"/>
  <c r="O42" i="35" a="1"/>
  <c r="O42" i="35" s="1"/>
  <c r="P42" i="35" a="1"/>
  <c r="P42" i="35" s="1"/>
  <c r="Q42" i="35" a="1"/>
  <c r="Q42" i="35" s="1"/>
  <c r="R42" i="35" a="1"/>
  <c r="R42" i="35" s="1"/>
  <c r="S42" i="35" a="1"/>
  <c r="S42" i="35" s="1"/>
  <c r="T42" i="35" a="1"/>
  <c r="T42" i="35" s="1"/>
  <c r="F43" i="35" a="1"/>
  <c r="F43" i="35" s="1"/>
  <c r="G43" i="35" a="1"/>
  <c r="G43" i="35" s="1"/>
  <c r="H43" i="35" a="1"/>
  <c r="H43" i="35" s="1"/>
  <c r="I43" i="35" a="1"/>
  <c r="I43" i="35" s="1"/>
  <c r="J43" i="35" a="1"/>
  <c r="J43" i="35" s="1"/>
  <c r="K43" i="35" a="1"/>
  <c r="K43" i="35" s="1"/>
  <c r="L43" i="35" a="1"/>
  <c r="L43" i="35" s="1"/>
  <c r="M43" i="35" a="1"/>
  <c r="M43" i="35" s="1"/>
  <c r="N43" i="35" a="1"/>
  <c r="N43" i="35" s="1"/>
  <c r="O43" i="35" a="1"/>
  <c r="O43" i="35" s="1"/>
  <c r="P43" i="35" a="1"/>
  <c r="P43" i="35" s="1"/>
  <c r="Q43" i="35" a="1"/>
  <c r="Q43" i="35" s="1"/>
  <c r="R43" i="35" a="1"/>
  <c r="R43" i="35" s="1"/>
  <c r="S43" i="35" a="1"/>
  <c r="S43" i="35" s="1"/>
  <c r="T43" i="35" a="1"/>
  <c r="T43" i="35" s="1"/>
  <c r="F44" i="35" a="1"/>
  <c r="F44" i="35" s="1"/>
  <c r="G44" i="35" a="1"/>
  <c r="G44" i="35" s="1"/>
  <c r="H44" i="35" a="1"/>
  <c r="H44" i="35" s="1"/>
  <c r="I44" i="35" a="1"/>
  <c r="I44" i="35" s="1"/>
  <c r="J44" i="35" a="1"/>
  <c r="J44" i="35" s="1"/>
  <c r="K44" i="35" a="1"/>
  <c r="K44" i="35" s="1"/>
  <c r="L44" i="35" a="1"/>
  <c r="L44" i="35" s="1"/>
  <c r="M44" i="35" a="1"/>
  <c r="M44" i="35" s="1"/>
  <c r="N44" i="35" a="1"/>
  <c r="N44" i="35" s="1"/>
  <c r="O44" i="35" a="1"/>
  <c r="O44" i="35" s="1"/>
  <c r="P44" i="35" a="1"/>
  <c r="P44" i="35" s="1"/>
  <c r="Q44" i="35" a="1"/>
  <c r="Q44" i="35" s="1"/>
  <c r="R44" i="35" a="1"/>
  <c r="R44" i="35" s="1"/>
  <c r="S44" i="35" a="1"/>
  <c r="S44" i="35" s="1"/>
  <c r="T44" i="35" a="1"/>
  <c r="T44" i="35" s="1"/>
  <c r="F45" i="35" a="1"/>
  <c r="F45" i="35" s="1"/>
  <c r="G45" i="35" a="1"/>
  <c r="G45" i="35" s="1"/>
  <c r="H45" i="35" a="1"/>
  <c r="H45" i="35" s="1"/>
  <c r="I45" i="35" a="1"/>
  <c r="I45" i="35" s="1"/>
  <c r="J45" i="35" a="1"/>
  <c r="J45" i="35" s="1"/>
  <c r="K45" i="35" a="1"/>
  <c r="K45" i="35" s="1"/>
  <c r="L45" i="35" a="1"/>
  <c r="L45" i="35" s="1"/>
  <c r="M45" i="35" a="1"/>
  <c r="M45" i="35" s="1"/>
  <c r="N45" i="35" a="1"/>
  <c r="N45" i="35" s="1"/>
  <c r="O45" i="35" a="1"/>
  <c r="O45" i="35" s="1"/>
  <c r="P45" i="35" a="1"/>
  <c r="P45" i="35" s="1"/>
  <c r="Q45" i="35" a="1"/>
  <c r="Q45" i="35" s="1"/>
  <c r="R45" i="35" a="1"/>
  <c r="R45" i="35" s="1"/>
  <c r="S45" i="35" a="1"/>
  <c r="S45" i="35" s="1"/>
  <c r="T45" i="35" a="1"/>
  <c r="T45" i="35" s="1"/>
  <c r="F46" i="35" a="1"/>
  <c r="F46" i="35" s="1"/>
  <c r="G46" i="35" a="1"/>
  <c r="G46" i="35" s="1"/>
  <c r="H46" i="35" a="1"/>
  <c r="H46" i="35" s="1"/>
  <c r="I46" i="35" a="1"/>
  <c r="I46" i="35" s="1"/>
  <c r="J46" i="35" a="1"/>
  <c r="J46" i="35" s="1"/>
  <c r="K46" i="35" a="1"/>
  <c r="K46" i="35" s="1"/>
  <c r="L46" i="35" a="1"/>
  <c r="L46" i="35" s="1"/>
  <c r="M46" i="35" a="1"/>
  <c r="M46" i="35" s="1"/>
  <c r="N46" i="35" a="1"/>
  <c r="N46" i="35" s="1"/>
  <c r="O46" i="35" a="1"/>
  <c r="O46" i="35" s="1"/>
  <c r="P46" i="35" a="1"/>
  <c r="P46" i="35" s="1"/>
  <c r="Q46" i="35" a="1"/>
  <c r="Q46" i="35" s="1"/>
  <c r="R46" i="35" a="1"/>
  <c r="R46" i="35" s="1"/>
  <c r="S46" i="35" a="1"/>
  <c r="S46" i="35" s="1"/>
  <c r="T46" i="35" a="1"/>
  <c r="T46" i="35" s="1"/>
  <c r="F47" i="35" a="1"/>
  <c r="F47" i="35" s="1"/>
  <c r="G47" i="35" a="1"/>
  <c r="G47" i="35" s="1"/>
  <c r="H47" i="35" a="1"/>
  <c r="H47" i="35" s="1"/>
  <c r="I47" i="35" a="1"/>
  <c r="I47" i="35" s="1"/>
  <c r="J47" i="35" a="1"/>
  <c r="J47" i="35" s="1"/>
  <c r="K47" i="35" a="1"/>
  <c r="K47" i="35" s="1"/>
  <c r="L47" i="35" a="1"/>
  <c r="L47" i="35" s="1"/>
  <c r="M47" i="35" a="1"/>
  <c r="M47" i="35" s="1"/>
  <c r="N47" i="35" a="1"/>
  <c r="N47" i="35" s="1"/>
  <c r="O47" i="35" a="1"/>
  <c r="O47" i="35" s="1"/>
  <c r="P47" i="35" a="1"/>
  <c r="P47" i="35" s="1"/>
  <c r="Q47" i="35" a="1"/>
  <c r="Q47" i="35" s="1"/>
  <c r="R47" i="35" a="1"/>
  <c r="R47" i="35" s="1"/>
  <c r="S47" i="35" a="1"/>
  <c r="S47" i="35" s="1"/>
  <c r="T47" i="35" a="1"/>
  <c r="T47" i="35" s="1"/>
  <c r="F48" i="35" a="1"/>
  <c r="F48" i="35" s="1"/>
  <c r="G48" i="35" a="1"/>
  <c r="G48" i="35" s="1"/>
  <c r="H48" i="35" a="1"/>
  <c r="H48" i="35" s="1"/>
  <c r="I48" i="35" a="1"/>
  <c r="I48" i="35" s="1"/>
  <c r="J48" i="35" a="1"/>
  <c r="J48" i="35" s="1"/>
  <c r="K48" i="35" a="1"/>
  <c r="K48" i="35" s="1"/>
  <c r="L48" i="35" a="1"/>
  <c r="L48" i="35" s="1"/>
  <c r="M48" i="35" a="1"/>
  <c r="M48" i="35" s="1"/>
  <c r="N48" i="35" a="1"/>
  <c r="N48" i="35" s="1"/>
  <c r="O48" i="35" a="1"/>
  <c r="O48" i="35" s="1"/>
  <c r="P48" i="35" a="1"/>
  <c r="P48" i="35" s="1"/>
  <c r="Q48" i="35" a="1"/>
  <c r="Q48" i="35" s="1"/>
  <c r="R48" i="35" a="1"/>
  <c r="R48" i="35" s="1"/>
  <c r="S48" i="35" a="1"/>
  <c r="S48" i="35" s="1"/>
  <c r="T48" i="35" a="1"/>
  <c r="T48" i="35" s="1"/>
  <c r="F49" i="35" a="1"/>
  <c r="F49" i="35" s="1"/>
  <c r="G49" i="35" a="1"/>
  <c r="G49" i="35" s="1"/>
  <c r="H49" i="35" a="1"/>
  <c r="H49" i="35" s="1"/>
  <c r="I49" i="35" a="1"/>
  <c r="I49" i="35" s="1"/>
  <c r="J49" i="35" a="1"/>
  <c r="J49" i="35" s="1"/>
  <c r="K49" i="35" a="1"/>
  <c r="K49" i="35" s="1"/>
  <c r="L49" i="35" a="1"/>
  <c r="L49" i="35" s="1"/>
  <c r="M49" i="35" a="1"/>
  <c r="M49" i="35" s="1"/>
  <c r="N49" i="35" a="1"/>
  <c r="N49" i="35" s="1"/>
  <c r="O49" i="35" a="1"/>
  <c r="O49" i="35" s="1"/>
  <c r="P49" i="35" a="1"/>
  <c r="P49" i="35" s="1"/>
  <c r="Q49" i="35" a="1"/>
  <c r="Q49" i="35" s="1"/>
  <c r="R49" i="35" a="1"/>
  <c r="R49" i="35" s="1"/>
  <c r="S49" i="35" a="1"/>
  <c r="S49" i="35" s="1"/>
  <c r="T49" i="35" a="1"/>
  <c r="T49" i="35" s="1"/>
  <c r="F50" i="35" a="1"/>
  <c r="F50" i="35" s="1"/>
  <c r="G50" i="35" a="1"/>
  <c r="G50" i="35" s="1"/>
  <c r="H50" i="35" a="1"/>
  <c r="H50" i="35" s="1"/>
  <c r="I50" i="35" a="1"/>
  <c r="I50" i="35" s="1"/>
  <c r="J50" i="35" a="1"/>
  <c r="J50" i="35" s="1"/>
  <c r="K50" i="35" a="1"/>
  <c r="K50" i="35" s="1"/>
  <c r="L50" i="35" a="1"/>
  <c r="L50" i="35" s="1"/>
  <c r="M50" i="35" a="1"/>
  <c r="M50" i="35" s="1"/>
  <c r="N50" i="35" a="1"/>
  <c r="N50" i="35" s="1"/>
  <c r="O50" i="35" a="1"/>
  <c r="O50" i="35" s="1"/>
  <c r="P50" i="35" a="1"/>
  <c r="P50" i="35" s="1"/>
  <c r="Q50" i="35" a="1"/>
  <c r="Q50" i="35" s="1"/>
  <c r="R50" i="35" a="1"/>
  <c r="R50" i="35" s="1"/>
  <c r="S50" i="35" a="1"/>
  <c r="S50" i="35" s="1"/>
  <c r="T50" i="35" a="1"/>
  <c r="T50" i="35" s="1"/>
  <c r="F51" i="35" a="1"/>
  <c r="F51" i="35" s="1"/>
  <c r="G51" i="35" a="1"/>
  <c r="G51" i="35" s="1"/>
  <c r="H51" i="35" a="1"/>
  <c r="H51" i="35" s="1"/>
  <c r="I51" i="35" a="1"/>
  <c r="I51" i="35" s="1"/>
  <c r="J51" i="35" a="1"/>
  <c r="J51" i="35" s="1"/>
  <c r="K51" i="35" a="1"/>
  <c r="K51" i="35" s="1"/>
  <c r="L51" i="35" a="1"/>
  <c r="L51" i="35" s="1"/>
  <c r="M51" i="35" a="1"/>
  <c r="M51" i="35" s="1"/>
  <c r="N51" i="35" a="1"/>
  <c r="N51" i="35" s="1"/>
  <c r="O51" i="35" a="1"/>
  <c r="O51" i="35" s="1"/>
  <c r="P51" i="35" a="1"/>
  <c r="P51" i="35" s="1"/>
  <c r="Q51" i="35" a="1"/>
  <c r="Q51" i="35" s="1"/>
  <c r="R51" i="35" a="1"/>
  <c r="R51" i="35" s="1"/>
  <c r="S51" i="35" a="1"/>
  <c r="S51" i="35" s="1"/>
  <c r="T51" i="35" a="1"/>
  <c r="T51" i="35" s="1"/>
  <c r="F52" i="35" a="1"/>
  <c r="F52" i="35" s="1"/>
  <c r="G52" i="35" a="1"/>
  <c r="G52" i="35" s="1"/>
  <c r="H52" i="35" a="1"/>
  <c r="H52" i="35" s="1"/>
  <c r="I52" i="35" a="1"/>
  <c r="I52" i="35" s="1"/>
  <c r="J52" i="35" a="1"/>
  <c r="J52" i="35" s="1"/>
  <c r="K52" i="35" a="1"/>
  <c r="K52" i="35" s="1"/>
  <c r="L52" i="35" a="1"/>
  <c r="L52" i="35" s="1"/>
  <c r="M52" i="35" a="1"/>
  <c r="M52" i="35" s="1"/>
  <c r="N52" i="35" a="1"/>
  <c r="N52" i="35" s="1"/>
  <c r="O52" i="35" a="1"/>
  <c r="O52" i="35" s="1"/>
  <c r="P52" i="35" a="1"/>
  <c r="P52" i="35" s="1"/>
  <c r="Q52" i="35" a="1"/>
  <c r="Q52" i="35" s="1"/>
  <c r="R52" i="35" a="1"/>
  <c r="R52" i="35" s="1"/>
  <c r="S52" i="35" a="1"/>
  <c r="S52" i="35" s="1"/>
  <c r="T52" i="35" a="1"/>
  <c r="T52" i="35" s="1"/>
  <c r="F53" i="35" a="1"/>
  <c r="F53" i="35" s="1"/>
  <c r="G53" i="35" a="1"/>
  <c r="G53" i="35" s="1"/>
  <c r="H53" i="35" a="1"/>
  <c r="H53" i="35" s="1"/>
  <c r="I53" i="35" a="1"/>
  <c r="I53" i="35" s="1"/>
  <c r="J53" i="35" a="1"/>
  <c r="J53" i="35" s="1"/>
  <c r="K53" i="35" a="1"/>
  <c r="K53" i="35" s="1"/>
  <c r="L53" i="35" a="1"/>
  <c r="L53" i="35" s="1"/>
  <c r="M53" i="35" a="1"/>
  <c r="M53" i="35" s="1"/>
  <c r="N53" i="35" a="1"/>
  <c r="N53" i="35" s="1"/>
  <c r="O53" i="35" a="1"/>
  <c r="O53" i="35" s="1"/>
  <c r="P53" i="35" a="1"/>
  <c r="P53" i="35" s="1"/>
  <c r="Q53" i="35" a="1"/>
  <c r="Q53" i="35" s="1"/>
  <c r="R53" i="35" a="1"/>
  <c r="R53" i="35" s="1"/>
  <c r="S53" i="35" a="1"/>
  <c r="S53" i="35" s="1"/>
  <c r="T53" i="35" a="1"/>
  <c r="T53" i="35" s="1"/>
  <c r="F54" i="35" a="1"/>
  <c r="F54" i="35" s="1"/>
  <c r="G54" i="35" a="1"/>
  <c r="G54" i="35" s="1"/>
  <c r="H54" i="35" a="1"/>
  <c r="H54" i="35" s="1"/>
  <c r="I54" i="35" a="1"/>
  <c r="I54" i="35" s="1"/>
  <c r="J54" i="35" a="1"/>
  <c r="J54" i="35" s="1"/>
  <c r="K54" i="35" a="1"/>
  <c r="K54" i="35" s="1"/>
  <c r="L54" i="35" a="1"/>
  <c r="L54" i="35" s="1"/>
  <c r="M54" i="35" a="1"/>
  <c r="M54" i="35" s="1"/>
  <c r="N54" i="35" a="1"/>
  <c r="N54" i="35" s="1"/>
  <c r="O54" i="35" a="1"/>
  <c r="O54" i="35" s="1"/>
  <c r="P54" i="35" a="1"/>
  <c r="P54" i="35" s="1"/>
  <c r="Q54" i="35" a="1"/>
  <c r="Q54" i="35" s="1"/>
  <c r="R54" i="35" a="1"/>
  <c r="R54" i="35" s="1"/>
  <c r="S54" i="35" a="1"/>
  <c r="S54" i="35" s="1"/>
  <c r="T54" i="35" a="1"/>
  <c r="T54" i="35" s="1"/>
  <c r="F55" i="35" a="1"/>
  <c r="F55" i="35" s="1"/>
  <c r="G55" i="35" a="1"/>
  <c r="G55" i="35" s="1"/>
  <c r="H55" i="35" a="1"/>
  <c r="H55" i="35" s="1"/>
  <c r="I55" i="35" a="1"/>
  <c r="I55" i="35" s="1"/>
  <c r="J55" i="35" a="1"/>
  <c r="J55" i="35" s="1"/>
  <c r="K55" i="35" a="1"/>
  <c r="K55" i="35" s="1"/>
  <c r="L55" i="35" a="1"/>
  <c r="L55" i="35" s="1"/>
  <c r="M55" i="35" a="1"/>
  <c r="M55" i="35" s="1"/>
  <c r="N55" i="35" a="1"/>
  <c r="N55" i="35" s="1"/>
  <c r="O55" i="35" a="1"/>
  <c r="O55" i="35" s="1"/>
  <c r="P55" i="35" a="1"/>
  <c r="P55" i="35" s="1"/>
  <c r="Q55" i="35" a="1"/>
  <c r="Q55" i="35" s="1"/>
  <c r="R55" i="35" a="1"/>
  <c r="R55" i="35" s="1"/>
  <c r="S55" i="35" a="1"/>
  <c r="S55" i="35" s="1"/>
  <c r="T55" i="35" a="1"/>
  <c r="T55" i="35" s="1"/>
  <c r="F56" i="35" a="1"/>
  <c r="F56" i="35" s="1"/>
  <c r="G56" i="35" a="1"/>
  <c r="G56" i="35" s="1"/>
  <c r="H56" i="35" a="1"/>
  <c r="H56" i="35" s="1"/>
  <c r="I56" i="35" a="1"/>
  <c r="I56" i="35" s="1"/>
  <c r="J56" i="35" a="1"/>
  <c r="J56" i="35" s="1"/>
  <c r="K56" i="35" a="1"/>
  <c r="K56" i="35" s="1"/>
  <c r="L56" i="35" a="1"/>
  <c r="L56" i="35" s="1"/>
  <c r="M56" i="35" a="1"/>
  <c r="M56" i="35" s="1"/>
  <c r="N56" i="35" a="1"/>
  <c r="N56" i="35" s="1"/>
  <c r="O56" i="35" a="1"/>
  <c r="O56" i="35" s="1"/>
  <c r="P56" i="35" a="1"/>
  <c r="P56" i="35" s="1"/>
  <c r="Q56" i="35" a="1"/>
  <c r="Q56" i="35" s="1"/>
  <c r="R56" i="35" a="1"/>
  <c r="R56" i="35" s="1"/>
  <c r="S56" i="35" a="1"/>
  <c r="S56" i="35" s="1"/>
  <c r="T56" i="35" a="1"/>
  <c r="T56" i="35" s="1"/>
  <c r="F57" i="35" a="1"/>
  <c r="F57" i="35" s="1"/>
  <c r="G57" i="35" a="1"/>
  <c r="G57" i="35" s="1"/>
  <c r="H57" i="35" a="1"/>
  <c r="H57" i="35" s="1"/>
  <c r="I57" i="35" a="1"/>
  <c r="I57" i="35" s="1"/>
  <c r="J57" i="35" a="1"/>
  <c r="J57" i="35" s="1"/>
  <c r="K57" i="35" a="1"/>
  <c r="K57" i="35" s="1"/>
  <c r="L57" i="35" a="1"/>
  <c r="L57" i="35" s="1"/>
  <c r="M57" i="35" a="1"/>
  <c r="M57" i="35" s="1"/>
  <c r="N57" i="35" a="1"/>
  <c r="N57" i="35" s="1"/>
  <c r="O57" i="35" a="1"/>
  <c r="O57" i="35" s="1"/>
  <c r="P57" i="35" a="1"/>
  <c r="P57" i="35" s="1"/>
  <c r="Q57" i="35" a="1"/>
  <c r="Q57" i="35" s="1"/>
  <c r="R57" i="35" a="1"/>
  <c r="R57" i="35" s="1"/>
  <c r="S57" i="35" a="1"/>
  <c r="S57" i="35" s="1"/>
  <c r="T57" i="35" a="1"/>
  <c r="T57" i="35" s="1"/>
  <c r="F58" i="35" a="1"/>
  <c r="F58" i="35" s="1"/>
  <c r="G58" i="35" a="1"/>
  <c r="G58" i="35" s="1"/>
  <c r="H58" i="35" a="1"/>
  <c r="H58" i="35" s="1"/>
  <c r="I58" i="35" a="1"/>
  <c r="I58" i="35" s="1"/>
  <c r="J58" i="35" a="1"/>
  <c r="J58" i="35" s="1"/>
  <c r="K58" i="35" a="1"/>
  <c r="K58" i="35" s="1"/>
  <c r="L58" i="35" a="1"/>
  <c r="L58" i="35" s="1"/>
  <c r="M58" i="35" a="1"/>
  <c r="M58" i="35" s="1"/>
  <c r="N58" i="35" a="1"/>
  <c r="N58" i="35" s="1"/>
  <c r="O58" i="35" a="1"/>
  <c r="O58" i="35" s="1"/>
  <c r="P58" i="35" a="1"/>
  <c r="P58" i="35" s="1"/>
  <c r="Q58" i="35" a="1"/>
  <c r="Q58" i="35" s="1"/>
  <c r="R58" i="35" a="1"/>
  <c r="R58" i="35" s="1"/>
  <c r="S58" i="35" a="1"/>
  <c r="S58" i="35" s="1"/>
  <c r="T58" i="35" a="1"/>
  <c r="T58" i="35" s="1"/>
  <c r="F59" i="35" a="1"/>
  <c r="F59" i="35" s="1"/>
  <c r="G59" i="35" a="1"/>
  <c r="G59" i="35" s="1"/>
  <c r="H59" i="35" a="1"/>
  <c r="H59" i="35" s="1"/>
  <c r="I59" i="35" a="1"/>
  <c r="I59" i="35" s="1"/>
  <c r="J59" i="35" a="1"/>
  <c r="J59" i="35" s="1"/>
  <c r="K59" i="35" a="1"/>
  <c r="K59" i="35" s="1"/>
  <c r="L59" i="35" a="1"/>
  <c r="L59" i="35" s="1"/>
  <c r="M59" i="35" a="1"/>
  <c r="M59" i="35" s="1"/>
  <c r="N59" i="35" a="1"/>
  <c r="N59" i="35" s="1"/>
  <c r="O59" i="35" a="1"/>
  <c r="O59" i="35" s="1"/>
  <c r="P59" i="35" a="1"/>
  <c r="P59" i="35" s="1"/>
  <c r="Q59" i="35" a="1"/>
  <c r="Q59" i="35" s="1"/>
  <c r="R59" i="35" a="1"/>
  <c r="R59" i="35" s="1"/>
  <c r="S59" i="35" a="1"/>
  <c r="S59" i="35" s="1"/>
  <c r="T59" i="35" a="1"/>
  <c r="T59" i="35" s="1"/>
  <c r="F60" i="35" a="1"/>
  <c r="F60" i="35" s="1"/>
  <c r="G60" i="35" a="1"/>
  <c r="G60" i="35" s="1"/>
  <c r="H60" i="35" a="1"/>
  <c r="H60" i="35" s="1"/>
  <c r="I60" i="35" a="1"/>
  <c r="I60" i="35" s="1"/>
  <c r="J60" i="35" a="1"/>
  <c r="J60" i="35" s="1"/>
  <c r="K60" i="35" a="1"/>
  <c r="K60" i="35" s="1"/>
  <c r="L60" i="35" a="1"/>
  <c r="L60" i="35" s="1"/>
  <c r="M60" i="35" a="1"/>
  <c r="M60" i="35" s="1"/>
  <c r="N60" i="35" a="1"/>
  <c r="N60" i="35" s="1"/>
  <c r="O60" i="35" a="1"/>
  <c r="O60" i="35" s="1"/>
  <c r="P60" i="35" a="1"/>
  <c r="P60" i="35" s="1"/>
  <c r="Q60" i="35" a="1"/>
  <c r="Q60" i="35" s="1"/>
  <c r="R60" i="35" a="1"/>
  <c r="R60" i="35" s="1"/>
  <c r="S60" i="35" a="1"/>
  <c r="S60" i="35" s="1"/>
  <c r="T60" i="35" a="1"/>
  <c r="T60" i="35" s="1"/>
  <c r="F61" i="35" a="1"/>
  <c r="F61" i="35" s="1"/>
  <c r="G61" i="35" a="1"/>
  <c r="G61" i="35" s="1"/>
  <c r="H61" i="35" a="1"/>
  <c r="H61" i="35" s="1"/>
  <c r="I61" i="35" a="1"/>
  <c r="I61" i="35" s="1"/>
  <c r="J61" i="35" a="1"/>
  <c r="J61" i="35" s="1"/>
  <c r="K61" i="35" a="1"/>
  <c r="K61" i="35" s="1"/>
  <c r="L61" i="35" a="1"/>
  <c r="L61" i="35" s="1"/>
  <c r="M61" i="35" a="1"/>
  <c r="M61" i="35" s="1"/>
  <c r="N61" i="35" a="1"/>
  <c r="N61" i="35" s="1"/>
  <c r="O61" i="35" a="1"/>
  <c r="O61" i="35" s="1"/>
  <c r="P61" i="35" a="1"/>
  <c r="P61" i="35" s="1"/>
  <c r="Q61" i="35" a="1"/>
  <c r="Q61" i="35" s="1"/>
  <c r="R61" i="35" a="1"/>
  <c r="R61" i="35" s="1"/>
  <c r="S61" i="35" a="1"/>
  <c r="S61" i="35" s="1"/>
  <c r="T61" i="35" a="1"/>
  <c r="T61" i="35" s="1"/>
  <c r="F62" i="35" a="1"/>
  <c r="F62" i="35" s="1"/>
  <c r="G62" i="35" a="1"/>
  <c r="G62" i="35" s="1"/>
  <c r="H62" i="35" a="1"/>
  <c r="H62" i="35" s="1"/>
  <c r="I62" i="35" a="1"/>
  <c r="I62" i="35" s="1"/>
  <c r="J62" i="35" a="1"/>
  <c r="J62" i="35" s="1"/>
  <c r="K62" i="35" a="1"/>
  <c r="K62" i="35" s="1"/>
  <c r="L62" i="35" a="1"/>
  <c r="L62" i="35" s="1"/>
  <c r="M62" i="35" a="1"/>
  <c r="M62" i="35" s="1"/>
  <c r="N62" i="35" a="1"/>
  <c r="N62" i="35" s="1"/>
  <c r="O62" i="35" a="1"/>
  <c r="O62" i="35" s="1"/>
  <c r="P62" i="35" a="1"/>
  <c r="P62" i="35" s="1"/>
  <c r="Q62" i="35" a="1"/>
  <c r="Q62" i="35" s="1"/>
  <c r="R62" i="35" a="1"/>
  <c r="R62" i="35" s="1"/>
  <c r="S62" i="35" a="1"/>
  <c r="S62" i="35" s="1"/>
  <c r="T62" i="35" a="1"/>
  <c r="T62" i="35" s="1"/>
  <c r="F63" i="35" a="1"/>
  <c r="F63" i="35" s="1"/>
  <c r="G63" i="35" a="1"/>
  <c r="G63" i="35" s="1"/>
  <c r="H63" i="35" a="1"/>
  <c r="H63" i="35" s="1"/>
  <c r="I63" i="35" a="1"/>
  <c r="I63" i="35" s="1"/>
  <c r="J63" i="35" a="1"/>
  <c r="J63" i="35" s="1"/>
  <c r="K63" i="35" a="1"/>
  <c r="K63" i="35" s="1"/>
  <c r="L63" i="35" a="1"/>
  <c r="L63" i="35" s="1"/>
  <c r="M63" i="35" a="1"/>
  <c r="M63" i="35" s="1"/>
  <c r="N63" i="35" a="1"/>
  <c r="N63" i="35" s="1"/>
  <c r="O63" i="35" a="1"/>
  <c r="O63" i="35" s="1"/>
  <c r="P63" i="35" a="1"/>
  <c r="P63" i="35" s="1"/>
  <c r="Q63" i="35" a="1"/>
  <c r="Q63" i="35" s="1"/>
  <c r="R63" i="35" a="1"/>
  <c r="R63" i="35" s="1"/>
  <c r="S63" i="35" a="1"/>
  <c r="S63" i="35" s="1"/>
  <c r="T63" i="35" a="1"/>
  <c r="T63" i="35" s="1"/>
  <c r="F64" i="35" a="1"/>
  <c r="F64" i="35" s="1"/>
  <c r="G64" i="35" a="1"/>
  <c r="G64" i="35" s="1"/>
  <c r="H64" i="35" a="1"/>
  <c r="H64" i="35" s="1"/>
  <c r="I64" i="35" a="1"/>
  <c r="I64" i="35" s="1"/>
  <c r="J64" i="35" a="1"/>
  <c r="J64" i="35" s="1"/>
  <c r="K64" i="35" a="1"/>
  <c r="K64" i="35" s="1"/>
  <c r="L64" i="35" a="1"/>
  <c r="L64" i="35" s="1"/>
  <c r="M64" i="35" a="1"/>
  <c r="M64" i="35" s="1"/>
  <c r="N64" i="35" a="1"/>
  <c r="N64" i="35" s="1"/>
  <c r="O64" i="35" a="1"/>
  <c r="O64" i="35" s="1"/>
  <c r="P64" i="35" a="1"/>
  <c r="P64" i="35" s="1"/>
  <c r="Q64" i="35" a="1"/>
  <c r="Q64" i="35" s="1"/>
  <c r="R64" i="35" a="1"/>
  <c r="R64" i="35" s="1"/>
  <c r="S64" i="35" a="1"/>
  <c r="S64" i="35" s="1"/>
  <c r="T64" i="35" a="1"/>
  <c r="T64" i="35" s="1"/>
  <c r="F65" i="35" a="1"/>
  <c r="F65" i="35" s="1"/>
  <c r="G65" i="35" a="1"/>
  <c r="G65" i="35" s="1"/>
  <c r="H65" i="35" a="1"/>
  <c r="H65" i="35" s="1"/>
  <c r="I65" i="35" a="1"/>
  <c r="I65" i="35" s="1"/>
  <c r="J65" i="35" a="1"/>
  <c r="J65" i="35" s="1"/>
  <c r="K65" i="35" a="1"/>
  <c r="K65" i="35" s="1"/>
  <c r="L65" i="35" a="1"/>
  <c r="L65" i="35" s="1"/>
  <c r="M65" i="35" a="1"/>
  <c r="M65" i="35" s="1"/>
  <c r="N65" i="35" a="1"/>
  <c r="N65" i="35" s="1"/>
  <c r="O65" i="35" a="1"/>
  <c r="O65" i="35" s="1"/>
  <c r="P65" i="35" a="1"/>
  <c r="P65" i="35" s="1"/>
  <c r="Q65" i="35" a="1"/>
  <c r="Q65" i="35" s="1"/>
  <c r="R65" i="35" a="1"/>
  <c r="R65" i="35" s="1"/>
  <c r="S65" i="35" a="1"/>
  <c r="S65" i="35" s="1"/>
  <c r="T65" i="35" a="1"/>
  <c r="T65" i="35" s="1"/>
  <c r="F66" i="35" a="1"/>
  <c r="F66" i="35" s="1"/>
  <c r="G66" i="35" a="1"/>
  <c r="G66" i="35" s="1"/>
  <c r="H66" i="35" a="1"/>
  <c r="H66" i="35" s="1"/>
  <c r="I66" i="35" a="1"/>
  <c r="I66" i="35" s="1"/>
  <c r="J66" i="35" a="1"/>
  <c r="J66" i="35" s="1"/>
  <c r="K66" i="35" a="1"/>
  <c r="K66" i="35" s="1"/>
  <c r="L66" i="35" a="1"/>
  <c r="L66" i="35" s="1"/>
  <c r="M66" i="35" a="1"/>
  <c r="M66" i="35" s="1"/>
  <c r="N66" i="35" a="1"/>
  <c r="N66" i="35" s="1"/>
  <c r="O66" i="35" a="1"/>
  <c r="O66" i="35" s="1"/>
  <c r="P66" i="35" a="1"/>
  <c r="P66" i="35" s="1"/>
  <c r="Q66" i="35" a="1"/>
  <c r="Q66" i="35" s="1"/>
  <c r="R66" i="35" a="1"/>
  <c r="R66" i="35" s="1"/>
  <c r="S66" i="35" a="1"/>
  <c r="S66" i="35" s="1"/>
  <c r="T66" i="35" a="1"/>
  <c r="T66" i="35" s="1"/>
  <c r="F67" i="35" a="1"/>
  <c r="F67" i="35" s="1"/>
  <c r="G67" i="35" a="1"/>
  <c r="G67" i="35" s="1"/>
  <c r="H67" i="35" a="1"/>
  <c r="H67" i="35" s="1"/>
  <c r="I67" i="35" a="1"/>
  <c r="I67" i="35" s="1"/>
  <c r="J67" i="35" a="1"/>
  <c r="J67" i="35" s="1"/>
  <c r="K67" i="35" a="1"/>
  <c r="K67" i="35" s="1"/>
  <c r="L67" i="35" a="1"/>
  <c r="L67" i="35" s="1"/>
  <c r="M67" i="35" a="1"/>
  <c r="M67" i="35" s="1"/>
  <c r="N67" i="35" a="1"/>
  <c r="N67" i="35" s="1"/>
  <c r="O67" i="35" a="1"/>
  <c r="O67" i="35" s="1"/>
  <c r="P67" i="35" a="1"/>
  <c r="P67" i="35" s="1"/>
  <c r="Q67" i="35" a="1"/>
  <c r="Q67" i="35" s="1"/>
  <c r="R67" i="35" a="1"/>
  <c r="R67" i="35" s="1"/>
  <c r="S67" i="35" a="1"/>
  <c r="S67" i="35" s="1"/>
  <c r="T67" i="35" a="1"/>
  <c r="T67" i="35" s="1"/>
  <c r="F68" i="35" a="1"/>
  <c r="F68" i="35" s="1"/>
  <c r="G68" i="35" a="1"/>
  <c r="G68" i="35" s="1"/>
  <c r="H68" i="35" a="1"/>
  <c r="H68" i="35" s="1"/>
  <c r="I68" i="35" a="1"/>
  <c r="I68" i="35" s="1"/>
  <c r="J68" i="35" a="1"/>
  <c r="J68" i="35" s="1"/>
  <c r="K68" i="35" a="1"/>
  <c r="K68" i="35" s="1"/>
  <c r="L68" i="35" a="1"/>
  <c r="L68" i="35" s="1"/>
  <c r="M68" i="35" a="1"/>
  <c r="M68" i="35" s="1"/>
  <c r="N68" i="35" a="1"/>
  <c r="N68" i="35" s="1"/>
  <c r="O68" i="35" a="1"/>
  <c r="O68" i="35" s="1"/>
  <c r="P68" i="35" a="1"/>
  <c r="P68" i="35" s="1"/>
  <c r="Q68" i="35" a="1"/>
  <c r="Q68" i="35" s="1"/>
  <c r="R68" i="35" a="1"/>
  <c r="R68" i="35" s="1"/>
  <c r="S68" i="35" a="1"/>
  <c r="S68" i="35" s="1"/>
  <c r="T68" i="35" a="1"/>
  <c r="T68" i="35" s="1"/>
  <c r="F69" i="35" a="1"/>
  <c r="F69" i="35" s="1"/>
  <c r="G69" i="35" a="1"/>
  <c r="G69" i="35" s="1"/>
  <c r="H69" i="35" a="1"/>
  <c r="H69" i="35" s="1"/>
  <c r="I69" i="35" a="1"/>
  <c r="I69" i="35" s="1"/>
  <c r="J69" i="35" a="1"/>
  <c r="J69" i="35" s="1"/>
  <c r="K69" i="35" a="1"/>
  <c r="K69" i="35" s="1"/>
  <c r="L69" i="35" a="1"/>
  <c r="L69" i="35" s="1"/>
  <c r="M69" i="35" a="1"/>
  <c r="M69" i="35" s="1"/>
  <c r="N69" i="35" a="1"/>
  <c r="N69" i="35" s="1"/>
  <c r="O69" i="35" a="1"/>
  <c r="O69" i="35" s="1"/>
  <c r="P69" i="35" a="1"/>
  <c r="P69" i="35" s="1"/>
  <c r="Q69" i="35" a="1"/>
  <c r="Q69" i="35" s="1"/>
  <c r="R69" i="35" a="1"/>
  <c r="R69" i="35" s="1"/>
  <c r="S69" i="35" a="1"/>
  <c r="S69" i="35" s="1"/>
  <c r="T69" i="35" a="1"/>
  <c r="T69" i="35" s="1"/>
  <c r="F70" i="35" a="1"/>
  <c r="F70" i="35" s="1"/>
  <c r="G70" i="35" a="1"/>
  <c r="G70" i="35" s="1"/>
  <c r="H70" i="35" a="1"/>
  <c r="H70" i="35" s="1"/>
  <c r="I70" i="35" a="1"/>
  <c r="I70" i="35" s="1"/>
  <c r="J70" i="35" a="1"/>
  <c r="J70" i="35" s="1"/>
  <c r="K70" i="35" a="1"/>
  <c r="K70" i="35" s="1"/>
  <c r="L70" i="35" a="1"/>
  <c r="L70" i="35" s="1"/>
  <c r="M70" i="35" a="1"/>
  <c r="M70" i="35" s="1"/>
  <c r="N70" i="35" a="1"/>
  <c r="N70" i="35" s="1"/>
  <c r="O70" i="35" a="1"/>
  <c r="O70" i="35" s="1"/>
  <c r="P70" i="35" a="1"/>
  <c r="P70" i="35" s="1"/>
  <c r="Q70" i="35" a="1"/>
  <c r="Q70" i="35" s="1"/>
  <c r="R70" i="35" a="1"/>
  <c r="R70" i="35" s="1"/>
  <c r="S70" i="35" a="1"/>
  <c r="S70" i="35" s="1"/>
  <c r="T70" i="35" a="1"/>
  <c r="T70" i="35" s="1"/>
  <c r="F71" i="35" a="1"/>
  <c r="F71" i="35" s="1"/>
  <c r="G71" i="35" a="1"/>
  <c r="G71" i="35" s="1"/>
  <c r="H71" i="35" a="1"/>
  <c r="H71" i="35" s="1"/>
  <c r="I71" i="35" a="1"/>
  <c r="I71" i="35" s="1"/>
  <c r="J71" i="35" a="1"/>
  <c r="J71" i="35" s="1"/>
  <c r="K71" i="35" a="1"/>
  <c r="K71" i="35" s="1"/>
  <c r="L71" i="35" a="1"/>
  <c r="L71" i="35" s="1"/>
  <c r="M71" i="35" a="1"/>
  <c r="M71" i="35" s="1"/>
  <c r="N71" i="35" a="1"/>
  <c r="N71" i="35" s="1"/>
  <c r="O71" i="35" a="1"/>
  <c r="O71" i="35" s="1"/>
  <c r="P71" i="35" a="1"/>
  <c r="P71" i="35" s="1"/>
  <c r="Q71" i="35" a="1"/>
  <c r="Q71" i="35" s="1"/>
  <c r="R71" i="35" a="1"/>
  <c r="R71" i="35" s="1"/>
  <c r="S71" i="35" a="1"/>
  <c r="S71" i="35" s="1"/>
  <c r="T71" i="35" a="1"/>
  <c r="T71" i="35" s="1"/>
  <c r="F72" i="35" a="1"/>
  <c r="F72" i="35" s="1"/>
  <c r="G72" i="35" a="1"/>
  <c r="G72" i="35" s="1"/>
  <c r="H72" i="35" a="1"/>
  <c r="H72" i="35" s="1"/>
  <c r="I72" i="35" a="1"/>
  <c r="I72" i="35" s="1"/>
  <c r="J72" i="35" a="1"/>
  <c r="J72" i="35" s="1"/>
  <c r="K72" i="35" a="1"/>
  <c r="K72" i="35" s="1"/>
  <c r="L72" i="35" a="1"/>
  <c r="L72" i="35" s="1"/>
  <c r="M72" i="35" a="1"/>
  <c r="M72" i="35" s="1"/>
  <c r="N72" i="35" a="1"/>
  <c r="N72" i="35" s="1"/>
  <c r="O72" i="35" a="1"/>
  <c r="O72" i="35" s="1"/>
  <c r="P72" i="35" a="1"/>
  <c r="P72" i="35" s="1"/>
  <c r="Q72" i="35" a="1"/>
  <c r="Q72" i="35" s="1"/>
  <c r="R72" i="35" a="1"/>
  <c r="R72" i="35" s="1"/>
  <c r="S72" i="35" a="1"/>
  <c r="S72" i="35" s="1"/>
  <c r="T72" i="35" a="1"/>
  <c r="T72" i="35" s="1"/>
  <c r="F73" i="35" a="1"/>
  <c r="F73" i="35" s="1"/>
  <c r="G73" i="35" a="1"/>
  <c r="G73" i="35" s="1"/>
  <c r="H73" i="35" a="1"/>
  <c r="H73" i="35" s="1"/>
  <c r="I73" i="35" a="1"/>
  <c r="I73" i="35" s="1"/>
  <c r="J73" i="35" a="1"/>
  <c r="J73" i="35" s="1"/>
  <c r="K73" i="35" a="1"/>
  <c r="K73" i="35" s="1"/>
  <c r="L73" i="35" a="1"/>
  <c r="L73" i="35" s="1"/>
  <c r="M73" i="35" a="1"/>
  <c r="M73" i="35" s="1"/>
  <c r="N73" i="35" a="1"/>
  <c r="N73" i="35" s="1"/>
  <c r="O73" i="35" a="1"/>
  <c r="O73" i="35" s="1"/>
  <c r="P73" i="35" a="1"/>
  <c r="P73" i="35" s="1"/>
  <c r="Q73" i="35" a="1"/>
  <c r="Q73" i="35" s="1"/>
  <c r="R73" i="35" a="1"/>
  <c r="R73" i="35" s="1"/>
  <c r="S73" i="35" a="1"/>
  <c r="S73" i="35" s="1"/>
  <c r="T73" i="35" a="1"/>
  <c r="T73" i="35" s="1"/>
  <c r="F74" i="35" a="1"/>
  <c r="F74" i="35" s="1"/>
  <c r="G74" i="35" a="1"/>
  <c r="G74" i="35" s="1"/>
  <c r="H74" i="35" a="1"/>
  <c r="H74" i="35" s="1"/>
  <c r="I74" i="35" a="1"/>
  <c r="I74" i="35" s="1"/>
  <c r="J74" i="35" a="1"/>
  <c r="J74" i="35" s="1"/>
  <c r="K74" i="35" a="1"/>
  <c r="K74" i="35" s="1"/>
  <c r="L74" i="35" a="1"/>
  <c r="L74" i="35" s="1"/>
  <c r="M74" i="35" a="1"/>
  <c r="M74" i="35" s="1"/>
  <c r="N74" i="35" a="1"/>
  <c r="N74" i="35" s="1"/>
  <c r="O74" i="35" a="1"/>
  <c r="O74" i="35" s="1"/>
  <c r="P74" i="35" a="1"/>
  <c r="P74" i="35" s="1"/>
  <c r="Q74" i="35" a="1"/>
  <c r="Q74" i="35" s="1"/>
  <c r="R74" i="35" a="1"/>
  <c r="R74" i="35" s="1"/>
  <c r="S74" i="35" a="1"/>
  <c r="S74" i="35" s="1"/>
  <c r="T74" i="35" a="1"/>
  <c r="T74" i="35" s="1"/>
  <c r="F75" i="35" a="1"/>
  <c r="F75" i="35" s="1"/>
  <c r="G75" i="35" a="1"/>
  <c r="G75" i="35" s="1"/>
  <c r="H75" i="35" a="1"/>
  <c r="H75" i="35" s="1"/>
  <c r="I75" i="35" a="1"/>
  <c r="I75" i="35" s="1"/>
  <c r="J75" i="35" a="1"/>
  <c r="J75" i="35" s="1"/>
  <c r="K75" i="35" a="1"/>
  <c r="K75" i="35" s="1"/>
  <c r="L75" i="35" a="1"/>
  <c r="L75" i="35" s="1"/>
  <c r="M75" i="35" a="1"/>
  <c r="M75" i="35" s="1"/>
  <c r="N75" i="35" a="1"/>
  <c r="N75" i="35" s="1"/>
  <c r="O75" i="35" a="1"/>
  <c r="O75" i="35" s="1"/>
  <c r="P75" i="35" a="1"/>
  <c r="P75" i="35" s="1"/>
  <c r="Q75" i="35" a="1"/>
  <c r="Q75" i="35" s="1"/>
  <c r="R75" i="35" a="1"/>
  <c r="R75" i="35" s="1"/>
  <c r="S75" i="35" a="1"/>
  <c r="S75" i="35" s="1"/>
  <c r="T75" i="35" a="1"/>
  <c r="T75" i="35" s="1"/>
  <c r="F76" i="35" a="1"/>
  <c r="F76" i="35" s="1"/>
  <c r="G76" i="35" a="1"/>
  <c r="G76" i="35" s="1"/>
  <c r="H76" i="35" a="1"/>
  <c r="H76" i="35" s="1"/>
  <c r="I76" i="35" a="1"/>
  <c r="I76" i="35" s="1"/>
  <c r="J76" i="35" a="1"/>
  <c r="J76" i="35" s="1"/>
  <c r="K76" i="35" a="1"/>
  <c r="K76" i="35" s="1"/>
  <c r="L76" i="35" a="1"/>
  <c r="L76" i="35" s="1"/>
  <c r="M76" i="35" a="1"/>
  <c r="M76" i="35" s="1"/>
  <c r="N76" i="35" a="1"/>
  <c r="N76" i="35" s="1"/>
  <c r="O76" i="35" a="1"/>
  <c r="O76" i="35" s="1"/>
  <c r="P76" i="35" a="1"/>
  <c r="P76" i="35" s="1"/>
  <c r="Q76" i="35" a="1"/>
  <c r="Q76" i="35" s="1"/>
  <c r="R76" i="35" a="1"/>
  <c r="R76" i="35" s="1"/>
  <c r="S76" i="35" a="1"/>
  <c r="S76" i="35" s="1"/>
  <c r="T76" i="35" a="1"/>
  <c r="T76" i="35" s="1"/>
  <c r="F77" i="35" a="1"/>
  <c r="F77" i="35" s="1"/>
  <c r="G77" i="35" a="1"/>
  <c r="G77" i="35" s="1"/>
  <c r="H77" i="35" a="1"/>
  <c r="H77" i="35" s="1"/>
  <c r="I77" i="35" a="1"/>
  <c r="I77" i="35" s="1"/>
  <c r="J77" i="35" a="1"/>
  <c r="J77" i="35" s="1"/>
  <c r="K77" i="35" a="1"/>
  <c r="K77" i="35" s="1"/>
  <c r="L77" i="35" a="1"/>
  <c r="L77" i="35" s="1"/>
  <c r="M77" i="35" a="1"/>
  <c r="M77" i="35" s="1"/>
  <c r="N77" i="35" a="1"/>
  <c r="N77" i="35" s="1"/>
  <c r="O77" i="35" a="1"/>
  <c r="O77" i="35" s="1"/>
  <c r="P77" i="35" a="1"/>
  <c r="P77" i="35" s="1"/>
  <c r="Q77" i="35" a="1"/>
  <c r="Q77" i="35" s="1"/>
  <c r="R77" i="35" a="1"/>
  <c r="R77" i="35" s="1"/>
  <c r="S77" i="35" a="1"/>
  <c r="S77" i="35" s="1"/>
  <c r="T77" i="35" a="1"/>
  <c r="T77" i="35" s="1"/>
  <c r="F78" i="35" a="1"/>
  <c r="F78" i="35" s="1"/>
  <c r="G78" i="35" a="1"/>
  <c r="G78" i="35" s="1"/>
  <c r="H78" i="35" a="1"/>
  <c r="H78" i="35" s="1"/>
  <c r="I78" i="35" a="1"/>
  <c r="I78" i="35" s="1"/>
  <c r="J78" i="35" a="1"/>
  <c r="J78" i="35" s="1"/>
  <c r="K78" i="35" a="1"/>
  <c r="K78" i="35" s="1"/>
  <c r="L78" i="35" a="1"/>
  <c r="L78" i="35" s="1"/>
  <c r="M78" i="35" a="1"/>
  <c r="M78" i="35" s="1"/>
  <c r="N78" i="35" a="1"/>
  <c r="N78" i="35" s="1"/>
  <c r="O78" i="35" a="1"/>
  <c r="O78" i="35" s="1"/>
  <c r="P78" i="35" a="1"/>
  <c r="P78" i="35" s="1"/>
  <c r="Q78" i="35" a="1"/>
  <c r="Q78" i="35" s="1"/>
  <c r="R78" i="35" a="1"/>
  <c r="R78" i="35" s="1"/>
  <c r="S78" i="35" a="1"/>
  <c r="S78" i="35" s="1"/>
  <c r="T78" i="35" a="1"/>
  <c r="T78" i="35" s="1"/>
  <c r="F79" i="35" a="1"/>
  <c r="F79" i="35" s="1"/>
  <c r="G79" i="35" a="1"/>
  <c r="G79" i="35" s="1"/>
  <c r="H79" i="35" a="1"/>
  <c r="H79" i="35" s="1"/>
  <c r="I79" i="35" a="1"/>
  <c r="I79" i="35" s="1"/>
  <c r="J79" i="35" a="1"/>
  <c r="J79" i="35" s="1"/>
  <c r="K79" i="35" a="1"/>
  <c r="K79" i="35" s="1"/>
  <c r="L79" i="35" a="1"/>
  <c r="L79" i="35" s="1"/>
  <c r="M79" i="35" a="1"/>
  <c r="M79" i="35" s="1"/>
  <c r="N79" i="35" a="1"/>
  <c r="N79" i="35" s="1"/>
  <c r="O79" i="35" a="1"/>
  <c r="O79" i="35" s="1"/>
  <c r="P79" i="35" a="1"/>
  <c r="P79" i="35" s="1"/>
  <c r="Q79" i="35" a="1"/>
  <c r="Q79" i="35" s="1"/>
  <c r="R79" i="35" a="1"/>
  <c r="R79" i="35" s="1"/>
  <c r="S79" i="35" a="1"/>
  <c r="S79" i="35" s="1"/>
  <c r="T79" i="35" a="1"/>
  <c r="T79" i="35" s="1"/>
  <c r="F80" i="35" a="1"/>
  <c r="F80" i="35" s="1"/>
  <c r="G80" i="35" a="1"/>
  <c r="G80" i="35" s="1"/>
  <c r="H80" i="35" a="1"/>
  <c r="H80" i="35" s="1"/>
  <c r="I80" i="35" a="1"/>
  <c r="I80" i="35" s="1"/>
  <c r="J80" i="35" a="1"/>
  <c r="J80" i="35" s="1"/>
  <c r="K80" i="35" a="1"/>
  <c r="K80" i="35" s="1"/>
  <c r="L80" i="35" a="1"/>
  <c r="L80" i="35" s="1"/>
  <c r="M80" i="35" a="1"/>
  <c r="M80" i="35" s="1"/>
  <c r="N80" i="35" a="1"/>
  <c r="N80" i="35" s="1"/>
  <c r="O80" i="35" a="1"/>
  <c r="O80" i="35" s="1"/>
  <c r="P80" i="35" a="1"/>
  <c r="P80" i="35" s="1"/>
  <c r="Q80" i="35" a="1"/>
  <c r="Q80" i="35" s="1"/>
  <c r="R80" i="35" a="1"/>
  <c r="R80" i="35" s="1"/>
  <c r="S80" i="35" a="1"/>
  <c r="S80" i="35" s="1"/>
  <c r="T80" i="35" a="1"/>
  <c r="T80" i="35" s="1"/>
  <c r="F81" i="35" a="1"/>
  <c r="F81" i="35" s="1"/>
  <c r="G81" i="35" a="1"/>
  <c r="G81" i="35" s="1"/>
  <c r="H81" i="35" a="1"/>
  <c r="H81" i="35" s="1"/>
  <c r="I81" i="35" a="1"/>
  <c r="I81" i="35" s="1"/>
  <c r="J81" i="35" a="1"/>
  <c r="J81" i="35" s="1"/>
  <c r="K81" i="35" a="1"/>
  <c r="K81" i="35" s="1"/>
  <c r="L81" i="35" a="1"/>
  <c r="L81" i="35" s="1"/>
  <c r="M81" i="35" a="1"/>
  <c r="M81" i="35" s="1"/>
  <c r="N81" i="35" a="1"/>
  <c r="N81" i="35" s="1"/>
  <c r="O81" i="35" a="1"/>
  <c r="O81" i="35" s="1"/>
  <c r="P81" i="35" a="1"/>
  <c r="P81" i="35" s="1"/>
  <c r="Q81" i="35" a="1"/>
  <c r="Q81" i="35" s="1"/>
  <c r="R81" i="35" a="1"/>
  <c r="R81" i="35" s="1"/>
  <c r="S81" i="35" a="1"/>
  <c r="S81" i="35" s="1"/>
  <c r="T81" i="35" a="1"/>
  <c r="T81" i="35" s="1"/>
  <c r="F82" i="35" a="1"/>
  <c r="F82" i="35" s="1"/>
  <c r="G82" i="35" a="1"/>
  <c r="G82" i="35" s="1"/>
  <c r="H82" i="35" a="1"/>
  <c r="H82" i="35" s="1"/>
  <c r="I82" i="35" a="1"/>
  <c r="I82" i="35" s="1"/>
  <c r="J82" i="35" a="1"/>
  <c r="J82" i="35" s="1"/>
  <c r="K82" i="35" a="1"/>
  <c r="K82" i="35" s="1"/>
  <c r="L82" i="35" a="1"/>
  <c r="L82" i="35" s="1"/>
  <c r="M82" i="35" a="1"/>
  <c r="M82" i="35" s="1"/>
  <c r="N82" i="35" a="1"/>
  <c r="N82" i="35" s="1"/>
  <c r="O82" i="35" a="1"/>
  <c r="O82" i="35" s="1"/>
  <c r="P82" i="35" a="1"/>
  <c r="P82" i="35" s="1"/>
  <c r="Q82" i="35" a="1"/>
  <c r="Q82" i="35" s="1"/>
  <c r="R82" i="35" a="1"/>
  <c r="R82" i="35" s="1"/>
  <c r="S82" i="35" a="1"/>
  <c r="S82" i="35" s="1"/>
  <c r="T82" i="35" a="1"/>
  <c r="T82" i="35" s="1"/>
  <c r="F83" i="35" a="1"/>
  <c r="F83" i="35" s="1"/>
  <c r="G83" i="35" a="1"/>
  <c r="G83" i="35" s="1"/>
  <c r="H83" i="35" a="1"/>
  <c r="H83" i="35" s="1"/>
  <c r="I83" i="35" a="1"/>
  <c r="I83" i="35" s="1"/>
  <c r="J83" i="35" a="1"/>
  <c r="J83" i="35" s="1"/>
  <c r="K83" i="35" a="1"/>
  <c r="K83" i="35" s="1"/>
  <c r="L83" i="35" a="1"/>
  <c r="L83" i="35" s="1"/>
  <c r="M83" i="35" a="1"/>
  <c r="M83" i="35" s="1"/>
  <c r="N83" i="35" a="1"/>
  <c r="N83" i="35" s="1"/>
  <c r="O83" i="35" a="1"/>
  <c r="O83" i="35" s="1"/>
  <c r="P83" i="35" a="1"/>
  <c r="P83" i="35" s="1"/>
  <c r="Q83" i="35" a="1"/>
  <c r="Q83" i="35" s="1"/>
  <c r="R83" i="35" a="1"/>
  <c r="R83" i="35" s="1"/>
  <c r="S83" i="35" a="1"/>
  <c r="S83" i="35" s="1"/>
  <c r="T83" i="35" a="1"/>
  <c r="T83" i="35" s="1"/>
  <c r="F84" i="35" a="1"/>
  <c r="F84" i="35" s="1"/>
  <c r="G84" i="35" a="1"/>
  <c r="G84" i="35" s="1"/>
  <c r="H84" i="35" a="1"/>
  <c r="H84" i="35" s="1"/>
  <c r="I84" i="35" a="1"/>
  <c r="I84" i="35" s="1"/>
  <c r="J84" i="35" a="1"/>
  <c r="J84" i="35" s="1"/>
  <c r="K84" i="35" a="1"/>
  <c r="K84" i="35" s="1"/>
  <c r="L84" i="35" a="1"/>
  <c r="L84" i="35" s="1"/>
  <c r="M84" i="35" a="1"/>
  <c r="M84" i="35" s="1"/>
  <c r="N84" i="35" a="1"/>
  <c r="N84" i="35" s="1"/>
  <c r="O84" i="35" a="1"/>
  <c r="O84" i="35" s="1"/>
  <c r="P84" i="35" a="1"/>
  <c r="P84" i="35" s="1"/>
  <c r="Q84" i="35" a="1"/>
  <c r="Q84" i="35" s="1"/>
  <c r="R84" i="35" a="1"/>
  <c r="R84" i="35" s="1"/>
  <c r="S84" i="35" a="1"/>
  <c r="S84" i="35" s="1"/>
  <c r="T84" i="35" a="1"/>
  <c r="T84" i="35" s="1"/>
  <c r="F85" i="35" a="1"/>
  <c r="F85" i="35" s="1"/>
  <c r="G85" i="35" a="1"/>
  <c r="G85" i="35" s="1"/>
  <c r="H85" i="35" a="1"/>
  <c r="H85" i="35" s="1"/>
  <c r="I85" i="35" a="1"/>
  <c r="I85" i="35" s="1"/>
  <c r="J85" i="35" a="1"/>
  <c r="J85" i="35" s="1"/>
  <c r="K85" i="35" a="1"/>
  <c r="K85" i="35" s="1"/>
  <c r="L85" i="35" a="1"/>
  <c r="L85" i="35" s="1"/>
  <c r="M85" i="35" a="1"/>
  <c r="M85" i="35" s="1"/>
  <c r="N85" i="35" a="1"/>
  <c r="N85" i="35" s="1"/>
  <c r="O85" i="35" a="1"/>
  <c r="O85" i="35" s="1"/>
  <c r="P85" i="35" a="1"/>
  <c r="P85" i="35" s="1"/>
  <c r="Q85" i="35" a="1"/>
  <c r="Q85" i="35" s="1"/>
  <c r="R85" i="35" a="1"/>
  <c r="R85" i="35" s="1"/>
  <c r="S85" i="35" a="1"/>
  <c r="S85" i="35" s="1"/>
  <c r="T85" i="35" a="1"/>
  <c r="T85" i="35" s="1"/>
  <c r="F86" i="35" a="1"/>
  <c r="F86" i="35" s="1"/>
  <c r="G86" i="35" a="1"/>
  <c r="G86" i="35" s="1"/>
  <c r="H86" i="35" a="1"/>
  <c r="H86" i="35" s="1"/>
  <c r="I86" i="35" a="1"/>
  <c r="I86" i="35" s="1"/>
  <c r="J86" i="35" a="1"/>
  <c r="J86" i="35" s="1"/>
  <c r="K86" i="35" a="1"/>
  <c r="K86" i="35" s="1"/>
  <c r="L86" i="35" a="1"/>
  <c r="L86" i="35" s="1"/>
  <c r="M86" i="35" a="1"/>
  <c r="M86" i="35" s="1"/>
  <c r="N86" i="35" a="1"/>
  <c r="N86" i="35" s="1"/>
  <c r="O86" i="35" a="1"/>
  <c r="O86" i="35" s="1"/>
  <c r="P86" i="35" a="1"/>
  <c r="P86" i="35" s="1"/>
  <c r="Q86" i="35" a="1"/>
  <c r="Q86" i="35" s="1"/>
  <c r="R86" i="35" a="1"/>
  <c r="R86" i="35" s="1"/>
  <c r="S86" i="35" a="1"/>
  <c r="S86" i="35" s="1"/>
  <c r="T86" i="35" a="1"/>
  <c r="T86" i="35" s="1"/>
  <c r="F87" i="35" a="1"/>
  <c r="F87" i="35" s="1"/>
  <c r="G87" i="35" a="1"/>
  <c r="G87" i="35" s="1"/>
  <c r="H87" i="35" a="1"/>
  <c r="H87" i="35" s="1"/>
  <c r="I87" i="35" a="1"/>
  <c r="I87" i="35" s="1"/>
  <c r="J87" i="35" a="1"/>
  <c r="J87" i="35" s="1"/>
  <c r="K87" i="35" a="1"/>
  <c r="K87" i="35" s="1"/>
  <c r="L87" i="35" a="1"/>
  <c r="L87" i="35" s="1"/>
  <c r="M87" i="35" a="1"/>
  <c r="M87" i="35" s="1"/>
  <c r="N87" i="35" a="1"/>
  <c r="N87" i="35" s="1"/>
  <c r="O87" i="35" a="1"/>
  <c r="O87" i="35" s="1"/>
  <c r="P87" i="35" a="1"/>
  <c r="P87" i="35" s="1"/>
  <c r="Q87" i="35" a="1"/>
  <c r="Q87" i="35" s="1"/>
  <c r="R87" i="35" a="1"/>
  <c r="R87" i="35" s="1"/>
  <c r="S87" i="35" a="1"/>
  <c r="S87" i="35" s="1"/>
  <c r="T87" i="35" a="1"/>
  <c r="T87" i="35" s="1"/>
  <c r="F88" i="35" a="1"/>
  <c r="F88" i="35" s="1"/>
  <c r="G88" i="35" a="1"/>
  <c r="G88" i="35" s="1"/>
  <c r="H88" i="35" a="1"/>
  <c r="H88" i="35" s="1"/>
  <c r="I88" i="35" a="1"/>
  <c r="I88" i="35" s="1"/>
  <c r="J88" i="35" a="1"/>
  <c r="J88" i="35" s="1"/>
  <c r="K88" i="35" a="1"/>
  <c r="K88" i="35" s="1"/>
  <c r="L88" i="35" a="1"/>
  <c r="L88" i="35" s="1"/>
  <c r="M88" i="35" a="1"/>
  <c r="M88" i="35" s="1"/>
  <c r="N88" i="35" a="1"/>
  <c r="N88" i="35" s="1"/>
  <c r="O88" i="35" a="1"/>
  <c r="O88" i="35" s="1"/>
  <c r="P88" i="35" a="1"/>
  <c r="P88" i="35" s="1"/>
  <c r="Q88" i="35" a="1"/>
  <c r="Q88" i="35" s="1"/>
  <c r="R88" i="35" a="1"/>
  <c r="R88" i="35" s="1"/>
  <c r="S88" i="35" a="1"/>
  <c r="S88" i="35" s="1"/>
  <c r="T88" i="35" a="1"/>
  <c r="T88" i="35" s="1"/>
  <c r="F89" i="35" a="1"/>
  <c r="F89" i="35" s="1"/>
  <c r="G89" i="35" a="1"/>
  <c r="G89" i="35" s="1"/>
  <c r="H89" i="35" a="1"/>
  <c r="H89" i="35" s="1"/>
  <c r="I89" i="35" a="1"/>
  <c r="I89" i="35" s="1"/>
  <c r="J89" i="35" a="1"/>
  <c r="J89" i="35" s="1"/>
  <c r="K89" i="35" a="1"/>
  <c r="K89" i="35" s="1"/>
  <c r="L89" i="35" a="1"/>
  <c r="L89" i="35" s="1"/>
  <c r="M89" i="35" a="1"/>
  <c r="M89" i="35" s="1"/>
  <c r="N89" i="35" a="1"/>
  <c r="N89" i="35" s="1"/>
  <c r="O89" i="35" a="1"/>
  <c r="O89" i="35" s="1"/>
  <c r="P89" i="35" a="1"/>
  <c r="P89" i="35" s="1"/>
  <c r="Q89" i="35" a="1"/>
  <c r="Q89" i="35" s="1"/>
  <c r="R89" i="35" a="1"/>
  <c r="R89" i="35" s="1"/>
  <c r="S89" i="35" a="1"/>
  <c r="S89" i="35" s="1"/>
  <c r="T89" i="35" a="1"/>
  <c r="T89" i="35" s="1"/>
  <c r="F90" i="35" a="1"/>
  <c r="F90" i="35" s="1"/>
  <c r="G90" i="35" a="1"/>
  <c r="G90" i="35" s="1"/>
  <c r="H90" i="35" a="1"/>
  <c r="H90" i="35" s="1"/>
  <c r="I90" i="35" a="1"/>
  <c r="I90" i="35" s="1"/>
  <c r="J90" i="35" a="1"/>
  <c r="J90" i="35" s="1"/>
  <c r="K90" i="35" a="1"/>
  <c r="K90" i="35" s="1"/>
  <c r="L90" i="35" a="1"/>
  <c r="L90" i="35" s="1"/>
  <c r="M90" i="35" a="1"/>
  <c r="M90" i="35" s="1"/>
  <c r="N90" i="35" a="1"/>
  <c r="N90" i="35" s="1"/>
  <c r="O90" i="35" a="1"/>
  <c r="O90" i="35" s="1"/>
  <c r="P90" i="35" a="1"/>
  <c r="P90" i="35" s="1"/>
  <c r="Q90" i="35" a="1"/>
  <c r="Q90" i="35" s="1"/>
  <c r="R90" i="35" a="1"/>
  <c r="R90" i="35" s="1"/>
  <c r="S90" i="35" a="1"/>
  <c r="S90" i="35" s="1"/>
  <c r="T90" i="35" a="1"/>
  <c r="T90" i="35" s="1"/>
  <c r="F91" i="35" a="1"/>
  <c r="F91" i="35" s="1"/>
  <c r="G91" i="35" a="1"/>
  <c r="G91" i="35" s="1"/>
  <c r="H91" i="35" a="1"/>
  <c r="H91" i="35" s="1"/>
  <c r="I91" i="35" a="1"/>
  <c r="I91" i="35" s="1"/>
  <c r="J91" i="35" a="1"/>
  <c r="J91" i="35" s="1"/>
  <c r="K91" i="35" a="1"/>
  <c r="K91" i="35" s="1"/>
  <c r="L91" i="35" a="1"/>
  <c r="L91" i="35" s="1"/>
  <c r="M91" i="35" a="1"/>
  <c r="M91" i="35" s="1"/>
  <c r="N91" i="35" a="1"/>
  <c r="N91" i="35" s="1"/>
  <c r="O91" i="35" a="1"/>
  <c r="O91" i="35" s="1"/>
  <c r="P91" i="35" a="1"/>
  <c r="P91" i="35" s="1"/>
  <c r="Q91" i="35" a="1"/>
  <c r="Q91" i="35" s="1"/>
  <c r="R91" i="35" a="1"/>
  <c r="R91" i="35" s="1"/>
  <c r="S91" i="35" a="1"/>
  <c r="S91" i="35" s="1"/>
  <c r="T91" i="35" a="1"/>
  <c r="T91" i="35" s="1"/>
  <c r="F92" i="35" a="1"/>
  <c r="F92" i="35" s="1"/>
  <c r="G92" i="35" a="1"/>
  <c r="G92" i="35" s="1"/>
  <c r="H92" i="35" a="1"/>
  <c r="H92" i="35" s="1"/>
  <c r="I92" i="35" a="1"/>
  <c r="I92" i="35" s="1"/>
  <c r="J92" i="35" a="1"/>
  <c r="J92" i="35" s="1"/>
  <c r="K92" i="35" a="1"/>
  <c r="K92" i="35" s="1"/>
  <c r="L92" i="35" a="1"/>
  <c r="L92" i="35" s="1"/>
  <c r="M92" i="35" a="1"/>
  <c r="M92" i="35" s="1"/>
  <c r="N92" i="35" a="1"/>
  <c r="N92" i="35" s="1"/>
  <c r="O92" i="35" a="1"/>
  <c r="O92" i="35" s="1"/>
  <c r="P92" i="35" a="1"/>
  <c r="P92" i="35" s="1"/>
  <c r="Q92" i="35" a="1"/>
  <c r="Q92" i="35" s="1"/>
  <c r="R92" i="35" a="1"/>
  <c r="R92" i="35" s="1"/>
  <c r="S92" i="35" a="1"/>
  <c r="S92" i="35" s="1"/>
  <c r="T92" i="35" a="1"/>
  <c r="T92" i="35" s="1"/>
  <c r="F93" i="35" a="1"/>
  <c r="F93" i="35" s="1"/>
  <c r="G93" i="35" a="1"/>
  <c r="G93" i="35" s="1"/>
  <c r="H93" i="35" a="1"/>
  <c r="H93" i="35" s="1"/>
  <c r="I93" i="35" a="1"/>
  <c r="I93" i="35" s="1"/>
  <c r="J93" i="35" a="1"/>
  <c r="J93" i="35" s="1"/>
  <c r="K93" i="35" a="1"/>
  <c r="K93" i="35" s="1"/>
  <c r="L93" i="35" a="1"/>
  <c r="L93" i="35" s="1"/>
  <c r="M93" i="35" a="1"/>
  <c r="M93" i="35" s="1"/>
  <c r="N93" i="35" a="1"/>
  <c r="N93" i="35" s="1"/>
  <c r="O93" i="35" a="1"/>
  <c r="O93" i="35" s="1"/>
  <c r="P93" i="35" a="1"/>
  <c r="P93" i="35" s="1"/>
  <c r="Q93" i="35" a="1"/>
  <c r="Q93" i="35" s="1"/>
  <c r="R93" i="35" a="1"/>
  <c r="R93" i="35" s="1"/>
  <c r="S93" i="35" a="1"/>
  <c r="S93" i="35" s="1"/>
  <c r="T93" i="35" a="1"/>
  <c r="T93" i="35" s="1"/>
  <c r="F94" i="35" a="1"/>
  <c r="F94" i="35" s="1"/>
  <c r="G94" i="35" a="1"/>
  <c r="G94" i="35" s="1"/>
  <c r="H94" i="35" a="1"/>
  <c r="H94" i="35" s="1"/>
  <c r="I94" i="35" a="1"/>
  <c r="I94" i="35" s="1"/>
  <c r="J94" i="35" a="1"/>
  <c r="J94" i="35" s="1"/>
  <c r="K94" i="35" a="1"/>
  <c r="K94" i="35" s="1"/>
  <c r="L94" i="35" a="1"/>
  <c r="L94" i="35" s="1"/>
  <c r="M94" i="35" a="1"/>
  <c r="M94" i="35" s="1"/>
  <c r="N94" i="35" a="1"/>
  <c r="N94" i="35" s="1"/>
  <c r="O94" i="35" a="1"/>
  <c r="O94" i="35" s="1"/>
  <c r="P94" i="35" a="1"/>
  <c r="P94" i="35" s="1"/>
  <c r="Q94" i="35" a="1"/>
  <c r="Q94" i="35" s="1"/>
  <c r="R94" i="35" a="1"/>
  <c r="R94" i="35" s="1"/>
  <c r="S94" i="35" a="1"/>
  <c r="S94" i="35" s="1"/>
  <c r="T94" i="35" a="1"/>
  <c r="T94" i="35" s="1"/>
  <c r="F95" i="35" a="1"/>
  <c r="F95" i="35" s="1"/>
  <c r="G95" i="35" a="1"/>
  <c r="G95" i="35" s="1"/>
  <c r="H95" i="35" a="1"/>
  <c r="H95" i="35" s="1"/>
  <c r="I95" i="35" a="1"/>
  <c r="I95" i="35" s="1"/>
  <c r="J95" i="35" a="1"/>
  <c r="J95" i="35" s="1"/>
  <c r="K95" i="35" a="1"/>
  <c r="K95" i="35" s="1"/>
  <c r="L95" i="35" a="1"/>
  <c r="L95" i="35" s="1"/>
  <c r="M95" i="35" a="1"/>
  <c r="M95" i="35" s="1"/>
  <c r="N95" i="35" a="1"/>
  <c r="N95" i="35" s="1"/>
  <c r="O95" i="35" a="1"/>
  <c r="O95" i="35" s="1"/>
  <c r="P95" i="35" a="1"/>
  <c r="P95" i="35" s="1"/>
  <c r="Q95" i="35" a="1"/>
  <c r="Q95" i="35" s="1"/>
  <c r="R95" i="35" a="1"/>
  <c r="R95" i="35" s="1"/>
  <c r="S95" i="35" a="1"/>
  <c r="S95" i="35" s="1"/>
  <c r="T95" i="35" a="1"/>
  <c r="T95" i="35" s="1"/>
  <c r="F96" i="35" a="1"/>
  <c r="F96" i="35" s="1"/>
  <c r="G96" i="35" a="1"/>
  <c r="G96" i="35" s="1"/>
  <c r="H96" i="35" a="1"/>
  <c r="H96" i="35" s="1"/>
  <c r="I96" i="35" a="1"/>
  <c r="I96" i="35" s="1"/>
  <c r="J96" i="35" a="1"/>
  <c r="J96" i="35" s="1"/>
  <c r="K96" i="35" a="1"/>
  <c r="K96" i="35" s="1"/>
  <c r="L96" i="35" a="1"/>
  <c r="L96" i="35" s="1"/>
  <c r="M96" i="35" a="1"/>
  <c r="M96" i="35" s="1"/>
  <c r="N96" i="35" a="1"/>
  <c r="N96" i="35" s="1"/>
  <c r="O96" i="35" a="1"/>
  <c r="O96" i="35" s="1"/>
  <c r="P96" i="35" a="1"/>
  <c r="P96" i="35" s="1"/>
  <c r="Q96" i="35" a="1"/>
  <c r="Q96" i="35" s="1"/>
  <c r="R96" i="35" a="1"/>
  <c r="R96" i="35" s="1"/>
  <c r="S96" i="35" a="1"/>
  <c r="S96" i="35" s="1"/>
  <c r="T96" i="35" a="1"/>
  <c r="T96" i="35" s="1"/>
  <c r="F97" i="35" a="1"/>
  <c r="F97" i="35" s="1"/>
  <c r="G97" i="35" a="1"/>
  <c r="G97" i="35" s="1"/>
  <c r="H97" i="35" a="1"/>
  <c r="H97" i="35" s="1"/>
  <c r="I97" i="35" a="1"/>
  <c r="I97" i="35" s="1"/>
  <c r="J97" i="35" a="1"/>
  <c r="J97" i="35" s="1"/>
  <c r="K97" i="35" a="1"/>
  <c r="K97" i="35" s="1"/>
  <c r="L97" i="35" a="1"/>
  <c r="L97" i="35" s="1"/>
  <c r="M97" i="35" a="1"/>
  <c r="M97" i="35" s="1"/>
  <c r="N97" i="35" a="1"/>
  <c r="N97" i="35" s="1"/>
  <c r="O97" i="35" a="1"/>
  <c r="O97" i="35" s="1"/>
  <c r="P97" i="35" a="1"/>
  <c r="P97" i="35" s="1"/>
  <c r="Q97" i="35" a="1"/>
  <c r="Q97" i="35" s="1"/>
  <c r="R97" i="35" a="1"/>
  <c r="R97" i="35" s="1"/>
  <c r="S97" i="35" a="1"/>
  <c r="S97" i="35" s="1"/>
  <c r="T97" i="35" a="1"/>
  <c r="T97" i="35" s="1"/>
  <c r="F98" i="35" a="1"/>
  <c r="F98" i="35" s="1"/>
  <c r="G98" i="35" a="1"/>
  <c r="G98" i="35" s="1"/>
  <c r="H98" i="35" a="1"/>
  <c r="H98" i="35" s="1"/>
  <c r="I98" i="35" a="1"/>
  <c r="I98" i="35" s="1"/>
  <c r="J98" i="35" a="1"/>
  <c r="J98" i="35" s="1"/>
  <c r="K98" i="35" a="1"/>
  <c r="K98" i="35" s="1"/>
  <c r="L98" i="35" a="1"/>
  <c r="L98" i="35" s="1"/>
  <c r="M98" i="35" a="1"/>
  <c r="M98" i="35" s="1"/>
  <c r="N98" i="35" a="1"/>
  <c r="N98" i="35" s="1"/>
  <c r="O98" i="35" a="1"/>
  <c r="O98" i="35" s="1"/>
  <c r="P98" i="35" a="1"/>
  <c r="P98" i="35" s="1"/>
  <c r="Q98" i="35" a="1"/>
  <c r="Q98" i="35" s="1"/>
  <c r="R98" i="35" a="1"/>
  <c r="R98" i="35" s="1"/>
  <c r="S98" i="35" a="1"/>
  <c r="S98" i="35" s="1"/>
  <c r="T98" i="35" a="1"/>
  <c r="T98" i="35" s="1"/>
  <c r="F99" i="35" a="1"/>
  <c r="F99" i="35" s="1"/>
  <c r="G99" i="35" a="1"/>
  <c r="G99" i="35" s="1"/>
  <c r="H99" i="35" a="1"/>
  <c r="H99" i="35" s="1"/>
  <c r="I99" i="35" a="1"/>
  <c r="I99" i="35" s="1"/>
  <c r="J99" i="35" a="1"/>
  <c r="J99" i="35" s="1"/>
  <c r="K99" i="35" a="1"/>
  <c r="K99" i="35" s="1"/>
  <c r="L99" i="35" a="1"/>
  <c r="L99" i="35" s="1"/>
  <c r="M99" i="35" a="1"/>
  <c r="M99" i="35" s="1"/>
  <c r="N99" i="35" a="1"/>
  <c r="N99" i="35" s="1"/>
  <c r="O99" i="35" a="1"/>
  <c r="O99" i="35" s="1"/>
  <c r="P99" i="35" a="1"/>
  <c r="P99" i="35" s="1"/>
  <c r="Q99" i="35" a="1"/>
  <c r="Q99" i="35" s="1"/>
  <c r="R99" i="35" a="1"/>
  <c r="R99" i="35" s="1"/>
  <c r="S99" i="35" a="1"/>
  <c r="S99" i="35" s="1"/>
  <c r="T99" i="35" a="1"/>
  <c r="T99" i="35" s="1"/>
  <c r="F100" i="35" a="1"/>
  <c r="F100" i="35" s="1"/>
  <c r="G100" i="35" a="1"/>
  <c r="G100" i="35" s="1"/>
  <c r="H100" i="35" a="1"/>
  <c r="H100" i="35" s="1"/>
  <c r="I100" i="35" a="1"/>
  <c r="I100" i="35" s="1"/>
  <c r="J100" i="35" a="1"/>
  <c r="J100" i="35" s="1"/>
  <c r="K100" i="35" a="1"/>
  <c r="K100" i="35" s="1"/>
  <c r="L100" i="35" a="1"/>
  <c r="L100" i="35" s="1"/>
  <c r="M100" i="35" a="1"/>
  <c r="M100" i="35" s="1"/>
  <c r="N100" i="35" a="1"/>
  <c r="N100" i="35" s="1"/>
  <c r="O100" i="35" a="1"/>
  <c r="O100" i="35" s="1"/>
  <c r="P100" i="35" a="1"/>
  <c r="P100" i="35" s="1"/>
  <c r="Q100" i="35" a="1"/>
  <c r="Q100" i="35" s="1"/>
  <c r="R100" i="35" a="1"/>
  <c r="R100" i="35" s="1"/>
  <c r="S100" i="35" a="1"/>
  <c r="S100" i="35" s="1"/>
  <c r="T100" i="35" a="1"/>
  <c r="T100" i="35" s="1"/>
  <c r="F101" i="35" a="1"/>
  <c r="F101" i="35" s="1"/>
  <c r="G101" i="35" a="1"/>
  <c r="G101" i="35" s="1"/>
  <c r="H101" i="35" a="1"/>
  <c r="H101" i="35" s="1"/>
  <c r="I101" i="35" a="1"/>
  <c r="I101" i="35" s="1"/>
  <c r="J101" i="35" a="1"/>
  <c r="J101" i="35" s="1"/>
  <c r="K101" i="35" a="1"/>
  <c r="K101" i="35" s="1"/>
  <c r="L101" i="35" a="1"/>
  <c r="L101" i="35" s="1"/>
  <c r="M101" i="35" a="1"/>
  <c r="M101" i="35" s="1"/>
  <c r="N101" i="35" a="1"/>
  <c r="N101" i="35" s="1"/>
  <c r="O101" i="35" a="1"/>
  <c r="O101" i="35" s="1"/>
  <c r="P101" i="35" a="1"/>
  <c r="P101" i="35" s="1"/>
  <c r="Q101" i="35" a="1"/>
  <c r="Q101" i="35" s="1"/>
  <c r="R101" i="35" a="1"/>
  <c r="R101" i="35" s="1"/>
  <c r="S101" i="35" a="1"/>
  <c r="S101" i="35" s="1"/>
  <c r="T101" i="35" a="1"/>
  <c r="T101" i="35" s="1"/>
  <c r="F102" i="35" a="1"/>
  <c r="F102" i="35" s="1"/>
  <c r="G102" i="35" a="1"/>
  <c r="G102" i="35" s="1"/>
  <c r="H102" i="35" a="1"/>
  <c r="H102" i="35" s="1"/>
  <c r="I102" i="35" a="1"/>
  <c r="I102" i="35" s="1"/>
  <c r="J102" i="35" a="1"/>
  <c r="J102" i="35" s="1"/>
  <c r="K102" i="35" a="1"/>
  <c r="K102" i="35" s="1"/>
  <c r="L102" i="35" a="1"/>
  <c r="L102" i="35" s="1"/>
  <c r="M102" i="35" a="1"/>
  <c r="M102" i="35" s="1"/>
  <c r="N102" i="35" a="1"/>
  <c r="N102" i="35" s="1"/>
  <c r="O102" i="35" a="1"/>
  <c r="O102" i="35" s="1"/>
  <c r="P102" i="35" a="1"/>
  <c r="P102" i="35" s="1"/>
  <c r="Q102" i="35" a="1"/>
  <c r="Q102" i="35" s="1"/>
  <c r="R102" i="35" a="1"/>
  <c r="R102" i="35" s="1"/>
  <c r="S102" i="35" a="1"/>
  <c r="S102" i="35" s="1"/>
  <c r="T102" i="35" a="1"/>
  <c r="T102" i="35" s="1"/>
  <c r="F103" i="35" a="1"/>
  <c r="F103" i="35" s="1"/>
  <c r="G103" i="35" a="1"/>
  <c r="G103" i="35" s="1"/>
  <c r="H103" i="35" a="1"/>
  <c r="H103" i="35" s="1"/>
  <c r="I103" i="35" a="1"/>
  <c r="I103" i="35" s="1"/>
  <c r="J103" i="35" a="1"/>
  <c r="J103" i="35" s="1"/>
  <c r="K103" i="35" a="1"/>
  <c r="K103" i="35" s="1"/>
  <c r="L103" i="35" a="1"/>
  <c r="L103" i="35" s="1"/>
  <c r="M103" i="35" a="1"/>
  <c r="M103" i="35" s="1"/>
  <c r="N103" i="35" a="1"/>
  <c r="N103" i="35" s="1"/>
  <c r="O103" i="35" a="1"/>
  <c r="O103" i="35" s="1"/>
  <c r="P103" i="35" a="1"/>
  <c r="P103" i="35" s="1"/>
  <c r="Q103" i="35" a="1"/>
  <c r="Q103" i="35" s="1"/>
  <c r="R103" i="35" a="1"/>
  <c r="R103" i="35" s="1"/>
  <c r="S103" i="35" a="1"/>
  <c r="S103" i="35" s="1"/>
  <c r="T103" i="35" a="1"/>
  <c r="T103" i="35" s="1"/>
  <c r="F104" i="35" a="1"/>
  <c r="F104" i="35" s="1"/>
  <c r="G104" i="35" a="1"/>
  <c r="G104" i="35" s="1"/>
  <c r="H104" i="35" a="1"/>
  <c r="H104" i="35" s="1"/>
  <c r="I104" i="35" a="1"/>
  <c r="I104" i="35" s="1"/>
  <c r="J104" i="35" a="1"/>
  <c r="J104" i="35" s="1"/>
  <c r="K104" i="35" a="1"/>
  <c r="K104" i="35" s="1"/>
  <c r="L104" i="35" a="1"/>
  <c r="L104" i="35" s="1"/>
  <c r="M104" i="35" a="1"/>
  <c r="M104" i="35" s="1"/>
  <c r="N104" i="35" a="1"/>
  <c r="N104" i="35" s="1"/>
  <c r="O104" i="35" a="1"/>
  <c r="O104" i="35" s="1"/>
  <c r="P104" i="35" a="1"/>
  <c r="P104" i="35" s="1"/>
  <c r="Q104" i="35" a="1"/>
  <c r="Q104" i="35" s="1"/>
  <c r="R104" i="35" a="1"/>
  <c r="R104" i="35" s="1"/>
  <c r="S104" i="35" a="1"/>
  <c r="S104" i="35" s="1"/>
  <c r="T104" i="35" a="1"/>
  <c r="T104" i="35" s="1"/>
  <c r="F105" i="35" a="1"/>
  <c r="F105" i="35" s="1"/>
  <c r="G105" i="35" a="1"/>
  <c r="G105" i="35" s="1"/>
  <c r="H105" i="35" a="1"/>
  <c r="H105" i="35" s="1"/>
  <c r="I105" i="35" a="1"/>
  <c r="I105" i="35" s="1"/>
  <c r="J105" i="35" a="1"/>
  <c r="J105" i="35" s="1"/>
  <c r="K105" i="35" a="1"/>
  <c r="K105" i="35" s="1"/>
  <c r="L105" i="35" a="1"/>
  <c r="L105" i="35" s="1"/>
  <c r="M105" i="35" a="1"/>
  <c r="M105" i="35" s="1"/>
  <c r="N105" i="35" a="1"/>
  <c r="N105" i="35" s="1"/>
  <c r="O105" i="35" a="1"/>
  <c r="O105" i="35" s="1"/>
  <c r="P105" i="35" a="1"/>
  <c r="P105" i="35" s="1"/>
  <c r="Q105" i="35" a="1"/>
  <c r="Q105" i="35" s="1"/>
  <c r="R105" i="35" a="1"/>
  <c r="R105" i="35" s="1"/>
  <c r="S105" i="35" a="1"/>
  <c r="S105" i="35" s="1"/>
  <c r="T105" i="35" a="1"/>
  <c r="T105" i="35" s="1"/>
  <c r="F106" i="35" a="1"/>
  <c r="F106" i="35" s="1"/>
  <c r="G106" i="35" a="1"/>
  <c r="G106" i="35" s="1"/>
  <c r="H106" i="35" a="1"/>
  <c r="H106" i="35" s="1"/>
  <c r="I106" i="35" a="1"/>
  <c r="I106" i="35" s="1"/>
  <c r="J106" i="35" a="1"/>
  <c r="J106" i="35" s="1"/>
  <c r="K106" i="35" a="1"/>
  <c r="K106" i="35" s="1"/>
  <c r="L106" i="35" a="1"/>
  <c r="L106" i="35" s="1"/>
  <c r="M106" i="35" a="1"/>
  <c r="M106" i="35" s="1"/>
  <c r="N106" i="35" a="1"/>
  <c r="N106" i="35" s="1"/>
  <c r="O106" i="35" a="1"/>
  <c r="O106" i="35" s="1"/>
  <c r="P106" i="35" a="1"/>
  <c r="P106" i="35" s="1"/>
  <c r="Q106" i="35" a="1"/>
  <c r="Q106" i="35" s="1"/>
  <c r="R106" i="35" a="1"/>
  <c r="R106" i="35" s="1"/>
  <c r="S106" i="35" a="1"/>
  <c r="S106" i="35" s="1"/>
  <c r="T106" i="35" a="1"/>
  <c r="T106" i="35" s="1"/>
  <c r="F107" i="35" a="1"/>
  <c r="F107" i="35" s="1"/>
  <c r="G107" i="35" a="1"/>
  <c r="G107" i="35" s="1"/>
  <c r="H107" i="35" a="1"/>
  <c r="H107" i="35" s="1"/>
  <c r="I107" i="35" a="1"/>
  <c r="I107" i="35" s="1"/>
  <c r="J107" i="35" a="1"/>
  <c r="J107" i="35" s="1"/>
  <c r="K107" i="35" a="1"/>
  <c r="K107" i="35" s="1"/>
  <c r="L107" i="35" a="1"/>
  <c r="L107" i="35" s="1"/>
  <c r="M107" i="35" a="1"/>
  <c r="M107" i="35" s="1"/>
  <c r="N107" i="35" a="1"/>
  <c r="N107" i="35" s="1"/>
  <c r="O107" i="35" a="1"/>
  <c r="O107" i="35" s="1"/>
  <c r="P107" i="35" a="1"/>
  <c r="P107" i="35" s="1"/>
  <c r="Q107" i="35" a="1"/>
  <c r="Q107" i="35" s="1"/>
  <c r="R107" i="35" a="1"/>
  <c r="R107" i="35" s="1"/>
  <c r="S107" i="35" a="1"/>
  <c r="S107" i="35" s="1"/>
  <c r="T107" i="35" a="1"/>
  <c r="T107" i="35" s="1"/>
  <c r="F108" i="35" a="1"/>
  <c r="F108" i="35" s="1"/>
  <c r="G108" i="35" a="1"/>
  <c r="G108" i="35" s="1"/>
  <c r="H108" i="35" a="1"/>
  <c r="H108" i="35" s="1"/>
  <c r="I108" i="35" a="1"/>
  <c r="I108" i="35" s="1"/>
  <c r="J108" i="35" a="1"/>
  <c r="J108" i="35" s="1"/>
  <c r="K108" i="35" a="1"/>
  <c r="K108" i="35" s="1"/>
  <c r="L108" i="35" a="1"/>
  <c r="L108" i="35" s="1"/>
  <c r="M108" i="35" a="1"/>
  <c r="M108" i="35" s="1"/>
  <c r="N108" i="35" a="1"/>
  <c r="N108" i="35" s="1"/>
  <c r="O108" i="35" a="1"/>
  <c r="O108" i="35" s="1"/>
  <c r="P108" i="35" a="1"/>
  <c r="P108" i="35" s="1"/>
  <c r="Q108" i="35" a="1"/>
  <c r="Q108" i="35" s="1"/>
  <c r="R108" i="35" a="1"/>
  <c r="R108" i="35" s="1"/>
  <c r="S108" i="35" a="1"/>
  <c r="S108" i="35" s="1"/>
  <c r="T108" i="35" a="1"/>
  <c r="T108" i="35" s="1"/>
  <c r="F109" i="35" a="1"/>
  <c r="F109" i="35" s="1"/>
  <c r="G109" i="35" a="1"/>
  <c r="G109" i="35" s="1"/>
  <c r="H109" i="35" a="1"/>
  <c r="H109" i="35" s="1"/>
  <c r="I109" i="35" a="1"/>
  <c r="I109" i="35" s="1"/>
  <c r="J109" i="35" a="1"/>
  <c r="J109" i="35" s="1"/>
  <c r="K109" i="35" a="1"/>
  <c r="K109" i="35" s="1"/>
  <c r="L109" i="35" a="1"/>
  <c r="L109" i="35" s="1"/>
  <c r="M109" i="35" a="1"/>
  <c r="M109" i="35" s="1"/>
  <c r="N109" i="35" a="1"/>
  <c r="N109" i="35" s="1"/>
  <c r="O109" i="35" a="1"/>
  <c r="O109" i="35" s="1"/>
  <c r="P109" i="35" a="1"/>
  <c r="P109" i="35" s="1"/>
  <c r="Q109" i="35" a="1"/>
  <c r="Q109" i="35" s="1"/>
  <c r="R109" i="35" a="1"/>
  <c r="R109" i="35" s="1"/>
  <c r="S109" i="35" a="1"/>
  <c r="S109" i="35" s="1"/>
  <c r="T109" i="35" a="1"/>
  <c r="T109" i="35" s="1"/>
  <c r="F110" i="35" a="1"/>
  <c r="F110" i="35" s="1"/>
  <c r="G110" i="35" a="1"/>
  <c r="G110" i="35" s="1"/>
  <c r="H110" i="35" a="1"/>
  <c r="H110" i="35" s="1"/>
  <c r="I110" i="35" a="1"/>
  <c r="I110" i="35" s="1"/>
  <c r="J110" i="35" a="1"/>
  <c r="J110" i="35" s="1"/>
  <c r="K110" i="35" a="1"/>
  <c r="K110" i="35" s="1"/>
  <c r="L110" i="35" a="1"/>
  <c r="L110" i="35" s="1"/>
  <c r="M110" i="35" a="1"/>
  <c r="M110" i="35" s="1"/>
  <c r="N110" i="35" a="1"/>
  <c r="N110" i="35" s="1"/>
  <c r="O110" i="35" a="1"/>
  <c r="O110" i="35" s="1"/>
  <c r="P110" i="35" a="1"/>
  <c r="P110" i="35" s="1"/>
  <c r="Q110" i="35" a="1"/>
  <c r="Q110" i="35" s="1"/>
  <c r="R110" i="35" a="1"/>
  <c r="R110" i="35" s="1"/>
  <c r="S110" i="35" a="1"/>
  <c r="S110" i="35" s="1"/>
  <c r="T110" i="35" a="1"/>
  <c r="T110" i="35" s="1"/>
  <c r="F111" i="35" a="1"/>
  <c r="F111" i="35" s="1"/>
  <c r="G111" i="35" a="1"/>
  <c r="G111" i="35" s="1"/>
  <c r="H111" i="35" a="1"/>
  <c r="H111" i="35" s="1"/>
  <c r="I111" i="35" a="1"/>
  <c r="I111" i="35" s="1"/>
  <c r="J111" i="35" a="1"/>
  <c r="J111" i="35" s="1"/>
  <c r="K111" i="35" a="1"/>
  <c r="K111" i="35" s="1"/>
  <c r="L111" i="35" a="1"/>
  <c r="L111" i="35" s="1"/>
  <c r="M111" i="35" a="1"/>
  <c r="M111" i="35" s="1"/>
  <c r="N111" i="35" a="1"/>
  <c r="N111" i="35" s="1"/>
  <c r="O111" i="35" a="1"/>
  <c r="O111" i="35" s="1"/>
  <c r="P111" i="35" a="1"/>
  <c r="P111" i="35" s="1"/>
  <c r="Q111" i="35" a="1"/>
  <c r="Q111" i="35" s="1"/>
  <c r="R111" i="35" a="1"/>
  <c r="R111" i="35" s="1"/>
  <c r="S111" i="35" a="1"/>
  <c r="S111" i="35" s="1"/>
  <c r="T111" i="35" a="1"/>
  <c r="T111" i="35" s="1"/>
  <c r="F112" i="35" a="1"/>
  <c r="F112" i="35" s="1"/>
  <c r="G112" i="35" a="1"/>
  <c r="G112" i="35" s="1"/>
  <c r="H112" i="35" a="1"/>
  <c r="H112" i="35" s="1"/>
  <c r="I112" i="35" a="1"/>
  <c r="I112" i="35" s="1"/>
  <c r="J112" i="35" a="1"/>
  <c r="J112" i="35" s="1"/>
  <c r="K112" i="35" a="1"/>
  <c r="K112" i="35" s="1"/>
  <c r="L112" i="35" a="1"/>
  <c r="L112" i="35" s="1"/>
  <c r="M112" i="35" a="1"/>
  <c r="M112" i="35" s="1"/>
  <c r="N112" i="35" a="1"/>
  <c r="N112" i="35" s="1"/>
  <c r="O112" i="35" a="1"/>
  <c r="O112" i="35" s="1"/>
  <c r="P112" i="35" a="1"/>
  <c r="P112" i="35" s="1"/>
  <c r="Q112" i="35" a="1"/>
  <c r="Q112" i="35" s="1"/>
  <c r="R112" i="35" a="1"/>
  <c r="R112" i="35" s="1"/>
  <c r="S112" i="35" a="1"/>
  <c r="S112" i="35" s="1"/>
  <c r="T112" i="35" a="1"/>
  <c r="T112" i="35" s="1"/>
  <c r="F113" i="35" a="1"/>
  <c r="F113" i="35" s="1"/>
  <c r="G113" i="35" a="1"/>
  <c r="G113" i="35" s="1"/>
  <c r="H113" i="35" a="1"/>
  <c r="H113" i="35" s="1"/>
  <c r="I113" i="35" a="1"/>
  <c r="I113" i="35" s="1"/>
  <c r="J113" i="35" a="1"/>
  <c r="J113" i="35" s="1"/>
  <c r="K113" i="35" a="1"/>
  <c r="K113" i="35" s="1"/>
  <c r="L113" i="35" a="1"/>
  <c r="L113" i="35" s="1"/>
  <c r="M113" i="35" a="1"/>
  <c r="M113" i="35" s="1"/>
  <c r="N113" i="35" a="1"/>
  <c r="N113" i="35" s="1"/>
  <c r="O113" i="35" a="1"/>
  <c r="O113" i="35" s="1"/>
  <c r="P113" i="35" a="1"/>
  <c r="P113" i="35" s="1"/>
  <c r="Q113" i="35" a="1"/>
  <c r="Q113" i="35" s="1"/>
  <c r="R113" i="35" a="1"/>
  <c r="R113" i="35" s="1"/>
  <c r="S113" i="35" a="1"/>
  <c r="S113" i="35" s="1"/>
  <c r="T113" i="35" a="1"/>
  <c r="T113" i="35" s="1"/>
  <c r="F114" i="35" a="1"/>
  <c r="F114" i="35" s="1"/>
  <c r="G114" i="35" a="1"/>
  <c r="G114" i="35" s="1"/>
  <c r="H114" i="35" a="1"/>
  <c r="H114" i="35" s="1"/>
  <c r="I114" i="35" a="1"/>
  <c r="I114" i="35" s="1"/>
  <c r="J114" i="35" a="1"/>
  <c r="J114" i="35" s="1"/>
  <c r="K114" i="35" a="1"/>
  <c r="K114" i="35" s="1"/>
  <c r="L114" i="35" a="1"/>
  <c r="L114" i="35" s="1"/>
  <c r="M114" i="35" a="1"/>
  <c r="M114" i="35" s="1"/>
  <c r="N114" i="35" a="1"/>
  <c r="N114" i="35" s="1"/>
  <c r="O114" i="35" a="1"/>
  <c r="O114" i="35" s="1"/>
  <c r="P114" i="35" a="1"/>
  <c r="P114" i="35" s="1"/>
  <c r="Q114" i="35" a="1"/>
  <c r="Q114" i="35" s="1"/>
  <c r="R114" i="35" a="1"/>
  <c r="R114" i="35" s="1"/>
  <c r="S114" i="35" a="1"/>
  <c r="S114" i="35" s="1"/>
  <c r="T114" i="35" a="1"/>
  <c r="T114" i="35" s="1"/>
  <c r="F115" i="35" a="1"/>
  <c r="F115" i="35" s="1"/>
  <c r="G115" i="35" a="1"/>
  <c r="G115" i="35" s="1"/>
  <c r="H115" i="35" a="1"/>
  <c r="H115" i="35" s="1"/>
  <c r="I115" i="35" a="1"/>
  <c r="I115" i="35" s="1"/>
  <c r="J115" i="35" a="1"/>
  <c r="J115" i="35" s="1"/>
  <c r="K115" i="35" a="1"/>
  <c r="K115" i="35" s="1"/>
  <c r="L115" i="35" a="1"/>
  <c r="L115" i="35" s="1"/>
  <c r="M115" i="35" a="1"/>
  <c r="M115" i="35" s="1"/>
  <c r="N115" i="35" a="1"/>
  <c r="N115" i="35" s="1"/>
  <c r="O115" i="35" a="1"/>
  <c r="O115" i="35" s="1"/>
  <c r="P115" i="35" a="1"/>
  <c r="P115" i="35" s="1"/>
  <c r="Q115" i="35" a="1"/>
  <c r="Q115" i="35" s="1"/>
  <c r="R115" i="35" a="1"/>
  <c r="R115" i="35" s="1"/>
  <c r="S115" i="35" a="1"/>
  <c r="S115" i="35" s="1"/>
  <c r="T115" i="35" a="1"/>
  <c r="T115" i="35" s="1"/>
  <c r="F116" i="35" a="1"/>
  <c r="F116" i="35" s="1"/>
  <c r="G116" i="35" a="1"/>
  <c r="G116" i="35" s="1"/>
  <c r="H116" i="35" a="1"/>
  <c r="H116" i="35" s="1"/>
  <c r="I116" i="35" a="1"/>
  <c r="I116" i="35" s="1"/>
  <c r="J116" i="35" a="1"/>
  <c r="J116" i="35" s="1"/>
  <c r="K116" i="35" a="1"/>
  <c r="K116" i="35" s="1"/>
  <c r="L116" i="35" a="1"/>
  <c r="L116" i="35" s="1"/>
  <c r="M116" i="35" a="1"/>
  <c r="M116" i="35" s="1"/>
  <c r="N116" i="35" a="1"/>
  <c r="N116" i="35" s="1"/>
  <c r="O116" i="35" a="1"/>
  <c r="O116" i="35" s="1"/>
  <c r="P116" i="35" a="1"/>
  <c r="P116" i="35" s="1"/>
  <c r="Q116" i="35" a="1"/>
  <c r="Q116" i="35" s="1"/>
  <c r="R116" i="35" a="1"/>
  <c r="R116" i="35" s="1"/>
  <c r="S116" i="35" a="1"/>
  <c r="S116" i="35" s="1"/>
  <c r="T116" i="35" a="1"/>
  <c r="T116" i="35" s="1"/>
  <c r="F117" i="35" a="1"/>
  <c r="F117" i="35" s="1"/>
  <c r="G117" i="35" a="1"/>
  <c r="G117" i="35" s="1"/>
  <c r="H117" i="35" a="1"/>
  <c r="H117" i="35" s="1"/>
  <c r="I117" i="35" a="1"/>
  <c r="I117" i="35" s="1"/>
  <c r="J117" i="35" a="1"/>
  <c r="J117" i="35" s="1"/>
  <c r="K117" i="35" a="1"/>
  <c r="K117" i="35" s="1"/>
  <c r="L117" i="35" a="1"/>
  <c r="L117" i="35" s="1"/>
  <c r="M117" i="35" a="1"/>
  <c r="M117" i="35" s="1"/>
  <c r="N117" i="35" a="1"/>
  <c r="N117" i="35" s="1"/>
  <c r="O117" i="35" a="1"/>
  <c r="O117" i="35" s="1"/>
  <c r="P117" i="35" a="1"/>
  <c r="P117" i="35" s="1"/>
  <c r="Q117" i="35" a="1"/>
  <c r="Q117" i="35" s="1"/>
  <c r="R117" i="35" a="1"/>
  <c r="R117" i="35" s="1"/>
  <c r="S117" i="35" a="1"/>
  <c r="S117" i="35" s="1"/>
  <c r="T117" i="35" a="1"/>
  <c r="T117" i="35" s="1"/>
  <c r="F118" i="35" a="1"/>
  <c r="F118" i="35" s="1"/>
  <c r="G118" i="35" a="1"/>
  <c r="G118" i="35" s="1"/>
  <c r="H118" i="35" a="1"/>
  <c r="H118" i="35" s="1"/>
  <c r="I118" i="35" a="1"/>
  <c r="I118" i="35" s="1"/>
  <c r="J118" i="35" a="1"/>
  <c r="J118" i="35" s="1"/>
  <c r="K118" i="35" a="1"/>
  <c r="K118" i="35" s="1"/>
  <c r="L118" i="35" a="1"/>
  <c r="L118" i="35" s="1"/>
  <c r="M118" i="35" a="1"/>
  <c r="M118" i="35" s="1"/>
  <c r="N118" i="35" a="1"/>
  <c r="N118" i="35" s="1"/>
  <c r="O118" i="35" a="1"/>
  <c r="O118" i="35" s="1"/>
  <c r="P118" i="35" a="1"/>
  <c r="P118" i="35" s="1"/>
  <c r="Q118" i="35" a="1"/>
  <c r="Q118" i="35" s="1"/>
  <c r="R118" i="35" a="1"/>
  <c r="R118" i="35" s="1"/>
  <c r="S118" i="35" a="1"/>
  <c r="S118" i="35" s="1"/>
  <c r="T118" i="35" a="1"/>
  <c r="T118" i="35" s="1"/>
  <c r="F119" i="35" a="1"/>
  <c r="F119" i="35" s="1"/>
  <c r="G119" i="35" a="1"/>
  <c r="G119" i="35" s="1"/>
  <c r="H119" i="35" a="1"/>
  <c r="H119" i="35" s="1"/>
  <c r="I119" i="35" a="1"/>
  <c r="I119" i="35" s="1"/>
  <c r="J119" i="35" a="1"/>
  <c r="J119" i="35" s="1"/>
  <c r="K119" i="35" a="1"/>
  <c r="K119" i="35" s="1"/>
  <c r="L119" i="35" a="1"/>
  <c r="L119" i="35" s="1"/>
  <c r="M119" i="35" a="1"/>
  <c r="M119" i="35" s="1"/>
  <c r="N119" i="35" a="1"/>
  <c r="N119" i="35" s="1"/>
  <c r="O119" i="35" a="1"/>
  <c r="O119" i="35" s="1"/>
  <c r="P119" i="35" a="1"/>
  <c r="P119" i="35" s="1"/>
  <c r="Q119" i="35" a="1"/>
  <c r="Q119" i="35" s="1"/>
  <c r="R119" i="35" a="1"/>
  <c r="R119" i="35" s="1"/>
  <c r="S119" i="35" a="1"/>
  <c r="S119" i="35" s="1"/>
  <c r="T119" i="35" a="1"/>
  <c r="T119" i="35" s="1"/>
  <c r="F120" i="35" a="1"/>
  <c r="F120" i="35" s="1"/>
  <c r="G120" i="35" a="1"/>
  <c r="G120" i="35" s="1"/>
  <c r="H120" i="35" a="1"/>
  <c r="H120" i="35" s="1"/>
  <c r="I120" i="35" a="1"/>
  <c r="I120" i="35" s="1"/>
  <c r="J120" i="35" a="1"/>
  <c r="J120" i="35" s="1"/>
  <c r="K120" i="35" a="1"/>
  <c r="K120" i="35" s="1"/>
  <c r="L120" i="35" a="1"/>
  <c r="L120" i="35" s="1"/>
  <c r="M120" i="35" a="1"/>
  <c r="M120" i="35" s="1"/>
  <c r="N120" i="35" a="1"/>
  <c r="N120" i="35" s="1"/>
  <c r="O120" i="35" a="1"/>
  <c r="O120" i="35" s="1"/>
  <c r="P120" i="35" a="1"/>
  <c r="P120" i="35" s="1"/>
  <c r="Q120" i="35" a="1"/>
  <c r="Q120" i="35" s="1"/>
  <c r="R120" i="35" a="1"/>
  <c r="R120" i="35" s="1"/>
  <c r="S120" i="35" a="1"/>
  <c r="S120" i="35" s="1"/>
  <c r="T120" i="35" a="1"/>
  <c r="T120" i="35" s="1"/>
  <c r="F121" i="35" a="1"/>
  <c r="F121" i="35" s="1"/>
  <c r="G121" i="35" a="1"/>
  <c r="G121" i="35" s="1"/>
  <c r="H121" i="35" a="1"/>
  <c r="H121" i="35" s="1"/>
  <c r="I121" i="35" a="1"/>
  <c r="I121" i="35" s="1"/>
  <c r="J121" i="35" a="1"/>
  <c r="J121" i="35" s="1"/>
  <c r="K121" i="35" a="1"/>
  <c r="K121" i="35" s="1"/>
  <c r="L121" i="35" a="1"/>
  <c r="L121" i="35" s="1"/>
  <c r="M121" i="35" a="1"/>
  <c r="M121" i="35" s="1"/>
  <c r="N121" i="35" a="1"/>
  <c r="N121" i="35" s="1"/>
  <c r="O121" i="35" a="1"/>
  <c r="O121" i="35" s="1"/>
  <c r="P121" i="35" a="1"/>
  <c r="P121" i="35" s="1"/>
  <c r="Q121" i="35" a="1"/>
  <c r="Q121" i="35" s="1"/>
  <c r="R121" i="35" a="1"/>
  <c r="R121" i="35" s="1"/>
  <c r="S121" i="35" a="1"/>
  <c r="S121" i="35" s="1"/>
  <c r="T121" i="35" a="1"/>
  <c r="T121" i="35" s="1"/>
  <c r="F122" i="35" a="1"/>
  <c r="F122" i="35" s="1"/>
  <c r="G122" i="35" a="1"/>
  <c r="G122" i="35" s="1"/>
  <c r="H122" i="35" a="1"/>
  <c r="H122" i="35" s="1"/>
  <c r="I122" i="35" a="1"/>
  <c r="I122" i="35" s="1"/>
  <c r="J122" i="35" a="1"/>
  <c r="J122" i="35" s="1"/>
  <c r="K122" i="35" a="1"/>
  <c r="K122" i="35" s="1"/>
  <c r="L122" i="35" a="1"/>
  <c r="L122" i="35" s="1"/>
  <c r="M122" i="35" a="1"/>
  <c r="M122" i="35" s="1"/>
  <c r="N122" i="35" a="1"/>
  <c r="N122" i="35" s="1"/>
  <c r="O122" i="35" a="1"/>
  <c r="O122" i="35" s="1"/>
  <c r="P122" i="35" a="1"/>
  <c r="P122" i="35" s="1"/>
  <c r="Q122" i="35" a="1"/>
  <c r="Q122" i="35" s="1"/>
  <c r="R122" i="35" a="1"/>
  <c r="R122" i="35" s="1"/>
  <c r="S122" i="35" a="1"/>
  <c r="S122" i="35" s="1"/>
  <c r="T122" i="35" a="1"/>
  <c r="T122" i="35" s="1"/>
  <c r="F123" i="35" a="1"/>
  <c r="F123" i="35" s="1"/>
  <c r="G123" i="35" a="1"/>
  <c r="G123" i="35" s="1"/>
  <c r="H123" i="35" a="1"/>
  <c r="H123" i="35" s="1"/>
  <c r="I123" i="35" a="1"/>
  <c r="I123" i="35" s="1"/>
  <c r="J123" i="35" a="1"/>
  <c r="J123" i="35" s="1"/>
  <c r="K123" i="35" a="1"/>
  <c r="K123" i="35" s="1"/>
  <c r="L123" i="35" a="1"/>
  <c r="L123" i="35" s="1"/>
  <c r="M123" i="35" a="1"/>
  <c r="M123" i="35" s="1"/>
  <c r="N123" i="35" a="1"/>
  <c r="N123" i="35" s="1"/>
  <c r="O123" i="35" a="1"/>
  <c r="O123" i="35" s="1"/>
  <c r="P123" i="35" a="1"/>
  <c r="P123" i="35" s="1"/>
  <c r="Q123" i="35" a="1"/>
  <c r="Q123" i="35" s="1"/>
  <c r="R123" i="35" a="1"/>
  <c r="R123" i="35" s="1"/>
  <c r="S123" i="35" a="1"/>
  <c r="S123" i="35" s="1"/>
  <c r="T123" i="35" a="1"/>
  <c r="T123" i="35" s="1"/>
  <c r="F124" i="35" a="1"/>
  <c r="F124" i="35" s="1"/>
  <c r="G124" i="35" a="1"/>
  <c r="G124" i="35" s="1"/>
  <c r="H124" i="35" a="1"/>
  <c r="H124" i="35" s="1"/>
  <c r="I124" i="35" a="1"/>
  <c r="I124" i="35" s="1"/>
  <c r="J124" i="35" a="1"/>
  <c r="J124" i="35" s="1"/>
  <c r="K124" i="35" a="1"/>
  <c r="K124" i="35" s="1"/>
  <c r="L124" i="35" a="1"/>
  <c r="L124" i="35" s="1"/>
  <c r="M124" i="35" a="1"/>
  <c r="M124" i="35" s="1"/>
  <c r="N124" i="35" a="1"/>
  <c r="N124" i="35" s="1"/>
  <c r="O124" i="35" a="1"/>
  <c r="O124" i="35" s="1"/>
  <c r="P124" i="35" a="1"/>
  <c r="P124" i="35" s="1"/>
  <c r="Q124" i="35" a="1"/>
  <c r="Q124" i="35" s="1"/>
  <c r="R124" i="35" a="1"/>
  <c r="R124" i="35" s="1"/>
  <c r="S124" i="35" a="1"/>
  <c r="S124" i="35" s="1"/>
  <c r="T124" i="35" a="1"/>
  <c r="T124" i="35" s="1"/>
  <c r="F125" i="35" a="1"/>
  <c r="F125" i="35" s="1"/>
  <c r="G125" i="35" a="1"/>
  <c r="G125" i="35" s="1"/>
  <c r="H125" i="35" a="1"/>
  <c r="H125" i="35" s="1"/>
  <c r="I125" i="35" a="1"/>
  <c r="I125" i="35" s="1"/>
  <c r="J125" i="35" a="1"/>
  <c r="J125" i="35" s="1"/>
  <c r="K125" i="35" a="1"/>
  <c r="K125" i="35" s="1"/>
  <c r="L125" i="35" a="1"/>
  <c r="L125" i="35" s="1"/>
  <c r="M125" i="35" a="1"/>
  <c r="M125" i="35" s="1"/>
  <c r="N125" i="35" a="1"/>
  <c r="N125" i="35" s="1"/>
  <c r="O125" i="35" a="1"/>
  <c r="O125" i="35" s="1"/>
  <c r="P125" i="35" a="1"/>
  <c r="P125" i="35" s="1"/>
  <c r="Q125" i="35" a="1"/>
  <c r="Q125" i="35" s="1"/>
  <c r="R125" i="35" a="1"/>
  <c r="R125" i="35" s="1"/>
  <c r="S125" i="35" a="1"/>
  <c r="S125" i="35" s="1"/>
  <c r="T125" i="35" a="1"/>
  <c r="T125" i="35" s="1"/>
  <c r="F126" i="35" a="1"/>
  <c r="F126" i="35" s="1"/>
  <c r="G126" i="35" a="1"/>
  <c r="G126" i="35" s="1"/>
  <c r="H126" i="35" a="1"/>
  <c r="H126" i="35" s="1"/>
  <c r="I126" i="35" a="1"/>
  <c r="I126" i="35" s="1"/>
  <c r="J126" i="35" a="1"/>
  <c r="J126" i="35" s="1"/>
  <c r="K126" i="35" a="1"/>
  <c r="K126" i="35" s="1"/>
  <c r="L126" i="35" a="1"/>
  <c r="L126" i="35" s="1"/>
  <c r="M126" i="35" a="1"/>
  <c r="M126" i="35" s="1"/>
  <c r="N126" i="35" a="1"/>
  <c r="N126" i="35" s="1"/>
  <c r="O126" i="35" a="1"/>
  <c r="O126" i="35" s="1"/>
  <c r="P126" i="35" a="1"/>
  <c r="P126" i="35" s="1"/>
  <c r="Q126" i="35" a="1"/>
  <c r="Q126" i="35" s="1"/>
  <c r="R126" i="35" a="1"/>
  <c r="R126" i="35" s="1"/>
  <c r="S126" i="35" a="1"/>
  <c r="S126" i="35" s="1"/>
  <c r="T126" i="35" a="1"/>
  <c r="T126" i="35" s="1"/>
  <c r="F127" i="35" a="1"/>
  <c r="F127" i="35" s="1"/>
  <c r="G127" i="35" a="1"/>
  <c r="G127" i="35" s="1"/>
  <c r="H127" i="35" a="1"/>
  <c r="H127" i="35" s="1"/>
  <c r="I127" i="35" a="1"/>
  <c r="I127" i="35" s="1"/>
  <c r="J127" i="35" a="1"/>
  <c r="J127" i="35" s="1"/>
  <c r="K127" i="35" a="1"/>
  <c r="K127" i="35" s="1"/>
  <c r="L127" i="35" a="1"/>
  <c r="L127" i="35" s="1"/>
  <c r="M127" i="35" a="1"/>
  <c r="M127" i="35" s="1"/>
  <c r="N127" i="35" a="1"/>
  <c r="N127" i="35" s="1"/>
  <c r="O127" i="35" a="1"/>
  <c r="O127" i="35" s="1"/>
  <c r="P127" i="35" a="1"/>
  <c r="P127" i="35" s="1"/>
  <c r="Q127" i="35" a="1"/>
  <c r="Q127" i="35" s="1"/>
  <c r="R127" i="35" a="1"/>
  <c r="R127" i="35" s="1"/>
  <c r="S127" i="35" a="1"/>
  <c r="S127" i="35" s="1"/>
  <c r="T127" i="35" a="1"/>
  <c r="T127" i="35" s="1"/>
  <c r="F128" i="35" a="1"/>
  <c r="F128" i="35" s="1"/>
  <c r="G128" i="35" a="1"/>
  <c r="G128" i="35" s="1"/>
  <c r="H128" i="35" a="1"/>
  <c r="H128" i="35" s="1"/>
  <c r="I128" i="35" a="1"/>
  <c r="I128" i="35" s="1"/>
  <c r="J128" i="35" a="1"/>
  <c r="J128" i="35" s="1"/>
  <c r="K128" i="35" a="1"/>
  <c r="K128" i="35" s="1"/>
  <c r="L128" i="35" a="1"/>
  <c r="L128" i="35" s="1"/>
  <c r="M128" i="35" a="1"/>
  <c r="M128" i="35" s="1"/>
  <c r="N128" i="35" a="1"/>
  <c r="N128" i="35" s="1"/>
  <c r="O128" i="35" a="1"/>
  <c r="O128" i="35" s="1"/>
  <c r="P128" i="35" a="1"/>
  <c r="P128" i="35" s="1"/>
  <c r="Q128" i="35" a="1"/>
  <c r="Q128" i="35" s="1"/>
  <c r="R128" i="35" a="1"/>
  <c r="R128" i="35" s="1"/>
  <c r="S128" i="35" a="1"/>
  <c r="S128" i="35" s="1"/>
  <c r="T128" i="35" a="1"/>
  <c r="T128" i="35" s="1"/>
  <c r="F129" i="35" a="1"/>
  <c r="F129" i="35" s="1"/>
  <c r="G129" i="35" a="1"/>
  <c r="G129" i="35" s="1"/>
  <c r="H129" i="35" a="1"/>
  <c r="H129" i="35" s="1"/>
  <c r="I129" i="35" a="1"/>
  <c r="I129" i="35" s="1"/>
  <c r="J129" i="35" a="1"/>
  <c r="J129" i="35" s="1"/>
  <c r="K129" i="35" a="1"/>
  <c r="K129" i="35" s="1"/>
  <c r="L129" i="35" a="1"/>
  <c r="L129" i="35" s="1"/>
  <c r="M129" i="35" a="1"/>
  <c r="M129" i="35" s="1"/>
  <c r="N129" i="35" a="1"/>
  <c r="N129" i="35" s="1"/>
  <c r="O129" i="35" a="1"/>
  <c r="O129" i="35" s="1"/>
  <c r="P129" i="35" a="1"/>
  <c r="P129" i="35" s="1"/>
  <c r="Q129" i="35" a="1"/>
  <c r="Q129" i="35" s="1"/>
  <c r="R129" i="35" a="1"/>
  <c r="R129" i="35" s="1"/>
  <c r="S129" i="35" a="1"/>
  <c r="S129" i="35" s="1"/>
  <c r="T129" i="35" a="1"/>
  <c r="T129" i="35" s="1"/>
  <c r="F130" i="35" a="1"/>
  <c r="F130" i="35" s="1"/>
  <c r="G130" i="35" a="1"/>
  <c r="G130" i="35" s="1"/>
  <c r="H130" i="35" a="1"/>
  <c r="H130" i="35" s="1"/>
  <c r="I130" i="35" a="1"/>
  <c r="I130" i="35" s="1"/>
  <c r="J130" i="35" a="1"/>
  <c r="J130" i="35" s="1"/>
  <c r="K130" i="35" a="1"/>
  <c r="K130" i="35" s="1"/>
  <c r="L130" i="35" a="1"/>
  <c r="L130" i="35" s="1"/>
  <c r="M130" i="35" a="1"/>
  <c r="M130" i="35" s="1"/>
  <c r="N130" i="35" a="1"/>
  <c r="N130" i="35" s="1"/>
  <c r="O130" i="35" a="1"/>
  <c r="O130" i="35" s="1"/>
  <c r="P130" i="35" a="1"/>
  <c r="P130" i="35" s="1"/>
  <c r="Q130" i="35" a="1"/>
  <c r="Q130" i="35" s="1"/>
  <c r="R130" i="35" a="1"/>
  <c r="R130" i="35" s="1"/>
  <c r="S130" i="35" a="1"/>
  <c r="S130" i="35" s="1"/>
  <c r="T130" i="35" a="1"/>
  <c r="T130" i="35" s="1"/>
  <c r="F131" i="35" a="1"/>
  <c r="F131" i="35" s="1"/>
  <c r="G131" i="35" a="1"/>
  <c r="G131" i="35" s="1"/>
  <c r="H131" i="35" a="1"/>
  <c r="H131" i="35" s="1"/>
  <c r="I131" i="35" a="1"/>
  <c r="I131" i="35" s="1"/>
  <c r="J131" i="35" a="1"/>
  <c r="J131" i="35" s="1"/>
  <c r="K131" i="35" a="1"/>
  <c r="K131" i="35" s="1"/>
  <c r="L131" i="35" a="1"/>
  <c r="L131" i="35" s="1"/>
  <c r="M131" i="35" a="1"/>
  <c r="M131" i="35" s="1"/>
  <c r="N131" i="35" a="1"/>
  <c r="N131" i="35" s="1"/>
  <c r="O131" i="35" a="1"/>
  <c r="O131" i="35" s="1"/>
  <c r="P131" i="35" a="1"/>
  <c r="P131" i="35" s="1"/>
  <c r="Q131" i="35" a="1"/>
  <c r="Q131" i="35" s="1"/>
  <c r="R131" i="35" a="1"/>
  <c r="R131" i="35" s="1"/>
  <c r="S131" i="35" a="1"/>
  <c r="S131" i="35" s="1"/>
  <c r="T131" i="35" a="1"/>
  <c r="T131" i="35" s="1"/>
  <c r="F132" i="35" a="1"/>
  <c r="F132" i="35" s="1"/>
  <c r="G132" i="35" a="1"/>
  <c r="G132" i="35" s="1"/>
  <c r="H132" i="35" a="1"/>
  <c r="H132" i="35" s="1"/>
  <c r="I132" i="35" a="1"/>
  <c r="I132" i="35" s="1"/>
  <c r="J132" i="35" a="1"/>
  <c r="J132" i="35" s="1"/>
  <c r="K132" i="35" a="1"/>
  <c r="K132" i="35" s="1"/>
  <c r="L132" i="35" a="1"/>
  <c r="L132" i="35" s="1"/>
  <c r="M132" i="35" a="1"/>
  <c r="M132" i="35" s="1"/>
  <c r="N132" i="35" a="1"/>
  <c r="N132" i="35" s="1"/>
  <c r="O132" i="35" a="1"/>
  <c r="O132" i="35" s="1"/>
  <c r="P132" i="35" a="1"/>
  <c r="P132" i="35" s="1"/>
  <c r="Q132" i="35" a="1"/>
  <c r="Q132" i="35" s="1"/>
  <c r="R132" i="35" a="1"/>
  <c r="R132" i="35" s="1"/>
  <c r="S132" i="35" a="1"/>
  <c r="S132" i="35" s="1"/>
  <c r="T132" i="35" a="1"/>
  <c r="T132" i="35" s="1"/>
  <c r="F133" i="35" a="1"/>
  <c r="F133" i="35" s="1"/>
  <c r="G133" i="35" a="1"/>
  <c r="G133" i="35" s="1"/>
  <c r="H133" i="35" a="1"/>
  <c r="H133" i="35" s="1"/>
  <c r="I133" i="35" a="1"/>
  <c r="I133" i="35" s="1"/>
  <c r="J133" i="35" a="1"/>
  <c r="J133" i="35" s="1"/>
  <c r="K133" i="35" a="1"/>
  <c r="K133" i="35" s="1"/>
  <c r="L133" i="35" a="1"/>
  <c r="L133" i="35" s="1"/>
  <c r="M133" i="35" a="1"/>
  <c r="M133" i="35" s="1"/>
  <c r="N133" i="35" a="1"/>
  <c r="N133" i="35" s="1"/>
  <c r="O133" i="35" a="1"/>
  <c r="O133" i="35" s="1"/>
  <c r="P133" i="35" a="1"/>
  <c r="P133" i="35" s="1"/>
  <c r="Q133" i="35" a="1"/>
  <c r="Q133" i="35" s="1"/>
  <c r="R133" i="35" a="1"/>
  <c r="R133" i="35" s="1"/>
  <c r="S133" i="35" a="1"/>
  <c r="S133" i="35" s="1"/>
  <c r="T133" i="35" a="1"/>
  <c r="T133" i="35" s="1"/>
  <c r="F134" i="35" a="1"/>
  <c r="F134" i="35" s="1"/>
  <c r="G134" i="35" a="1"/>
  <c r="G134" i="35" s="1"/>
  <c r="H134" i="35" a="1"/>
  <c r="H134" i="35" s="1"/>
  <c r="I134" i="35" a="1"/>
  <c r="I134" i="35" s="1"/>
  <c r="J134" i="35" a="1"/>
  <c r="J134" i="35" s="1"/>
  <c r="K134" i="35" a="1"/>
  <c r="K134" i="35" s="1"/>
  <c r="L134" i="35" a="1"/>
  <c r="L134" i="35" s="1"/>
  <c r="M134" i="35" a="1"/>
  <c r="M134" i="35" s="1"/>
  <c r="N134" i="35" a="1"/>
  <c r="N134" i="35" s="1"/>
  <c r="O134" i="35" a="1"/>
  <c r="O134" i="35" s="1"/>
  <c r="P134" i="35" a="1"/>
  <c r="P134" i="35" s="1"/>
  <c r="Q134" i="35" a="1"/>
  <c r="Q134" i="35" s="1"/>
  <c r="R134" i="35" a="1"/>
  <c r="R134" i="35" s="1"/>
  <c r="S134" i="35" a="1"/>
  <c r="S134" i="35" s="1"/>
  <c r="T134" i="35" a="1"/>
  <c r="T134" i="35" s="1"/>
  <c r="F135" i="35" a="1"/>
  <c r="F135" i="35" s="1"/>
  <c r="G135" i="35" a="1"/>
  <c r="G135" i="35" s="1"/>
  <c r="H135" i="35" a="1"/>
  <c r="H135" i="35" s="1"/>
  <c r="I135" i="35" a="1"/>
  <c r="I135" i="35" s="1"/>
  <c r="J135" i="35" a="1"/>
  <c r="J135" i="35" s="1"/>
  <c r="K135" i="35" a="1"/>
  <c r="K135" i="35" s="1"/>
  <c r="L135" i="35" a="1"/>
  <c r="L135" i="35" s="1"/>
  <c r="M135" i="35" a="1"/>
  <c r="M135" i="35" s="1"/>
  <c r="N135" i="35" a="1"/>
  <c r="N135" i="35" s="1"/>
  <c r="O135" i="35" a="1"/>
  <c r="O135" i="35" s="1"/>
  <c r="P135" i="35" a="1"/>
  <c r="P135" i="35" s="1"/>
  <c r="Q135" i="35" a="1"/>
  <c r="Q135" i="35" s="1"/>
  <c r="R135" i="35" a="1"/>
  <c r="R135" i="35" s="1"/>
  <c r="S135" i="35" a="1"/>
  <c r="S135" i="35" s="1"/>
  <c r="T135" i="35" a="1"/>
  <c r="T135" i="35" s="1"/>
  <c r="F136" i="35" a="1"/>
  <c r="F136" i="35" s="1"/>
  <c r="G136" i="35" a="1"/>
  <c r="G136" i="35" s="1"/>
  <c r="H136" i="35" a="1"/>
  <c r="H136" i="35" s="1"/>
  <c r="I136" i="35" a="1"/>
  <c r="I136" i="35" s="1"/>
  <c r="J136" i="35" a="1"/>
  <c r="J136" i="35" s="1"/>
  <c r="K136" i="35" a="1"/>
  <c r="K136" i="35" s="1"/>
  <c r="L136" i="35" a="1"/>
  <c r="L136" i="35" s="1"/>
  <c r="M136" i="35" a="1"/>
  <c r="M136" i="35" s="1"/>
  <c r="N136" i="35" a="1"/>
  <c r="N136" i="35" s="1"/>
  <c r="O136" i="35" a="1"/>
  <c r="O136" i="35" s="1"/>
  <c r="P136" i="35" a="1"/>
  <c r="P136" i="35" s="1"/>
  <c r="Q136" i="35" a="1"/>
  <c r="Q136" i="35" s="1"/>
  <c r="R136" i="35" a="1"/>
  <c r="R136" i="35" s="1"/>
  <c r="S136" i="35" a="1"/>
  <c r="S136" i="35" s="1"/>
  <c r="T136" i="35" a="1"/>
  <c r="T136" i="35" s="1"/>
  <c r="F137" i="35" a="1"/>
  <c r="F137" i="35" s="1"/>
  <c r="G137" i="35" a="1"/>
  <c r="G137" i="35" s="1"/>
  <c r="H137" i="35" a="1"/>
  <c r="H137" i="35" s="1"/>
  <c r="I137" i="35" a="1"/>
  <c r="I137" i="35" s="1"/>
  <c r="J137" i="35" a="1"/>
  <c r="J137" i="35" s="1"/>
  <c r="K137" i="35" a="1"/>
  <c r="K137" i="35" s="1"/>
  <c r="L137" i="35" a="1"/>
  <c r="L137" i="35" s="1"/>
  <c r="M137" i="35" a="1"/>
  <c r="M137" i="35" s="1"/>
  <c r="N137" i="35" a="1"/>
  <c r="N137" i="35" s="1"/>
  <c r="O137" i="35" a="1"/>
  <c r="O137" i="35" s="1"/>
  <c r="P137" i="35" a="1"/>
  <c r="P137" i="35" s="1"/>
  <c r="Q137" i="35" a="1"/>
  <c r="Q137" i="35" s="1"/>
  <c r="R137" i="35" a="1"/>
  <c r="R137" i="35" s="1"/>
  <c r="S137" i="35" a="1"/>
  <c r="S137" i="35" s="1"/>
  <c r="T137" i="35" a="1"/>
  <c r="T137" i="35" s="1"/>
  <c r="F138" i="35" a="1"/>
  <c r="F138" i="35" s="1"/>
  <c r="G138" i="35" a="1"/>
  <c r="G138" i="35" s="1"/>
  <c r="H138" i="35" a="1"/>
  <c r="H138" i="35" s="1"/>
  <c r="I138" i="35" a="1"/>
  <c r="I138" i="35" s="1"/>
  <c r="J138" i="35" a="1"/>
  <c r="J138" i="35" s="1"/>
  <c r="K138" i="35" a="1"/>
  <c r="K138" i="35" s="1"/>
  <c r="L138" i="35" a="1"/>
  <c r="L138" i="35" s="1"/>
  <c r="M138" i="35" a="1"/>
  <c r="M138" i="35" s="1"/>
  <c r="N138" i="35" a="1"/>
  <c r="N138" i="35" s="1"/>
  <c r="O138" i="35" a="1"/>
  <c r="O138" i="35" s="1"/>
  <c r="P138" i="35" a="1"/>
  <c r="P138" i="35" s="1"/>
  <c r="Q138" i="35" a="1"/>
  <c r="Q138" i="35" s="1"/>
  <c r="R138" i="35" a="1"/>
  <c r="R138" i="35" s="1"/>
  <c r="S138" i="35" a="1"/>
  <c r="S138" i="35" s="1"/>
  <c r="T138" i="35" a="1"/>
  <c r="T138" i="35" s="1"/>
  <c r="F139" i="35" a="1"/>
  <c r="F139" i="35" s="1"/>
  <c r="G139" i="35" a="1"/>
  <c r="G139" i="35" s="1"/>
  <c r="H139" i="35" a="1"/>
  <c r="H139" i="35" s="1"/>
  <c r="I139" i="35" a="1"/>
  <c r="I139" i="35" s="1"/>
  <c r="J139" i="35" a="1"/>
  <c r="J139" i="35" s="1"/>
  <c r="K139" i="35" a="1"/>
  <c r="K139" i="35" s="1"/>
  <c r="L139" i="35" a="1"/>
  <c r="L139" i="35" s="1"/>
  <c r="M139" i="35" a="1"/>
  <c r="M139" i="35" s="1"/>
  <c r="N139" i="35" a="1"/>
  <c r="N139" i="35" s="1"/>
  <c r="O139" i="35" a="1"/>
  <c r="O139" i="35" s="1"/>
  <c r="P139" i="35" a="1"/>
  <c r="P139" i="35" s="1"/>
  <c r="Q139" i="35" a="1"/>
  <c r="Q139" i="35" s="1"/>
  <c r="R139" i="35" a="1"/>
  <c r="R139" i="35" s="1"/>
  <c r="S139" i="35" a="1"/>
  <c r="S139" i="35" s="1"/>
  <c r="T139" i="35" a="1"/>
  <c r="T139" i="35" s="1"/>
  <c r="F140" i="35" a="1"/>
  <c r="F140" i="35" s="1"/>
  <c r="G140" i="35" a="1"/>
  <c r="G140" i="35" s="1"/>
  <c r="H140" i="35" a="1"/>
  <c r="H140" i="35" s="1"/>
  <c r="I140" i="35" a="1"/>
  <c r="I140" i="35" s="1"/>
  <c r="J140" i="35" a="1"/>
  <c r="J140" i="35" s="1"/>
  <c r="K140" i="35" a="1"/>
  <c r="K140" i="35" s="1"/>
  <c r="L140" i="35" a="1"/>
  <c r="L140" i="35" s="1"/>
  <c r="M140" i="35" a="1"/>
  <c r="M140" i="35" s="1"/>
  <c r="N140" i="35" a="1"/>
  <c r="N140" i="35" s="1"/>
  <c r="O140" i="35" a="1"/>
  <c r="O140" i="35" s="1"/>
  <c r="P140" i="35" a="1"/>
  <c r="P140" i="35" s="1"/>
  <c r="Q140" i="35" a="1"/>
  <c r="Q140" i="35" s="1"/>
  <c r="R140" i="35" a="1"/>
  <c r="R140" i="35" s="1"/>
  <c r="S140" i="35" a="1"/>
  <c r="S140" i="35" s="1"/>
  <c r="T140" i="35" a="1"/>
  <c r="T140" i="35" s="1"/>
  <c r="F141" i="35" a="1"/>
  <c r="F141" i="35" s="1"/>
  <c r="G141" i="35" a="1"/>
  <c r="G141" i="35" s="1"/>
  <c r="H141" i="35" a="1"/>
  <c r="H141" i="35" s="1"/>
  <c r="I141" i="35" a="1"/>
  <c r="I141" i="35" s="1"/>
  <c r="J141" i="35" a="1"/>
  <c r="J141" i="35" s="1"/>
  <c r="K141" i="35" a="1"/>
  <c r="K141" i="35" s="1"/>
  <c r="L141" i="35" a="1"/>
  <c r="L141" i="35" s="1"/>
  <c r="M141" i="35" a="1"/>
  <c r="M141" i="35" s="1"/>
  <c r="N141" i="35" a="1"/>
  <c r="N141" i="35" s="1"/>
  <c r="O141" i="35" a="1"/>
  <c r="O141" i="35" s="1"/>
  <c r="P141" i="35" a="1"/>
  <c r="P141" i="35" s="1"/>
  <c r="Q141" i="35" a="1"/>
  <c r="Q141" i="35" s="1"/>
  <c r="R141" i="35" a="1"/>
  <c r="R141" i="35" s="1"/>
  <c r="S141" i="35" a="1"/>
  <c r="S141" i="35" s="1"/>
  <c r="T141" i="35" a="1"/>
  <c r="T141" i="35" s="1"/>
  <c r="F142" i="35" a="1"/>
  <c r="F142" i="35" s="1"/>
  <c r="G142" i="35" a="1"/>
  <c r="G142" i="35" s="1"/>
  <c r="H142" i="35" a="1"/>
  <c r="H142" i="35" s="1"/>
  <c r="I142" i="35" a="1"/>
  <c r="I142" i="35" s="1"/>
  <c r="J142" i="35" a="1"/>
  <c r="J142" i="35" s="1"/>
  <c r="K142" i="35" a="1"/>
  <c r="K142" i="35" s="1"/>
  <c r="L142" i="35" a="1"/>
  <c r="L142" i="35" s="1"/>
  <c r="M142" i="35" a="1"/>
  <c r="M142" i="35" s="1"/>
  <c r="N142" i="35" a="1"/>
  <c r="N142" i="35" s="1"/>
  <c r="O142" i="35" a="1"/>
  <c r="O142" i="35" s="1"/>
  <c r="P142" i="35" a="1"/>
  <c r="P142" i="35" s="1"/>
  <c r="Q142" i="35" a="1"/>
  <c r="Q142" i="35" s="1"/>
  <c r="R142" i="35" a="1"/>
  <c r="R142" i="35" s="1"/>
  <c r="S142" i="35" a="1"/>
  <c r="S142" i="35" s="1"/>
  <c r="T142" i="35" a="1"/>
  <c r="T142" i="35" s="1"/>
  <c r="F143" i="35" a="1"/>
  <c r="F143" i="35" s="1"/>
  <c r="G143" i="35" a="1"/>
  <c r="G143" i="35" s="1"/>
  <c r="H143" i="35" a="1"/>
  <c r="H143" i="35" s="1"/>
  <c r="I143" i="35" a="1"/>
  <c r="I143" i="35" s="1"/>
  <c r="J143" i="35" a="1"/>
  <c r="J143" i="35" s="1"/>
  <c r="K143" i="35" a="1"/>
  <c r="K143" i="35" s="1"/>
  <c r="L143" i="35" a="1"/>
  <c r="L143" i="35" s="1"/>
  <c r="M143" i="35" a="1"/>
  <c r="M143" i="35" s="1"/>
  <c r="N143" i="35" a="1"/>
  <c r="N143" i="35" s="1"/>
  <c r="O143" i="35" a="1"/>
  <c r="O143" i="35" s="1"/>
  <c r="P143" i="35" a="1"/>
  <c r="P143" i="35" s="1"/>
  <c r="Q143" i="35" a="1"/>
  <c r="Q143" i="35" s="1"/>
  <c r="R143" i="35" a="1"/>
  <c r="R143" i="35" s="1"/>
  <c r="S143" i="35" a="1"/>
  <c r="S143" i="35" s="1"/>
  <c r="T143" i="35" a="1"/>
  <c r="T143" i="35" s="1"/>
  <c r="F144" i="35" a="1"/>
  <c r="F144" i="35" s="1"/>
  <c r="G144" i="35" a="1"/>
  <c r="G144" i="35" s="1"/>
  <c r="H144" i="35" a="1"/>
  <c r="H144" i="35" s="1"/>
  <c r="I144" i="35" a="1"/>
  <c r="I144" i="35" s="1"/>
  <c r="J144" i="35" a="1"/>
  <c r="J144" i="35" s="1"/>
  <c r="K144" i="35" a="1"/>
  <c r="K144" i="35" s="1"/>
  <c r="L144" i="35" a="1"/>
  <c r="L144" i="35" s="1"/>
  <c r="M144" i="35" a="1"/>
  <c r="M144" i="35" s="1"/>
  <c r="N144" i="35" a="1"/>
  <c r="N144" i="35" s="1"/>
  <c r="O144" i="35" a="1"/>
  <c r="O144" i="35" s="1"/>
  <c r="P144" i="35" a="1"/>
  <c r="P144" i="35" s="1"/>
  <c r="Q144" i="35" a="1"/>
  <c r="Q144" i="35" s="1"/>
  <c r="R144" i="35" a="1"/>
  <c r="R144" i="35" s="1"/>
  <c r="S144" i="35" a="1"/>
  <c r="S144" i="35" s="1"/>
  <c r="T144" i="35" a="1"/>
  <c r="T144" i="35" s="1"/>
  <c r="F145" i="35" a="1"/>
  <c r="F145" i="35" s="1"/>
  <c r="G145" i="35" a="1"/>
  <c r="G145" i="35" s="1"/>
  <c r="H145" i="35" a="1"/>
  <c r="H145" i="35" s="1"/>
  <c r="I145" i="35" a="1"/>
  <c r="I145" i="35" s="1"/>
  <c r="J145" i="35" a="1"/>
  <c r="J145" i="35" s="1"/>
  <c r="K145" i="35" a="1"/>
  <c r="K145" i="35" s="1"/>
  <c r="L145" i="35" a="1"/>
  <c r="L145" i="35" s="1"/>
  <c r="M145" i="35" a="1"/>
  <c r="M145" i="35" s="1"/>
  <c r="N145" i="35" a="1"/>
  <c r="N145" i="35" s="1"/>
  <c r="O145" i="35" a="1"/>
  <c r="O145" i="35" s="1"/>
  <c r="P145" i="35" a="1"/>
  <c r="P145" i="35" s="1"/>
  <c r="Q145" i="35" a="1"/>
  <c r="Q145" i="35" s="1"/>
  <c r="R145" i="35" a="1"/>
  <c r="R145" i="35" s="1"/>
  <c r="S145" i="35" a="1"/>
  <c r="S145" i="35" s="1"/>
  <c r="T145" i="35" a="1"/>
  <c r="T145" i="35" s="1"/>
  <c r="F146" i="35" a="1"/>
  <c r="F146" i="35" s="1"/>
  <c r="G146" i="35" a="1"/>
  <c r="G146" i="35" s="1"/>
  <c r="H146" i="35" a="1"/>
  <c r="H146" i="35" s="1"/>
  <c r="I146" i="35" a="1"/>
  <c r="I146" i="35" s="1"/>
  <c r="J146" i="35" a="1"/>
  <c r="J146" i="35" s="1"/>
  <c r="K146" i="35" a="1"/>
  <c r="K146" i="35" s="1"/>
  <c r="L146" i="35" a="1"/>
  <c r="L146" i="35" s="1"/>
  <c r="M146" i="35" a="1"/>
  <c r="M146" i="35" s="1"/>
  <c r="N146" i="35" a="1"/>
  <c r="N146" i="35" s="1"/>
  <c r="O146" i="35" a="1"/>
  <c r="O146" i="35" s="1"/>
  <c r="P146" i="35" a="1"/>
  <c r="P146" i="35" s="1"/>
  <c r="Q146" i="35" a="1"/>
  <c r="Q146" i="35" s="1"/>
  <c r="R146" i="35" a="1"/>
  <c r="R146" i="35" s="1"/>
  <c r="S146" i="35" a="1"/>
  <c r="S146" i="35" s="1"/>
  <c r="T146" i="35" a="1"/>
  <c r="T146" i="35" s="1"/>
  <c r="F147" i="35" a="1"/>
  <c r="F147" i="35" s="1"/>
  <c r="G147" i="35" a="1"/>
  <c r="G147" i="35" s="1"/>
  <c r="H147" i="35" a="1"/>
  <c r="H147" i="35" s="1"/>
  <c r="I147" i="35" a="1"/>
  <c r="I147" i="35" s="1"/>
  <c r="J147" i="35" a="1"/>
  <c r="J147" i="35" s="1"/>
  <c r="K147" i="35" a="1"/>
  <c r="K147" i="35" s="1"/>
  <c r="L147" i="35" a="1"/>
  <c r="L147" i="35" s="1"/>
  <c r="M147" i="35" a="1"/>
  <c r="M147" i="35" s="1"/>
  <c r="N147" i="35" a="1"/>
  <c r="N147" i="35" s="1"/>
  <c r="O147" i="35" a="1"/>
  <c r="O147" i="35" s="1"/>
  <c r="P147" i="35" a="1"/>
  <c r="P147" i="35" s="1"/>
  <c r="Q147" i="35" a="1"/>
  <c r="Q147" i="35" s="1"/>
  <c r="R147" i="35" a="1"/>
  <c r="R147" i="35" s="1"/>
  <c r="S147" i="35" a="1"/>
  <c r="S147" i="35" s="1"/>
  <c r="T147" i="35" a="1"/>
  <c r="T147" i="35" s="1"/>
  <c r="F148" i="35" a="1"/>
  <c r="F148" i="35" s="1"/>
  <c r="G148" i="35" a="1"/>
  <c r="G148" i="35" s="1"/>
  <c r="H148" i="35" a="1"/>
  <c r="H148" i="35" s="1"/>
  <c r="I148" i="35" a="1"/>
  <c r="I148" i="35" s="1"/>
  <c r="J148" i="35" a="1"/>
  <c r="J148" i="35" s="1"/>
  <c r="K148" i="35" a="1"/>
  <c r="K148" i="35" s="1"/>
  <c r="L148" i="35" a="1"/>
  <c r="L148" i="35" s="1"/>
  <c r="M148" i="35" a="1"/>
  <c r="M148" i="35" s="1"/>
  <c r="N148" i="35" a="1"/>
  <c r="N148" i="35" s="1"/>
  <c r="O148" i="35" a="1"/>
  <c r="O148" i="35" s="1"/>
  <c r="P148" i="35" a="1"/>
  <c r="P148" i="35" s="1"/>
  <c r="Q148" i="35" a="1"/>
  <c r="Q148" i="35" s="1"/>
  <c r="R148" i="35" a="1"/>
  <c r="R148" i="35" s="1"/>
  <c r="S148" i="35" a="1"/>
  <c r="S148" i="35" s="1"/>
  <c r="T148" i="35" a="1"/>
  <c r="T148" i="35" s="1"/>
  <c r="F149" i="35" a="1"/>
  <c r="F149" i="35" s="1"/>
  <c r="G149" i="35" a="1"/>
  <c r="G149" i="35" s="1"/>
  <c r="H149" i="35" a="1"/>
  <c r="H149" i="35" s="1"/>
  <c r="I149" i="35" a="1"/>
  <c r="I149" i="35" s="1"/>
  <c r="J149" i="35" a="1"/>
  <c r="J149" i="35" s="1"/>
  <c r="K149" i="35" a="1"/>
  <c r="K149" i="35" s="1"/>
  <c r="L149" i="35" a="1"/>
  <c r="L149" i="35" s="1"/>
  <c r="M149" i="35" a="1"/>
  <c r="M149" i="35" s="1"/>
  <c r="N149" i="35" a="1"/>
  <c r="N149" i="35" s="1"/>
  <c r="O149" i="35" a="1"/>
  <c r="O149" i="35" s="1"/>
  <c r="P149" i="35" a="1"/>
  <c r="P149" i="35" s="1"/>
  <c r="Q149" i="35" a="1"/>
  <c r="Q149" i="35" s="1"/>
  <c r="R149" i="35" a="1"/>
  <c r="R149" i="35" s="1"/>
  <c r="S149" i="35" a="1"/>
  <c r="S149" i="35" s="1"/>
  <c r="T149" i="35" a="1"/>
  <c r="T149" i="35" s="1"/>
  <c r="F150" i="35" a="1"/>
  <c r="F150" i="35" s="1"/>
  <c r="G150" i="35" a="1"/>
  <c r="G150" i="35" s="1"/>
  <c r="H150" i="35" a="1"/>
  <c r="H150" i="35" s="1"/>
  <c r="I150" i="35" a="1"/>
  <c r="I150" i="35" s="1"/>
  <c r="J150" i="35" a="1"/>
  <c r="J150" i="35" s="1"/>
  <c r="K150" i="35" a="1"/>
  <c r="K150" i="35" s="1"/>
  <c r="L150" i="35" a="1"/>
  <c r="L150" i="35" s="1"/>
  <c r="M150" i="35" a="1"/>
  <c r="M150" i="35" s="1"/>
  <c r="N150" i="35" a="1"/>
  <c r="N150" i="35" s="1"/>
  <c r="O150" i="35" a="1"/>
  <c r="O150" i="35" s="1"/>
  <c r="P150" i="35" a="1"/>
  <c r="P150" i="35" s="1"/>
  <c r="Q150" i="35" a="1"/>
  <c r="Q150" i="35" s="1"/>
  <c r="R150" i="35" a="1"/>
  <c r="R150" i="35" s="1"/>
  <c r="S150" i="35" a="1"/>
  <c r="S150" i="35" s="1"/>
  <c r="T150" i="35" a="1"/>
  <c r="T150" i="35" s="1"/>
  <c r="F151" i="35" a="1"/>
  <c r="F151" i="35" s="1"/>
  <c r="G151" i="35" a="1"/>
  <c r="G151" i="35" s="1"/>
  <c r="H151" i="35" a="1"/>
  <c r="H151" i="35" s="1"/>
  <c r="I151" i="35" a="1"/>
  <c r="I151" i="35" s="1"/>
  <c r="J151" i="35" a="1"/>
  <c r="J151" i="35" s="1"/>
  <c r="K151" i="35" a="1"/>
  <c r="K151" i="35" s="1"/>
  <c r="L151" i="35" a="1"/>
  <c r="L151" i="35" s="1"/>
  <c r="M151" i="35" a="1"/>
  <c r="M151" i="35" s="1"/>
  <c r="N151" i="35" a="1"/>
  <c r="N151" i="35" s="1"/>
  <c r="O151" i="35" a="1"/>
  <c r="O151" i="35" s="1"/>
  <c r="P151" i="35" a="1"/>
  <c r="P151" i="35" s="1"/>
  <c r="Q151" i="35" a="1"/>
  <c r="Q151" i="35" s="1"/>
  <c r="R151" i="35" a="1"/>
  <c r="R151" i="35" s="1"/>
  <c r="S151" i="35" a="1"/>
  <c r="S151" i="35" s="1"/>
  <c r="T151" i="35" a="1"/>
  <c r="T151" i="35" s="1"/>
  <c r="F152" i="35" a="1"/>
  <c r="F152" i="35" s="1"/>
  <c r="G152" i="35" a="1"/>
  <c r="G152" i="35" s="1"/>
  <c r="H152" i="35" a="1"/>
  <c r="H152" i="35" s="1"/>
  <c r="I152" i="35" a="1"/>
  <c r="I152" i="35" s="1"/>
  <c r="J152" i="35" a="1"/>
  <c r="J152" i="35" s="1"/>
  <c r="K152" i="35" a="1"/>
  <c r="K152" i="35" s="1"/>
  <c r="L152" i="35" a="1"/>
  <c r="L152" i="35" s="1"/>
  <c r="M152" i="35" a="1"/>
  <c r="M152" i="35" s="1"/>
  <c r="N152" i="35" a="1"/>
  <c r="N152" i="35" s="1"/>
  <c r="O152" i="35" a="1"/>
  <c r="O152" i="35" s="1"/>
  <c r="P152" i="35" a="1"/>
  <c r="P152" i="35" s="1"/>
  <c r="Q152" i="35" a="1"/>
  <c r="Q152" i="35" s="1"/>
  <c r="R152" i="35" a="1"/>
  <c r="R152" i="35" s="1"/>
  <c r="S152" i="35" a="1"/>
  <c r="S152" i="35" s="1"/>
  <c r="T152" i="35" a="1"/>
  <c r="T152" i="35" s="1"/>
  <c r="F153" i="35" a="1"/>
  <c r="F153" i="35" s="1"/>
  <c r="G153" i="35" a="1"/>
  <c r="G153" i="35" s="1"/>
  <c r="H153" i="35" a="1"/>
  <c r="H153" i="35" s="1"/>
  <c r="I153" i="35" a="1"/>
  <c r="I153" i="35" s="1"/>
  <c r="J153" i="35" a="1"/>
  <c r="J153" i="35" s="1"/>
  <c r="K153" i="35" a="1"/>
  <c r="K153" i="35" s="1"/>
  <c r="L153" i="35" a="1"/>
  <c r="L153" i="35" s="1"/>
  <c r="M153" i="35" a="1"/>
  <c r="M153" i="35" s="1"/>
  <c r="N153" i="35" a="1"/>
  <c r="N153" i="35" s="1"/>
  <c r="O153" i="35" a="1"/>
  <c r="O153" i="35" s="1"/>
  <c r="P153" i="35" a="1"/>
  <c r="P153" i="35" s="1"/>
  <c r="Q153" i="35" a="1"/>
  <c r="Q153" i="35" s="1"/>
  <c r="R153" i="35" a="1"/>
  <c r="R153" i="35" s="1"/>
  <c r="S153" i="35" a="1"/>
  <c r="S153" i="35" s="1"/>
  <c r="T153" i="35" a="1"/>
  <c r="T153" i="35" s="1"/>
  <c r="F154" i="35" a="1"/>
  <c r="F154" i="35" s="1"/>
  <c r="G154" i="35" a="1"/>
  <c r="G154" i="35" s="1"/>
  <c r="H154" i="35" a="1"/>
  <c r="H154" i="35" s="1"/>
  <c r="I154" i="35" a="1"/>
  <c r="I154" i="35" s="1"/>
  <c r="J154" i="35" a="1"/>
  <c r="J154" i="35" s="1"/>
  <c r="K154" i="35" a="1"/>
  <c r="K154" i="35" s="1"/>
  <c r="L154" i="35" a="1"/>
  <c r="L154" i="35" s="1"/>
  <c r="M154" i="35" a="1"/>
  <c r="M154" i="35" s="1"/>
  <c r="N154" i="35" a="1"/>
  <c r="N154" i="35" s="1"/>
  <c r="O154" i="35" a="1"/>
  <c r="O154" i="35" s="1"/>
  <c r="P154" i="35" a="1"/>
  <c r="P154" i="35" s="1"/>
  <c r="Q154" i="35" a="1"/>
  <c r="Q154" i="35" s="1"/>
  <c r="R154" i="35" a="1"/>
  <c r="R154" i="35" s="1"/>
  <c r="S154" i="35" a="1"/>
  <c r="S154" i="35" s="1"/>
  <c r="T154" i="35" a="1"/>
  <c r="T154" i="35" s="1"/>
  <c r="F155" i="35" a="1"/>
  <c r="F155" i="35" s="1"/>
  <c r="G155" i="35" a="1"/>
  <c r="G155" i="35" s="1"/>
  <c r="H155" i="35" a="1"/>
  <c r="H155" i="35" s="1"/>
  <c r="I155" i="35" a="1"/>
  <c r="I155" i="35" s="1"/>
  <c r="J155" i="35" a="1"/>
  <c r="J155" i="35" s="1"/>
  <c r="K155" i="35" a="1"/>
  <c r="K155" i="35" s="1"/>
  <c r="L155" i="35" a="1"/>
  <c r="L155" i="35" s="1"/>
  <c r="M155" i="35" a="1"/>
  <c r="M155" i="35" s="1"/>
  <c r="N155" i="35" a="1"/>
  <c r="N155" i="35" s="1"/>
  <c r="O155" i="35" a="1"/>
  <c r="O155" i="35" s="1"/>
  <c r="P155" i="35" a="1"/>
  <c r="P155" i="35" s="1"/>
  <c r="Q155" i="35" a="1"/>
  <c r="Q155" i="35" s="1"/>
  <c r="R155" i="35" a="1"/>
  <c r="R155" i="35" s="1"/>
  <c r="S155" i="35" a="1"/>
  <c r="S155" i="35" s="1"/>
  <c r="T155" i="35" a="1"/>
  <c r="T155" i="35" s="1"/>
  <c r="F156" i="35" a="1"/>
  <c r="F156" i="35" s="1"/>
  <c r="G156" i="35" a="1"/>
  <c r="G156" i="35" s="1"/>
  <c r="H156" i="35" a="1"/>
  <c r="H156" i="35" s="1"/>
  <c r="I156" i="35" a="1"/>
  <c r="I156" i="35" s="1"/>
  <c r="J156" i="35" a="1"/>
  <c r="J156" i="35" s="1"/>
  <c r="K156" i="35" a="1"/>
  <c r="K156" i="35" s="1"/>
  <c r="L156" i="35" a="1"/>
  <c r="L156" i="35" s="1"/>
  <c r="M156" i="35" a="1"/>
  <c r="M156" i="35" s="1"/>
  <c r="N156" i="35" a="1"/>
  <c r="N156" i="35" s="1"/>
  <c r="O156" i="35" a="1"/>
  <c r="O156" i="35" s="1"/>
  <c r="P156" i="35" a="1"/>
  <c r="P156" i="35" s="1"/>
  <c r="Q156" i="35" a="1"/>
  <c r="Q156" i="35" s="1"/>
  <c r="R156" i="35" a="1"/>
  <c r="R156" i="35" s="1"/>
  <c r="S156" i="35" a="1"/>
  <c r="S156" i="35" s="1"/>
  <c r="T156" i="35" a="1"/>
  <c r="T156" i="35" s="1"/>
  <c r="F157" i="35" a="1"/>
  <c r="F157" i="35" s="1"/>
  <c r="G157" i="35" a="1"/>
  <c r="G157" i="35" s="1"/>
  <c r="H157" i="35" a="1"/>
  <c r="H157" i="35" s="1"/>
  <c r="I157" i="35" a="1"/>
  <c r="I157" i="35" s="1"/>
  <c r="J157" i="35" a="1"/>
  <c r="J157" i="35" s="1"/>
  <c r="K157" i="35" a="1"/>
  <c r="K157" i="35" s="1"/>
  <c r="L157" i="35" a="1"/>
  <c r="L157" i="35" s="1"/>
  <c r="M157" i="35" a="1"/>
  <c r="M157" i="35" s="1"/>
  <c r="N157" i="35" a="1"/>
  <c r="N157" i="35" s="1"/>
  <c r="O157" i="35" a="1"/>
  <c r="O157" i="35" s="1"/>
  <c r="P157" i="35" a="1"/>
  <c r="P157" i="35" s="1"/>
  <c r="Q157" i="35" a="1"/>
  <c r="Q157" i="35" s="1"/>
  <c r="R157" i="35" a="1"/>
  <c r="R157" i="35" s="1"/>
  <c r="S157" i="35" a="1"/>
  <c r="S157" i="35" s="1"/>
  <c r="T157" i="35" a="1"/>
  <c r="T157" i="35" s="1"/>
  <c r="F158" i="35" a="1"/>
  <c r="F158" i="35" s="1"/>
  <c r="G158" i="35" a="1"/>
  <c r="G158" i="35" s="1"/>
  <c r="H158" i="35" a="1"/>
  <c r="H158" i="35" s="1"/>
  <c r="I158" i="35" a="1"/>
  <c r="I158" i="35" s="1"/>
  <c r="J158" i="35" a="1"/>
  <c r="J158" i="35" s="1"/>
  <c r="K158" i="35" a="1"/>
  <c r="K158" i="35" s="1"/>
  <c r="L158" i="35" a="1"/>
  <c r="L158" i="35" s="1"/>
  <c r="M158" i="35" a="1"/>
  <c r="M158" i="35" s="1"/>
  <c r="N158" i="35" a="1"/>
  <c r="N158" i="35" s="1"/>
  <c r="O158" i="35" a="1"/>
  <c r="O158" i="35" s="1"/>
  <c r="P158" i="35" a="1"/>
  <c r="P158" i="35" s="1"/>
  <c r="Q158" i="35" a="1"/>
  <c r="Q158" i="35" s="1"/>
  <c r="R158" i="35" a="1"/>
  <c r="R158" i="35" s="1"/>
  <c r="S158" i="35" a="1"/>
  <c r="S158" i="35" s="1"/>
  <c r="T158" i="35" a="1"/>
  <c r="T158" i="35" s="1"/>
  <c r="F159" i="35" a="1"/>
  <c r="F159" i="35" s="1"/>
  <c r="G159" i="35" a="1"/>
  <c r="G159" i="35" s="1"/>
  <c r="H159" i="35" a="1"/>
  <c r="H159" i="35" s="1"/>
  <c r="I159" i="35" a="1"/>
  <c r="I159" i="35" s="1"/>
  <c r="J159" i="35" a="1"/>
  <c r="J159" i="35" s="1"/>
  <c r="K159" i="35" a="1"/>
  <c r="K159" i="35" s="1"/>
  <c r="L159" i="35" a="1"/>
  <c r="L159" i="35" s="1"/>
  <c r="M159" i="35" a="1"/>
  <c r="M159" i="35" s="1"/>
  <c r="N159" i="35" a="1"/>
  <c r="N159" i="35" s="1"/>
  <c r="O159" i="35" a="1"/>
  <c r="O159" i="35" s="1"/>
  <c r="P159" i="35" a="1"/>
  <c r="P159" i="35" s="1"/>
  <c r="Q159" i="35" a="1"/>
  <c r="Q159" i="35" s="1"/>
  <c r="R159" i="35" a="1"/>
  <c r="R159" i="35" s="1"/>
  <c r="S159" i="35" a="1"/>
  <c r="S159" i="35" s="1"/>
  <c r="T159" i="35" a="1"/>
  <c r="T159" i="35" s="1"/>
  <c r="F160" i="35" a="1"/>
  <c r="F160" i="35" s="1"/>
  <c r="G160" i="35" a="1"/>
  <c r="G160" i="35" s="1"/>
  <c r="H160" i="35" a="1"/>
  <c r="H160" i="35" s="1"/>
  <c r="I160" i="35" a="1"/>
  <c r="I160" i="35" s="1"/>
  <c r="J160" i="35" a="1"/>
  <c r="J160" i="35" s="1"/>
  <c r="K160" i="35" a="1"/>
  <c r="K160" i="35" s="1"/>
  <c r="L160" i="35" a="1"/>
  <c r="L160" i="35" s="1"/>
  <c r="M160" i="35" a="1"/>
  <c r="M160" i="35" s="1"/>
  <c r="N160" i="35" a="1"/>
  <c r="N160" i="35" s="1"/>
  <c r="O160" i="35" a="1"/>
  <c r="O160" i="35" s="1"/>
  <c r="P160" i="35" a="1"/>
  <c r="P160" i="35" s="1"/>
  <c r="Q160" i="35" a="1"/>
  <c r="Q160" i="35" s="1"/>
  <c r="R160" i="35" a="1"/>
  <c r="R160" i="35" s="1"/>
  <c r="S160" i="35" a="1"/>
  <c r="S160" i="35" s="1"/>
  <c r="T160" i="35" a="1"/>
  <c r="T160" i="35" s="1"/>
  <c r="F161" i="35" a="1"/>
  <c r="F161" i="35" s="1"/>
  <c r="G161" i="35" a="1"/>
  <c r="G161" i="35" s="1"/>
  <c r="H161" i="35" a="1"/>
  <c r="H161" i="35" s="1"/>
  <c r="I161" i="35" a="1"/>
  <c r="I161" i="35" s="1"/>
  <c r="J161" i="35" a="1"/>
  <c r="J161" i="35" s="1"/>
  <c r="K161" i="35" a="1"/>
  <c r="K161" i="35" s="1"/>
  <c r="L161" i="35" a="1"/>
  <c r="L161" i="35" s="1"/>
  <c r="M161" i="35" a="1"/>
  <c r="M161" i="35" s="1"/>
  <c r="N161" i="35" a="1"/>
  <c r="N161" i="35" s="1"/>
  <c r="O161" i="35" a="1"/>
  <c r="O161" i="35" s="1"/>
  <c r="P161" i="35" a="1"/>
  <c r="P161" i="35" s="1"/>
  <c r="Q161" i="35" a="1"/>
  <c r="Q161" i="35" s="1"/>
  <c r="R161" i="35" a="1"/>
  <c r="R161" i="35" s="1"/>
  <c r="S161" i="35" a="1"/>
  <c r="S161" i="35" s="1"/>
  <c r="T161" i="35" a="1"/>
  <c r="T161" i="35" s="1"/>
  <c r="F162" i="35" a="1"/>
  <c r="F162" i="35" s="1"/>
  <c r="G162" i="35" a="1"/>
  <c r="G162" i="35" s="1"/>
  <c r="H162" i="35" a="1"/>
  <c r="H162" i="35" s="1"/>
  <c r="I162" i="35" a="1"/>
  <c r="I162" i="35" s="1"/>
  <c r="J162" i="35" a="1"/>
  <c r="J162" i="35" s="1"/>
  <c r="K162" i="35" a="1"/>
  <c r="K162" i="35" s="1"/>
  <c r="L162" i="35" a="1"/>
  <c r="L162" i="35" s="1"/>
  <c r="M162" i="35" a="1"/>
  <c r="M162" i="35" s="1"/>
  <c r="N162" i="35" a="1"/>
  <c r="N162" i="35" s="1"/>
  <c r="O162" i="35" a="1"/>
  <c r="O162" i="35" s="1"/>
  <c r="P162" i="35" a="1"/>
  <c r="P162" i="35" s="1"/>
  <c r="Q162" i="35" a="1"/>
  <c r="Q162" i="35" s="1"/>
  <c r="R162" i="35" a="1"/>
  <c r="R162" i="35" s="1"/>
  <c r="S162" i="35" a="1"/>
  <c r="S162" i="35" s="1"/>
  <c r="T162" i="35" a="1"/>
  <c r="T162" i="35" s="1"/>
  <c r="F163" i="35" a="1"/>
  <c r="F163" i="35" s="1"/>
  <c r="G163" i="35" a="1"/>
  <c r="G163" i="35" s="1"/>
  <c r="H163" i="35" a="1"/>
  <c r="H163" i="35" s="1"/>
  <c r="I163" i="35" a="1"/>
  <c r="I163" i="35" s="1"/>
  <c r="J163" i="35" a="1"/>
  <c r="J163" i="35" s="1"/>
  <c r="K163" i="35" a="1"/>
  <c r="K163" i="35" s="1"/>
  <c r="L163" i="35" a="1"/>
  <c r="L163" i="35" s="1"/>
  <c r="M163" i="35" a="1"/>
  <c r="M163" i="35" s="1"/>
  <c r="N163" i="35" a="1"/>
  <c r="N163" i="35" s="1"/>
  <c r="O163" i="35" a="1"/>
  <c r="O163" i="35" s="1"/>
  <c r="P163" i="35" a="1"/>
  <c r="P163" i="35" s="1"/>
  <c r="Q163" i="35" a="1"/>
  <c r="Q163" i="35" s="1"/>
  <c r="R163" i="35" a="1"/>
  <c r="R163" i="35" s="1"/>
  <c r="S163" i="35" a="1"/>
  <c r="S163" i="35" s="1"/>
  <c r="T163" i="35" a="1"/>
  <c r="T163" i="35" s="1"/>
  <c r="F164" i="35" a="1"/>
  <c r="F164" i="35" s="1"/>
  <c r="G164" i="35" a="1"/>
  <c r="G164" i="35" s="1"/>
  <c r="H164" i="35" a="1"/>
  <c r="H164" i="35" s="1"/>
  <c r="I164" i="35" a="1"/>
  <c r="I164" i="35" s="1"/>
  <c r="J164" i="35" a="1"/>
  <c r="J164" i="35" s="1"/>
  <c r="K164" i="35" a="1"/>
  <c r="K164" i="35" s="1"/>
  <c r="L164" i="35" a="1"/>
  <c r="L164" i="35" s="1"/>
  <c r="M164" i="35" a="1"/>
  <c r="M164" i="35" s="1"/>
  <c r="N164" i="35" a="1"/>
  <c r="N164" i="35" s="1"/>
  <c r="O164" i="35" a="1"/>
  <c r="O164" i="35" s="1"/>
  <c r="P164" i="35" a="1"/>
  <c r="P164" i="35" s="1"/>
  <c r="Q164" i="35" a="1"/>
  <c r="Q164" i="35" s="1"/>
  <c r="R164" i="35" a="1"/>
  <c r="R164" i="35" s="1"/>
  <c r="S164" i="35" a="1"/>
  <c r="S164" i="35" s="1"/>
  <c r="T164" i="35" a="1"/>
  <c r="T164" i="35" s="1"/>
  <c r="F165" i="35" a="1"/>
  <c r="F165" i="35" s="1"/>
  <c r="G165" i="35" a="1"/>
  <c r="G165" i="35" s="1"/>
  <c r="H165" i="35" a="1"/>
  <c r="H165" i="35" s="1"/>
  <c r="I165" i="35" a="1"/>
  <c r="I165" i="35" s="1"/>
  <c r="J165" i="35" a="1"/>
  <c r="J165" i="35" s="1"/>
  <c r="K165" i="35" a="1"/>
  <c r="K165" i="35" s="1"/>
  <c r="L165" i="35" a="1"/>
  <c r="L165" i="35" s="1"/>
  <c r="M165" i="35" a="1"/>
  <c r="M165" i="35" s="1"/>
  <c r="N165" i="35" a="1"/>
  <c r="N165" i="35" s="1"/>
  <c r="O165" i="35" a="1"/>
  <c r="O165" i="35" s="1"/>
  <c r="P165" i="35" a="1"/>
  <c r="P165" i="35" s="1"/>
  <c r="Q165" i="35" a="1"/>
  <c r="Q165" i="35" s="1"/>
  <c r="R165" i="35" a="1"/>
  <c r="R165" i="35" s="1"/>
  <c r="S165" i="35" a="1"/>
  <c r="S165" i="35" s="1"/>
  <c r="T165" i="35" a="1"/>
  <c r="T165" i="35" s="1"/>
  <c r="F166" i="35" a="1"/>
  <c r="F166" i="35" s="1"/>
  <c r="G166" i="35" a="1"/>
  <c r="G166" i="35" s="1"/>
  <c r="H166" i="35" a="1"/>
  <c r="H166" i="35" s="1"/>
  <c r="I166" i="35" a="1"/>
  <c r="I166" i="35" s="1"/>
  <c r="J166" i="35" a="1"/>
  <c r="J166" i="35" s="1"/>
  <c r="K166" i="35" a="1"/>
  <c r="K166" i="35" s="1"/>
  <c r="L166" i="35" a="1"/>
  <c r="L166" i="35" s="1"/>
  <c r="M166" i="35" a="1"/>
  <c r="M166" i="35" s="1"/>
  <c r="N166" i="35" a="1"/>
  <c r="N166" i="35" s="1"/>
  <c r="O166" i="35" a="1"/>
  <c r="O166" i="35" s="1"/>
  <c r="P166" i="35" a="1"/>
  <c r="P166" i="35" s="1"/>
  <c r="Q166" i="35" a="1"/>
  <c r="Q166" i="35" s="1"/>
  <c r="R166" i="35" a="1"/>
  <c r="R166" i="35" s="1"/>
  <c r="S166" i="35" a="1"/>
  <c r="S166" i="35" s="1"/>
  <c r="T166" i="35" a="1"/>
  <c r="T166" i="35" s="1"/>
  <c r="F167" i="35" a="1"/>
  <c r="F167" i="35" s="1"/>
  <c r="G167" i="35" a="1"/>
  <c r="G167" i="35" s="1"/>
  <c r="H167" i="35" a="1"/>
  <c r="H167" i="35" s="1"/>
  <c r="I167" i="35" a="1"/>
  <c r="I167" i="35" s="1"/>
  <c r="J167" i="35" a="1"/>
  <c r="J167" i="35" s="1"/>
  <c r="K167" i="35" a="1"/>
  <c r="K167" i="35" s="1"/>
  <c r="L167" i="35" a="1"/>
  <c r="L167" i="35" s="1"/>
  <c r="M167" i="35" a="1"/>
  <c r="M167" i="35" s="1"/>
  <c r="N167" i="35" a="1"/>
  <c r="N167" i="35" s="1"/>
  <c r="O167" i="35" a="1"/>
  <c r="O167" i="35" s="1"/>
  <c r="P167" i="35" a="1"/>
  <c r="P167" i="35" s="1"/>
  <c r="Q167" i="35" a="1"/>
  <c r="Q167" i="35" s="1"/>
  <c r="R167" i="35" a="1"/>
  <c r="R167" i="35" s="1"/>
  <c r="S167" i="35" a="1"/>
  <c r="S167" i="35" s="1"/>
  <c r="T167" i="35" a="1"/>
  <c r="T167" i="35" s="1"/>
  <c r="F168" i="35" a="1"/>
  <c r="F168" i="35" s="1"/>
  <c r="G168" i="35" a="1"/>
  <c r="G168" i="35" s="1"/>
  <c r="H168" i="35" a="1"/>
  <c r="H168" i="35" s="1"/>
  <c r="I168" i="35" a="1"/>
  <c r="I168" i="35" s="1"/>
  <c r="J168" i="35" a="1"/>
  <c r="J168" i="35" s="1"/>
  <c r="K168" i="35" a="1"/>
  <c r="K168" i="35" s="1"/>
  <c r="L168" i="35" a="1"/>
  <c r="L168" i="35" s="1"/>
  <c r="M168" i="35" a="1"/>
  <c r="M168" i="35" s="1"/>
  <c r="N168" i="35" a="1"/>
  <c r="N168" i="35" s="1"/>
  <c r="O168" i="35" a="1"/>
  <c r="O168" i="35" s="1"/>
  <c r="P168" i="35" a="1"/>
  <c r="P168" i="35" s="1"/>
  <c r="Q168" i="35" a="1"/>
  <c r="Q168" i="35" s="1"/>
  <c r="R168" i="35" a="1"/>
  <c r="R168" i="35" s="1"/>
  <c r="S168" i="35" a="1"/>
  <c r="S168" i="35" s="1"/>
  <c r="T168" i="35" a="1"/>
  <c r="T168" i="35" s="1"/>
  <c r="F169" i="35" a="1"/>
  <c r="F169" i="35" s="1"/>
  <c r="G169" i="35" a="1"/>
  <c r="G169" i="35" s="1"/>
  <c r="H169" i="35" a="1"/>
  <c r="H169" i="35" s="1"/>
  <c r="I169" i="35" a="1"/>
  <c r="I169" i="35" s="1"/>
  <c r="J169" i="35" a="1"/>
  <c r="J169" i="35" s="1"/>
  <c r="K169" i="35" a="1"/>
  <c r="K169" i="35" s="1"/>
  <c r="L169" i="35" a="1"/>
  <c r="L169" i="35" s="1"/>
  <c r="M169" i="35" a="1"/>
  <c r="M169" i="35" s="1"/>
  <c r="N169" i="35" a="1"/>
  <c r="N169" i="35" s="1"/>
  <c r="O169" i="35" a="1"/>
  <c r="O169" i="35" s="1"/>
  <c r="P169" i="35" a="1"/>
  <c r="P169" i="35" s="1"/>
  <c r="Q169" i="35" a="1"/>
  <c r="Q169" i="35" s="1"/>
  <c r="R169" i="35" a="1"/>
  <c r="R169" i="35" s="1"/>
  <c r="S169" i="35" a="1"/>
  <c r="S169" i="35" s="1"/>
  <c r="T169" i="35" a="1"/>
  <c r="T169" i="35" s="1"/>
  <c r="F170" i="35" a="1"/>
  <c r="F170" i="35" s="1"/>
  <c r="G170" i="35" a="1"/>
  <c r="G170" i="35" s="1"/>
  <c r="H170" i="35" a="1"/>
  <c r="H170" i="35" s="1"/>
  <c r="I170" i="35" a="1"/>
  <c r="I170" i="35" s="1"/>
  <c r="J170" i="35" a="1"/>
  <c r="J170" i="35" s="1"/>
  <c r="K170" i="35" a="1"/>
  <c r="K170" i="35" s="1"/>
  <c r="L170" i="35" a="1"/>
  <c r="L170" i="35" s="1"/>
  <c r="M170" i="35" a="1"/>
  <c r="M170" i="35" s="1"/>
  <c r="N170" i="35" a="1"/>
  <c r="N170" i="35" s="1"/>
  <c r="O170" i="35" a="1"/>
  <c r="O170" i="35" s="1"/>
  <c r="P170" i="35" a="1"/>
  <c r="P170" i="35" s="1"/>
  <c r="Q170" i="35" a="1"/>
  <c r="Q170" i="35" s="1"/>
  <c r="R170" i="35" a="1"/>
  <c r="R170" i="35" s="1"/>
  <c r="S170" i="35" a="1"/>
  <c r="S170" i="35" s="1"/>
  <c r="T170" i="35" a="1"/>
  <c r="T170" i="35" s="1"/>
  <c r="F171" i="35" a="1"/>
  <c r="F171" i="35" s="1"/>
  <c r="G171" i="35" a="1"/>
  <c r="G171" i="35" s="1"/>
  <c r="H171" i="35" a="1"/>
  <c r="H171" i="35" s="1"/>
  <c r="I171" i="35" a="1"/>
  <c r="I171" i="35" s="1"/>
  <c r="J171" i="35" a="1"/>
  <c r="J171" i="35" s="1"/>
  <c r="K171" i="35" a="1"/>
  <c r="K171" i="35" s="1"/>
  <c r="L171" i="35" a="1"/>
  <c r="L171" i="35" s="1"/>
  <c r="M171" i="35" a="1"/>
  <c r="M171" i="35" s="1"/>
  <c r="N171" i="35" a="1"/>
  <c r="N171" i="35" s="1"/>
  <c r="O171" i="35" a="1"/>
  <c r="O171" i="35" s="1"/>
  <c r="P171" i="35" a="1"/>
  <c r="P171" i="35" s="1"/>
  <c r="Q171" i="35" a="1"/>
  <c r="Q171" i="35" s="1"/>
  <c r="R171" i="35" a="1"/>
  <c r="R171" i="35" s="1"/>
  <c r="S171" i="35" a="1"/>
  <c r="S171" i="35" s="1"/>
  <c r="T171" i="35" a="1"/>
  <c r="T171" i="35" s="1"/>
  <c r="F172" i="35" a="1"/>
  <c r="F172" i="35" s="1"/>
  <c r="G172" i="35" a="1"/>
  <c r="G172" i="35" s="1"/>
  <c r="H172" i="35" a="1"/>
  <c r="H172" i="35" s="1"/>
  <c r="I172" i="35" a="1"/>
  <c r="I172" i="35" s="1"/>
  <c r="J172" i="35" a="1"/>
  <c r="J172" i="35" s="1"/>
  <c r="K172" i="35" a="1"/>
  <c r="K172" i="35" s="1"/>
  <c r="L172" i="35" a="1"/>
  <c r="L172" i="35" s="1"/>
  <c r="M172" i="35" a="1"/>
  <c r="M172" i="35" s="1"/>
  <c r="N172" i="35" a="1"/>
  <c r="N172" i="35" s="1"/>
  <c r="O172" i="35" a="1"/>
  <c r="O172" i="35" s="1"/>
  <c r="P172" i="35" a="1"/>
  <c r="P172" i="35" s="1"/>
  <c r="Q172" i="35" a="1"/>
  <c r="Q172" i="35" s="1"/>
  <c r="R172" i="35" a="1"/>
  <c r="R172" i="35" s="1"/>
  <c r="S172" i="35" a="1"/>
  <c r="S172" i="35" s="1"/>
  <c r="T172" i="35" a="1"/>
  <c r="T172" i="35" s="1"/>
  <c r="F173" i="35" a="1"/>
  <c r="F173" i="35" s="1"/>
  <c r="G173" i="35" a="1"/>
  <c r="G173" i="35" s="1"/>
  <c r="H173" i="35" a="1"/>
  <c r="H173" i="35" s="1"/>
  <c r="I173" i="35" a="1"/>
  <c r="I173" i="35" s="1"/>
  <c r="J173" i="35" a="1"/>
  <c r="J173" i="35" s="1"/>
  <c r="K173" i="35" a="1"/>
  <c r="K173" i="35" s="1"/>
  <c r="L173" i="35" a="1"/>
  <c r="L173" i="35" s="1"/>
  <c r="M173" i="35" a="1"/>
  <c r="M173" i="35" s="1"/>
  <c r="N173" i="35" a="1"/>
  <c r="N173" i="35" s="1"/>
  <c r="O173" i="35" a="1"/>
  <c r="O173" i="35" s="1"/>
  <c r="P173" i="35" a="1"/>
  <c r="P173" i="35" s="1"/>
  <c r="Q173" i="35" a="1"/>
  <c r="Q173" i="35" s="1"/>
  <c r="R173" i="35" a="1"/>
  <c r="R173" i="35" s="1"/>
  <c r="S173" i="35" a="1"/>
  <c r="S173" i="35" s="1"/>
  <c r="T173" i="35" a="1"/>
  <c r="T173" i="35" s="1"/>
  <c r="F174" i="35" a="1"/>
  <c r="F174" i="35" s="1"/>
  <c r="G174" i="35" a="1"/>
  <c r="G174" i="35" s="1"/>
  <c r="H174" i="35" a="1"/>
  <c r="H174" i="35" s="1"/>
  <c r="I174" i="35" a="1"/>
  <c r="I174" i="35" s="1"/>
  <c r="J174" i="35" a="1"/>
  <c r="J174" i="35" s="1"/>
  <c r="K174" i="35" a="1"/>
  <c r="K174" i="35" s="1"/>
  <c r="L174" i="35" a="1"/>
  <c r="L174" i="35" s="1"/>
  <c r="M174" i="35" a="1"/>
  <c r="M174" i="35" s="1"/>
  <c r="N174" i="35" a="1"/>
  <c r="N174" i="35" s="1"/>
  <c r="O174" i="35" a="1"/>
  <c r="O174" i="35" s="1"/>
  <c r="P174" i="35" a="1"/>
  <c r="P174" i="35" s="1"/>
  <c r="Q174" i="35" a="1"/>
  <c r="Q174" i="35" s="1"/>
  <c r="R174" i="35" a="1"/>
  <c r="R174" i="35" s="1"/>
  <c r="S174" i="35" a="1"/>
  <c r="S174" i="35" s="1"/>
  <c r="T174" i="35" a="1"/>
  <c r="T174" i="35" s="1"/>
  <c r="F175" i="35" a="1"/>
  <c r="F175" i="35" s="1"/>
  <c r="G175" i="35" a="1"/>
  <c r="G175" i="35" s="1"/>
  <c r="H175" i="35" a="1"/>
  <c r="H175" i="35" s="1"/>
  <c r="I175" i="35" a="1"/>
  <c r="I175" i="35" s="1"/>
  <c r="J175" i="35" a="1"/>
  <c r="J175" i="35" s="1"/>
  <c r="K175" i="35" a="1"/>
  <c r="K175" i="35" s="1"/>
  <c r="L175" i="35" a="1"/>
  <c r="L175" i="35" s="1"/>
  <c r="M175" i="35" a="1"/>
  <c r="M175" i="35" s="1"/>
  <c r="N175" i="35" a="1"/>
  <c r="N175" i="35" s="1"/>
  <c r="O175" i="35" a="1"/>
  <c r="O175" i="35" s="1"/>
  <c r="P175" i="35" a="1"/>
  <c r="P175" i="35" s="1"/>
  <c r="Q175" i="35" a="1"/>
  <c r="Q175" i="35" s="1"/>
  <c r="R175" i="35" a="1"/>
  <c r="R175" i="35" s="1"/>
  <c r="S175" i="35" a="1"/>
  <c r="S175" i="35" s="1"/>
  <c r="T175" i="35" a="1"/>
  <c r="T175" i="35" s="1"/>
  <c r="F176" i="35" a="1"/>
  <c r="F176" i="35" s="1"/>
  <c r="G176" i="35" a="1"/>
  <c r="G176" i="35" s="1"/>
  <c r="H176" i="35" a="1"/>
  <c r="H176" i="35" s="1"/>
  <c r="I176" i="35" a="1"/>
  <c r="I176" i="35" s="1"/>
  <c r="J176" i="35" a="1"/>
  <c r="J176" i="35" s="1"/>
  <c r="K176" i="35" a="1"/>
  <c r="K176" i="35" s="1"/>
  <c r="L176" i="35" a="1"/>
  <c r="L176" i="35" s="1"/>
  <c r="M176" i="35" a="1"/>
  <c r="M176" i="35" s="1"/>
  <c r="N176" i="35" a="1"/>
  <c r="N176" i="35" s="1"/>
  <c r="O176" i="35" a="1"/>
  <c r="O176" i="35" s="1"/>
  <c r="P176" i="35" a="1"/>
  <c r="P176" i="35" s="1"/>
  <c r="Q176" i="35" a="1"/>
  <c r="Q176" i="35" s="1"/>
  <c r="R176" i="35" a="1"/>
  <c r="R176" i="35" s="1"/>
  <c r="S176" i="35" a="1"/>
  <c r="S176" i="35" s="1"/>
  <c r="T176" i="35" a="1"/>
  <c r="T176" i="35" s="1"/>
  <c r="F177" i="35" a="1"/>
  <c r="F177" i="35" s="1"/>
  <c r="G177" i="35" a="1"/>
  <c r="G177" i="35" s="1"/>
  <c r="H177" i="35" a="1"/>
  <c r="H177" i="35" s="1"/>
  <c r="I177" i="35" a="1"/>
  <c r="I177" i="35" s="1"/>
  <c r="J177" i="35" a="1"/>
  <c r="J177" i="35" s="1"/>
  <c r="K177" i="35" a="1"/>
  <c r="K177" i="35" s="1"/>
  <c r="L177" i="35" a="1"/>
  <c r="L177" i="35" s="1"/>
  <c r="M177" i="35" a="1"/>
  <c r="M177" i="35" s="1"/>
  <c r="N177" i="35" a="1"/>
  <c r="N177" i="35" s="1"/>
  <c r="O177" i="35" a="1"/>
  <c r="O177" i="35" s="1"/>
  <c r="P177" i="35" a="1"/>
  <c r="P177" i="35" s="1"/>
  <c r="Q177" i="35" a="1"/>
  <c r="Q177" i="35" s="1"/>
  <c r="R177" i="35" a="1"/>
  <c r="R177" i="35" s="1"/>
  <c r="S177" i="35" a="1"/>
  <c r="S177" i="35" s="1"/>
  <c r="T177" i="35" a="1"/>
  <c r="T177" i="35" s="1"/>
  <c r="F178" i="35" a="1"/>
  <c r="F178" i="35" s="1"/>
  <c r="G178" i="35" a="1"/>
  <c r="G178" i="35" s="1"/>
  <c r="H178" i="35" a="1"/>
  <c r="H178" i="35" s="1"/>
  <c r="I178" i="35" a="1"/>
  <c r="I178" i="35" s="1"/>
  <c r="J178" i="35" a="1"/>
  <c r="J178" i="35" s="1"/>
  <c r="K178" i="35" a="1"/>
  <c r="K178" i="35" s="1"/>
  <c r="L178" i="35" a="1"/>
  <c r="L178" i="35" s="1"/>
  <c r="M178" i="35" a="1"/>
  <c r="M178" i="35" s="1"/>
  <c r="N178" i="35" a="1"/>
  <c r="N178" i="35" s="1"/>
  <c r="O178" i="35" a="1"/>
  <c r="O178" i="35" s="1"/>
  <c r="P178" i="35" a="1"/>
  <c r="P178" i="35" s="1"/>
  <c r="Q178" i="35" a="1"/>
  <c r="Q178" i="35" s="1"/>
  <c r="R178" i="35" a="1"/>
  <c r="R178" i="35" s="1"/>
  <c r="S178" i="35" a="1"/>
  <c r="S178" i="35" s="1"/>
  <c r="T178" i="35" a="1"/>
  <c r="T178" i="35" s="1"/>
  <c r="F179" i="35" a="1"/>
  <c r="F179" i="35" s="1"/>
  <c r="G179" i="35" a="1"/>
  <c r="G179" i="35" s="1"/>
  <c r="H179" i="35" a="1"/>
  <c r="H179" i="35" s="1"/>
  <c r="I179" i="35" a="1"/>
  <c r="I179" i="35" s="1"/>
  <c r="J179" i="35" a="1"/>
  <c r="J179" i="35" s="1"/>
  <c r="K179" i="35" a="1"/>
  <c r="K179" i="35" s="1"/>
  <c r="L179" i="35" a="1"/>
  <c r="L179" i="35" s="1"/>
  <c r="M179" i="35" a="1"/>
  <c r="M179" i="35" s="1"/>
  <c r="N179" i="35" a="1"/>
  <c r="N179" i="35" s="1"/>
  <c r="O179" i="35" a="1"/>
  <c r="O179" i="35" s="1"/>
  <c r="P179" i="35" a="1"/>
  <c r="P179" i="35" s="1"/>
  <c r="Q179" i="35" a="1"/>
  <c r="Q179" i="35" s="1"/>
  <c r="R179" i="35" a="1"/>
  <c r="R179" i="35" s="1"/>
  <c r="S179" i="35" a="1"/>
  <c r="S179" i="35" s="1"/>
  <c r="T179" i="35" a="1"/>
  <c r="T179" i="35" s="1"/>
  <c r="F180" i="35" a="1"/>
  <c r="F180" i="35" s="1"/>
  <c r="G180" i="35" a="1"/>
  <c r="G180" i="35" s="1"/>
  <c r="H180" i="35" a="1"/>
  <c r="H180" i="35" s="1"/>
  <c r="I180" i="35" a="1"/>
  <c r="I180" i="35" s="1"/>
  <c r="J180" i="35" a="1"/>
  <c r="J180" i="35" s="1"/>
  <c r="K180" i="35" a="1"/>
  <c r="K180" i="35" s="1"/>
  <c r="L180" i="35" a="1"/>
  <c r="L180" i="35" s="1"/>
  <c r="M180" i="35" a="1"/>
  <c r="M180" i="35" s="1"/>
  <c r="N180" i="35" a="1"/>
  <c r="N180" i="35" s="1"/>
  <c r="O180" i="35" a="1"/>
  <c r="O180" i="35" s="1"/>
  <c r="P180" i="35" a="1"/>
  <c r="P180" i="35" s="1"/>
  <c r="Q180" i="35" a="1"/>
  <c r="Q180" i="35" s="1"/>
  <c r="R180" i="35" a="1"/>
  <c r="R180" i="35" s="1"/>
  <c r="S180" i="35" a="1"/>
  <c r="S180" i="35" s="1"/>
  <c r="T180" i="35" a="1"/>
  <c r="T180" i="35" s="1"/>
  <c r="F181" i="35" a="1"/>
  <c r="F181" i="35" s="1"/>
  <c r="G181" i="35" a="1"/>
  <c r="G181" i="35" s="1"/>
  <c r="H181" i="35" a="1"/>
  <c r="H181" i="35" s="1"/>
  <c r="I181" i="35" a="1"/>
  <c r="I181" i="35" s="1"/>
  <c r="J181" i="35" a="1"/>
  <c r="J181" i="35" s="1"/>
  <c r="K181" i="35" a="1"/>
  <c r="K181" i="35" s="1"/>
  <c r="L181" i="35" a="1"/>
  <c r="L181" i="35" s="1"/>
  <c r="M181" i="35" a="1"/>
  <c r="M181" i="35" s="1"/>
  <c r="N181" i="35" a="1"/>
  <c r="N181" i="35" s="1"/>
  <c r="O181" i="35" a="1"/>
  <c r="O181" i="35" s="1"/>
  <c r="P181" i="35" a="1"/>
  <c r="P181" i="35" s="1"/>
  <c r="Q181" i="35" a="1"/>
  <c r="Q181" i="35" s="1"/>
  <c r="R181" i="35" a="1"/>
  <c r="R181" i="35" s="1"/>
  <c r="S181" i="35" a="1"/>
  <c r="S181" i="35" s="1"/>
  <c r="T181" i="35" a="1"/>
  <c r="T181" i="35" s="1"/>
  <c r="F182" i="35" a="1"/>
  <c r="F182" i="35" s="1"/>
  <c r="G182" i="35" a="1"/>
  <c r="G182" i="35" s="1"/>
  <c r="H182" i="35" a="1"/>
  <c r="H182" i="35" s="1"/>
  <c r="I182" i="35" a="1"/>
  <c r="I182" i="35" s="1"/>
  <c r="J182" i="35" a="1"/>
  <c r="J182" i="35" s="1"/>
  <c r="K182" i="35" a="1"/>
  <c r="K182" i="35" s="1"/>
  <c r="L182" i="35" a="1"/>
  <c r="L182" i="35" s="1"/>
  <c r="M182" i="35" a="1"/>
  <c r="M182" i="35" s="1"/>
  <c r="N182" i="35" a="1"/>
  <c r="N182" i="35" s="1"/>
  <c r="O182" i="35" a="1"/>
  <c r="O182" i="35" s="1"/>
  <c r="P182" i="35" a="1"/>
  <c r="P182" i="35" s="1"/>
  <c r="Q182" i="35" a="1"/>
  <c r="Q182" i="35" s="1"/>
  <c r="R182" i="35" a="1"/>
  <c r="R182" i="35" s="1"/>
  <c r="S182" i="35" a="1"/>
  <c r="S182" i="35" s="1"/>
  <c r="T182" i="35" a="1"/>
  <c r="T182" i="35" s="1"/>
  <c r="F183" i="35" a="1"/>
  <c r="F183" i="35" s="1"/>
  <c r="G183" i="35" a="1"/>
  <c r="G183" i="35" s="1"/>
  <c r="H183" i="35" a="1"/>
  <c r="H183" i="35" s="1"/>
  <c r="I183" i="35" a="1"/>
  <c r="I183" i="35" s="1"/>
  <c r="J183" i="35" a="1"/>
  <c r="J183" i="35" s="1"/>
  <c r="K183" i="35" a="1"/>
  <c r="K183" i="35" s="1"/>
  <c r="L183" i="35" a="1"/>
  <c r="L183" i="35" s="1"/>
  <c r="M183" i="35" a="1"/>
  <c r="M183" i="35" s="1"/>
  <c r="N183" i="35" a="1"/>
  <c r="N183" i="35" s="1"/>
  <c r="O183" i="35" a="1"/>
  <c r="O183" i="35" s="1"/>
  <c r="P183" i="35" a="1"/>
  <c r="P183" i="35" s="1"/>
  <c r="Q183" i="35" a="1"/>
  <c r="Q183" i="35" s="1"/>
  <c r="R183" i="35" a="1"/>
  <c r="R183" i="35" s="1"/>
  <c r="S183" i="35" a="1"/>
  <c r="S183" i="35" s="1"/>
  <c r="T183" i="35" a="1"/>
  <c r="T183" i="35" s="1"/>
  <c r="F184" i="35" a="1"/>
  <c r="F184" i="35" s="1"/>
  <c r="G184" i="35" a="1"/>
  <c r="G184" i="35" s="1"/>
  <c r="H184" i="35" a="1"/>
  <c r="H184" i="35" s="1"/>
  <c r="I184" i="35" a="1"/>
  <c r="I184" i="35" s="1"/>
  <c r="J184" i="35" a="1"/>
  <c r="J184" i="35" s="1"/>
  <c r="K184" i="35" a="1"/>
  <c r="K184" i="35" s="1"/>
  <c r="L184" i="35" a="1"/>
  <c r="L184" i="35" s="1"/>
  <c r="M184" i="35" a="1"/>
  <c r="M184" i="35" s="1"/>
  <c r="N184" i="35" a="1"/>
  <c r="N184" i="35" s="1"/>
  <c r="O184" i="35" a="1"/>
  <c r="O184" i="35" s="1"/>
  <c r="P184" i="35" a="1"/>
  <c r="P184" i="35" s="1"/>
  <c r="Q184" i="35" a="1"/>
  <c r="Q184" i="35" s="1"/>
  <c r="R184" i="35" a="1"/>
  <c r="R184" i="35" s="1"/>
  <c r="S184" i="35" a="1"/>
  <c r="S184" i="35" s="1"/>
  <c r="T184" i="35" a="1"/>
  <c r="T184" i="35" s="1"/>
  <c r="F185" i="35" a="1"/>
  <c r="F185" i="35" s="1"/>
  <c r="G185" i="35" a="1"/>
  <c r="G185" i="35" s="1"/>
  <c r="H185" i="35" a="1"/>
  <c r="H185" i="35" s="1"/>
  <c r="I185" i="35" a="1"/>
  <c r="I185" i="35" s="1"/>
  <c r="J185" i="35" a="1"/>
  <c r="J185" i="35" s="1"/>
  <c r="K185" i="35" a="1"/>
  <c r="K185" i="35" s="1"/>
  <c r="L185" i="35" a="1"/>
  <c r="L185" i="35" s="1"/>
  <c r="M185" i="35" a="1"/>
  <c r="M185" i="35" s="1"/>
  <c r="N185" i="35" a="1"/>
  <c r="N185" i="35" s="1"/>
  <c r="O185" i="35" a="1"/>
  <c r="O185" i="35" s="1"/>
  <c r="P185" i="35" a="1"/>
  <c r="P185" i="35" s="1"/>
  <c r="Q185" i="35" a="1"/>
  <c r="Q185" i="35" s="1"/>
  <c r="R185" i="35" a="1"/>
  <c r="R185" i="35" s="1"/>
  <c r="S185" i="35" a="1"/>
  <c r="S185" i="35" s="1"/>
  <c r="T185" i="35" a="1"/>
  <c r="T185" i="35" s="1"/>
  <c r="F186" i="35" a="1"/>
  <c r="F186" i="35" s="1"/>
  <c r="G186" i="35" a="1"/>
  <c r="G186" i="35" s="1"/>
  <c r="H186" i="35" a="1"/>
  <c r="H186" i="35" s="1"/>
  <c r="I186" i="35" a="1"/>
  <c r="I186" i="35" s="1"/>
  <c r="J186" i="35" a="1"/>
  <c r="J186" i="35" s="1"/>
  <c r="K186" i="35" a="1"/>
  <c r="K186" i="35" s="1"/>
  <c r="L186" i="35" a="1"/>
  <c r="L186" i="35" s="1"/>
  <c r="M186" i="35" a="1"/>
  <c r="M186" i="35" s="1"/>
  <c r="N186" i="35" a="1"/>
  <c r="N186" i="35" s="1"/>
  <c r="O186" i="35" a="1"/>
  <c r="O186" i="35" s="1"/>
  <c r="P186" i="35" a="1"/>
  <c r="P186" i="35" s="1"/>
  <c r="Q186" i="35" a="1"/>
  <c r="Q186" i="35" s="1"/>
  <c r="R186" i="35" a="1"/>
  <c r="R186" i="35" s="1"/>
  <c r="S186" i="35" a="1"/>
  <c r="S186" i="35" s="1"/>
  <c r="T186" i="35" a="1"/>
  <c r="T186" i="35" s="1"/>
  <c r="F187" i="35" a="1"/>
  <c r="F187" i="35" s="1"/>
  <c r="G187" i="35" a="1"/>
  <c r="G187" i="35" s="1"/>
  <c r="H187" i="35" a="1"/>
  <c r="H187" i="35" s="1"/>
  <c r="I187" i="35" a="1"/>
  <c r="I187" i="35" s="1"/>
  <c r="J187" i="35" a="1"/>
  <c r="J187" i="35" s="1"/>
  <c r="K187" i="35" a="1"/>
  <c r="K187" i="35" s="1"/>
  <c r="L187" i="35" a="1"/>
  <c r="L187" i="35" s="1"/>
  <c r="M187" i="35" a="1"/>
  <c r="M187" i="35" s="1"/>
  <c r="N187" i="35" a="1"/>
  <c r="N187" i="35" s="1"/>
  <c r="O187" i="35" a="1"/>
  <c r="O187" i="35" s="1"/>
  <c r="P187" i="35" a="1"/>
  <c r="P187" i="35" s="1"/>
  <c r="Q187" i="35" a="1"/>
  <c r="Q187" i="35" s="1"/>
  <c r="R187" i="35" a="1"/>
  <c r="R187" i="35" s="1"/>
  <c r="S187" i="35" a="1"/>
  <c r="S187" i="35" s="1"/>
  <c r="T187" i="35" a="1"/>
  <c r="T187" i="35" s="1"/>
  <c r="F188" i="35" a="1"/>
  <c r="F188" i="35" s="1"/>
  <c r="G188" i="35" a="1"/>
  <c r="G188" i="35" s="1"/>
  <c r="H188" i="35" a="1"/>
  <c r="H188" i="35" s="1"/>
  <c r="I188" i="35" a="1"/>
  <c r="I188" i="35" s="1"/>
  <c r="J188" i="35" a="1"/>
  <c r="J188" i="35" s="1"/>
  <c r="K188" i="35" a="1"/>
  <c r="K188" i="35" s="1"/>
  <c r="L188" i="35" a="1"/>
  <c r="L188" i="35" s="1"/>
  <c r="M188" i="35" a="1"/>
  <c r="M188" i="35" s="1"/>
  <c r="N188" i="35" a="1"/>
  <c r="N188" i="35" s="1"/>
  <c r="O188" i="35" a="1"/>
  <c r="O188" i="35" s="1"/>
  <c r="P188" i="35" a="1"/>
  <c r="P188" i="35" s="1"/>
  <c r="Q188" i="35" a="1"/>
  <c r="Q188" i="35" s="1"/>
  <c r="R188" i="35" a="1"/>
  <c r="R188" i="35" s="1"/>
  <c r="S188" i="35" a="1"/>
  <c r="S188" i="35" s="1"/>
  <c r="T188" i="35" a="1"/>
  <c r="T188" i="35" s="1"/>
  <c r="F189" i="35" a="1"/>
  <c r="F189" i="35" s="1"/>
  <c r="G189" i="35" a="1"/>
  <c r="G189" i="35" s="1"/>
  <c r="H189" i="35" a="1"/>
  <c r="H189" i="35" s="1"/>
  <c r="I189" i="35" a="1"/>
  <c r="I189" i="35" s="1"/>
  <c r="J189" i="35" a="1"/>
  <c r="J189" i="35" s="1"/>
  <c r="K189" i="35" a="1"/>
  <c r="K189" i="35" s="1"/>
  <c r="L189" i="35" a="1"/>
  <c r="L189" i="35" s="1"/>
  <c r="M189" i="35" a="1"/>
  <c r="M189" i="35" s="1"/>
  <c r="N189" i="35" a="1"/>
  <c r="N189" i="35" s="1"/>
  <c r="O189" i="35" a="1"/>
  <c r="O189" i="35" s="1"/>
  <c r="P189" i="35" a="1"/>
  <c r="P189" i="35" s="1"/>
  <c r="Q189" i="35" a="1"/>
  <c r="Q189" i="35" s="1"/>
  <c r="R189" i="35" a="1"/>
  <c r="R189" i="35" s="1"/>
  <c r="S189" i="35" a="1"/>
  <c r="S189" i="35" s="1"/>
  <c r="T189" i="35" a="1"/>
  <c r="T189" i="35" s="1"/>
  <c r="F190" i="35" a="1"/>
  <c r="F190" i="35" s="1"/>
  <c r="G190" i="35" a="1"/>
  <c r="G190" i="35" s="1"/>
  <c r="H190" i="35" a="1"/>
  <c r="H190" i="35" s="1"/>
  <c r="I190" i="35" a="1"/>
  <c r="I190" i="35" s="1"/>
  <c r="J190" i="35" a="1"/>
  <c r="J190" i="35" s="1"/>
  <c r="K190" i="35" a="1"/>
  <c r="K190" i="35" s="1"/>
  <c r="L190" i="35" a="1"/>
  <c r="L190" i="35" s="1"/>
  <c r="M190" i="35" a="1"/>
  <c r="M190" i="35" s="1"/>
  <c r="N190" i="35" a="1"/>
  <c r="N190" i="35" s="1"/>
  <c r="O190" i="35" a="1"/>
  <c r="O190" i="35" s="1"/>
  <c r="P190" i="35" a="1"/>
  <c r="P190" i="35" s="1"/>
  <c r="Q190" i="35" a="1"/>
  <c r="Q190" i="35" s="1"/>
  <c r="R190" i="35" a="1"/>
  <c r="R190" i="35" s="1"/>
  <c r="S190" i="35" a="1"/>
  <c r="S190" i="35" s="1"/>
  <c r="T190" i="35" a="1"/>
  <c r="T190" i="35" s="1"/>
  <c r="F191" i="35" a="1"/>
  <c r="F191" i="35" s="1"/>
  <c r="G191" i="35" a="1"/>
  <c r="G191" i="35" s="1"/>
  <c r="H191" i="35" a="1"/>
  <c r="H191" i="35" s="1"/>
  <c r="I191" i="35" a="1"/>
  <c r="I191" i="35" s="1"/>
  <c r="J191" i="35" a="1"/>
  <c r="J191" i="35" s="1"/>
  <c r="K191" i="35" a="1"/>
  <c r="K191" i="35" s="1"/>
  <c r="L191" i="35" a="1"/>
  <c r="L191" i="35" s="1"/>
  <c r="M191" i="35" a="1"/>
  <c r="M191" i="35" s="1"/>
  <c r="N191" i="35" a="1"/>
  <c r="N191" i="35" s="1"/>
  <c r="O191" i="35" a="1"/>
  <c r="O191" i="35" s="1"/>
  <c r="P191" i="35" a="1"/>
  <c r="P191" i="35" s="1"/>
  <c r="Q191" i="35" a="1"/>
  <c r="Q191" i="35" s="1"/>
  <c r="R191" i="35" a="1"/>
  <c r="R191" i="35" s="1"/>
  <c r="S191" i="35" a="1"/>
  <c r="S191" i="35" s="1"/>
  <c r="T191" i="35" a="1"/>
  <c r="T191" i="35" s="1"/>
  <c r="F192" i="35" a="1"/>
  <c r="F192" i="35" s="1"/>
  <c r="G192" i="35" a="1"/>
  <c r="G192" i="35" s="1"/>
  <c r="H192" i="35" a="1"/>
  <c r="H192" i="35" s="1"/>
  <c r="I192" i="35" a="1"/>
  <c r="I192" i="35" s="1"/>
  <c r="J192" i="35" a="1"/>
  <c r="J192" i="35" s="1"/>
  <c r="K192" i="35" a="1"/>
  <c r="K192" i="35" s="1"/>
  <c r="L192" i="35" a="1"/>
  <c r="L192" i="35" s="1"/>
  <c r="M192" i="35" a="1"/>
  <c r="M192" i="35" s="1"/>
  <c r="N192" i="35" a="1"/>
  <c r="N192" i="35" s="1"/>
  <c r="O192" i="35" a="1"/>
  <c r="O192" i="35" s="1"/>
  <c r="P192" i="35" a="1"/>
  <c r="P192" i="35" s="1"/>
  <c r="Q192" i="35" a="1"/>
  <c r="Q192" i="35" s="1"/>
  <c r="R192" i="35" a="1"/>
  <c r="R192" i="35" s="1"/>
  <c r="S192" i="35" a="1"/>
  <c r="S192" i="35" s="1"/>
  <c r="T192" i="35" a="1"/>
  <c r="T192" i="35" s="1"/>
  <c r="F193" i="35" a="1"/>
  <c r="F193" i="35" s="1"/>
  <c r="G193" i="35" a="1"/>
  <c r="G193" i="35" s="1"/>
  <c r="H193" i="35" a="1"/>
  <c r="H193" i="35" s="1"/>
  <c r="I193" i="35" a="1"/>
  <c r="I193" i="35" s="1"/>
  <c r="J193" i="35" a="1"/>
  <c r="J193" i="35" s="1"/>
  <c r="K193" i="35" a="1"/>
  <c r="K193" i="35" s="1"/>
  <c r="L193" i="35" a="1"/>
  <c r="L193" i="35" s="1"/>
  <c r="M193" i="35" a="1"/>
  <c r="M193" i="35" s="1"/>
  <c r="N193" i="35" a="1"/>
  <c r="N193" i="35" s="1"/>
  <c r="O193" i="35" a="1"/>
  <c r="O193" i="35" s="1"/>
  <c r="P193" i="35" a="1"/>
  <c r="P193" i="35" s="1"/>
  <c r="Q193" i="35" a="1"/>
  <c r="Q193" i="35" s="1"/>
  <c r="R193" i="35" a="1"/>
  <c r="R193" i="35" s="1"/>
  <c r="S193" i="35" a="1"/>
  <c r="S193" i="35" s="1"/>
  <c r="T193" i="35" a="1"/>
  <c r="T193" i="35" s="1"/>
  <c r="F194" i="35" a="1"/>
  <c r="F194" i="35" s="1"/>
  <c r="G194" i="35" a="1"/>
  <c r="G194" i="35" s="1"/>
  <c r="H194" i="35" a="1"/>
  <c r="H194" i="35" s="1"/>
  <c r="I194" i="35" a="1"/>
  <c r="I194" i="35" s="1"/>
  <c r="J194" i="35" a="1"/>
  <c r="J194" i="35" s="1"/>
  <c r="K194" i="35" a="1"/>
  <c r="K194" i="35" s="1"/>
  <c r="L194" i="35" a="1"/>
  <c r="L194" i="35" s="1"/>
  <c r="M194" i="35" a="1"/>
  <c r="M194" i="35" s="1"/>
  <c r="N194" i="35" a="1"/>
  <c r="N194" i="35" s="1"/>
  <c r="O194" i="35" a="1"/>
  <c r="O194" i="35" s="1"/>
  <c r="P194" i="35" a="1"/>
  <c r="P194" i="35" s="1"/>
  <c r="Q194" i="35" a="1"/>
  <c r="Q194" i="35" s="1"/>
  <c r="R194" i="35" a="1"/>
  <c r="R194" i="35" s="1"/>
  <c r="S194" i="35" a="1"/>
  <c r="S194" i="35" s="1"/>
  <c r="T194" i="35" a="1"/>
  <c r="T194" i="35" s="1"/>
  <c r="F195" i="35" a="1"/>
  <c r="F195" i="35" s="1"/>
  <c r="G195" i="35" a="1"/>
  <c r="G195" i="35" s="1"/>
  <c r="H195" i="35" a="1"/>
  <c r="H195" i="35" s="1"/>
  <c r="I195" i="35" a="1"/>
  <c r="I195" i="35" s="1"/>
  <c r="J195" i="35" a="1"/>
  <c r="J195" i="35" s="1"/>
  <c r="K195" i="35" a="1"/>
  <c r="K195" i="35" s="1"/>
  <c r="L195" i="35" a="1"/>
  <c r="L195" i="35" s="1"/>
  <c r="M195" i="35" a="1"/>
  <c r="M195" i="35" s="1"/>
  <c r="N195" i="35" a="1"/>
  <c r="N195" i="35" s="1"/>
  <c r="O195" i="35" a="1"/>
  <c r="O195" i="35" s="1"/>
  <c r="P195" i="35" a="1"/>
  <c r="P195" i="35" s="1"/>
  <c r="Q195" i="35" a="1"/>
  <c r="Q195" i="35" s="1"/>
  <c r="R195" i="35" a="1"/>
  <c r="R195" i="35" s="1"/>
  <c r="S195" i="35" a="1"/>
  <c r="S195" i="35" s="1"/>
  <c r="T195" i="35" a="1"/>
  <c r="T195" i="35" s="1"/>
  <c r="F196" i="35" a="1"/>
  <c r="F196" i="35" s="1"/>
  <c r="G196" i="35" a="1"/>
  <c r="G196" i="35" s="1"/>
  <c r="H196" i="35" a="1"/>
  <c r="H196" i="35" s="1"/>
  <c r="I196" i="35" a="1"/>
  <c r="I196" i="35" s="1"/>
  <c r="J196" i="35" a="1"/>
  <c r="J196" i="35" s="1"/>
  <c r="K196" i="35" a="1"/>
  <c r="K196" i="35" s="1"/>
  <c r="L196" i="35" a="1"/>
  <c r="L196" i="35" s="1"/>
  <c r="M196" i="35" a="1"/>
  <c r="M196" i="35" s="1"/>
  <c r="N196" i="35" a="1"/>
  <c r="N196" i="35" s="1"/>
  <c r="O196" i="35" a="1"/>
  <c r="O196" i="35" s="1"/>
  <c r="P196" i="35" a="1"/>
  <c r="P196" i="35" s="1"/>
  <c r="Q196" i="35" a="1"/>
  <c r="Q196" i="35" s="1"/>
  <c r="R196" i="35" a="1"/>
  <c r="R196" i="35" s="1"/>
  <c r="S196" i="35" a="1"/>
  <c r="S196" i="35" s="1"/>
  <c r="T196" i="35" a="1"/>
  <c r="T196" i="35" s="1"/>
  <c r="F197" i="35" a="1"/>
  <c r="F197" i="35" s="1"/>
  <c r="G197" i="35" a="1"/>
  <c r="G197" i="35" s="1"/>
  <c r="H197" i="35" a="1"/>
  <c r="H197" i="35" s="1"/>
  <c r="I197" i="35" a="1"/>
  <c r="I197" i="35" s="1"/>
  <c r="J197" i="35" a="1"/>
  <c r="J197" i="35" s="1"/>
  <c r="K197" i="35" a="1"/>
  <c r="K197" i="35" s="1"/>
  <c r="L197" i="35" a="1"/>
  <c r="L197" i="35" s="1"/>
  <c r="M197" i="35" a="1"/>
  <c r="M197" i="35" s="1"/>
  <c r="N197" i="35" a="1"/>
  <c r="N197" i="35" s="1"/>
  <c r="O197" i="35" a="1"/>
  <c r="O197" i="35" s="1"/>
  <c r="P197" i="35" a="1"/>
  <c r="P197" i="35" s="1"/>
  <c r="Q197" i="35" a="1"/>
  <c r="Q197" i="35" s="1"/>
  <c r="R197" i="35" a="1"/>
  <c r="R197" i="35" s="1"/>
  <c r="S197" i="35" a="1"/>
  <c r="S197" i="35" s="1"/>
  <c r="T197" i="35" a="1"/>
  <c r="T197" i="35" s="1"/>
  <c r="F198" i="35" a="1"/>
  <c r="F198" i="35" s="1"/>
  <c r="G198" i="35" a="1"/>
  <c r="G198" i="35" s="1"/>
  <c r="H198" i="35" a="1"/>
  <c r="H198" i="35" s="1"/>
  <c r="I198" i="35" a="1"/>
  <c r="I198" i="35" s="1"/>
  <c r="J198" i="35" a="1"/>
  <c r="J198" i="35" s="1"/>
  <c r="K198" i="35" a="1"/>
  <c r="K198" i="35" s="1"/>
  <c r="L198" i="35" a="1"/>
  <c r="L198" i="35" s="1"/>
  <c r="M198" i="35" a="1"/>
  <c r="M198" i="35" s="1"/>
  <c r="N198" i="35" a="1"/>
  <c r="N198" i="35" s="1"/>
  <c r="O198" i="35" a="1"/>
  <c r="O198" i="35" s="1"/>
  <c r="P198" i="35" a="1"/>
  <c r="P198" i="35" s="1"/>
  <c r="Q198" i="35" a="1"/>
  <c r="Q198" i="35" s="1"/>
  <c r="R198" i="35" a="1"/>
  <c r="R198" i="35" s="1"/>
  <c r="S198" i="35" a="1"/>
  <c r="S198" i="35" s="1"/>
  <c r="T198" i="35" a="1"/>
  <c r="T198" i="35" s="1"/>
  <c r="F199" i="35" a="1"/>
  <c r="F199" i="35" s="1"/>
  <c r="G199" i="35" a="1"/>
  <c r="G199" i="35" s="1"/>
  <c r="H199" i="35" a="1"/>
  <c r="H199" i="35" s="1"/>
  <c r="I199" i="35" a="1"/>
  <c r="I199" i="35" s="1"/>
  <c r="J199" i="35" a="1"/>
  <c r="J199" i="35" s="1"/>
  <c r="K199" i="35" a="1"/>
  <c r="K199" i="35" s="1"/>
  <c r="L199" i="35" a="1"/>
  <c r="L199" i="35" s="1"/>
  <c r="M199" i="35" a="1"/>
  <c r="M199" i="35" s="1"/>
  <c r="N199" i="35" a="1"/>
  <c r="N199" i="35" s="1"/>
  <c r="O199" i="35" a="1"/>
  <c r="O199" i="35" s="1"/>
  <c r="P199" i="35" a="1"/>
  <c r="P199" i="35" s="1"/>
  <c r="Q199" i="35" a="1"/>
  <c r="Q199" i="35" s="1"/>
  <c r="R199" i="35" a="1"/>
  <c r="R199" i="35" s="1"/>
  <c r="S199" i="35" a="1"/>
  <c r="S199" i="35" s="1"/>
  <c r="T199" i="35" a="1"/>
  <c r="T199" i="35" s="1"/>
  <c r="F200" i="35" a="1"/>
  <c r="F200" i="35" s="1"/>
  <c r="G200" i="35" a="1"/>
  <c r="G200" i="35" s="1"/>
  <c r="H200" i="35" a="1"/>
  <c r="H200" i="35" s="1"/>
  <c r="I200" i="35" a="1"/>
  <c r="I200" i="35" s="1"/>
  <c r="J200" i="35" a="1"/>
  <c r="J200" i="35" s="1"/>
  <c r="K200" i="35" a="1"/>
  <c r="K200" i="35" s="1"/>
  <c r="L200" i="35" a="1"/>
  <c r="L200" i="35" s="1"/>
  <c r="M200" i="35" a="1"/>
  <c r="M200" i="35" s="1"/>
  <c r="N200" i="35" a="1"/>
  <c r="N200" i="35" s="1"/>
  <c r="O200" i="35" a="1"/>
  <c r="O200" i="35" s="1"/>
  <c r="P200" i="35" a="1"/>
  <c r="P200" i="35" s="1"/>
  <c r="Q200" i="35" a="1"/>
  <c r="Q200" i="35" s="1"/>
  <c r="R200" i="35" a="1"/>
  <c r="R200" i="35" s="1"/>
  <c r="S200" i="35" a="1"/>
  <c r="S200" i="35" s="1"/>
  <c r="T200" i="35" a="1"/>
  <c r="T200" i="35" s="1"/>
  <c r="F201" i="35" a="1"/>
  <c r="F201" i="35" s="1"/>
  <c r="G201" i="35" a="1"/>
  <c r="G201" i="35" s="1"/>
  <c r="H201" i="35" a="1"/>
  <c r="H201" i="35" s="1"/>
  <c r="I201" i="35" a="1"/>
  <c r="I201" i="35" s="1"/>
  <c r="J201" i="35" a="1"/>
  <c r="J201" i="35" s="1"/>
  <c r="K201" i="35" a="1"/>
  <c r="K201" i="35" s="1"/>
  <c r="L201" i="35" a="1"/>
  <c r="L201" i="35" s="1"/>
  <c r="M201" i="35" a="1"/>
  <c r="M201" i="35" s="1"/>
  <c r="N201" i="35" a="1"/>
  <c r="N201" i="35" s="1"/>
  <c r="O201" i="35" a="1"/>
  <c r="O201" i="35" s="1"/>
  <c r="P201" i="35" a="1"/>
  <c r="P201" i="35" s="1"/>
  <c r="Q201" i="35" a="1"/>
  <c r="Q201" i="35" s="1"/>
  <c r="R201" i="35" a="1"/>
  <c r="R201" i="35" s="1"/>
  <c r="S201" i="35" a="1"/>
  <c r="S201" i="35" s="1"/>
  <c r="T201" i="35" a="1"/>
  <c r="T201" i="35" s="1"/>
  <c r="F202" i="35" a="1"/>
  <c r="F202" i="35" s="1"/>
  <c r="G202" i="35" a="1"/>
  <c r="G202" i="35" s="1"/>
  <c r="H202" i="35" a="1"/>
  <c r="H202" i="35" s="1"/>
  <c r="I202" i="35" a="1"/>
  <c r="I202" i="35" s="1"/>
  <c r="J202" i="35" a="1"/>
  <c r="J202" i="35" s="1"/>
  <c r="K202" i="35" a="1"/>
  <c r="K202" i="35" s="1"/>
  <c r="L202" i="35" a="1"/>
  <c r="L202" i="35" s="1"/>
  <c r="M202" i="35" a="1"/>
  <c r="M202" i="35" s="1"/>
  <c r="N202" i="35" a="1"/>
  <c r="N202" i="35" s="1"/>
  <c r="O202" i="35" a="1"/>
  <c r="O202" i="35" s="1"/>
  <c r="P202" i="35" a="1"/>
  <c r="P202" i="35" s="1"/>
  <c r="Q202" i="35" a="1"/>
  <c r="Q202" i="35" s="1"/>
  <c r="R202" i="35" a="1"/>
  <c r="R202" i="35" s="1"/>
  <c r="S202" i="35" a="1"/>
  <c r="S202" i="35" s="1"/>
  <c r="T202" i="35" a="1"/>
  <c r="T202" i="35" s="1"/>
  <c r="F203" i="35" a="1"/>
  <c r="F203" i="35" s="1"/>
  <c r="G203" i="35" a="1"/>
  <c r="G203" i="35" s="1"/>
  <c r="H203" i="35" a="1"/>
  <c r="H203" i="35" s="1"/>
  <c r="I203" i="35" a="1"/>
  <c r="I203" i="35" s="1"/>
  <c r="J203" i="35" a="1"/>
  <c r="J203" i="35" s="1"/>
  <c r="K203" i="35" a="1"/>
  <c r="K203" i="35" s="1"/>
  <c r="L203" i="35" a="1"/>
  <c r="L203" i="35" s="1"/>
  <c r="M203" i="35" a="1"/>
  <c r="M203" i="35" s="1"/>
  <c r="N203" i="35" a="1"/>
  <c r="N203" i="35" s="1"/>
  <c r="O203" i="35" a="1"/>
  <c r="O203" i="35" s="1"/>
  <c r="P203" i="35" a="1"/>
  <c r="P203" i="35" s="1"/>
  <c r="Q203" i="35" a="1"/>
  <c r="Q203" i="35" s="1"/>
  <c r="R203" i="35" a="1"/>
  <c r="R203" i="35" s="1"/>
  <c r="S203" i="35" a="1"/>
  <c r="S203" i="35" s="1"/>
  <c r="T203" i="35" a="1"/>
  <c r="T203" i="35" s="1"/>
  <c r="F204" i="35" a="1"/>
  <c r="F204" i="35" s="1"/>
  <c r="G204" i="35" a="1"/>
  <c r="G204" i="35" s="1"/>
  <c r="H204" i="35" a="1"/>
  <c r="H204" i="35" s="1"/>
  <c r="I204" i="35" a="1"/>
  <c r="I204" i="35" s="1"/>
  <c r="J204" i="35" a="1"/>
  <c r="J204" i="35" s="1"/>
  <c r="K204" i="35" a="1"/>
  <c r="K204" i="35" s="1"/>
  <c r="L204" i="35" a="1"/>
  <c r="L204" i="35" s="1"/>
  <c r="M204" i="35" a="1"/>
  <c r="M204" i="35" s="1"/>
  <c r="N204" i="35" a="1"/>
  <c r="N204" i="35" s="1"/>
  <c r="O204" i="35" a="1"/>
  <c r="O204" i="35" s="1"/>
  <c r="P204" i="35" a="1"/>
  <c r="P204" i="35" s="1"/>
  <c r="Q204" i="35" a="1"/>
  <c r="Q204" i="35" s="1"/>
  <c r="R204" i="35" a="1"/>
  <c r="R204" i="35" s="1"/>
  <c r="S204" i="35" a="1"/>
  <c r="S204" i="35" s="1"/>
  <c r="T204" i="35" a="1"/>
  <c r="T204" i="35" s="1"/>
  <c r="F205" i="35" a="1"/>
  <c r="F205" i="35" s="1"/>
  <c r="G205" i="35" a="1"/>
  <c r="G205" i="35" s="1"/>
  <c r="H205" i="35" a="1"/>
  <c r="H205" i="35" s="1"/>
  <c r="I205" i="35" a="1"/>
  <c r="I205" i="35" s="1"/>
  <c r="J205" i="35" a="1"/>
  <c r="J205" i="35" s="1"/>
  <c r="K205" i="35" a="1"/>
  <c r="K205" i="35" s="1"/>
  <c r="L205" i="35" a="1"/>
  <c r="L205" i="35" s="1"/>
  <c r="M205" i="35" a="1"/>
  <c r="M205" i="35" s="1"/>
  <c r="N205" i="35" a="1"/>
  <c r="N205" i="35" s="1"/>
  <c r="O205" i="35" a="1"/>
  <c r="O205" i="35" s="1"/>
  <c r="P205" i="35" a="1"/>
  <c r="P205" i="35" s="1"/>
  <c r="Q205" i="35" a="1"/>
  <c r="Q205" i="35" s="1"/>
  <c r="R205" i="35" a="1"/>
  <c r="R205" i="35" s="1"/>
  <c r="S205" i="35" a="1"/>
  <c r="S205" i="35" s="1"/>
  <c r="T205" i="35" a="1"/>
  <c r="T205" i="35" s="1"/>
  <c r="F206" i="35" a="1"/>
  <c r="F206" i="35" s="1"/>
  <c r="G206" i="35" a="1"/>
  <c r="G206" i="35" s="1"/>
  <c r="H206" i="35" a="1"/>
  <c r="H206" i="35" s="1"/>
  <c r="I206" i="35" a="1"/>
  <c r="I206" i="35" s="1"/>
  <c r="J206" i="35" a="1"/>
  <c r="J206" i="35" s="1"/>
  <c r="K206" i="35" a="1"/>
  <c r="K206" i="35" s="1"/>
  <c r="L206" i="35" a="1"/>
  <c r="L206" i="35" s="1"/>
  <c r="M206" i="35" a="1"/>
  <c r="M206" i="35" s="1"/>
  <c r="N206" i="35" a="1"/>
  <c r="N206" i="35" s="1"/>
  <c r="O206" i="35" a="1"/>
  <c r="O206" i="35" s="1"/>
  <c r="P206" i="35" a="1"/>
  <c r="P206" i="35" s="1"/>
  <c r="Q206" i="35" a="1"/>
  <c r="Q206" i="35" s="1"/>
  <c r="R206" i="35" a="1"/>
  <c r="R206" i="35" s="1"/>
  <c r="S206" i="35" a="1"/>
  <c r="S206" i="35" s="1"/>
  <c r="T206" i="35" a="1"/>
  <c r="T206" i="35" s="1"/>
  <c r="F207" i="35" a="1"/>
  <c r="F207" i="35" s="1"/>
  <c r="G207" i="35" a="1"/>
  <c r="G207" i="35" s="1"/>
  <c r="H207" i="35" a="1"/>
  <c r="H207" i="35" s="1"/>
  <c r="I207" i="35" a="1"/>
  <c r="I207" i="35" s="1"/>
  <c r="J207" i="35" a="1"/>
  <c r="J207" i="35" s="1"/>
  <c r="K207" i="35" a="1"/>
  <c r="K207" i="35" s="1"/>
  <c r="L207" i="35" a="1"/>
  <c r="L207" i="35" s="1"/>
  <c r="M207" i="35" a="1"/>
  <c r="M207" i="35" s="1"/>
  <c r="N207" i="35" a="1"/>
  <c r="N207" i="35" s="1"/>
  <c r="O207" i="35" a="1"/>
  <c r="O207" i="35" s="1"/>
  <c r="P207" i="35" a="1"/>
  <c r="P207" i="35" s="1"/>
  <c r="Q207" i="35" a="1"/>
  <c r="Q207" i="35" s="1"/>
  <c r="R207" i="35" a="1"/>
  <c r="R207" i="35" s="1"/>
  <c r="S207" i="35" a="1"/>
  <c r="S207" i="35" s="1"/>
  <c r="T207" i="35" a="1"/>
  <c r="T207" i="35" s="1"/>
  <c r="F208" i="35" a="1"/>
  <c r="F208" i="35" s="1"/>
  <c r="G208" i="35" a="1"/>
  <c r="G208" i="35" s="1"/>
  <c r="H208" i="35" a="1"/>
  <c r="H208" i="35" s="1"/>
  <c r="I208" i="35" a="1"/>
  <c r="I208" i="35" s="1"/>
  <c r="J208" i="35" a="1"/>
  <c r="J208" i="35" s="1"/>
  <c r="K208" i="35" a="1"/>
  <c r="K208" i="35" s="1"/>
  <c r="L208" i="35" a="1"/>
  <c r="L208" i="35" s="1"/>
  <c r="M208" i="35" a="1"/>
  <c r="M208" i="35" s="1"/>
  <c r="N208" i="35" a="1"/>
  <c r="N208" i="35" s="1"/>
  <c r="O208" i="35" a="1"/>
  <c r="O208" i="35" s="1"/>
  <c r="P208" i="35" a="1"/>
  <c r="P208" i="35" s="1"/>
  <c r="Q208" i="35" a="1"/>
  <c r="Q208" i="35" s="1"/>
  <c r="R208" i="35" a="1"/>
  <c r="R208" i="35" s="1"/>
  <c r="S208" i="35" a="1"/>
  <c r="S208" i="35" s="1"/>
  <c r="T208" i="35" a="1"/>
  <c r="T208" i="35" s="1"/>
  <c r="F209" i="35" a="1"/>
  <c r="F209" i="35" s="1"/>
  <c r="G209" i="35" a="1"/>
  <c r="G209" i="35" s="1"/>
  <c r="H209" i="35" a="1"/>
  <c r="H209" i="35" s="1"/>
  <c r="I209" i="35" a="1"/>
  <c r="I209" i="35" s="1"/>
  <c r="J209" i="35" a="1"/>
  <c r="J209" i="35" s="1"/>
  <c r="K209" i="35" a="1"/>
  <c r="K209" i="35" s="1"/>
  <c r="L209" i="35" a="1"/>
  <c r="L209" i="35" s="1"/>
  <c r="M209" i="35" a="1"/>
  <c r="M209" i="35" s="1"/>
  <c r="N209" i="35" a="1"/>
  <c r="N209" i="35" s="1"/>
  <c r="O209" i="35" a="1"/>
  <c r="O209" i="35" s="1"/>
  <c r="P209" i="35" a="1"/>
  <c r="P209" i="35" s="1"/>
  <c r="Q209" i="35" a="1"/>
  <c r="Q209" i="35" s="1"/>
  <c r="R209" i="35" a="1"/>
  <c r="R209" i="35" s="1"/>
  <c r="S209" i="35" a="1"/>
  <c r="S209" i="35" s="1"/>
  <c r="T209" i="35" a="1"/>
  <c r="T209" i="35" s="1"/>
  <c r="F210" i="35" a="1"/>
  <c r="F210" i="35" s="1"/>
  <c r="G210" i="35" a="1"/>
  <c r="G210" i="35" s="1"/>
  <c r="H210" i="35" a="1"/>
  <c r="H210" i="35" s="1"/>
  <c r="I210" i="35" a="1"/>
  <c r="I210" i="35" s="1"/>
  <c r="J210" i="35" a="1"/>
  <c r="J210" i="35" s="1"/>
  <c r="K210" i="35" a="1"/>
  <c r="K210" i="35" s="1"/>
  <c r="L210" i="35" a="1"/>
  <c r="L210" i="35" s="1"/>
  <c r="M210" i="35" a="1"/>
  <c r="M210" i="35" s="1"/>
  <c r="N210" i="35" a="1"/>
  <c r="N210" i="35" s="1"/>
  <c r="O210" i="35" a="1"/>
  <c r="O210" i="35" s="1"/>
  <c r="P210" i="35" a="1"/>
  <c r="P210" i="35" s="1"/>
  <c r="Q210" i="35" a="1"/>
  <c r="Q210" i="35" s="1"/>
  <c r="R210" i="35" a="1"/>
  <c r="R210" i="35" s="1"/>
  <c r="S210" i="35" a="1"/>
  <c r="S210" i="35" s="1"/>
  <c r="T210" i="35" a="1"/>
  <c r="T210" i="35" s="1"/>
  <c r="F211" i="35" a="1"/>
  <c r="F211" i="35" s="1"/>
  <c r="G211" i="35" a="1"/>
  <c r="G211" i="35" s="1"/>
  <c r="H211" i="35" a="1"/>
  <c r="H211" i="35" s="1"/>
  <c r="I211" i="35" a="1"/>
  <c r="I211" i="35" s="1"/>
  <c r="J211" i="35" a="1"/>
  <c r="J211" i="35" s="1"/>
  <c r="K211" i="35" a="1"/>
  <c r="K211" i="35" s="1"/>
  <c r="L211" i="35" a="1"/>
  <c r="L211" i="35" s="1"/>
  <c r="M211" i="35" a="1"/>
  <c r="M211" i="35" s="1"/>
  <c r="N211" i="35" a="1"/>
  <c r="N211" i="35" s="1"/>
  <c r="O211" i="35" a="1"/>
  <c r="O211" i="35" s="1"/>
  <c r="P211" i="35" a="1"/>
  <c r="P211" i="35" s="1"/>
  <c r="Q211" i="35" a="1"/>
  <c r="Q211" i="35" s="1"/>
  <c r="R211" i="35" a="1"/>
  <c r="R211" i="35" s="1"/>
  <c r="S211" i="35" a="1"/>
  <c r="S211" i="35" s="1"/>
  <c r="T211" i="35" a="1"/>
  <c r="T211" i="35" s="1"/>
  <c r="F212" i="35" a="1"/>
  <c r="F212" i="35" s="1"/>
  <c r="G212" i="35" a="1"/>
  <c r="G212" i="35" s="1"/>
  <c r="H212" i="35" a="1"/>
  <c r="H212" i="35" s="1"/>
  <c r="I212" i="35" a="1"/>
  <c r="I212" i="35" s="1"/>
  <c r="J212" i="35" a="1"/>
  <c r="J212" i="35" s="1"/>
  <c r="K212" i="35" a="1"/>
  <c r="K212" i="35" s="1"/>
  <c r="L212" i="35" a="1"/>
  <c r="L212" i="35" s="1"/>
  <c r="M212" i="35" a="1"/>
  <c r="M212" i="35" s="1"/>
  <c r="N212" i="35" a="1"/>
  <c r="N212" i="35" s="1"/>
  <c r="O212" i="35" a="1"/>
  <c r="O212" i="35" s="1"/>
  <c r="P212" i="35" a="1"/>
  <c r="P212" i="35" s="1"/>
  <c r="Q212" i="35" a="1"/>
  <c r="Q212" i="35" s="1"/>
  <c r="R212" i="35" a="1"/>
  <c r="R212" i="35" s="1"/>
  <c r="S212" i="35" a="1"/>
  <c r="S212" i="35" s="1"/>
  <c r="T212" i="35" a="1"/>
  <c r="T212" i="35" s="1"/>
  <c r="F213" i="35" a="1"/>
  <c r="F213" i="35" s="1"/>
  <c r="G213" i="35" a="1"/>
  <c r="G213" i="35" s="1"/>
  <c r="H213" i="35" a="1"/>
  <c r="H213" i="35" s="1"/>
  <c r="I213" i="35" a="1"/>
  <c r="I213" i="35" s="1"/>
  <c r="J213" i="35" a="1"/>
  <c r="J213" i="35" s="1"/>
  <c r="K213" i="35" a="1"/>
  <c r="K213" i="35" s="1"/>
  <c r="L213" i="35" a="1"/>
  <c r="L213" i="35" s="1"/>
  <c r="M213" i="35" a="1"/>
  <c r="M213" i="35" s="1"/>
  <c r="N213" i="35" a="1"/>
  <c r="N213" i="35" s="1"/>
  <c r="O213" i="35" a="1"/>
  <c r="O213" i="35" s="1"/>
  <c r="P213" i="35" a="1"/>
  <c r="P213" i="35" s="1"/>
  <c r="Q213" i="35" a="1"/>
  <c r="Q213" i="35" s="1"/>
  <c r="R213" i="35" a="1"/>
  <c r="R213" i="35" s="1"/>
  <c r="S213" i="35" a="1"/>
  <c r="S213" i="35" s="1"/>
  <c r="T213" i="35" a="1"/>
  <c r="T213" i="35" s="1"/>
  <c r="F214" i="35" a="1"/>
  <c r="F214" i="35" s="1"/>
  <c r="G214" i="35" a="1"/>
  <c r="G214" i="35" s="1"/>
  <c r="H214" i="35" a="1"/>
  <c r="H214" i="35" s="1"/>
  <c r="I214" i="35" a="1"/>
  <c r="I214" i="35" s="1"/>
  <c r="J214" i="35" a="1"/>
  <c r="J214" i="35" s="1"/>
  <c r="K214" i="35" a="1"/>
  <c r="K214" i="35" s="1"/>
  <c r="L214" i="35" a="1"/>
  <c r="L214" i="35" s="1"/>
  <c r="M214" i="35" a="1"/>
  <c r="M214" i="35" s="1"/>
  <c r="N214" i="35" a="1"/>
  <c r="N214" i="35" s="1"/>
  <c r="O214" i="35" a="1"/>
  <c r="O214" i="35" s="1"/>
  <c r="P214" i="35" a="1"/>
  <c r="P214" i="35" s="1"/>
  <c r="Q214" i="35" a="1"/>
  <c r="Q214" i="35" s="1"/>
  <c r="R214" i="35" a="1"/>
  <c r="R214" i="35" s="1"/>
  <c r="S214" i="35" a="1"/>
  <c r="S214" i="35" s="1"/>
  <c r="T214" i="35" a="1"/>
  <c r="T214" i="35" s="1"/>
  <c r="F215" i="35" a="1"/>
  <c r="F215" i="35" s="1"/>
  <c r="G215" i="35" a="1"/>
  <c r="G215" i="35" s="1"/>
  <c r="H215" i="35" a="1"/>
  <c r="H215" i="35" s="1"/>
  <c r="I215" i="35" a="1"/>
  <c r="I215" i="35" s="1"/>
  <c r="J215" i="35" a="1"/>
  <c r="J215" i="35" s="1"/>
  <c r="K215" i="35" a="1"/>
  <c r="K215" i="35" s="1"/>
  <c r="L215" i="35" a="1"/>
  <c r="L215" i="35" s="1"/>
  <c r="M215" i="35" a="1"/>
  <c r="M215" i="35" s="1"/>
  <c r="N215" i="35" a="1"/>
  <c r="N215" i="35" s="1"/>
  <c r="O215" i="35" a="1"/>
  <c r="O215" i="35" s="1"/>
  <c r="P215" i="35" a="1"/>
  <c r="P215" i="35" s="1"/>
  <c r="Q215" i="35" a="1"/>
  <c r="Q215" i="35" s="1"/>
  <c r="R215" i="35" a="1"/>
  <c r="R215" i="35" s="1"/>
  <c r="S215" i="35" a="1"/>
  <c r="S215" i="35" s="1"/>
  <c r="T215" i="35" a="1"/>
  <c r="T215" i="35" s="1"/>
  <c r="F216" i="35" a="1"/>
  <c r="F216" i="35" s="1"/>
  <c r="G216" i="35" a="1"/>
  <c r="G216" i="35" s="1"/>
  <c r="H216" i="35" a="1"/>
  <c r="H216" i="35" s="1"/>
  <c r="I216" i="35" a="1"/>
  <c r="I216" i="35" s="1"/>
  <c r="J216" i="35" a="1"/>
  <c r="J216" i="35" s="1"/>
  <c r="K216" i="35" a="1"/>
  <c r="K216" i="35" s="1"/>
  <c r="L216" i="35" a="1"/>
  <c r="L216" i="35" s="1"/>
  <c r="M216" i="35" a="1"/>
  <c r="M216" i="35" s="1"/>
  <c r="N216" i="35" a="1"/>
  <c r="N216" i="35" s="1"/>
  <c r="O216" i="35" a="1"/>
  <c r="O216" i="35" s="1"/>
  <c r="P216" i="35" a="1"/>
  <c r="P216" i="35" s="1"/>
  <c r="Q216" i="35" a="1"/>
  <c r="Q216" i="35" s="1"/>
  <c r="R216" i="35" a="1"/>
  <c r="R216" i="35" s="1"/>
  <c r="S216" i="35" a="1"/>
  <c r="S216" i="35" s="1"/>
  <c r="T216" i="35" a="1"/>
  <c r="T216" i="35" s="1"/>
  <c r="F217" i="35" a="1"/>
  <c r="F217" i="35" s="1"/>
  <c r="G217" i="35" a="1"/>
  <c r="G217" i="35" s="1"/>
  <c r="H217" i="35" a="1"/>
  <c r="H217" i="35" s="1"/>
  <c r="I217" i="35" a="1"/>
  <c r="I217" i="35" s="1"/>
  <c r="J217" i="35" a="1"/>
  <c r="J217" i="35" s="1"/>
  <c r="K217" i="35" a="1"/>
  <c r="K217" i="35" s="1"/>
  <c r="L217" i="35" a="1"/>
  <c r="L217" i="35" s="1"/>
  <c r="M217" i="35" a="1"/>
  <c r="M217" i="35" s="1"/>
  <c r="N217" i="35" a="1"/>
  <c r="N217" i="35" s="1"/>
  <c r="O217" i="35" a="1"/>
  <c r="O217" i="35" s="1"/>
  <c r="P217" i="35" a="1"/>
  <c r="P217" i="35" s="1"/>
  <c r="Q217" i="35" a="1"/>
  <c r="Q217" i="35" s="1"/>
  <c r="R217" i="35" a="1"/>
  <c r="R217" i="35" s="1"/>
  <c r="S217" i="35" a="1"/>
  <c r="S217" i="35" s="1"/>
  <c r="T217" i="35" a="1"/>
  <c r="T217" i="35" s="1"/>
  <c r="F218" i="35" a="1"/>
  <c r="F218" i="35" s="1"/>
  <c r="G218" i="35" a="1"/>
  <c r="G218" i="35" s="1"/>
  <c r="H218" i="35" a="1"/>
  <c r="H218" i="35" s="1"/>
  <c r="I218" i="35" a="1"/>
  <c r="I218" i="35" s="1"/>
  <c r="J218" i="35" a="1"/>
  <c r="J218" i="35" s="1"/>
  <c r="K218" i="35" a="1"/>
  <c r="K218" i="35" s="1"/>
  <c r="L218" i="35" a="1"/>
  <c r="L218" i="35" s="1"/>
  <c r="M218" i="35" a="1"/>
  <c r="M218" i="35" s="1"/>
  <c r="N218" i="35" a="1"/>
  <c r="N218" i="35" s="1"/>
  <c r="O218" i="35" a="1"/>
  <c r="O218" i="35" s="1"/>
  <c r="P218" i="35" a="1"/>
  <c r="P218" i="35" s="1"/>
  <c r="Q218" i="35" a="1"/>
  <c r="Q218" i="35" s="1"/>
  <c r="R218" i="35" a="1"/>
  <c r="R218" i="35" s="1"/>
  <c r="S218" i="35" a="1"/>
  <c r="S218" i="35" s="1"/>
  <c r="T218" i="35" a="1"/>
  <c r="T218" i="35" s="1"/>
  <c r="F219" i="35" a="1"/>
  <c r="F219" i="35" s="1"/>
  <c r="G219" i="35" a="1"/>
  <c r="G219" i="35" s="1"/>
  <c r="H219" i="35" a="1"/>
  <c r="H219" i="35" s="1"/>
  <c r="I219" i="35" a="1"/>
  <c r="I219" i="35" s="1"/>
  <c r="J219" i="35" a="1"/>
  <c r="J219" i="35" s="1"/>
  <c r="K219" i="35" a="1"/>
  <c r="K219" i="35" s="1"/>
  <c r="L219" i="35" a="1"/>
  <c r="L219" i="35" s="1"/>
  <c r="M219" i="35" a="1"/>
  <c r="M219" i="35" s="1"/>
  <c r="N219" i="35" a="1"/>
  <c r="N219" i="35" s="1"/>
  <c r="O219" i="35" a="1"/>
  <c r="O219" i="35" s="1"/>
  <c r="P219" i="35" a="1"/>
  <c r="P219" i="35" s="1"/>
  <c r="Q219" i="35" a="1"/>
  <c r="Q219" i="35" s="1"/>
  <c r="R219" i="35" a="1"/>
  <c r="R219" i="35" s="1"/>
  <c r="S219" i="35" a="1"/>
  <c r="S219" i="35" s="1"/>
  <c r="T219" i="35" a="1"/>
  <c r="T219" i="35" s="1"/>
  <c r="F220" i="35" a="1"/>
  <c r="F220" i="35" s="1"/>
  <c r="G220" i="35" a="1"/>
  <c r="G220" i="35" s="1"/>
  <c r="H220" i="35" a="1"/>
  <c r="H220" i="35" s="1"/>
  <c r="I220" i="35" a="1"/>
  <c r="I220" i="35" s="1"/>
  <c r="J220" i="35" a="1"/>
  <c r="J220" i="35" s="1"/>
  <c r="K220" i="35" a="1"/>
  <c r="K220" i="35" s="1"/>
  <c r="L220" i="35" a="1"/>
  <c r="L220" i="35" s="1"/>
  <c r="M220" i="35" a="1"/>
  <c r="M220" i="35" s="1"/>
  <c r="N220" i="35" a="1"/>
  <c r="N220" i="35" s="1"/>
  <c r="O220" i="35" a="1"/>
  <c r="O220" i="35" s="1"/>
  <c r="P220" i="35" a="1"/>
  <c r="P220" i="35" s="1"/>
  <c r="Q220" i="35" a="1"/>
  <c r="Q220" i="35" s="1"/>
  <c r="R220" i="35" a="1"/>
  <c r="R220" i="35" s="1"/>
  <c r="S220" i="35" a="1"/>
  <c r="S220" i="35" s="1"/>
  <c r="T220" i="35" a="1"/>
  <c r="T220" i="35" s="1"/>
  <c r="F221" i="35" a="1"/>
  <c r="F221" i="35" s="1"/>
  <c r="G221" i="35" a="1"/>
  <c r="G221" i="35" s="1"/>
  <c r="H221" i="35" a="1"/>
  <c r="H221" i="35" s="1"/>
  <c r="I221" i="35" a="1"/>
  <c r="I221" i="35" s="1"/>
  <c r="J221" i="35" a="1"/>
  <c r="J221" i="35" s="1"/>
  <c r="K221" i="35" a="1"/>
  <c r="K221" i="35" s="1"/>
  <c r="L221" i="35" a="1"/>
  <c r="L221" i="35" s="1"/>
  <c r="M221" i="35" a="1"/>
  <c r="M221" i="35" s="1"/>
  <c r="N221" i="35" a="1"/>
  <c r="N221" i="35" s="1"/>
  <c r="O221" i="35" a="1"/>
  <c r="O221" i="35" s="1"/>
  <c r="P221" i="35" a="1"/>
  <c r="P221" i="35" s="1"/>
  <c r="Q221" i="35" a="1"/>
  <c r="Q221" i="35" s="1"/>
  <c r="R221" i="35" a="1"/>
  <c r="R221" i="35" s="1"/>
  <c r="S221" i="35" a="1"/>
  <c r="S221" i="35" s="1"/>
  <c r="T221" i="35" a="1"/>
  <c r="T221" i="35" s="1"/>
  <c r="F222" i="35" a="1"/>
  <c r="F222" i="35" s="1"/>
  <c r="G222" i="35" a="1"/>
  <c r="G222" i="35" s="1"/>
  <c r="H222" i="35" a="1"/>
  <c r="H222" i="35" s="1"/>
  <c r="I222" i="35" a="1"/>
  <c r="I222" i="35" s="1"/>
  <c r="J222" i="35" a="1"/>
  <c r="J222" i="35" s="1"/>
  <c r="K222" i="35" a="1"/>
  <c r="K222" i="35" s="1"/>
  <c r="L222" i="35" a="1"/>
  <c r="L222" i="35" s="1"/>
  <c r="M222" i="35" a="1"/>
  <c r="M222" i="35" s="1"/>
  <c r="N222" i="35" a="1"/>
  <c r="N222" i="35" s="1"/>
  <c r="O222" i="35" a="1"/>
  <c r="O222" i="35" s="1"/>
  <c r="P222" i="35" a="1"/>
  <c r="P222" i="35" s="1"/>
  <c r="Q222" i="35" a="1"/>
  <c r="Q222" i="35" s="1"/>
  <c r="R222" i="35" a="1"/>
  <c r="R222" i="35" s="1"/>
  <c r="S222" i="35" a="1"/>
  <c r="S222" i="35" s="1"/>
  <c r="T222" i="35" a="1"/>
  <c r="T222" i="35" s="1"/>
  <c r="F223" i="35" a="1"/>
  <c r="F223" i="35" s="1"/>
  <c r="G223" i="35" a="1"/>
  <c r="G223" i="35" s="1"/>
  <c r="H223" i="35" a="1"/>
  <c r="H223" i="35" s="1"/>
  <c r="I223" i="35" a="1"/>
  <c r="I223" i="35" s="1"/>
  <c r="J223" i="35" a="1"/>
  <c r="J223" i="35" s="1"/>
  <c r="K223" i="35" a="1"/>
  <c r="K223" i="35" s="1"/>
  <c r="L223" i="35" a="1"/>
  <c r="L223" i="35" s="1"/>
  <c r="M223" i="35" a="1"/>
  <c r="M223" i="35" s="1"/>
  <c r="N223" i="35" a="1"/>
  <c r="N223" i="35" s="1"/>
  <c r="O223" i="35" a="1"/>
  <c r="O223" i="35" s="1"/>
  <c r="P223" i="35" a="1"/>
  <c r="P223" i="35" s="1"/>
  <c r="Q223" i="35" a="1"/>
  <c r="Q223" i="35" s="1"/>
  <c r="R223" i="35" a="1"/>
  <c r="R223" i="35" s="1"/>
  <c r="S223" i="35" a="1"/>
  <c r="S223" i="35" s="1"/>
  <c r="T223" i="35" a="1"/>
  <c r="T223" i="35" s="1"/>
  <c r="F224" i="35" a="1"/>
  <c r="F224" i="35" s="1"/>
  <c r="G224" i="35" a="1"/>
  <c r="G224" i="35" s="1"/>
  <c r="H224" i="35" a="1"/>
  <c r="H224" i="35" s="1"/>
  <c r="I224" i="35" a="1"/>
  <c r="I224" i="35" s="1"/>
  <c r="J224" i="35" a="1"/>
  <c r="J224" i="35" s="1"/>
  <c r="K224" i="35" a="1"/>
  <c r="K224" i="35" s="1"/>
  <c r="L224" i="35" a="1"/>
  <c r="L224" i="35" s="1"/>
  <c r="M224" i="35" a="1"/>
  <c r="M224" i="35" s="1"/>
  <c r="N224" i="35" a="1"/>
  <c r="N224" i="35" s="1"/>
  <c r="O224" i="35" a="1"/>
  <c r="O224" i="35" s="1"/>
  <c r="P224" i="35" a="1"/>
  <c r="P224" i="35" s="1"/>
  <c r="Q224" i="35" a="1"/>
  <c r="Q224" i="35" s="1"/>
  <c r="R224" i="35" a="1"/>
  <c r="R224" i="35" s="1"/>
  <c r="S224" i="35" a="1"/>
  <c r="S224" i="35" s="1"/>
  <c r="T224" i="35" a="1"/>
  <c r="T224" i="35" s="1"/>
  <c r="F225" i="35" a="1"/>
  <c r="F225" i="35" s="1"/>
  <c r="G225" i="35" a="1"/>
  <c r="G225" i="35" s="1"/>
  <c r="H225" i="35" a="1"/>
  <c r="H225" i="35" s="1"/>
  <c r="I225" i="35" a="1"/>
  <c r="I225" i="35" s="1"/>
  <c r="J225" i="35" a="1"/>
  <c r="J225" i="35" s="1"/>
  <c r="K225" i="35" a="1"/>
  <c r="K225" i="35" s="1"/>
  <c r="L225" i="35" a="1"/>
  <c r="L225" i="35" s="1"/>
  <c r="M225" i="35" a="1"/>
  <c r="M225" i="35" s="1"/>
  <c r="N225" i="35" a="1"/>
  <c r="N225" i="35" s="1"/>
  <c r="O225" i="35" a="1"/>
  <c r="O225" i="35" s="1"/>
  <c r="P225" i="35" a="1"/>
  <c r="P225" i="35" s="1"/>
  <c r="Q225" i="35" a="1"/>
  <c r="Q225" i="35" s="1"/>
  <c r="R225" i="35" a="1"/>
  <c r="R225" i="35" s="1"/>
  <c r="S225" i="35" a="1"/>
  <c r="S225" i="35" s="1"/>
  <c r="T225" i="35" a="1"/>
  <c r="T225" i="35" s="1"/>
  <c r="F226" i="35" a="1"/>
  <c r="F226" i="35" s="1"/>
  <c r="G226" i="35" a="1"/>
  <c r="G226" i="35" s="1"/>
  <c r="H226" i="35" a="1"/>
  <c r="H226" i="35" s="1"/>
  <c r="I226" i="35" a="1"/>
  <c r="I226" i="35" s="1"/>
  <c r="J226" i="35" a="1"/>
  <c r="J226" i="35" s="1"/>
  <c r="K226" i="35" a="1"/>
  <c r="K226" i="35" s="1"/>
  <c r="L226" i="35" a="1"/>
  <c r="L226" i="35" s="1"/>
  <c r="M226" i="35" a="1"/>
  <c r="M226" i="35" s="1"/>
  <c r="N226" i="35" a="1"/>
  <c r="N226" i="35" s="1"/>
  <c r="O226" i="35" a="1"/>
  <c r="O226" i="35" s="1"/>
  <c r="P226" i="35" a="1"/>
  <c r="P226" i="35" s="1"/>
  <c r="Q226" i="35" a="1"/>
  <c r="Q226" i="35" s="1"/>
  <c r="R226" i="35" a="1"/>
  <c r="R226" i="35" s="1"/>
  <c r="S226" i="35" a="1"/>
  <c r="S226" i="35" s="1"/>
  <c r="T226" i="35" a="1"/>
  <c r="T226" i="35" s="1"/>
  <c r="F227" i="35" a="1"/>
  <c r="F227" i="35" s="1"/>
  <c r="G227" i="35" a="1"/>
  <c r="G227" i="35" s="1"/>
  <c r="H227" i="35" a="1"/>
  <c r="H227" i="35" s="1"/>
  <c r="I227" i="35" a="1"/>
  <c r="I227" i="35" s="1"/>
  <c r="J227" i="35" a="1"/>
  <c r="J227" i="35" s="1"/>
  <c r="K227" i="35" a="1"/>
  <c r="K227" i="35" s="1"/>
  <c r="L227" i="35" a="1"/>
  <c r="L227" i="35" s="1"/>
  <c r="M227" i="35" a="1"/>
  <c r="M227" i="35" s="1"/>
  <c r="N227" i="35" a="1"/>
  <c r="N227" i="35" s="1"/>
  <c r="O227" i="35" a="1"/>
  <c r="O227" i="35" s="1"/>
  <c r="P227" i="35" a="1"/>
  <c r="P227" i="35" s="1"/>
  <c r="Q227" i="35" a="1"/>
  <c r="Q227" i="35" s="1"/>
  <c r="R227" i="35" a="1"/>
  <c r="R227" i="35" s="1"/>
  <c r="S227" i="35" a="1"/>
  <c r="S227" i="35" s="1"/>
  <c r="T227" i="35" a="1"/>
  <c r="T227" i="35" s="1"/>
  <c r="F228" i="35" a="1"/>
  <c r="F228" i="35" s="1"/>
  <c r="G228" i="35" a="1"/>
  <c r="G228" i="35" s="1"/>
  <c r="H228" i="35" a="1"/>
  <c r="H228" i="35" s="1"/>
  <c r="I228" i="35" a="1"/>
  <c r="I228" i="35" s="1"/>
  <c r="J228" i="35" a="1"/>
  <c r="J228" i="35" s="1"/>
  <c r="K228" i="35" a="1"/>
  <c r="K228" i="35" s="1"/>
  <c r="L228" i="35" a="1"/>
  <c r="L228" i="35" s="1"/>
  <c r="M228" i="35" a="1"/>
  <c r="M228" i="35" s="1"/>
  <c r="N228" i="35" a="1"/>
  <c r="N228" i="35" s="1"/>
  <c r="O228" i="35" a="1"/>
  <c r="O228" i="35" s="1"/>
  <c r="P228" i="35" a="1"/>
  <c r="P228" i="35" s="1"/>
  <c r="Q228" i="35" a="1"/>
  <c r="Q228" i="35" s="1"/>
  <c r="R228" i="35" a="1"/>
  <c r="R228" i="35" s="1"/>
  <c r="S228" i="35" a="1"/>
  <c r="S228" i="35" s="1"/>
  <c r="T228" i="35" a="1"/>
  <c r="T228" i="35" s="1"/>
  <c r="F229" i="35" a="1"/>
  <c r="F229" i="35" s="1"/>
  <c r="G229" i="35" a="1"/>
  <c r="G229" i="35" s="1"/>
  <c r="H229" i="35" a="1"/>
  <c r="H229" i="35" s="1"/>
  <c r="I229" i="35" a="1"/>
  <c r="I229" i="35" s="1"/>
  <c r="J229" i="35" a="1"/>
  <c r="J229" i="35" s="1"/>
  <c r="K229" i="35" a="1"/>
  <c r="K229" i="35" s="1"/>
  <c r="L229" i="35" a="1"/>
  <c r="L229" i="35" s="1"/>
  <c r="M229" i="35" a="1"/>
  <c r="M229" i="35" s="1"/>
  <c r="N229" i="35" a="1"/>
  <c r="N229" i="35" s="1"/>
  <c r="O229" i="35" a="1"/>
  <c r="O229" i="35" s="1"/>
  <c r="P229" i="35" a="1"/>
  <c r="P229" i="35" s="1"/>
  <c r="Q229" i="35" a="1"/>
  <c r="Q229" i="35" s="1"/>
  <c r="R229" i="35" a="1"/>
  <c r="R229" i="35" s="1"/>
  <c r="S229" i="35" a="1"/>
  <c r="S229" i="35" s="1"/>
  <c r="T229" i="35" a="1"/>
  <c r="T229" i="35" s="1"/>
  <c r="F230" i="35" a="1"/>
  <c r="F230" i="35" s="1"/>
  <c r="G230" i="35" a="1"/>
  <c r="G230" i="35" s="1"/>
  <c r="H230" i="35" a="1"/>
  <c r="H230" i="35" s="1"/>
  <c r="I230" i="35" a="1"/>
  <c r="I230" i="35" s="1"/>
  <c r="J230" i="35" a="1"/>
  <c r="J230" i="35" s="1"/>
  <c r="K230" i="35" a="1"/>
  <c r="K230" i="35" s="1"/>
  <c r="L230" i="35" a="1"/>
  <c r="L230" i="35" s="1"/>
  <c r="M230" i="35" a="1"/>
  <c r="M230" i="35" s="1"/>
  <c r="N230" i="35" a="1"/>
  <c r="N230" i="35" s="1"/>
  <c r="O230" i="35" a="1"/>
  <c r="O230" i="35" s="1"/>
  <c r="P230" i="35" a="1"/>
  <c r="P230" i="35" s="1"/>
  <c r="Q230" i="35" a="1"/>
  <c r="Q230" i="35" s="1"/>
  <c r="R230" i="35" a="1"/>
  <c r="R230" i="35" s="1"/>
  <c r="S230" i="35" a="1"/>
  <c r="S230" i="35" s="1"/>
  <c r="T230" i="35" a="1"/>
  <c r="T230" i="35" s="1"/>
  <c r="F231" i="35" a="1"/>
  <c r="F231" i="35" s="1"/>
  <c r="G231" i="35" a="1"/>
  <c r="G231" i="35" s="1"/>
  <c r="H231" i="35" a="1"/>
  <c r="H231" i="35" s="1"/>
  <c r="I231" i="35" a="1"/>
  <c r="I231" i="35" s="1"/>
  <c r="J231" i="35" a="1"/>
  <c r="J231" i="35" s="1"/>
  <c r="K231" i="35" a="1"/>
  <c r="K231" i="35" s="1"/>
  <c r="L231" i="35" a="1"/>
  <c r="L231" i="35" s="1"/>
  <c r="M231" i="35" a="1"/>
  <c r="M231" i="35" s="1"/>
  <c r="N231" i="35" a="1"/>
  <c r="N231" i="35" s="1"/>
  <c r="O231" i="35" a="1"/>
  <c r="O231" i="35" s="1"/>
  <c r="P231" i="35" a="1"/>
  <c r="P231" i="35" s="1"/>
  <c r="Q231" i="35" a="1"/>
  <c r="Q231" i="35" s="1"/>
  <c r="R231" i="35" a="1"/>
  <c r="R231" i="35" s="1"/>
  <c r="S231" i="35" a="1"/>
  <c r="S231" i="35" s="1"/>
  <c r="T231" i="35" a="1"/>
  <c r="T231" i="35" s="1"/>
  <c r="F232" i="35" a="1"/>
  <c r="F232" i="35" s="1"/>
  <c r="G232" i="35" a="1"/>
  <c r="G232" i="35" s="1"/>
  <c r="H232" i="35" a="1"/>
  <c r="H232" i="35" s="1"/>
  <c r="I232" i="35" a="1"/>
  <c r="I232" i="35" s="1"/>
  <c r="J232" i="35" a="1"/>
  <c r="J232" i="35" s="1"/>
  <c r="K232" i="35" a="1"/>
  <c r="K232" i="35" s="1"/>
  <c r="L232" i="35" a="1"/>
  <c r="L232" i="35" s="1"/>
  <c r="M232" i="35" a="1"/>
  <c r="M232" i="35" s="1"/>
  <c r="N232" i="35" a="1"/>
  <c r="N232" i="35" s="1"/>
  <c r="O232" i="35" a="1"/>
  <c r="O232" i="35" s="1"/>
  <c r="P232" i="35" a="1"/>
  <c r="P232" i="35" s="1"/>
  <c r="Q232" i="35" a="1"/>
  <c r="Q232" i="35" s="1"/>
  <c r="R232" i="35" a="1"/>
  <c r="R232" i="35" s="1"/>
  <c r="S232" i="35" a="1"/>
  <c r="S232" i="35" s="1"/>
  <c r="T232" i="35" a="1"/>
  <c r="T232" i="35" s="1"/>
  <c r="F233" i="35" a="1"/>
  <c r="F233" i="35" s="1"/>
  <c r="G233" i="35" a="1"/>
  <c r="G233" i="35" s="1"/>
  <c r="H233" i="35" a="1"/>
  <c r="H233" i="35" s="1"/>
  <c r="I233" i="35" a="1"/>
  <c r="I233" i="35" s="1"/>
  <c r="J233" i="35" a="1"/>
  <c r="J233" i="35" s="1"/>
  <c r="K233" i="35" a="1"/>
  <c r="K233" i="35" s="1"/>
  <c r="L233" i="35" a="1"/>
  <c r="L233" i="35" s="1"/>
  <c r="M233" i="35" a="1"/>
  <c r="M233" i="35" s="1"/>
  <c r="N233" i="35" a="1"/>
  <c r="N233" i="35" s="1"/>
  <c r="O233" i="35" a="1"/>
  <c r="O233" i="35" s="1"/>
  <c r="P233" i="35" a="1"/>
  <c r="P233" i="35" s="1"/>
  <c r="Q233" i="35" a="1"/>
  <c r="Q233" i="35" s="1"/>
  <c r="R233" i="35" a="1"/>
  <c r="R233" i="35" s="1"/>
  <c r="S233" i="35" a="1"/>
  <c r="S233" i="35" s="1"/>
  <c r="T233" i="35" a="1"/>
  <c r="T233" i="35" s="1"/>
  <c r="F234" i="35" a="1"/>
  <c r="F234" i="35" s="1"/>
  <c r="G234" i="35" a="1"/>
  <c r="G234" i="35" s="1"/>
  <c r="H234" i="35" a="1"/>
  <c r="H234" i="35" s="1"/>
  <c r="I234" i="35" a="1"/>
  <c r="I234" i="35" s="1"/>
  <c r="J234" i="35" a="1"/>
  <c r="J234" i="35" s="1"/>
  <c r="K234" i="35" a="1"/>
  <c r="K234" i="35" s="1"/>
  <c r="L234" i="35" a="1"/>
  <c r="L234" i="35" s="1"/>
  <c r="M234" i="35" a="1"/>
  <c r="M234" i="35" s="1"/>
  <c r="N234" i="35" a="1"/>
  <c r="N234" i="35" s="1"/>
  <c r="O234" i="35" a="1"/>
  <c r="O234" i="35" s="1"/>
  <c r="P234" i="35" a="1"/>
  <c r="P234" i="35" s="1"/>
  <c r="Q234" i="35" a="1"/>
  <c r="Q234" i="35" s="1"/>
  <c r="R234" i="35" a="1"/>
  <c r="R234" i="35" s="1"/>
  <c r="S234" i="35" a="1"/>
  <c r="S234" i="35" s="1"/>
  <c r="T234" i="35" a="1"/>
  <c r="T234" i="35" s="1"/>
  <c r="F235" i="35" a="1"/>
  <c r="F235" i="35" s="1"/>
  <c r="G235" i="35" a="1"/>
  <c r="G235" i="35" s="1"/>
  <c r="H235" i="35" a="1"/>
  <c r="H235" i="35" s="1"/>
  <c r="I235" i="35" a="1"/>
  <c r="I235" i="35" s="1"/>
  <c r="J235" i="35" a="1"/>
  <c r="J235" i="35" s="1"/>
  <c r="K235" i="35" a="1"/>
  <c r="K235" i="35" s="1"/>
  <c r="L235" i="35" a="1"/>
  <c r="L235" i="35" s="1"/>
  <c r="M235" i="35" a="1"/>
  <c r="M235" i="35" s="1"/>
  <c r="N235" i="35" a="1"/>
  <c r="N235" i="35" s="1"/>
  <c r="O235" i="35" a="1"/>
  <c r="O235" i="35" s="1"/>
  <c r="P235" i="35" a="1"/>
  <c r="P235" i="35" s="1"/>
  <c r="Q235" i="35" a="1"/>
  <c r="Q235" i="35" s="1"/>
  <c r="R235" i="35" a="1"/>
  <c r="R235" i="35" s="1"/>
  <c r="S235" i="35" a="1"/>
  <c r="S235" i="35" s="1"/>
  <c r="T235" i="35" a="1"/>
  <c r="T235" i="35" s="1"/>
  <c r="F236" i="35" a="1"/>
  <c r="F236" i="35" s="1"/>
  <c r="G236" i="35" a="1"/>
  <c r="G236" i="35" s="1"/>
  <c r="H236" i="35" a="1"/>
  <c r="H236" i="35" s="1"/>
  <c r="I236" i="35" a="1"/>
  <c r="I236" i="35" s="1"/>
  <c r="J236" i="35" a="1"/>
  <c r="J236" i="35" s="1"/>
  <c r="K236" i="35" a="1"/>
  <c r="K236" i="35" s="1"/>
  <c r="L236" i="35" a="1"/>
  <c r="L236" i="35" s="1"/>
  <c r="M236" i="35" a="1"/>
  <c r="M236" i="35" s="1"/>
  <c r="N236" i="35" a="1"/>
  <c r="N236" i="35" s="1"/>
  <c r="O236" i="35" a="1"/>
  <c r="O236" i="35" s="1"/>
  <c r="P236" i="35" a="1"/>
  <c r="P236" i="35" s="1"/>
  <c r="Q236" i="35" a="1"/>
  <c r="Q236" i="35" s="1"/>
  <c r="R236" i="35" a="1"/>
  <c r="R236" i="35" s="1"/>
  <c r="S236" i="35" a="1"/>
  <c r="S236" i="35" s="1"/>
  <c r="T236" i="35" a="1"/>
  <c r="T236" i="35" s="1"/>
  <c r="F237" i="35" a="1"/>
  <c r="F237" i="35" s="1"/>
  <c r="G237" i="35" a="1"/>
  <c r="G237" i="35" s="1"/>
  <c r="H237" i="35" a="1"/>
  <c r="H237" i="35" s="1"/>
  <c r="I237" i="35" a="1"/>
  <c r="I237" i="35" s="1"/>
  <c r="J237" i="35" a="1"/>
  <c r="J237" i="35" s="1"/>
  <c r="K237" i="35" a="1"/>
  <c r="K237" i="35" s="1"/>
  <c r="L237" i="35" a="1"/>
  <c r="L237" i="35" s="1"/>
  <c r="M237" i="35" a="1"/>
  <c r="M237" i="35" s="1"/>
  <c r="N237" i="35" a="1"/>
  <c r="N237" i="35" s="1"/>
  <c r="O237" i="35" a="1"/>
  <c r="O237" i="35" s="1"/>
  <c r="P237" i="35" a="1"/>
  <c r="P237" i="35" s="1"/>
  <c r="Q237" i="35" a="1"/>
  <c r="Q237" i="35" s="1"/>
  <c r="R237" i="35" a="1"/>
  <c r="R237" i="35" s="1"/>
  <c r="S237" i="35" a="1"/>
  <c r="S237" i="35" s="1"/>
  <c r="T237" i="35" a="1"/>
  <c r="T237" i="35" s="1"/>
  <c r="F238" i="35" a="1"/>
  <c r="F238" i="35" s="1"/>
  <c r="G238" i="35" a="1"/>
  <c r="G238" i="35" s="1"/>
  <c r="H238" i="35" a="1"/>
  <c r="H238" i="35" s="1"/>
  <c r="I238" i="35" a="1"/>
  <c r="I238" i="35" s="1"/>
  <c r="J238" i="35" a="1"/>
  <c r="J238" i="35" s="1"/>
  <c r="K238" i="35" a="1"/>
  <c r="K238" i="35" s="1"/>
  <c r="L238" i="35" a="1"/>
  <c r="L238" i="35" s="1"/>
  <c r="M238" i="35" a="1"/>
  <c r="M238" i="35" s="1"/>
  <c r="N238" i="35" a="1"/>
  <c r="N238" i="35" s="1"/>
  <c r="O238" i="35" a="1"/>
  <c r="O238" i="35" s="1"/>
  <c r="P238" i="35" a="1"/>
  <c r="P238" i="35" s="1"/>
  <c r="Q238" i="35" a="1"/>
  <c r="Q238" i="35" s="1"/>
  <c r="R238" i="35" a="1"/>
  <c r="R238" i="35" s="1"/>
  <c r="S238" i="35" a="1"/>
  <c r="S238" i="35" s="1"/>
  <c r="T238" i="35" a="1"/>
  <c r="T238" i="35" s="1"/>
  <c r="F239" i="35" a="1"/>
  <c r="F239" i="35" s="1"/>
  <c r="G239" i="35" a="1"/>
  <c r="G239" i="35" s="1"/>
  <c r="H239" i="35" a="1"/>
  <c r="H239" i="35" s="1"/>
  <c r="I239" i="35" a="1"/>
  <c r="I239" i="35" s="1"/>
  <c r="J239" i="35" a="1"/>
  <c r="J239" i="35" s="1"/>
  <c r="K239" i="35" a="1"/>
  <c r="K239" i="35" s="1"/>
  <c r="L239" i="35" a="1"/>
  <c r="L239" i="35" s="1"/>
  <c r="M239" i="35" a="1"/>
  <c r="M239" i="35" s="1"/>
  <c r="N239" i="35" a="1"/>
  <c r="N239" i="35" s="1"/>
  <c r="O239" i="35" a="1"/>
  <c r="O239" i="35" s="1"/>
  <c r="P239" i="35" a="1"/>
  <c r="P239" i="35" s="1"/>
  <c r="Q239" i="35" a="1"/>
  <c r="Q239" i="35" s="1"/>
  <c r="R239" i="35" a="1"/>
  <c r="R239" i="35" s="1"/>
  <c r="S239" i="35" a="1"/>
  <c r="S239" i="35" s="1"/>
  <c r="T239" i="35" a="1"/>
  <c r="T239" i="35" s="1"/>
  <c r="F240" i="35" a="1"/>
  <c r="F240" i="35" s="1"/>
  <c r="G240" i="35" a="1"/>
  <c r="G240" i="35" s="1"/>
  <c r="H240" i="35" a="1"/>
  <c r="H240" i="35" s="1"/>
  <c r="I240" i="35" a="1"/>
  <c r="I240" i="35" s="1"/>
  <c r="J240" i="35" a="1"/>
  <c r="J240" i="35" s="1"/>
  <c r="K240" i="35" a="1"/>
  <c r="K240" i="35" s="1"/>
  <c r="L240" i="35" a="1"/>
  <c r="L240" i="35" s="1"/>
  <c r="M240" i="35" a="1"/>
  <c r="M240" i="35" s="1"/>
  <c r="N240" i="35" a="1"/>
  <c r="N240" i="35" s="1"/>
  <c r="O240" i="35" a="1"/>
  <c r="O240" i="35" s="1"/>
  <c r="P240" i="35" a="1"/>
  <c r="P240" i="35" s="1"/>
  <c r="Q240" i="35" a="1"/>
  <c r="Q240" i="35" s="1"/>
  <c r="R240" i="35" a="1"/>
  <c r="R240" i="35" s="1"/>
  <c r="S240" i="35" a="1"/>
  <c r="S240" i="35" s="1"/>
  <c r="T240" i="35" a="1"/>
  <c r="T240" i="35" s="1"/>
  <c r="F241" i="35" a="1"/>
  <c r="F241" i="35" s="1"/>
  <c r="G241" i="35" a="1"/>
  <c r="G241" i="35" s="1"/>
  <c r="H241" i="35" a="1"/>
  <c r="H241" i="35" s="1"/>
  <c r="I241" i="35" a="1"/>
  <c r="I241" i="35" s="1"/>
  <c r="J241" i="35" a="1"/>
  <c r="J241" i="35" s="1"/>
  <c r="K241" i="35" a="1"/>
  <c r="K241" i="35" s="1"/>
  <c r="L241" i="35" a="1"/>
  <c r="L241" i="35" s="1"/>
  <c r="M241" i="35" a="1"/>
  <c r="M241" i="35" s="1"/>
  <c r="N241" i="35" a="1"/>
  <c r="N241" i="35" s="1"/>
  <c r="O241" i="35" a="1"/>
  <c r="O241" i="35" s="1"/>
  <c r="P241" i="35" a="1"/>
  <c r="P241" i="35" s="1"/>
  <c r="Q241" i="35" a="1"/>
  <c r="Q241" i="35" s="1"/>
  <c r="R241" i="35" a="1"/>
  <c r="R241" i="35" s="1"/>
  <c r="S241" i="35" a="1"/>
  <c r="S241" i="35" s="1"/>
  <c r="T241" i="35" a="1"/>
  <c r="T241" i="35" s="1"/>
  <c r="F242" i="35" a="1"/>
  <c r="F242" i="35" s="1"/>
  <c r="G242" i="35" a="1"/>
  <c r="G242" i="35" s="1"/>
  <c r="H242" i="35" a="1"/>
  <c r="H242" i="35" s="1"/>
  <c r="I242" i="35" a="1"/>
  <c r="I242" i="35" s="1"/>
  <c r="J242" i="35" a="1"/>
  <c r="J242" i="35" s="1"/>
  <c r="K242" i="35" a="1"/>
  <c r="K242" i="35" s="1"/>
  <c r="L242" i="35" a="1"/>
  <c r="L242" i="35" s="1"/>
  <c r="M242" i="35" a="1"/>
  <c r="M242" i="35" s="1"/>
  <c r="N242" i="35" a="1"/>
  <c r="N242" i="35" s="1"/>
  <c r="O242" i="35" a="1"/>
  <c r="O242" i="35" s="1"/>
  <c r="P242" i="35" a="1"/>
  <c r="P242" i="35" s="1"/>
  <c r="Q242" i="35" a="1"/>
  <c r="Q242" i="35" s="1"/>
  <c r="R242" i="35" a="1"/>
  <c r="R242" i="35" s="1"/>
  <c r="S242" i="35" a="1"/>
  <c r="S242" i="35" s="1"/>
  <c r="T242" i="35" a="1"/>
  <c r="T242" i="35" s="1"/>
  <c r="F243" i="35" a="1"/>
  <c r="F243" i="35" s="1"/>
  <c r="G243" i="35" a="1"/>
  <c r="G243" i="35" s="1"/>
  <c r="H243" i="35" a="1"/>
  <c r="H243" i="35" s="1"/>
  <c r="I243" i="35" a="1"/>
  <c r="I243" i="35" s="1"/>
  <c r="J243" i="35" a="1"/>
  <c r="J243" i="35" s="1"/>
  <c r="K243" i="35" a="1"/>
  <c r="K243" i="35" s="1"/>
  <c r="L243" i="35" a="1"/>
  <c r="L243" i="35" s="1"/>
  <c r="M243" i="35" a="1"/>
  <c r="M243" i="35" s="1"/>
  <c r="N243" i="35" a="1"/>
  <c r="N243" i="35" s="1"/>
  <c r="O243" i="35" a="1"/>
  <c r="O243" i="35" s="1"/>
  <c r="P243" i="35" a="1"/>
  <c r="P243" i="35" s="1"/>
  <c r="Q243" i="35" a="1"/>
  <c r="Q243" i="35" s="1"/>
  <c r="R243" i="35" a="1"/>
  <c r="R243" i="35" s="1"/>
  <c r="S243" i="35" a="1"/>
  <c r="S243" i="35" s="1"/>
  <c r="T243" i="35" a="1"/>
  <c r="T243" i="35" s="1"/>
  <c r="F244" i="35" a="1"/>
  <c r="F244" i="35" s="1"/>
  <c r="G244" i="35" a="1"/>
  <c r="G244" i="35" s="1"/>
  <c r="H244" i="35" a="1"/>
  <c r="H244" i="35" s="1"/>
  <c r="I244" i="35" a="1"/>
  <c r="I244" i="35" s="1"/>
  <c r="J244" i="35" a="1"/>
  <c r="J244" i="35" s="1"/>
  <c r="K244" i="35" a="1"/>
  <c r="K244" i="35" s="1"/>
  <c r="L244" i="35" a="1"/>
  <c r="L244" i="35" s="1"/>
  <c r="M244" i="35" a="1"/>
  <c r="M244" i="35" s="1"/>
  <c r="N244" i="35" a="1"/>
  <c r="N244" i="35" s="1"/>
  <c r="O244" i="35" a="1"/>
  <c r="O244" i="35" s="1"/>
  <c r="P244" i="35" a="1"/>
  <c r="P244" i="35" s="1"/>
  <c r="Q244" i="35" a="1"/>
  <c r="Q244" i="35" s="1"/>
  <c r="R244" i="35" a="1"/>
  <c r="R244" i="35" s="1"/>
  <c r="S244" i="35" a="1"/>
  <c r="S244" i="35" s="1"/>
  <c r="T244" i="35" a="1"/>
  <c r="T244" i="35" s="1"/>
  <c r="F245" i="35" a="1"/>
  <c r="F245" i="35" s="1"/>
  <c r="G245" i="35" a="1"/>
  <c r="G245" i="35" s="1"/>
  <c r="H245" i="35" a="1"/>
  <c r="H245" i="35" s="1"/>
  <c r="I245" i="35" a="1"/>
  <c r="I245" i="35" s="1"/>
  <c r="J245" i="35" a="1"/>
  <c r="J245" i="35" s="1"/>
  <c r="K245" i="35" a="1"/>
  <c r="K245" i="35" s="1"/>
  <c r="L245" i="35" a="1"/>
  <c r="L245" i="35" s="1"/>
  <c r="M245" i="35" a="1"/>
  <c r="M245" i="35" s="1"/>
  <c r="N245" i="35" a="1"/>
  <c r="N245" i="35" s="1"/>
  <c r="O245" i="35" a="1"/>
  <c r="O245" i="35" s="1"/>
  <c r="P245" i="35" a="1"/>
  <c r="P245" i="35" s="1"/>
  <c r="Q245" i="35" a="1"/>
  <c r="Q245" i="35" s="1"/>
  <c r="R245" i="35" a="1"/>
  <c r="R245" i="35" s="1"/>
  <c r="S245" i="35" a="1"/>
  <c r="S245" i="35" s="1"/>
  <c r="T245" i="35" a="1"/>
  <c r="T245" i="35" s="1"/>
  <c r="F246" i="35" a="1"/>
  <c r="F246" i="35" s="1"/>
  <c r="G246" i="35" a="1"/>
  <c r="G246" i="35" s="1"/>
  <c r="H246" i="35" a="1"/>
  <c r="H246" i="35" s="1"/>
  <c r="I246" i="35" a="1"/>
  <c r="I246" i="35" s="1"/>
  <c r="J246" i="35" a="1"/>
  <c r="J246" i="35" s="1"/>
  <c r="K246" i="35" a="1"/>
  <c r="K246" i="35" s="1"/>
  <c r="L246" i="35" a="1"/>
  <c r="L246" i="35" s="1"/>
  <c r="M246" i="35" a="1"/>
  <c r="M246" i="35" s="1"/>
  <c r="N246" i="35" a="1"/>
  <c r="N246" i="35" s="1"/>
  <c r="O246" i="35" a="1"/>
  <c r="O246" i="35" s="1"/>
  <c r="P246" i="35" a="1"/>
  <c r="P246" i="35" s="1"/>
  <c r="Q246" i="35" a="1"/>
  <c r="Q246" i="35" s="1"/>
  <c r="R246" i="35" a="1"/>
  <c r="R246" i="35" s="1"/>
  <c r="S246" i="35" a="1"/>
  <c r="S246" i="35" s="1"/>
  <c r="T246" i="35" a="1"/>
  <c r="T246" i="35" s="1"/>
  <c r="F247" i="35" a="1"/>
  <c r="F247" i="35" s="1"/>
  <c r="G247" i="35" a="1"/>
  <c r="G247" i="35" s="1"/>
  <c r="H247" i="35" a="1"/>
  <c r="H247" i="35" s="1"/>
  <c r="I247" i="35" a="1"/>
  <c r="I247" i="35" s="1"/>
  <c r="J247" i="35" a="1"/>
  <c r="J247" i="35" s="1"/>
  <c r="K247" i="35" a="1"/>
  <c r="K247" i="35" s="1"/>
  <c r="L247" i="35" a="1"/>
  <c r="L247" i="35" s="1"/>
  <c r="M247" i="35" a="1"/>
  <c r="M247" i="35" s="1"/>
  <c r="N247" i="35" a="1"/>
  <c r="N247" i="35" s="1"/>
  <c r="O247" i="35" a="1"/>
  <c r="O247" i="35" s="1"/>
  <c r="P247" i="35" a="1"/>
  <c r="P247" i="35" s="1"/>
  <c r="Q247" i="35" a="1"/>
  <c r="Q247" i="35" s="1"/>
  <c r="R247" i="35" a="1"/>
  <c r="R247" i="35" s="1"/>
  <c r="S247" i="35" a="1"/>
  <c r="S247" i="35" s="1"/>
  <c r="T247" i="35" a="1"/>
  <c r="T247" i="35" s="1"/>
  <c r="F248" i="35" a="1"/>
  <c r="F248" i="35" s="1"/>
  <c r="G248" i="35" a="1"/>
  <c r="G248" i="35" s="1"/>
  <c r="H248" i="35" a="1"/>
  <c r="H248" i="35" s="1"/>
  <c r="I248" i="35" a="1"/>
  <c r="I248" i="35" s="1"/>
  <c r="J248" i="35" a="1"/>
  <c r="J248" i="35" s="1"/>
  <c r="K248" i="35" a="1"/>
  <c r="K248" i="35" s="1"/>
  <c r="L248" i="35" a="1"/>
  <c r="L248" i="35" s="1"/>
  <c r="M248" i="35" a="1"/>
  <c r="M248" i="35" s="1"/>
  <c r="N248" i="35" a="1"/>
  <c r="N248" i="35" s="1"/>
  <c r="O248" i="35" a="1"/>
  <c r="O248" i="35" s="1"/>
  <c r="P248" i="35" a="1"/>
  <c r="P248" i="35" s="1"/>
  <c r="Q248" i="35" a="1"/>
  <c r="Q248" i="35" s="1"/>
  <c r="R248" i="35" a="1"/>
  <c r="R248" i="35" s="1"/>
  <c r="S248" i="35" a="1"/>
  <c r="S248" i="35" s="1"/>
  <c r="T248" i="35" a="1"/>
  <c r="T248" i="35" s="1"/>
  <c r="F249" i="35" a="1"/>
  <c r="F249" i="35" s="1"/>
  <c r="G249" i="35" a="1"/>
  <c r="G249" i="35" s="1"/>
  <c r="H249" i="35" a="1"/>
  <c r="H249" i="35" s="1"/>
  <c r="I249" i="35" a="1"/>
  <c r="I249" i="35" s="1"/>
  <c r="J249" i="35" a="1"/>
  <c r="J249" i="35" s="1"/>
  <c r="K249" i="35" a="1"/>
  <c r="K249" i="35" s="1"/>
  <c r="L249" i="35" a="1"/>
  <c r="L249" i="35" s="1"/>
  <c r="M249" i="35" a="1"/>
  <c r="M249" i="35" s="1"/>
  <c r="N249" i="35" a="1"/>
  <c r="N249" i="35" s="1"/>
  <c r="O249" i="35" a="1"/>
  <c r="O249" i="35" s="1"/>
  <c r="P249" i="35" a="1"/>
  <c r="P249" i="35" s="1"/>
  <c r="Q249" i="35" a="1"/>
  <c r="Q249" i="35" s="1"/>
  <c r="R249" i="35" a="1"/>
  <c r="R249" i="35" s="1"/>
  <c r="S249" i="35" a="1"/>
  <c r="S249" i="35" s="1"/>
  <c r="T249" i="35" a="1"/>
  <c r="T249" i="35" s="1"/>
  <c r="F250" i="35" a="1"/>
  <c r="F250" i="35" s="1"/>
  <c r="G250" i="35" a="1"/>
  <c r="G250" i="35" s="1"/>
  <c r="H250" i="35" a="1"/>
  <c r="H250" i="35" s="1"/>
  <c r="I250" i="35" a="1"/>
  <c r="I250" i="35" s="1"/>
  <c r="J250" i="35" a="1"/>
  <c r="J250" i="35" s="1"/>
  <c r="K250" i="35" a="1"/>
  <c r="K250" i="35" s="1"/>
  <c r="L250" i="35" a="1"/>
  <c r="L250" i="35" s="1"/>
  <c r="M250" i="35" a="1"/>
  <c r="M250" i="35" s="1"/>
  <c r="N250" i="35" a="1"/>
  <c r="N250" i="35" s="1"/>
  <c r="O250" i="35" a="1"/>
  <c r="O250" i="35" s="1"/>
  <c r="P250" i="35" a="1"/>
  <c r="P250" i="35" s="1"/>
  <c r="Q250" i="35" a="1"/>
  <c r="Q250" i="35" s="1"/>
  <c r="R250" i="35" a="1"/>
  <c r="R250" i="35" s="1"/>
  <c r="S250" i="35" a="1"/>
  <c r="S250" i="35" s="1"/>
  <c r="T250" i="35" a="1"/>
  <c r="T250" i="35" s="1"/>
  <c r="F251" i="35" a="1"/>
  <c r="F251" i="35" s="1"/>
  <c r="G251" i="35" a="1"/>
  <c r="G251" i="35" s="1"/>
  <c r="H251" i="35" a="1"/>
  <c r="H251" i="35" s="1"/>
  <c r="I251" i="35" a="1"/>
  <c r="I251" i="35" s="1"/>
  <c r="J251" i="35" a="1"/>
  <c r="J251" i="35" s="1"/>
  <c r="K251" i="35" a="1"/>
  <c r="K251" i="35" s="1"/>
  <c r="L251" i="35" a="1"/>
  <c r="L251" i="35" s="1"/>
  <c r="M251" i="35" a="1"/>
  <c r="M251" i="35" s="1"/>
  <c r="N251" i="35" a="1"/>
  <c r="N251" i="35" s="1"/>
  <c r="O251" i="35" a="1"/>
  <c r="O251" i="35" s="1"/>
  <c r="P251" i="35" a="1"/>
  <c r="P251" i="35" s="1"/>
  <c r="Q251" i="35" a="1"/>
  <c r="Q251" i="35" s="1"/>
  <c r="R251" i="35" a="1"/>
  <c r="R251" i="35" s="1"/>
  <c r="S251" i="35" a="1"/>
  <c r="S251" i="35" s="1"/>
  <c r="T251" i="35" a="1"/>
  <c r="T251" i="35" s="1"/>
  <c r="F252" i="35" a="1"/>
  <c r="F252" i="35" s="1"/>
  <c r="G252" i="35" a="1"/>
  <c r="G252" i="35" s="1"/>
  <c r="H252" i="35" a="1"/>
  <c r="H252" i="35" s="1"/>
  <c r="I252" i="35" a="1"/>
  <c r="I252" i="35" s="1"/>
  <c r="J252" i="35" a="1"/>
  <c r="J252" i="35" s="1"/>
  <c r="K252" i="35" a="1"/>
  <c r="K252" i="35" s="1"/>
  <c r="L252" i="35" a="1"/>
  <c r="L252" i="35" s="1"/>
  <c r="M252" i="35" a="1"/>
  <c r="M252" i="35" s="1"/>
  <c r="N252" i="35" a="1"/>
  <c r="N252" i="35" s="1"/>
  <c r="O252" i="35" a="1"/>
  <c r="O252" i="35" s="1"/>
  <c r="P252" i="35" a="1"/>
  <c r="P252" i="35" s="1"/>
  <c r="Q252" i="35" a="1"/>
  <c r="Q252" i="35" s="1"/>
  <c r="R252" i="35" a="1"/>
  <c r="R252" i="35" s="1"/>
  <c r="S252" i="35" a="1"/>
  <c r="S252" i="35" s="1"/>
  <c r="T252" i="35" a="1"/>
  <c r="T252" i="35" s="1"/>
  <c r="F253" i="35" a="1"/>
  <c r="F253" i="35" s="1"/>
  <c r="G253" i="35" a="1"/>
  <c r="G253" i="35" s="1"/>
  <c r="H253" i="35" a="1"/>
  <c r="H253" i="35" s="1"/>
  <c r="I253" i="35" a="1"/>
  <c r="I253" i="35" s="1"/>
  <c r="J253" i="35" a="1"/>
  <c r="J253" i="35" s="1"/>
  <c r="K253" i="35" a="1"/>
  <c r="K253" i="35" s="1"/>
  <c r="L253" i="35" a="1"/>
  <c r="L253" i="35" s="1"/>
  <c r="M253" i="35" a="1"/>
  <c r="M253" i="35" s="1"/>
  <c r="N253" i="35" a="1"/>
  <c r="N253" i="35" s="1"/>
  <c r="O253" i="35" a="1"/>
  <c r="O253" i="35" s="1"/>
  <c r="P253" i="35" a="1"/>
  <c r="P253" i="35" s="1"/>
  <c r="Q253" i="35" a="1"/>
  <c r="Q253" i="35" s="1"/>
  <c r="R253" i="35" a="1"/>
  <c r="R253" i="35" s="1"/>
  <c r="S253" i="35" a="1"/>
  <c r="S253" i="35" s="1"/>
  <c r="T253" i="35" a="1"/>
  <c r="T253" i="35" s="1"/>
  <c r="F254" i="35" a="1"/>
  <c r="F254" i="35" s="1"/>
  <c r="G254" i="35" a="1"/>
  <c r="G254" i="35" s="1"/>
  <c r="H254" i="35" a="1"/>
  <c r="H254" i="35" s="1"/>
  <c r="I254" i="35" a="1"/>
  <c r="I254" i="35" s="1"/>
  <c r="J254" i="35" a="1"/>
  <c r="J254" i="35" s="1"/>
  <c r="K254" i="35" a="1"/>
  <c r="K254" i="35" s="1"/>
  <c r="L254" i="35" a="1"/>
  <c r="L254" i="35" s="1"/>
  <c r="M254" i="35" a="1"/>
  <c r="M254" i="35" s="1"/>
  <c r="N254" i="35" a="1"/>
  <c r="N254" i="35" s="1"/>
  <c r="O254" i="35" a="1"/>
  <c r="O254" i="35" s="1"/>
  <c r="P254" i="35" a="1"/>
  <c r="P254" i="35" s="1"/>
  <c r="Q254" i="35" a="1"/>
  <c r="Q254" i="35" s="1"/>
  <c r="R254" i="35" a="1"/>
  <c r="R254" i="35" s="1"/>
  <c r="S254" i="35" a="1"/>
  <c r="S254" i="35" s="1"/>
  <c r="T254" i="35" a="1"/>
  <c r="T254" i="35" s="1"/>
  <c r="F255" i="35" a="1"/>
  <c r="F255" i="35" s="1"/>
  <c r="G255" i="35" a="1"/>
  <c r="G255" i="35" s="1"/>
  <c r="H255" i="35" a="1"/>
  <c r="H255" i="35" s="1"/>
  <c r="I255" i="35" a="1"/>
  <c r="I255" i="35" s="1"/>
  <c r="J255" i="35" a="1"/>
  <c r="J255" i="35" s="1"/>
  <c r="K255" i="35" a="1"/>
  <c r="K255" i="35" s="1"/>
  <c r="L255" i="35" a="1"/>
  <c r="L255" i="35" s="1"/>
  <c r="M255" i="35" a="1"/>
  <c r="M255" i="35" s="1"/>
  <c r="N255" i="35" a="1"/>
  <c r="N255" i="35" s="1"/>
  <c r="O255" i="35" a="1"/>
  <c r="O255" i="35" s="1"/>
  <c r="P255" i="35" a="1"/>
  <c r="P255" i="35" s="1"/>
  <c r="Q255" i="35" a="1"/>
  <c r="Q255" i="35" s="1"/>
  <c r="R255" i="35" a="1"/>
  <c r="R255" i="35" s="1"/>
  <c r="S255" i="35" a="1"/>
  <c r="S255" i="35" s="1"/>
  <c r="T255" i="35" a="1"/>
  <c r="T255" i="35" s="1"/>
  <c r="F256" i="35" a="1"/>
  <c r="F256" i="35" s="1"/>
  <c r="G256" i="35" a="1"/>
  <c r="G256" i="35" s="1"/>
  <c r="H256" i="35" a="1"/>
  <c r="H256" i="35" s="1"/>
  <c r="I256" i="35" a="1"/>
  <c r="I256" i="35" s="1"/>
  <c r="J256" i="35" a="1"/>
  <c r="J256" i="35" s="1"/>
  <c r="K256" i="35" a="1"/>
  <c r="K256" i="35" s="1"/>
  <c r="L256" i="35" a="1"/>
  <c r="L256" i="35" s="1"/>
  <c r="M256" i="35" a="1"/>
  <c r="M256" i="35" s="1"/>
  <c r="N256" i="35" a="1"/>
  <c r="N256" i="35" s="1"/>
  <c r="O256" i="35" a="1"/>
  <c r="O256" i="35" s="1"/>
  <c r="P256" i="35" a="1"/>
  <c r="P256" i="35" s="1"/>
  <c r="Q256" i="35" a="1"/>
  <c r="Q256" i="35" s="1"/>
  <c r="R256" i="35" a="1"/>
  <c r="R256" i="35" s="1"/>
  <c r="S256" i="35" a="1"/>
  <c r="S256" i="35" s="1"/>
  <c r="T256" i="35" a="1"/>
  <c r="T256" i="35" s="1"/>
  <c r="F257" i="35" a="1"/>
  <c r="F257" i="35" s="1"/>
  <c r="G257" i="35" a="1"/>
  <c r="G257" i="35" s="1"/>
  <c r="H257" i="35" a="1"/>
  <c r="H257" i="35" s="1"/>
  <c r="I257" i="35" a="1"/>
  <c r="I257" i="35" s="1"/>
  <c r="J257" i="35" a="1"/>
  <c r="J257" i="35" s="1"/>
  <c r="K257" i="35" a="1"/>
  <c r="K257" i="35" s="1"/>
  <c r="L257" i="35" a="1"/>
  <c r="L257" i="35" s="1"/>
  <c r="M257" i="35" a="1"/>
  <c r="M257" i="35" s="1"/>
  <c r="N257" i="35" a="1"/>
  <c r="N257" i="35" s="1"/>
  <c r="O257" i="35" a="1"/>
  <c r="O257" i="35" s="1"/>
  <c r="P257" i="35" a="1"/>
  <c r="P257" i="35" s="1"/>
  <c r="Q257" i="35" a="1"/>
  <c r="Q257" i="35" s="1"/>
  <c r="R257" i="35" a="1"/>
  <c r="R257" i="35" s="1"/>
  <c r="S257" i="35" a="1"/>
  <c r="S257" i="35" s="1"/>
  <c r="T257" i="35" a="1"/>
  <c r="T257" i="35" s="1"/>
  <c r="F258" i="35" a="1"/>
  <c r="F258" i="35" s="1"/>
  <c r="G258" i="35" a="1"/>
  <c r="G258" i="35" s="1"/>
  <c r="H258" i="35" a="1"/>
  <c r="H258" i="35" s="1"/>
  <c r="I258" i="35" a="1"/>
  <c r="I258" i="35" s="1"/>
  <c r="J258" i="35" a="1"/>
  <c r="J258" i="35" s="1"/>
  <c r="K258" i="35" a="1"/>
  <c r="K258" i="35" s="1"/>
  <c r="L258" i="35" a="1"/>
  <c r="L258" i="35" s="1"/>
  <c r="M258" i="35" a="1"/>
  <c r="M258" i="35" s="1"/>
  <c r="N258" i="35" a="1"/>
  <c r="N258" i="35" s="1"/>
  <c r="O258" i="35" a="1"/>
  <c r="O258" i="35" s="1"/>
  <c r="P258" i="35" a="1"/>
  <c r="P258" i="35" s="1"/>
  <c r="Q258" i="35" a="1"/>
  <c r="Q258" i="35" s="1"/>
  <c r="R258" i="35" a="1"/>
  <c r="R258" i="35" s="1"/>
  <c r="S258" i="35" a="1"/>
  <c r="S258" i="35" s="1"/>
  <c r="T258" i="35" a="1"/>
  <c r="T258" i="35" s="1"/>
  <c r="F259" i="35" a="1"/>
  <c r="F259" i="35" s="1"/>
  <c r="G259" i="35" a="1"/>
  <c r="G259" i="35" s="1"/>
  <c r="H259" i="35" a="1"/>
  <c r="H259" i="35" s="1"/>
  <c r="I259" i="35" a="1"/>
  <c r="I259" i="35" s="1"/>
  <c r="J259" i="35" a="1"/>
  <c r="J259" i="35" s="1"/>
  <c r="K259" i="35" a="1"/>
  <c r="K259" i="35" s="1"/>
  <c r="L259" i="35" a="1"/>
  <c r="L259" i="35" s="1"/>
  <c r="M259" i="35" a="1"/>
  <c r="M259" i="35" s="1"/>
  <c r="N259" i="35" a="1"/>
  <c r="N259" i="35" s="1"/>
  <c r="O259" i="35" a="1"/>
  <c r="O259" i="35" s="1"/>
  <c r="P259" i="35" a="1"/>
  <c r="P259" i="35" s="1"/>
  <c r="Q259" i="35" a="1"/>
  <c r="Q259" i="35" s="1"/>
  <c r="R259" i="35" a="1"/>
  <c r="R259" i="35" s="1"/>
  <c r="S259" i="35" a="1"/>
  <c r="S259" i="35" s="1"/>
  <c r="T259" i="35" a="1"/>
  <c r="T259" i="35" s="1"/>
  <c r="F260" i="35" a="1"/>
  <c r="F260" i="35" s="1"/>
  <c r="G260" i="35" a="1"/>
  <c r="G260" i="35" s="1"/>
  <c r="H260" i="35" a="1"/>
  <c r="H260" i="35" s="1"/>
  <c r="I260" i="35" a="1"/>
  <c r="I260" i="35" s="1"/>
  <c r="J260" i="35" a="1"/>
  <c r="J260" i="35" s="1"/>
  <c r="K260" i="35" a="1"/>
  <c r="K260" i="35" s="1"/>
  <c r="L260" i="35" a="1"/>
  <c r="L260" i="35" s="1"/>
  <c r="M260" i="35" a="1"/>
  <c r="M260" i="35" s="1"/>
  <c r="N260" i="35" a="1"/>
  <c r="N260" i="35" s="1"/>
  <c r="O260" i="35" a="1"/>
  <c r="O260" i="35" s="1"/>
  <c r="P260" i="35" a="1"/>
  <c r="P260" i="35" s="1"/>
  <c r="Q260" i="35" a="1"/>
  <c r="Q260" i="35" s="1"/>
  <c r="R260" i="35" a="1"/>
  <c r="R260" i="35" s="1"/>
  <c r="S260" i="35" a="1"/>
  <c r="S260" i="35" s="1"/>
  <c r="T260" i="35" a="1"/>
  <c r="T260" i="35" s="1"/>
  <c r="F261" i="35" a="1"/>
  <c r="F261" i="35" s="1"/>
  <c r="G261" i="35" a="1"/>
  <c r="G261" i="35" s="1"/>
  <c r="H261" i="35" a="1"/>
  <c r="H261" i="35" s="1"/>
  <c r="I261" i="35" a="1"/>
  <c r="I261" i="35" s="1"/>
  <c r="J261" i="35" a="1"/>
  <c r="J261" i="35" s="1"/>
  <c r="K261" i="35" a="1"/>
  <c r="K261" i="35" s="1"/>
  <c r="L261" i="35" a="1"/>
  <c r="L261" i="35" s="1"/>
  <c r="M261" i="35" a="1"/>
  <c r="M261" i="35" s="1"/>
  <c r="N261" i="35" a="1"/>
  <c r="N261" i="35" s="1"/>
  <c r="O261" i="35" a="1"/>
  <c r="O261" i="35" s="1"/>
  <c r="P261" i="35" a="1"/>
  <c r="P261" i="35" s="1"/>
  <c r="Q261" i="35" a="1"/>
  <c r="Q261" i="35" s="1"/>
  <c r="R261" i="35" a="1"/>
  <c r="R261" i="35" s="1"/>
  <c r="S261" i="35" a="1"/>
  <c r="S261" i="35" s="1"/>
  <c r="T261" i="35" a="1"/>
  <c r="T261" i="35" s="1"/>
  <c r="F262" i="35" a="1"/>
  <c r="F262" i="35" s="1"/>
  <c r="G262" i="35" a="1"/>
  <c r="G262" i="35" s="1"/>
  <c r="H262" i="35" a="1"/>
  <c r="H262" i="35" s="1"/>
  <c r="I262" i="35" a="1"/>
  <c r="I262" i="35" s="1"/>
  <c r="J262" i="35" a="1"/>
  <c r="J262" i="35" s="1"/>
  <c r="K262" i="35" a="1"/>
  <c r="K262" i="35" s="1"/>
  <c r="L262" i="35" a="1"/>
  <c r="L262" i="35" s="1"/>
  <c r="M262" i="35" a="1"/>
  <c r="M262" i="35" s="1"/>
  <c r="N262" i="35" a="1"/>
  <c r="N262" i="35" s="1"/>
  <c r="O262" i="35" a="1"/>
  <c r="O262" i="35" s="1"/>
  <c r="P262" i="35" a="1"/>
  <c r="P262" i="35" s="1"/>
  <c r="Q262" i="35" a="1"/>
  <c r="Q262" i="35" s="1"/>
  <c r="R262" i="35" a="1"/>
  <c r="R262" i="35" s="1"/>
  <c r="S262" i="35" a="1"/>
  <c r="S262" i="35" s="1"/>
  <c r="T262" i="35" a="1"/>
  <c r="T262" i="35" s="1"/>
  <c r="F263" i="35" a="1"/>
  <c r="F263" i="35" s="1"/>
  <c r="G263" i="35" a="1"/>
  <c r="G263" i="35" s="1"/>
  <c r="H263" i="35" a="1"/>
  <c r="H263" i="35" s="1"/>
  <c r="I263" i="35" a="1"/>
  <c r="I263" i="35" s="1"/>
  <c r="J263" i="35" a="1"/>
  <c r="J263" i="35" s="1"/>
  <c r="K263" i="35" a="1"/>
  <c r="K263" i="35" s="1"/>
  <c r="L263" i="35" a="1"/>
  <c r="L263" i="35" s="1"/>
  <c r="M263" i="35" a="1"/>
  <c r="M263" i="35" s="1"/>
  <c r="N263" i="35" a="1"/>
  <c r="N263" i="35" s="1"/>
  <c r="O263" i="35" a="1"/>
  <c r="O263" i="35" s="1"/>
  <c r="P263" i="35" a="1"/>
  <c r="P263" i="35" s="1"/>
  <c r="Q263" i="35" a="1"/>
  <c r="Q263" i="35" s="1"/>
  <c r="R263" i="35" a="1"/>
  <c r="R263" i="35" s="1"/>
  <c r="S263" i="35" a="1"/>
  <c r="S263" i="35" s="1"/>
  <c r="T263" i="35" a="1"/>
  <c r="T263" i="35" s="1"/>
  <c r="F264" i="35" a="1"/>
  <c r="F264" i="35" s="1"/>
  <c r="G264" i="35" a="1"/>
  <c r="G264" i="35" s="1"/>
  <c r="H264" i="35" a="1"/>
  <c r="H264" i="35" s="1"/>
  <c r="I264" i="35" a="1"/>
  <c r="I264" i="35" s="1"/>
  <c r="J264" i="35" a="1"/>
  <c r="J264" i="35" s="1"/>
  <c r="K264" i="35" a="1"/>
  <c r="K264" i="35" s="1"/>
  <c r="L264" i="35" a="1"/>
  <c r="L264" i="35" s="1"/>
  <c r="M264" i="35" a="1"/>
  <c r="M264" i="35" s="1"/>
  <c r="N264" i="35" a="1"/>
  <c r="N264" i="35" s="1"/>
  <c r="O264" i="35" a="1"/>
  <c r="O264" i="35" s="1"/>
  <c r="P264" i="35" a="1"/>
  <c r="P264" i="35" s="1"/>
  <c r="Q264" i="35" a="1"/>
  <c r="Q264" i="35" s="1"/>
  <c r="R264" i="35" a="1"/>
  <c r="R264" i="35" s="1"/>
  <c r="S264" i="35" a="1"/>
  <c r="S264" i="35" s="1"/>
  <c r="T264" i="35" a="1"/>
  <c r="T264" i="35" s="1"/>
  <c r="F265" i="35" a="1"/>
  <c r="F265" i="35" s="1"/>
  <c r="G265" i="35" a="1"/>
  <c r="G265" i="35" s="1"/>
  <c r="H265" i="35" a="1"/>
  <c r="H265" i="35" s="1"/>
  <c r="I265" i="35" a="1"/>
  <c r="I265" i="35" s="1"/>
  <c r="J265" i="35" a="1"/>
  <c r="J265" i="35" s="1"/>
  <c r="K265" i="35" a="1"/>
  <c r="K265" i="35" s="1"/>
  <c r="L265" i="35" a="1"/>
  <c r="L265" i="35" s="1"/>
  <c r="M265" i="35" a="1"/>
  <c r="M265" i="35" s="1"/>
  <c r="N265" i="35" a="1"/>
  <c r="N265" i="35" s="1"/>
  <c r="O265" i="35" a="1"/>
  <c r="O265" i="35" s="1"/>
  <c r="P265" i="35" a="1"/>
  <c r="P265" i="35" s="1"/>
  <c r="Q265" i="35" a="1"/>
  <c r="Q265" i="35" s="1"/>
  <c r="R265" i="35" a="1"/>
  <c r="R265" i="35" s="1"/>
  <c r="S265" i="35" a="1"/>
  <c r="S265" i="35" s="1"/>
  <c r="T265" i="35" a="1"/>
  <c r="T265" i="35" s="1"/>
  <c r="F266" i="35" a="1"/>
  <c r="F266" i="35" s="1"/>
  <c r="G266" i="35" a="1"/>
  <c r="G266" i="35" s="1"/>
  <c r="H266" i="35" a="1"/>
  <c r="H266" i="35" s="1"/>
  <c r="I266" i="35" a="1"/>
  <c r="I266" i="35" s="1"/>
  <c r="J266" i="35" a="1"/>
  <c r="J266" i="35" s="1"/>
  <c r="K266" i="35" a="1"/>
  <c r="K266" i="35" s="1"/>
  <c r="L266" i="35" a="1"/>
  <c r="L266" i="35" s="1"/>
  <c r="M266" i="35" a="1"/>
  <c r="M266" i="35" s="1"/>
  <c r="N266" i="35" a="1"/>
  <c r="N266" i="35" s="1"/>
  <c r="O266" i="35" a="1"/>
  <c r="O266" i="35" s="1"/>
  <c r="P266" i="35" a="1"/>
  <c r="P266" i="35" s="1"/>
  <c r="Q266" i="35" a="1"/>
  <c r="Q266" i="35" s="1"/>
  <c r="R266" i="35" a="1"/>
  <c r="R266" i="35" s="1"/>
  <c r="S266" i="35" a="1"/>
  <c r="S266" i="35" s="1"/>
  <c r="T266" i="35" a="1"/>
  <c r="T266" i="35" s="1"/>
  <c r="F267" i="35" a="1"/>
  <c r="F267" i="35" s="1"/>
  <c r="G267" i="35" a="1"/>
  <c r="G267" i="35" s="1"/>
  <c r="H267" i="35" a="1"/>
  <c r="H267" i="35" s="1"/>
  <c r="I267" i="35" a="1"/>
  <c r="I267" i="35" s="1"/>
  <c r="J267" i="35" a="1"/>
  <c r="J267" i="35" s="1"/>
  <c r="K267" i="35" a="1"/>
  <c r="K267" i="35" s="1"/>
  <c r="L267" i="35" a="1"/>
  <c r="L267" i="35" s="1"/>
  <c r="M267" i="35" a="1"/>
  <c r="M267" i="35" s="1"/>
  <c r="N267" i="35" a="1"/>
  <c r="N267" i="35" s="1"/>
  <c r="O267" i="35" a="1"/>
  <c r="O267" i="35" s="1"/>
  <c r="P267" i="35" a="1"/>
  <c r="P267" i="35" s="1"/>
  <c r="Q267" i="35" a="1"/>
  <c r="Q267" i="35" s="1"/>
  <c r="R267" i="35" a="1"/>
  <c r="R267" i="35" s="1"/>
  <c r="S267" i="35" a="1"/>
  <c r="S267" i="35" s="1"/>
  <c r="T267" i="35" a="1"/>
  <c r="T267" i="35" s="1"/>
  <c r="F268" i="35" a="1"/>
  <c r="F268" i="35" s="1"/>
  <c r="G268" i="35" a="1"/>
  <c r="G268" i="35" s="1"/>
  <c r="H268" i="35" a="1"/>
  <c r="H268" i="35" s="1"/>
  <c r="I268" i="35" a="1"/>
  <c r="I268" i="35" s="1"/>
  <c r="J268" i="35" a="1"/>
  <c r="J268" i="35" s="1"/>
  <c r="K268" i="35" a="1"/>
  <c r="K268" i="35" s="1"/>
  <c r="L268" i="35" a="1"/>
  <c r="L268" i="35" s="1"/>
  <c r="M268" i="35" a="1"/>
  <c r="M268" i="35" s="1"/>
  <c r="N268" i="35" a="1"/>
  <c r="N268" i="35" s="1"/>
  <c r="O268" i="35" a="1"/>
  <c r="O268" i="35" s="1"/>
  <c r="P268" i="35" a="1"/>
  <c r="P268" i="35" s="1"/>
  <c r="Q268" i="35" a="1"/>
  <c r="Q268" i="35" s="1"/>
  <c r="R268" i="35" a="1"/>
  <c r="R268" i="35" s="1"/>
  <c r="S268" i="35" a="1"/>
  <c r="S268" i="35" s="1"/>
  <c r="T268" i="35" a="1"/>
  <c r="T268" i="35" s="1"/>
  <c r="F269" i="35" a="1"/>
  <c r="F269" i="35" s="1"/>
  <c r="G269" i="35" a="1"/>
  <c r="G269" i="35" s="1"/>
  <c r="H269" i="35" a="1"/>
  <c r="H269" i="35" s="1"/>
  <c r="I269" i="35" a="1"/>
  <c r="I269" i="35" s="1"/>
  <c r="J269" i="35" a="1"/>
  <c r="J269" i="35" s="1"/>
  <c r="K269" i="35" a="1"/>
  <c r="K269" i="35" s="1"/>
  <c r="L269" i="35" a="1"/>
  <c r="L269" i="35" s="1"/>
  <c r="M269" i="35" a="1"/>
  <c r="M269" i="35" s="1"/>
  <c r="N269" i="35" a="1"/>
  <c r="N269" i="35" s="1"/>
  <c r="O269" i="35" a="1"/>
  <c r="O269" i="35" s="1"/>
  <c r="P269" i="35" a="1"/>
  <c r="P269" i="35" s="1"/>
  <c r="Q269" i="35" a="1"/>
  <c r="Q269" i="35" s="1"/>
  <c r="R269" i="35" a="1"/>
  <c r="R269" i="35" s="1"/>
  <c r="S269" i="35" a="1"/>
  <c r="S269" i="35" s="1"/>
  <c r="T269" i="35" a="1"/>
  <c r="T269" i="35" s="1"/>
  <c r="F270" i="35" a="1"/>
  <c r="F270" i="35" s="1"/>
  <c r="G270" i="35" a="1"/>
  <c r="G270" i="35" s="1"/>
  <c r="H270" i="35" a="1"/>
  <c r="H270" i="35" s="1"/>
  <c r="I270" i="35" a="1"/>
  <c r="I270" i="35" s="1"/>
  <c r="J270" i="35" a="1"/>
  <c r="J270" i="35" s="1"/>
  <c r="K270" i="35" a="1"/>
  <c r="K270" i="35" s="1"/>
  <c r="L270" i="35" a="1"/>
  <c r="L270" i="35" s="1"/>
  <c r="M270" i="35" a="1"/>
  <c r="M270" i="35" s="1"/>
  <c r="N270" i="35" a="1"/>
  <c r="N270" i="35" s="1"/>
  <c r="O270" i="35" a="1"/>
  <c r="O270" i="35" s="1"/>
  <c r="P270" i="35" a="1"/>
  <c r="P270" i="35" s="1"/>
  <c r="Q270" i="35" a="1"/>
  <c r="Q270" i="35" s="1"/>
  <c r="R270" i="35" a="1"/>
  <c r="R270" i="35" s="1"/>
  <c r="S270" i="35" a="1"/>
  <c r="S270" i="35" s="1"/>
  <c r="T270" i="35" a="1"/>
  <c r="T270" i="35" s="1"/>
  <c r="F271" i="35" a="1"/>
  <c r="F271" i="35" s="1"/>
  <c r="G271" i="35" a="1"/>
  <c r="G271" i="35" s="1"/>
  <c r="H271" i="35" a="1"/>
  <c r="H271" i="35" s="1"/>
  <c r="I271" i="35" a="1"/>
  <c r="I271" i="35" s="1"/>
  <c r="J271" i="35" a="1"/>
  <c r="J271" i="35" s="1"/>
  <c r="K271" i="35" a="1"/>
  <c r="K271" i="35" s="1"/>
  <c r="L271" i="35" a="1"/>
  <c r="L271" i="35" s="1"/>
  <c r="M271" i="35" a="1"/>
  <c r="M271" i="35" s="1"/>
  <c r="N271" i="35" a="1"/>
  <c r="N271" i="35" s="1"/>
  <c r="O271" i="35" a="1"/>
  <c r="O271" i="35" s="1"/>
  <c r="P271" i="35" a="1"/>
  <c r="P271" i="35" s="1"/>
  <c r="Q271" i="35" a="1"/>
  <c r="Q271" i="35" s="1"/>
  <c r="R271" i="35" a="1"/>
  <c r="R271" i="35" s="1"/>
  <c r="S271" i="35" a="1"/>
  <c r="S271" i="35" s="1"/>
  <c r="T271" i="35" a="1"/>
  <c r="T271" i="35" s="1"/>
  <c r="F272" i="35" a="1"/>
  <c r="F272" i="35" s="1"/>
  <c r="G272" i="35" a="1"/>
  <c r="G272" i="35" s="1"/>
  <c r="H272" i="35" a="1"/>
  <c r="H272" i="35" s="1"/>
  <c r="I272" i="35" a="1"/>
  <c r="I272" i="35" s="1"/>
  <c r="J272" i="35" a="1"/>
  <c r="J272" i="35" s="1"/>
  <c r="K272" i="35" a="1"/>
  <c r="K272" i="35" s="1"/>
  <c r="L272" i="35" a="1"/>
  <c r="L272" i="35" s="1"/>
  <c r="M272" i="35" a="1"/>
  <c r="M272" i="35" s="1"/>
  <c r="N272" i="35" a="1"/>
  <c r="N272" i="35" s="1"/>
  <c r="O272" i="35" a="1"/>
  <c r="O272" i="35" s="1"/>
  <c r="P272" i="35" a="1"/>
  <c r="P272" i="35" s="1"/>
  <c r="Q272" i="35" a="1"/>
  <c r="Q272" i="35" s="1"/>
  <c r="R272" i="35" a="1"/>
  <c r="R272" i="35" s="1"/>
  <c r="S272" i="35" a="1"/>
  <c r="S272" i="35" s="1"/>
  <c r="T272" i="35" a="1"/>
  <c r="T272" i="35" s="1"/>
  <c r="F273" i="35" a="1"/>
  <c r="F273" i="35" s="1"/>
  <c r="G273" i="35" a="1"/>
  <c r="G273" i="35" s="1"/>
  <c r="H273" i="35" a="1"/>
  <c r="H273" i="35" s="1"/>
  <c r="I273" i="35" a="1"/>
  <c r="I273" i="35" s="1"/>
  <c r="J273" i="35" a="1"/>
  <c r="J273" i="35" s="1"/>
  <c r="K273" i="35" a="1"/>
  <c r="K273" i="35" s="1"/>
  <c r="L273" i="35" a="1"/>
  <c r="L273" i="35" s="1"/>
  <c r="M273" i="35" a="1"/>
  <c r="M273" i="35" s="1"/>
  <c r="N273" i="35" a="1"/>
  <c r="N273" i="35" s="1"/>
  <c r="O273" i="35" a="1"/>
  <c r="O273" i="35" s="1"/>
  <c r="P273" i="35" a="1"/>
  <c r="P273" i="35" s="1"/>
  <c r="Q273" i="35" a="1"/>
  <c r="Q273" i="35" s="1"/>
  <c r="R273" i="35" a="1"/>
  <c r="R273" i="35" s="1"/>
  <c r="S273" i="35" a="1"/>
  <c r="S273" i="35" s="1"/>
  <c r="T273" i="35" a="1"/>
  <c r="T273" i="35" s="1"/>
  <c r="F274" i="35" a="1"/>
  <c r="F274" i="35" s="1"/>
  <c r="G274" i="35" a="1"/>
  <c r="G274" i="35" s="1"/>
  <c r="H274" i="35" a="1"/>
  <c r="H274" i="35" s="1"/>
  <c r="I274" i="35" a="1"/>
  <c r="I274" i="35" s="1"/>
  <c r="J274" i="35" a="1"/>
  <c r="J274" i="35" s="1"/>
  <c r="K274" i="35" a="1"/>
  <c r="K274" i="35" s="1"/>
  <c r="L274" i="35" a="1"/>
  <c r="L274" i="35" s="1"/>
  <c r="M274" i="35" a="1"/>
  <c r="M274" i="35" s="1"/>
  <c r="N274" i="35" a="1"/>
  <c r="N274" i="35" s="1"/>
  <c r="O274" i="35" a="1"/>
  <c r="O274" i="35" s="1"/>
  <c r="P274" i="35" a="1"/>
  <c r="P274" i="35" s="1"/>
  <c r="Q274" i="35" a="1"/>
  <c r="Q274" i="35" s="1"/>
  <c r="R274" i="35" a="1"/>
  <c r="R274" i="35" s="1"/>
  <c r="S274" i="35" a="1"/>
  <c r="S274" i="35" s="1"/>
  <c r="T274" i="35" a="1"/>
  <c r="T274" i="35" s="1"/>
  <c r="F275" i="35" a="1"/>
  <c r="F275" i="35" s="1"/>
  <c r="G275" i="35" a="1"/>
  <c r="G275" i="35" s="1"/>
  <c r="H275" i="35" a="1"/>
  <c r="H275" i="35" s="1"/>
  <c r="I275" i="35" a="1"/>
  <c r="I275" i="35" s="1"/>
  <c r="J275" i="35" a="1"/>
  <c r="J275" i="35" s="1"/>
  <c r="K275" i="35" a="1"/>
  <c r="K275" i="35" s="1"/>
  <c r="L275" i="35" a="1"/>
  <c r="L275" i="35" s="1"/>
  <c r="M275" i="35" a="1"/>
  <c r="M275" i="35" s="1"/>
  <c r="N275" i="35" a="1"/>
  <c r="N275" i="35" s="1"/>
  <c r="O275" i="35" a="1"/>
  <c r="O275" i="35" s="1"/>
  <c r="P275" i="35" a="1"/>
  <c r="P275" i="35" s="1"/>
  <c r="Q275" i="35" a="1"/>
  <c r="Q275" i="35" s="1"/>
  <c r="R275" i="35" a="1"/>
  <c r="R275" i="35" s="1"/>
  <c r="S275" i="35" a="1"/>
  <c r="S275" i="35" s="1"/>
  <c r="T275" i="35" a="1"/>
  <c r="T275" i="35" s="1"/>
  <c r="F276" i="35" a="1"/>
  <c r="F276" i="35" s="1"/>
  <c r="G276" i="35" a="1"/>
  <c r="G276" i="35" s="1"/>
  <c r="H276" i="35" a="1"/>
  <c r="H276" i="35" s="1"/>
  <c r="I276" i="35" a="1"/>
  <c r="I276" i="35" s="1"/>
  <c r="J276" i="35" a="1"/>
  <c r="J276" i="35" s="1"/>
  <c r="K276" i="35" a="1"/>
  <c r="K276" i="35" s="1"/>
  <c r="L276" i="35" a="1"/>
  <c r="L276" i="35" s="1"/>
  <c r="M276" i="35" a="1"/>
  <c r="M276" i="35" s="1"/>
  <c r="N276" i="35" a="1"/>
  <c r="N276" i="35" s="1"/>
  <c r="O276" i="35" a="1"/>
  <c r="O276" i="35" s="1"/>
  <c r="P276" i="35" a="1"/>
  <c r="P276" i="35" s="1"/>
  <c r="Q276" i="35" a="1"/>
  <c r="Q276" i="35" s="1"/>
  <c r="R276" i="35" a="1"/>
  <c r="R276" i="35" s="1"/>
  <c r="S276" i="35" a="1"/>
  <c r="S276" i="35" s="1"/>
  <c r="T276" i="35" a="1"/>
  <c r="T276" i="35" s="1"/>
  <c r="F277" i="35" a="1"/>
  <c r="F277" i="35" s="1"/>
  <c r="G277" i="35" a="1"/>
  <c r="G277" i="35" s="1"/>
  <c r="H277" i="35" a="1"/>
  <c r="H277" i="35" s="1"/>
  <c r="I277" i="35" a="1"/>
  <c r="I277" i="35" s="1"/>
  <c r="J277" i="35" a="1"/>
  <c r="J277" i="35" s="1"/>
  <c r="K277" i="35" a="1"/>
  <c r="K277" i="35" s="1"/>
  <c r="L277" i="35" a="1"/>
  <c r="L277" i="35" s="1"/>
  <c r="M277" i="35" a="1"/>
  <c r="M277" i="35" s="1"/>
  <c r="N277" i="35" a="1"/>
  <c r="N277" i="35" s="1"/>
  <c r="O277" i="35" a="1"/>
  <c r="O277" i="35" s="1"/>
  <c r="P277" i="35" a="1"/>
  <c r="P277" i="35" s="1"/>
  <c r="Q277" i="35" a="1"/>
  <c r="Q277" i="35" s="1"/>
  <c r="R277" i="35" a="1"/>
  <c r="R277" i="35" s="1"/>
  <c r="S277" i="35" a="1"/>
  <c r="S277" i="35" s="1"/>
  <c r="T277" i="35" a="1"/>
  <c r="T277" i="35" s="1"/>
  <c r="F278" i="35" a="1"/>
  <c r="F278" i="35" s="1"/>
  <c r="G278" i="35" a="1"/>
  <c r="G278" i="35" s="1"/>
  <c r="H278" i="35" a="1"/>
  <c r="H278" i="35" s="1"/>
  <c r="I278" i="35" a="1"/>
  <c r="I278" i="35" s="1"/>
  <c r="J278" i="35" a="1"/>
  <c r="J278" i="35" s="1"/>
  <c r="K278" i="35" a="1"/>
  <c r="K278" i="35" s="1"/>
  <c r="L278" i="35" a="1"/>
  <c r="L278" i="35" s="1"/>
  <c r="M278" i="35" a="1"/>
  <c r="M278" i="35" s="1"/>
  <c r="N278" i="35" a="1"/>
  <c r="N278" i="35" s="1"/>
  <c r="O278" i="35" a="1"/>
  <c r="O278" i="35" s="1"/>
  <c r="P278" i="35" a="1"/>
  <c r="P278" i="35" s="1"/>
  <c r="Q278" i="35" a="1"/>
  <c r="Q278" i="35" s="1"/>
  <c r="R278" i="35" a="1"/>
  <c r="R278" i="35" s="1"/>
  <c r="S278" i="35" a="1"/>
  <c r="S278" i="35" s="1"/>
  <c r="T278" i="35" a="1"/>
  <c r="T278" i="35" s="1"/>
  <c r="F279" i="35" a="1"/>
  <c r="F279" i="35" s="1"/>
  <c r="G279" i="35" a="1"/>
  <c r="G279" i="35" s="1"/>
  <c r="H279" i="35" a="1"/>
  <c r="H279" i="35" s="1"/>
  <c r="I279" i="35" a="1"/>
  <c r="I279" i="35" s="1"/>
  <c r="J279" i="35" a="1"/>
  <c r="J279" i="35" s="1"/>
  <c r="K279" i="35" a="1"/>
  <c r="K279" i="35" s="1"/>
  <c r="L279" i="35" a="1"/>
  <c r="L279" i="35" s="1"/>
  <c r="M279" i="35" a="1"/>
  <c r="M279" i="35" s="1"/>
  <c r="N279" i="35" a="1"/>
  <c r="N279" i="35" s="1"/>
  <c r="O279" i="35" a="1"/>
  <c r="O279" i="35" s="1"/>
  <c r="P279" i="35" a="1"/>
  <c r="P279" i="35" s="1"/>
  <c r="Q279" i="35" a="1"/>
  <c r="Q279" i="35" s="1"/>
  <c r="R279" i="35" a="1"/>
  <c r="R279" i="35" s="1"/>
  <c r="S279" i="35" a="1"/>
  <c r="S279" i="35" s="1"/>
  <c r="T279" i="35" a="1"/>
  <c r="T279" i="35" s="1"/>
  <c r="F280" i="35" a="1"/>
  <c r="F280" i="35" s="1"/>
  <c r="G280" i="35" a="1"/>
  <c r="G280" i="35" s="1"/>
  <c r="H280" i="35" a="1"/>
  <c r="H280" i="35" s="1"/>
  <c r="I280" i="35" a="1"/>
  <c r="I280" i="35" s="1"/>
  <c r="J280" i="35" a="1"/>
  <c r="J280" i="35" s="1"/>
  <c r="K280" i="35" a="1"/>
  <c r="K280" i="35" s="1"/>
  <c r="L280" i="35" a="1"/>
  <c r="L280" i="35" s="1"/>
  <c r="M280" i="35" a="1"/>
  <c r="M280" i="35" s="1"/>
  <c r="N280" i="35" a="1"/>
  <c r="N280" i="35" s="1"/>
  <c r="O280" i="35" a="1"/>
  <c r="O280" i="35" s="1"/>
  <c r="P280" i="35" a="1"/>
  <c r="P280" i="35" s="1"/>
  <c r="Q280" i="35" a="1"/>
  <c r="Q280" i="35" s="1"/>
  <c r="R280" i="35" a="1"/>
  <c r="R280" i="35" s="1"/>
  <c r="S280" i="35" a="1"/>
  <c r="S280" i="35" s="1"/>
  <c r="T280" i="35" a="1"/>
  <c r="T280" i="35" s="1"/>
  <c r="F281" i="35" a="1"/>
  <c r="F281" i="35" s="1"/>
  <c r="G281" i="35" a="1"/>
  <c r="G281" i="35" s="1"/>
  <c r="H281" i="35" a="1"/>
  <c r="H281" i="35" s="1"/>
  <c r="I281" i="35" a="1"/>
  <c r="I281" i="35" s="1"/>
  <c r="J281" i="35" a="1"/>
  <c r="J281" i="35" s="1"/>
  <c r="K281" i="35" a="1"/>
  <c r="K281" i="35" s="1"/>
  <c r="L281" i="35" a="1"/>
  <c r="L281" i="35" s="1"/>
  <c r="M281" i="35" a="1"/>
  <c r="M281" i="35" s="1"/>
  <c r="N281" i="35" a="1"/>
  <c r="N281" i="35" s="1"/>
  <c r="O281" i="35" a="1"/>
  <c r="O281" i="35" s="1"/>
  <c r="P281" i="35" a="1"/>
  <c r="P281" i="35" s="1"/>
  <c r="Q281" i="35" a="1"/>
  <c r="Q281" i="35" s="1"/>
  <c r="R281" i="35" a="1"/>
  <c r="R281" i="35" s="1"/>
  <c r="S281" i="35" a="1"/>
  <c r="S281" i="35" s="1"/>
  <c r="T281" i="35" a="1"/>
  <c r="T281" i="35" s="1"/>
  <c r="F282" i="35" a="1"/>
  <c r="F282" i="35" s="1"/>
  <c r="G282" i="35" a="1"/>
  <c r="G282" i="35" s="1"/>
  <c r="H282" i="35" a="1"/>
  <c r="H282" i="35" s="1"/>
  <c r="I282" i="35" a="1"/>
  <c r="I282" i="35" s="1"/>
  <c r="J282" i="35" a="1"/>
  <c r="J282" i="35" s="1"/>
  <c r="K282" i="35" a="1"/>
  <c r="K282" i="35" s="1"/>
  <c r="L282" i="35" a="1"/>
  <c r="L282" i="35" s="1"/>
  <c r="M282" i="35" a="1"/>
  <c r="M282" i="35" s="1"/>
  <c r="N282" i="35" a="1"/>
  <c r="N282" i="35" s="1"/>
  <c r="O282" i="35" a="1"/>
  <c r="O282" i="35" s="1"/>
  <c r="P282" i="35" a="1"/>
  <c r="P282" i="35" s="1"/>
  <c r="Q282" i="35" a="1"/>
  <c r="Q282" i="35" s="1"/>
  <c r="R282" i="35" a="1"/>
  <c r="R282" i="35" s="1"/>
  <c r="S282" i="35" a="1"/>
  <c r="S282" i="35" s="1"/>
  <c r="T282" i="35" a="1"/>
  <c r="T282" i="35" s="1"/>
  <c r="F283" i="35" a="1"/>
  <c r="F283" i="35" s="1"/>
  <c r="G283" i="35" a="1"/>
  <c r="G283" i="35" s="1"/>
  <c r="H283" i="35" a="1"/>
  <c r="H283" i="35" s="1"/>
  <c r="I283" i="35" a="1"/>
  <c r="I283" i="35" s="1"/>
  <c r="J283" i="35" a="1"/>
  <c r="J283" i="35" s="1"/>
  <c r="K283" i="35" a="1"/>
  <c r="K283" i="35" s="1"/>
  <c r="L283" i="35" a="1"/>
  <c r="L283" i="35" s="1"/>
  <c r="M283" i="35" a="1"/>
  <c r="M283" i="35" s="1"/>
  <c r="N283" i="35" a="1"/>
  <c r="N283" i="35" s="1"/>
  <c r="O283" i="35" a="1"/>
  <c r="O283" i="35" s="1"/>
  <c r="P283" i="35" a="1"/>
  <c r="P283" i="35" s="1"/>
  <c r="Q283" i="35" a="1"/>
  <c r="Q283" i="35" s="1"/>
  <c r="R283" i="35" a="1"/>
  <c r="R283" i="35" s="1"/>
  <c r="S283" i="35" a="1"/>
  <c r="S283" i="35" s="1"/>
  <c r="T283" i="35" a="1"/>
  <c r="T283" i="35" s="1"/>
  <c r="F284" i="35" a="1"/>
  <c r="F284" i="35" s="1"/>
  <c r="G284" i="35" a="1"/>
  <c r="G284" i="35" s="1"/>
  <c r="H284" i="35" a="1"/>
  <c r="H284" i="35" s="1"/>
  <c r="I284" i="35" a="1"/>
  <c r="I284" i="35" s="1"/>
  <c r="J284" i="35" a="1"/>
  <c r="J284" i="35" s="1"/>
  <c r="K284" i="35" a="1"/>
  <c r="K284" i="35" s="1"/>
  <c r="L284" i="35" a="1"/>
  <c r="L284" i="35" s="1"/>
  <c r="M284" i="35" a="1"/>
  <c r="M284" i="35" s="1"/>
  <c r="N284" i="35" a="1"/>
  <c r="N284" i="35" s="1"/>
  <c r="O284" i="35" a="1"/>
  <c r="O284" i="35" s="1"/>
  <c r="P284" i="35" a="1"/>
  <c r="P284" i="35" s="1"/>
  <c r="Q284" i="35" a="1"/>
  <c r="Q284" i="35" s="1"/>
  <c r="R284" i="35" a="1"/>
  <c r="R284" i="35" s="1"/>
  <c r="S284" i="35" a="1"/>
  <c r="S284" i="35" s="1"/>
  <c r="T284" i="35" a="1"/>
  <c r="T284" i="35" s="1"/>
  <c r="F285" i="35" a="1"/>
  <c r="F285" i="35" s="1"/>
  <c r="G285" i="35" a="1"/>
  <c r="G285" i="35" s="1"/>
  <c r="H285" i="35" a="1"/>
  <c r="H285" i="35" s="1"/>
  <c r="I285" i="35" a="1"/>
  <c r="I285" i="35" s="1"/>
  <c r="J285" i="35" a="1"/>
  <c r="J285" i="35" s="1"/>
  <c r="K285" i="35" a="1"/>
  <c r="K285" i="35" s="1"/>
  <c r="L285" i="35" a="1"/>
  <c r="L285" i="35" s="1"/>
  <c r="M285" i="35" a="1"/>
  <c r="M285" i="35" s="1"/>
  <c r="N285" i="35" a="1"/>
  <c r="N285" i="35" s="1"/>
  <c r="O285" i="35" a="1"/>
  <c r="O285" i="35" s="1"/>
  <c r="P285" i="35" a="1"/>
  <c r="P285" i="35" s="1"/>
  <c r="Q285" i="35" a="1"/>
  <c r="Q285" i="35" s="1"/>
  <c r="R285" i="35" a="1"/>
  <c r="R285" i="35" s="1"/>
  <c r="S285" i="35" a="1"/>
  <c r="S285" i="35" s="1"/>
  <c r="T285" i="35" a="1"/>
  <c r="T285" i="35" s="1"/>
  <c r="F286" i="35" a="1"/>
  <c r="F286" i="35" s="1"/>
  <c r="G286" i="35" a="1"/>
  <c r="G286" i="35" s="1"/>
  <c r="H286" i="35" a="1"/>
  <c r="H286" i="35" s="1"/>
  <c r="I286" i="35" a="1"/>
  <c r="I286" i="35" s="1"/>
  <c r="J286" i="35" a="1"/>
  <c r="J286" i="35" s="1"/>
  <c r="K286" i="35" a="1"/>
  <c r="K286" i="35" s="1"/>
  <c r="L286" i="35" a="1"/>
  <c r="L286" i="35" s="1"/>
  <c r="M286" i="35" a="1"/>
  <c r="M286" i="35" s="1"/>
  <c r="N286" i="35" a="1"/>
  <c r="N286" i="35" s="1"/>
  <c r="O286" i="35" a="1"/>
  <c r="O286" i="35" s="1"/>
  <c r="P286" i="35" a="1"/>
  <c r="P286" i="35" s="1"/>
  <c r="Q286" i="35" a="1"/>
  <c r="Q286" i="35" s="1"/>
  <c r="R286" i="35" a="1"/>
  <c r="R286" i="35" s="1"/>
  <c r="S286" i="35" a="1"/>
  <c r="S286" i="35" s="1"/>
  <c r="T286" i="35" a="1"/>
  <c r="T286" i="35" s="1"/>
  <c r="F287" i="35" a="1"/>
  <c r="F287" i="35" s="1"/>
  <c r="G287" i="35" a="1"/>
  <c r="G287" i="35" s="1"/>
  <c r="H287" i="35" a="1"/>
  <c r="H287" i="35" s="1"/>
  <c r="I287" i="35" a="1"/>
  <c r="I287" i="35" s="1"/>
  <c r="J287" i="35" a="1"/>
  <c r="J287" i="35" s="1"/>
  <c r="K287" i="35" a="1"/>
  <c r="K287" i="35" s="1"/>
  <c r="L287" i="35" a="1"/>
  <c r="L287" i="35" s="1"/>
  <c r="M287" i="35" a="1"/>
  <c r="M287" i="35" s="1"/>
  <c r="N287" i="35" a="1"/>
  <c r="N287" i="35" s="1"/>
  <c r="O287" i="35" a="1"/>
  <c r="O287" i="35" s="1"/>
  <c r="P287" i="35" a="1"/>
  <c r="P287" i="35" s="1"/>
  <c r="Q287" i="35" a="1"/>
  <c r="Q287" i="35" s="1"/>
  <c r="R287" i="35" a="1"/>
  <c r="R287" i="35" s="1"/>
  <c r="S287" i="35" a="1"/>
  <c r="S287" i="35" s="1"/>
  <c r="T287" i="35" a="1"/>
  <c r="T287" i="35" s="1"/>
  <c r="F288" i="35" a="1"/>
  <c r="F288" i="35" s="1"/>
  <c r="G288" i="35" a="1"/>
  <c r="G288" i="35" s="1"/>
  <c r="H288" i="35" a="1"/>
  <c r="H288" i="35" s="1"/>
  <c r="I288" i="35" a="1"/>
  <c r="I288" i="35" s="1"/>
  <c r="J288" i="35" a="1"/>
  <c r="J288" i="35" s="1"/>
  <c r="K288" i="35" a="1"/>
  <c r="K288" i="35" s="1"/>
  <c r="L288" i="35" a="1"/>
  <c r="L288" i="35" s="1"/>
  <c r="M288" i="35" a="1"/>
  <c r="M288" i="35" s="1"/>
  <c r="N288" i="35" a="1"/>
  <c r="N288" i="35" s="1"/>
  <c r="O288" i="35" a="1"/>
  <c r="O288" i="35" s="1"/>
  <c r="P288" i="35" a="1"/>
  <c r="P288" i="35" s="1"/>
  <c r="Q288" i="35" a="1"/>
  <c r="Q288" i="35" s="1"/>
  <c r="R288" i="35" a="1"/>
  <c r="R288" i="35" s="1"/>
  <c r="S288" i="35" a="1"/>
  <c r="S288" i="35" s="1"/>
  <c r="T288" i="35" a="1"/>
  <c r="T288" i="35" s="1"/>
  <c r="F289" i="35" a="1"/>
  <c r="F289" i="35" s="1"/>
  <c r="G289" i="35" a="1"/>
  <c r="G289" i="35" s="1"/>
  <c r="H289" i="35" a="1"/>
  <c r="H289" i="35" s="1"/>
  <c r="I289" i="35" a="1"/>
  <c r="I289" i="35" s="1"/>
  <c r="J289" i="35" a="1"/>
  <c r="J289" i="35" s="1"/>
  <c r="K289" i="35" a="1"/>
  <c r="K289" i="35" s="1"/>
  <c r="L289" i="35" a="1"/>
  <c r="L289" i="35" s="1"/>
  <c r="M289" i="35" a="1"/>
  <c r="M289" i="35" s="1"/>
  <c r="N289" i="35" a="1"/>
  <c r="N289" i="35" s="1"/>
  <c r="O289" i="35" a="1"/>
  <c r="O289" i="35" s="1"/>
  <c r="P289" i="35" a="1"/>
  <c r="P289" i="35" s="1"/>
  <c r="Q289" i="35" a="1"/>
  <c r="Q289" i="35" s="1"/>
  <c r="R289" i="35" a="1"/>
  <c r="R289" i="35" s="1"/>
  <c r="S289" i="35" a="1"/>
  <c r="S289" i="35" s="1"/>
  <c r="T289" i="35" a="1"/>
  <c r="T289" i="35" s="1"/>
  <c r="F290" i="35" a="1"/>
  <c r="F290" i="35" s="1"/>
  <c r="G290" i="35" a="1"/>
  <c r="G290" i="35" s="1"/>
  <c r="H290" i="35" a="1"/>
  <c r="H290" i="35" s="1"/>
  <c r="I290" i="35" a="1"/>
  <c r="I290" i="35" s="1"/>
  <c r="J290" i="35" a="1"/>
  <c r="J290" i="35" s="1"/>
  <c r="K290" i="35" a="1"/>
  <c r="K290" i="35" s="1"/>
  <c r="L290" i="35" a="1"/>
  <c r="L290" i="35" s="1"/>
  <c r="M290" i="35" a="1"/>
  <c r="M290" i="35" s="1"/>
  <c r="N290" i="35" a="1"/>
  <c r="N290" i="35" s="1"/>
  <c r="O290" i="35" a="1"/>
  <c r="O290" i="35" s="1"/>
  <c r="P290" i="35" a="1"/>
  <c r="P290" i="35" s="1"/>
  <c r="Q290" i="35" a="1"/>
  <c r="Q290" i="35" s="1"/>
  <c r="R290" i="35" a="1"/>
  <c r="R290" i="35" s="1"/>
  <c r="S290" i="35" a="1"/>
  <c r="S290" i="35" s="1"/>
  <c r="T290" i="35" a="1"/>
  <c r="T290" i="35" s="1"/>
  <c r="F291" i="35" a="1"/>
  <c r="F291" i="35" s="1"/>
  <c r="G291" i="35" a="1"/>
  <c r="G291" i="35" s="1"/>
  <c r="H291" i="35" a="1"/>
  <c r="H291" i="35" s="1"/>
  <c r="I291" i="35" a="1"/>
  <c r="I291" i="35" s="1"/>
  <c r="J291" i="35" a="1"/>
  <c r="J291" i="35" s="1"/>
  <c r="K291" i="35" a="1"/>
  <c r="K291" i="35" s="1"/>
  <c r="L291" i="35" a="1"/>
  <c r="L291" i="35" s="1"/>
  <c r="M291" i="35" a="1"/>
  <c r="M291" i="35" s="1"/>
  <c r="N291" i="35" a="1"/>
  <c r="N291" i="35" s="1"/>
  <c r="O291" i="35" a="1"/>
  <c r="O291" i="35" s="1"/>
  <c r="P291" i="35" a="1"/>
  <c r="P291" i="35" s="1"/>
  <c r="Q291" i="35" a="1"/>
  <c r="Q291" i="35" s="1"/>
  <c r="R291" i="35" a="1"/>
  <c r="R291" i="35" s="1"/>
  <c r="S291" i="35" a="1"/>
  <c r="S291" i="35" s="1"/>
  <c r="T291" i="35" a="1"/>
  <c r="T291" i="35" s="1"/>
  <c r="F292" i="35" a="1"/>
  <c r="F292" i="35" s="1"/>
  <c r="G292" i="35" a="1"/>
  <c r="G292" i="35" s="1"/>
  <c r="H292" i="35" a="1"/>
  <c r="H292" i="35" s="1"/>
  <c r="I292" i="35" a="1"/>
  <c r="I292" i="35" s="1"/>
  <c r="J292" i="35" a="1"/>
  <c r="J292" i="35" s="1"/>
  <c r="K292" i="35" a="1"/>
  <c r="K292" i="35" s="1"/>
  <c r="L292" i="35" a="1"/>
  <c r="L292" i="35" s="1"/>
  <c r="M292" i="35" a="1"/>
  <c r="M292" i="35" s="1"/>
  <c r="N292" i="35" a="1"/>
  <c r="N292" i="35" s="1"/>
  <c r="O292" i="35" a="1"/>
  <c r="O292" i="35" s="1"/>
  <c r="P292" i="35" a="1"/>
  <c r="P292" i="35" s="1"/>
  <c r="Q292" i="35" a="1"/>
  <c r="Q292" i="35" s="1"/>
  <c r="R292" i="35" a="1"/>
  <c r="R292" i="35" s="1"/>
  <c r="S292" i="35" a="1"/>
  <c r="S292" i="35" s="1"/>
  <c r="T292" i="35" a="1"/>
  <c r="T292" i="35" s="1"/>
  <c r="F293" i="35" a="1"/>
  <c r="F293" i="35" s="1"/>
  <c r="G293" i="35" a="1"/>
  <c r="G293" i="35" s="1"/>
  <c r="H293" i="35" a="1"/>
  <c r="H293" i="35" s="1"/>
  <c r="I293" i="35" a="1"/>
  <c r="I293" i="35" s="1"/>
  <c r="J293" i="35" a="1"/>
  <c r="J293" i="35" s="1"/>
  <c r="K293" i="35" a="1"/>
  <c r="K293" i="35" s="1"/>
  <c r="L293" i="35" a="1"/>
  <c r="L293" i="35" s="1"/>
  <c r="M293" i="35" a="1"/>
  <c r="M293" i="35" s="1"/>
  <c r="N293" i="35" a="1"/>
  <c r="N293" i="35" s="1"/>
  <c r="O293" i="35" a="1"/>
  <c r="O293" i="35" s="1"/>
  <c r="P293" i="35" a="1"/>
  <c r="P293" i="35" s="1"/>
  <c r="Q293" i="35" a="1"/>
  <c r="Q293" i="35" s="1"/>
  <c r="R293" i="35" a="1"/>
  <c r="R293" i="35" s="1"/>
  <c r="S293" i="35" a="1"/>
  <c r="S293" i="35" s="1"/>
  <c r="T293" i="35" a="1"/>
  <c r="T293" i="35" s="1"/>
  <c r="F294" i="35" a="1"/>
  <c r="F294" i="35" s="1"/>
  <c r="G294" i="35" a="1"/>
  <c r="G294" i="35" s="1"/>
  <c r="H294" i="35" a="1"/>
  <c r="H294" i="35" s="1"/>
  <c r="I294" i="35" a="1"/>
  <c r="I294" i="35" s="1"/>
  <c r="J294" i="35" a="1"/>
  <c r="J294" i="35" s="1"/>
  <c r="K294" i="35" a="1"/>
  <c r="K294" i="35" s="1"/>
  <c r="L294" i="35" a="1"/>
  <c r="L294" i="35" s="1"/>
  <c r="M294" i="35" a="1"/>
  <c r="M294" i="35" s="1"/>
  <c r="N294" i="35" a="1"/>
  <c r="N294" i="35" s="1"/>
  <c r="O294" i="35" a="1"/>
  <c r="O294" i="35" s="1"/>
  <c r="P294" i="35" a="1"/>
  <c r="P294" i="35" s="1"/>
  <c r="Q294" i="35" a="1"/>
  <c r="Q294" i="35" s="1"/>
  <c r="R294" i="35" a="1"/>
  <c r="R294" i="35" s="1"/>
  <c r="S294" i="35" a="1"/>
  <c r="S294" i="35" s="1"/>
  <c r="T294" i="35" a="1"/>
  <c r="T294" i="35" s="1"/>
  <c r="F295" i="35" a="1"/>
  <c r="F295" i="35" s="1"/>
  <c r="G295" i="35" a="1"/>
  <c r="G295" i="35" s="1"/>
  <c r="H295" i="35" a="1"/>
  <c r="H295" i="35" s="1"/>
  <c r="I295" i="35" a="1"/>
  <c r="I295" i="35" s="1"/>
  <c r="J295" i="35" a="1"/>
  <c r="J295" i="35" s="1"/>
  <c r="K295" i="35" a="1"/>
  <c r="K295" i="35" s="1"/>
  <c r="L295" i="35" a="1"/>
  <c r="L295" i="35" s="1"/>
  <c r="M295" i="35" a="1"/>
  <c r="M295" i="35" s="1"/>
  <c r="N295" i="35" a="1"/>
  <c r="N295" i="35" s="1"/>
  <c r="O295" i="35" a="1"/>
  <c r="O295" i="35" s="1"/>
  <c r="P295" i="35" a="1"/>
  <c r="P295" i="35" s="1"/>
  <c r="Q295" i="35" a="1"/>
  <c r="Q295" i="35" s="1"/>
  <c r="R295" i="35" a="1"/>
  <c r="R295" i="35" s="1"/>
  <c r="S295" i="35" a="1"/>
  <c r="S295" i="35" s="1"/>
  <c r="T295" i="35" a="1"/>
  <c r="T295" i="35" s="1"/>
  <c r="F296" i="35" a="1"/>
  <c r="F296" i="35" s="1"/>
  <c r="G296" i="35" a="1"/>
  <c r="G296" i="35" s="1"/>
  <c r="H296" i="35" a="1"/>
  <c r="H296" i="35" s="1"/>
  <c r="I296" i="35" a="1"/>
  <c r="I296" i="35" s="1"/>
  <c r="J296" i="35" a="1"/>
  <c r="J296" i="35" s="1"/>
  <c r="K296" i="35" a="1"/>
  <c r="K296" i="35" s="1"/>
  <c r="L296" i="35" a="1"/>
  <c r="L296" i="35" s="1"/>
  <c r="M296" i="35" a="1"/>
  <c r="M296" i="35" s="1"/>
  <c r="N296" i="35" a="1"/>
  <c r="N296" i="35" s="1"/>
  <c r="O296" i="35" a="1"/>
  <c r="O296" i="35" s="1"/>
  <c r="P296" i="35" a="1"/>
  <c r="P296" i="35" s="1"/>
  <c r="Q296" i="35" a="1"/>
  <c r="Q296" i="35" s="1"/>
  <c r="R296" i="35" a="1"/>
  <c r="R296" i="35" s="1"/>
  <c r="S296" i="35" a="1"/>
  <c r="S296" i="35" s="1"/>
  <c r="T296" i="35" a="1"/>
  <c r="T296" i="35" s="1"/>
  <c r="F297" i="35" a="1"/>
  <c r="F297" i="35" s="1"/>
  <c r="G297" i="35" a="1"/>
  <c r="G297" i="35" s="1"/>
  <c r="H297" i="35" a="1"/>
  <c r="H297" i="35" s="1"/>
  <c r="I297" i="35" a="1"/>
  <c r="I297" i="35" s="1"/>
  <c r="J297" i="35" a="1"/>
  <c r="J297" i="35" s="1"/>
  <c r="K297" i="35" a="1"/>
  <c r="K297" i="35" s="1"/>
  <c r="L297" i="35" a="1"/>
  <c r="L297" i="35" s="1"/>
  <c r="M297" i="35" a="1"/>
  <c r="M297" i="35" s="1"/>
  <c r="N297" i="35" a="1"/>
  <c r="N297" i="35" s="1"/>
  <c r="O297" i="35" a="1"/>
  <c r="O297" i="35" s="1"/>
  <c r="P297" i="35" a="1"/>
  <c r="P297" i="35" s="1"/>
  <c r="Q297" i="35" a="1"/>
  <c r="Q297" i="35" s="1"/>
  <c r="R297" i="35" a="1"/>
  <c r="R297" i="35" s="1"/>
  <c r="S297" i="35" a="1"/>
  <c r="S297" i="35" s="1"/>
  <c r="T297" i="35" a="1"/>
  <c r="T297" i="35" s="1"/>
  <c r="F298" i="35" a="1"/>
  <c r="F298" i="35" s="1"/>
  <c r="G298" i="35" a="1"/>
  <c r="G298" i="35" s="1"/>
  <c r="H298" i="35" a="1"/>
  <c r="H298" i="35" s="1"/>
  <c r="I298" i="35" a="1"/>
  <c r="I298" i="35" s="1"/>
  <c r="J298" i="35" a="1"/>
  <c r="J298" i="35" s="1"/>
  <c r="K298" i="35" a="1"/>
  <c r="K298" i="35" s="1"/>
  <c r="L298" i="35" a="1"/>
  <c r="L298" i="35" s="1"/>
  <c r="M298" i="35" a="1"/>
  <c r="M298" i="35" s="1"/>
  <c r="N298" i="35" a="1"/>
  <c r="N298" i="35" s="1"/>
  <c r="O298" i="35" a="1"/>
  <c r="O298" i="35" s="1"/>
  <c r="P298" i="35" a="1"/>
  <c r="P298" i="35" s="1"/>
  <c r="Q298" i="35" a="1"/>
  <c r="Q298" i="35" s="1"/>
  <c r="R298" i="35" a="1"/>
  <c r="R298" i="35" s="1"/>
  <c r="S298" i="35" a="1"/>
  <c r="S298" i="35" s="1"/>
  <c r="T298" i="35" a="1"/>
  <c r="T298" i="35" s="1"/>
  <c r="F299" i="35" a="1"/>
  <c r="F299" i="35" s="1"/>
  <c r="G299" i="35" a="1"/>
  <c r="G299" i="35" s="1"/>
  <c r="H299" i="35" a="1"/>
  <c r="H299" i="35" s="1"/>
  <c r="I299" i="35" a="1"/>
  <c r="I299" i="35" s="1"/>
  <c r="J299" i="35" a="1"/>
  <c r="J299" i="35" s="1"/>
  <c r="K299" i="35" a="1"/>
  <c r="K299" i="35" s="1"/>
  <c r="L299" i="35" a="1"/>
  <c r="L299" i="35" s="1"/>
  <c r="M299" i="35" a="1"/>
  <c r="M299" i="35" s="1"/>
  <c r="N299" i="35" a="1"/>
  <c r="N299" i="35" s="1"/>
  <c r="O299" i="35" a="1"/>
  <c r="O299" i="35" s="1"/>
  <c r="P299" i="35" a="1"/>
  <c r="P299" i="35" s="1"/>
  <c r="Q299" i="35" a="1"/>
  <c r="Q299" i="35" s="1"/>
  <c r="R299" i="35" a="1"/>
  <c r="R299" i="35" s="1"/>
  <c r="S299" i="35" a="1"/>
  <c r="S299" i="35" s="1"/>
  <c r="T299" i="35" a="1"/>
  <c r="T299" i="35" s="1"/>
  <c r="F300" i="35" a="1"/>
  <c r="F300" i="35" s="1"/>
  <c r="G300" i="35" a="1"/>
  <c r="G300" i="35" s="1"/>
  <c r="H300" i="35" a="1"/>
  <c r="H300" i="35" s="1"/>
  <c r="I300" i="35" a="1"/>
  <c r="I300" i="35" s="1"/>
  <c r="J300" i="35" a="1"/>
  <c r="J300" i="35" s="1"/>
  <c r="K300" i="35" a="1"/>
  <c r="K300" i="35" s="1"/>
  <c r="L300" i="35" a="1"/>
  <c r="L300" i="35" s="1"/>
  <c r="M300" i="35" a="1"/>
  <c r="M300" i="35" s="1"/>
  <c r="N300" i="35" a="1"/>
  <c r="N300" i="35" s="1"/>
  <c r="O300" i="35" a="1"/>
  <c r="O300" i="35" s="1"/>
  <c r="P300" i="35" a="1"/>
  <c r="P300" i="35" s="1"/>
  <c r="Q300" i="35" a="1"/>
  <c r="Q300" i="35" s="1"/>
  <c r="R300" i="35" a="1"/>
  <c r="R300" i="35" s="1"/>
  <c r="S300" i="35" a="1"/>
  <c r="S300" i="35" s="1"/>
  <c r="T300" i="35" a="1"/>
  <c r="T300" i="35" s="1"/>
  <c r="G2" i="35" a="1"/>
  <c r="G2" i="35" s="1"/>
  <c r="H2" i="35" a="1"/>
  <c r="H2" i="35" s="1"/>
  <c r="I2" i="35" a="1"/>
  <c r="I2" i="35" s="1"/>
  <c r="J2" i="35" a="1"/>
  <c r="J2" i="35" s="1"/>
  <c r="K2" i="35" a="1"/>
  <c r="K2" i="35" s="1"/>
  <c r="L2" i="35" a="1"/>
  <c r="L2" i="35" s="1"/>
  <c r="M2" i="35" a="1"/>
  <c r="M2" i="35" s="1"/>
  <c r="N2" i="35" a="1"/>
  <c r="N2" i="35" s="1"/>
  <c r="O2" i="35" a="1"/>
  <c r="O2" i="35" s="1"/>
  <c r="P2" i="35" a="1"/>
  <c r="P2" i="35" s="1"/>
  <c r="Q2" i="35" a="1"/>
  <c r="Q2" i="35" s="1"/>
  <c r="R2" i="35" a="1"/>
  <c r="R2" i="35" s="1"/>
  <c r="S2" i="35" a="1"/>
  <c r="S2" i="35" s="1"/>
  <c r="T2" i="35" a="1"/>
  <c r="T2" i="35" s="1"/>
  <c r="S2" i="34" a="1"/>
  <c r="S2" i="34" s="1"/>
  <c r="S3" i="34" a="1"/>
  <c r="S3" i="34" s="1"/>
  <c r="S5" i="34" a="1"/>
  <c r="S5" i="34" s="1"/>
  <c r="S6" i="34" a="1"/>
  <c r="S6" i="34" s="1"/>
  <c r="S7" i="34" a="1"/>
  <c r="S7" i="34" s="1"/>
  <c r="S8" i="34" a="1"/>
  <c r="S8" i="34" s="1"/>
  <c r="S11" i="34" a="1"/>
  <c r="S11" i="34" s="1"/>
  <c r="S14" i="34" a="1"/>
  <c r="S14" i="34" s="1"/>
  <c r="S15" i="34" a="1"/>
  <c r="S15" i="34" s="1"/>
  <c r="S17" i="34" a="1"/>
  <c r="S17" i="34" s="1"/>
  <c r="S78" i="34" a="1"/>
  <c r="S78" i="34" s="1"/>
  <c r="S37" i="34" a="1"/>
  <c r="S37" i="34" s="1"/>
  <c r="S97" i="34" a="1"/>
  <c r="S97" i="34" s="1"/>
  <c r="S98" i="34" a="1"/>
  <c r="S98" i="34" s="1"/>
  <c r="S99" i="34" a="1"/>
  <c r="S99" i="34" s="1"/>
  <c r="S100" i="34" a="1"/>
  <c r="S100" i="34" s="1"/>
  <c r="S101" i="34" a="1"/>
  <c r="S101" i="34" s="1"/>
  <c r="S102" i="34" a="1"/>
  <c r="S102" i="34" s="1"/>
  <c r="S103" i="34" a="1"/>
  <c r="S103" i="34" s="1"/>
  <c r="S104" i="34" a="1"/>
  <c r="S104" i="34" s="1"/>
  <c r="S105" i="34" a="1"/>
  <c r="S105" i="34" s="1"/>
  <c r="S106" i="34" a="1"/>
  <c r="S106" i="34" s="1"/>
  <c r="S107" i="34" a="1"/>
  <c r="S107" i="34" s="1"/>
  <c r="S108" i="34" a="1"/>
  <c r="S108" i="34" s="1"/>
  <c r="S109" i="34" a="1"/>
  <c r="S109" i="34" s="1"/>
  <c r="S110" i="34" a="1"/>
  <c r="S110" i="34" s="1"/>
  <c r="S111" i="34" a="1"/>
  <c r="S111" i="34" s="1"/>
  <c r="S112" i="34" a="1"/>
  <c r="S112" i="34" s="1"/>
  <c r="S113" i="34" a="1"/>
  <c r="S113" i="34" s="1"/>
  <c r="S114" i="34" a="1"/>
  <c r="S114" i="34" s="1"/>
  <c r="S115" i="34" a="1"/>
  <c r="S115" i="34" s="1"/>
  <c r="S116" i="34" a="1"/>
  <c r="S116" i="34" s="1"/>
  <c r="S117" i="34" a="1"/>
  <c r="S117" i="34" s="1"/>
  <c r="S118" i="34" a="1"/>
  <c r="S118" i="34" s="1"/>
  <c r="S119" i="34" a="1"/>
  <c r="S119" i="34" s="1"/>
  <c r="S120" i="34" a="1"/>
  <c r="S120" i="34" s="1"/>
  <c r="S121" i="34" a="1"/>
  <c r="S121" i="34" s="1"/>
  <c r="S122" i="34" a="1"/>
  <c r="S122" i="34" s="1"/>
  <c r="S123" i="34" a="1"/>
  <c r="S123" i="34" s="1"/>
  <c r="S124" i="34" a="1"/>
  <c r="S124" i="34" s="1"/>
  <c r="S125" i="34" a="1"/>
  <c r="S125" i="34" s="1"/>
  <c r="S126" i="34" a="1"/>
  <c r="S126" i="34" s="1"/>
  <c r="S127" i="34" a="1"/>
  <c r="S127" i="34" s="1"/>
  <c r="S128" i="34" a="1"/>
  <c r="S128" i="34" s="1"/>
  <c r="S4" i="34" a="1"/>
  <c r="S4" i="34" s="1"/>
  <c r="S9" i="34" a="1"/>
  <c r="S9" i="34" s="1"/>
  <c r="S12" i="34" a="1"/>
  <c r="S12" i="34" s="1"/>
  <c r="S13" i="34" a="1"/>
  <c r="S13" i="34" s="1"/>
  <c r="S10" i="34" a="1"/>
  <c r="S10" i="34" s="1"/>
  <c r="S16" i="34" a="1"/>
  <c r="S16" i="34" s="1"/>
  <c r="S18" i="34" a="1"/>
  <c r="S18" i="34" s="1"/>
  <c r="S19" i="34" a="1"/>
  <c r="S19" i="34" s="1"/>
  <c r="S20" i="34" a="1"/>
  <c r="S20" i="34" s="1"/>
  <c r="S21" i="34" a="1"/>
  <c r="S21" i="34" s="1"/>
  <c r="S22" i="34" a="1"/>
  <c r="S22" i="34" s="1"/>
  <c r="S23" i="34" a="1"/>
  <c r="S23" i="34" s="1"/>
  <c r="S24" i="34" a="1"/>
  <c r="S24" i="34" s="1"/>
  <c r="S25" i="34" a="1"/>
  <c r="S25" i="34" s="1"/>
  <c r="S26" i="34" a="1"/>
  <c r="S26" i="34" s="1"/>
  <c r="S28" i="34" a="1"/>
  <c r="S28" i="34" s="1"/>
  <c r="S27" i="34" a="1"/>
  <c r="S27" i="34" s="1"/>
  <c r="S29" i="34" a="1"/>
  <c r="S29" i="34" s="1"/>
  <c r="S30" i="34" a="1"/>
  <c r="S30" i="34" s="1"/>
  <c r="S31" i="34" a="1"/>
  <c r="S31" i="34" s="1"/>
  <c r="S32" i="34" a="1"/>
  <c r="S32" i="34" s="1"/>
  <c r="S33" i="34" a="1"/>
  <c r="S33" i="34" s="1"/>
  <c r="S34" i="34" a="1"/>
  <c r="S34" i="34" s="1"/>
  <c r="S35" i="34" a="1"/>
  <c r="S35" i="34" s="1"/>
  <c r="S36" i="34" a="1"/>
  <c r="S36" i="34" s="1"/>
  <c r="S38" i="34" a="1"/>
  <c r="S38" i="34" s="1"/>
  <c r="S39" i="34" a="1"/>
  <c r="S39" i="34" s="1"/>
  <c r="S40" i="34" a="1"/>
  <c r="S40" i="34" s="1"/>
  <c r="S41" i="34" a="1"/>
  <c r="S41" i="34" s="1"/>
  <c r="S42" i="34" a="1"/>
  <c r="S42" i="34" s="1"/>
  <c r="S43" i="34" a="1"/>
  <c r="S43" i="34" s="1"/>
  <c r="S44" i="34" a="1"/>
  <c r="S44" i="34" s="1"/>
  <c r="S45" i="34" a="1"/>
  <c r="S45" i="34" s="1"/>
  <c r="S46" i="34" a="1"/>
  <c r="S46" i="34" s="1"/>
  <c r="S47" i="34" a="1"/>
  <c r="S47" i="34" s="1"/>
  <c r="S48" i="34" a="1"/>
  <c r="S48" i="34" s="1"/>
  <c r="S49" i="34" a="1"/>
  <c r="S49" i="34" s="1"/>
  <c r="S50" i="34" a="1"/>
  <c r="S50" i="34" s="1"/>
  <c r="S51" i="34" a="1"/>
  <c r="S51" i="34" s="1"/>
  <c r="S52" i="34" a="1"/>
  <c r="S52" i="34" s="1"/>
  <c r="S53" i="34" a="1"/>
  <c r="S53" i="34" s="1"/>
  <c r="S54" i="34" a="1"/>
  <c r="S54" i="34" s="1"/>
  <c r="S56" i="34" a="1"/>
  <c r="S56" i="34" s="1"/>
  <c r="S57" i="34" a="1"/>
  <c r="S57" i="34" s="1"/>
  <c r="S58" i="34" a="1"/>
  <c r="S58" i="34" s="1"/>
  <c r="S59" i="34" a="1"/>
  <c r="S59" i="34" s="1"/>
  <c r="S60" i="34" a="1"/>
  <c r="S60" i="34" s="1"/>
  <c r="S61" i="34" a="1"/>
  <c r="S61" i="34" s="1"/>
  <c r="S62" i="34" a="1"/>
  <c r="S62" i="34" s="1"/>
  <c r="S63" i="34" a="1"/>
  <c r="S63" i="34" s="1"/>
  <c r="S64" i="34" a="1"/>
  <c r="S64" i="34" s="1"/>
  <c r="S65" i="34" a="1"/>
  <c r="S65" i="34" s="1"/>
  <c r="S66" i="34" a="1"/>
  <c r="S66" i="34" s="1"/>
  <c r="S67" i="34" a="1"/>
  <c r="S67" i="34" s="1"/>
  <c r="S68" i="34" a="1"/>
  <c r="S68" i="34" s="1"/>
  <c r="S69" i="34" a="1"/>
  <c r="S69" i="34" s="1"/>
  <c r="S70" i="34" a="1"/>
  <c r="S70" i="34" s="1"/>
  <c r="S71" i="34" a="1"/>
  <c r="S71" i="34" s="1"/>
  <c r="S72" i="34" a="1"/>
  <c r="S72" i="34" s="1"/>
  <c r="S73" i="34" a="1"/>
  <c r="S73" i="34" s="1"/>
  <c r="S74" i="34" a="1"/>
  <c r="S74" i="34" s="1"/>
  <c r="S75" i="34" a="1"/>
  <c r="S75" i="34" s="1"/>
  <c r="S76" i="34" a="1"/>
  <c r="S76" i="34" s="1"/>
  <c r="S77" i="34" a="1"/>
  <c r="S77" i="34" s="1"/>
  <c r="S79" i="34" a="1"/>
  <c r="S79" i="34" s="1"/>
  <c r="S80" i="34" a="1"/>
  <c r="S80" i="34" s="1"/>
  <c r="S81" i="34" a="1"/>
  <c r="S81" i="34" s="1"/>
  <c r="S82" i="34" a="1"/>
  <c r="S82" i="34" s="1"/>
  <c r="S83" i="34" a="1"/>
  <c r="S83" i="34" s="1"/>
  <c r="S84" i="34" a="1"/>
  <c r="S84" i="34" s="1"/>
  <c r="S85" i="34" a="1"/>
  <c r="S85" i="34" s="1"/>
  <c r="S86" i="34" a="1"/>
  <c r="S86" i="34" s="1"/>
  <c r="S87" i="34" a="1"/>
  <c r="S87" i="34" s="1"/>
  <c r="S88" i="34" a="1"/>
  <c r="S88" i="34" s="1"/>
  <c r="S89" i="34" a="1"/>
  <c r="S89" i="34" s="1"/>
  <c r="S90" i="34" a="1"/>
  <c r="S90" i="34" s="1"/>
  <c r="S91" i="34" a="1"/>
  <c r="S91" i="34" s="1"/>
  <c r="S92" i="34" a="1"/>
  <c r="S92" i="34" s="1"/>
  <c r="S93" i="34" a="1"/>
  <c r="S93" i="34" s="1"/>
  <c r="S94" i="34" a="1"/>
  <c r="S94" i="34" s="1"/>
  <c r="S95" i="34" a="1"/>
  <c r="S95" i="34" s="1"/>
  <c r="S96" i="34" a="1"/>
  <c r="S96" i="34" s="1"/>
  <c r="S55" i="34" a="1"/>
  <c r="S55" i="34" s="1"/>
  <c r="K55" i="34"/>
  <c r="H55" i="34"/>
  <c r="K96" i="34"/>
  <c r="H96" i="34"/>
  <c r="K95" i="34"/>
  <c r="H95" i="34"/>
  <c r="K94" i="34"/>
  <c r="H94" i="34"/>
  <c r="K93" i="34"/>
  <c r="H93" i="34"/>
  <c r="K92" i="34"/>
  <c r="H92" i="34"/>
  <c r="K91" i="34"/>
  <c r="H91" i="34"/>
  <c r="K90" i="34"/>
  <c r="H90" i="34"/>
  <c r="K89" i="34"/>
  <c r="H89" i="34"/>
  <c r="K88" i="34"/>
  <c r="H88" i="34"/>
  <c r="K87" i="34"/>
  <c r="H87" i="34"/>
  <c r="K86" i="34"/>
  <c r="H86" i="34"/>
  <c r="K85" i="34"/>
  <c r="H85" i="34"/>
  <c r="K84" i="34"/>
  <c r="H84" i="34"/>
  <c r="K83" i="34"/>
  <c r="H83" i="34"/>
  <c r="K82" i="34"/>
  <c r="H82" i="34"/>
  <c r="K81" i="34"/>
  <c r="H81" i="34"/>
  <c r="K80" i="34"/>
  <c r="H80" i="34"/>
  <c r="K79" i="34"/>
  <c r="H79" i="34"/>
  <c r="K77" i="34"/>
  <c r="H77" i="34"/>
  <c r="K76" i="34"/>
  <c r="H76" i="34"/>
  <c r="K75" i="34"/>
  <c r="H75" i="34"/>
  <c r="K74" i="34"/>
  <c r="H74" i="34"/>
  <c r="K73" i="34"/>
  <c r="H73" i="34"/>
  <c r="K72" i="34"/>
  <c r="H72" i="34"/>
  <c r="K71" i="34"/>
  <c r="H71" i="34"/>
  <c r="K70" i="34"/>
  <c r="H70" i="34"/>
  <c r="K69" i="34"/>
  <c r="H69" i="34"/>
  <c r="K68" i="34"/>
  <c r="H68" i="34"/>
  <c r="K67" i="34"/>
  <c r="H67" i="34"/>
  <c r="K66" i="34"/>
  <c r="H66" i="34"/>
  <c r="K65" i="34"/>
  <c r="H65" i="34"/>
  <c r="K64" i="34"/>
  <c r="H64" i="34"/>
  <c r="K63" i="34"/>
  <c r="H63" i="34"/>
  <c r="K62" i="34"/>
  <c r="H62" i="34"/>
  <c r="K61" i="34"/>
  <c r="H61" i="34"/>
  <c r="K60" i="34"/>
  <c r="H60" i="34"/>
  <c r="K59" i="34"/>
  <c r="H59" i="34"/>
  <c r="K58" i="34"/>
  <c r="H58" i="34"/>
  <c r="K57" i="34"/>
  <c r="H57" i="34"/>
  <c r="K56" i="34"/>
  <c r="H56" i="34"/>
  <c r="K54" i="34"/>
  <c r="H54" i="34"/>
  <c r="K53" i="34"/>
  <c r="H53" i="34"/>
  <c r="K52" i="34"/>
  <c r="H52" i="34"/>
  <c r="K51" i="34"/>
  <c r="H51" i="34"/>
  <c r="K50" i="34"/>
  <c r="H50" i="34"/>
  <c r="K49" i="34"/>
  <c r="H49" i="34"/>
  <c r="K48" i="34"/>
  <c r="H48" i="34"/>
  <c r="K47" i="34"/>
  <c r="H47" i="34"/>
  <c r="K46" i="34"/>
  <c r="H46" i="34"/>
  <c r="K45" i="34"/>
  <c r="H45" i="34"/>
  <c r="K44" i="34"/>
  <c r="H44" i="34"/>
  <c r="K43" i="34"/>
  <c r="H43" i="34"/>
  <c r="K42" i="34"/>
  <c r="H42" i="34"/>
  <c r="K41" i="34"/>
  <c r="H41" i="34"/>
  <c r="K40" i="34"/>
  <c r="H40" i="34"/>
  <c r="K39" i="34"/>
  <c r="H39" i="34"/>
  <c r="K38" i="34"/>
  <c r="H38" i="34"/>
  <c r="K36" i="34"/>
  <c r="H36" i="34"/>
  <c r="K35" i="34"/>
  <c r="H35" i="34"/>
  <c r="K34" i="34"/>
  <c r="H34" i="34"/>
  <c r="K33" i="34"/>
  <c r="H33" i="34"/>
  <c r="K32" i="34"/>
  <c r="H32" i="34"/>
  <c r="K31" i="34"/>
  <c r="H31" i="34"/>
  <c r="K30" i="34"/>
  <c r="H30" i="34"/>
  <c r="K29" i="34"/>
  <c r="H29" i="34"/>
  <c r="K27" i="34"/>
  <c r="H27" i="34"/>
  <c r="K28" i="34"/>
  <c r="H28" i="34"/>
  <c r="K26" i="34"/>
  <c r="H26" i="34"/>
  <c r="K25" i="34"/>
  <c r="H25" i="34"/>
  <c r="K24" i="34"/>
  <c r="H24" i="34"/>
  <c r="K23" i="34"/>
  <c r="H23" i="34"/>
  <c r="K22" i="34"/>
  <c r="H22" i="34"/>
  <c r="K21" i="34"/>
  <c r="H21" i="34"/>
  <c r="K20" i="34"/>
  <c r="H20" i="34"/>
  <c r="K19" i="34"/>
  <c r="H19" i="34"/>
  <c r="K18" i="34"/>
  <c r="H18" i="34"/>
  <c r="K16" i="34"/>
  <c r="H16" i="34"/>
  <c r="K10" i="34"/>
  <c r="H10" i="34"/>
  <c r="K13" i="34"/>
  <c r="H13" i="34"/>
  <c r="K12" i="34"/>
  <c r="H12" i="34"/>
  <c r="K9" i="34"/>
  <c r="H9" i="34"/>
  <c r="K4" i="34"/>
  <c r="H4" i="34"/>
  <c r="K128" i="34"/>
  <c r="H128" i="34"/>
  <c r="Y45" i="34"/>
  <c r="K127" i="34"/>
  <c r="H127" i="34"/>
  <c r="Y44" i="34"/>
  <c r="K126" i="34"/>
  <c r="H126" i="34"/>
  <c r="K125" i="34"/>
  <c r="H125" i="34"/>
  <c r="K124" i="34"/>
  <c r="H124" i="34"/>
  <c r="K123" i="34"/>
  <c r="H123" i="34"/>
  <c r="K122" i="34"/>
  <c r="H122" i="34"/>
  <c r="K121" i="34"/>
  <c r="H121" i="34"/>
  <c r="K120" i="34"/>
  <c r="H120" i="34"/>
  <c r="K119" i="34"/>
  <c r="H119" i="34"/>
  <c r="K118" i="34"/>
  <c r="H118" i="34"/>
  <c r="K117" i="34"/>
  <c r="H117" i="34"/>
  <c r="Y34" i="34"/>
  <c r="K116" i="34"/>
  <c r="H116" i="34"/>
  <c r="Y33" i="34"/>
  <c r="K115" i="34"/>
  <c r="H115" i="34"/>
  <c r="K114" i="34"/>
  <c r="H114" i="34"/>
  <c r="K113" i="34"/>
  <c r="H113" i="34"/>
  <c r="Y30" i="34"/>
  <c r="K112" i="34"/>
  <c r="H112" i="34"/>
  <c r="Y29" i="34"/>
  <c r="K111" i="34"/>
  <c r="H111" i="34"/>
  <c r="K110" i="34"/>
  <c r="H110" i="34"/>
  <c r="Y27" i="34"/>
  <c r="K109" i="34"/>
  <c r="H109" i="34"/>
  <c r="Y26" i="34"/>
  <c r="K108" i="34"/>
  <c r="H108" i="34"/>
  <c r="K107" i="34"/>
  <c r="H107" i="34"/>
  <c r="K106" i="34"/>
  <c r="H106" i="34"/>
  <c r="Y22" i="34"/>
  <c r="K105" i="34"/>
  <c r="H105" i="34"/>
  <c r="Y21" i="34"/>
  <c r="K104" i="34"/>
  <c r="H104" i="34"/>
  <c r="K103" i="34"/>
  <c r="H103" i="34"/>
  <c r="K102" i="34"/>
  <c r="H102" i="34"/>
  <c r="K101" i="34"/>
  <c r="H101" i="34"/>
  <c r="K100" i="34"/>
  <c r="H100" i="34"/>
  <c r="K99" i="34"/>
  <c r="H99" i="34"/>
  <c r="K98" i="34"/>
  <c r="H98" i="34"/>
  <c r="Y14" i="34"/>
  <c r="K97" i="34"/>
  <c r="H97" i="34"/>
  <c r="Y13" i="34"/>
  <c r="K37" i="34"/>
  <c r="H37" i="34"/>
  <c r="K78" i="34"/>
  <c r="H78" i="34"/>
  <c r="Y11" i="34"/>
  <c r="K17" i="34"/>
  <c r="H17" i="34"/>
  <c r="Y10" i="34"/>
  <c r="K15" i="34"/>
  <c r="H15" i="34"/>
  <c r="K14" i="34"/>
  <c r="H14" i="34"/>
  <c r="K11" i="34"/>
  <c r="H11" i="34"/>
  <c r="Y7" i="34"/>
  <c r="M55" i="34" s="1"/>
  <c r="K8" i="34"/>
  <c r="H8" i="34"/>
  <c r="Y6" i="34"/>
  <c r="J109" i="34" s="1"/>
  <c r="K7" i="34"/>
  <c r="H7" i="34"/>
  <c r="K6" i="34"/>
  <c r="H6" i="34"/>
  <c r="K5" i="34"/>
  <c r="H5" i="34"/>
  <c r="K3" i="34"/>
  <c r="H3" i="34"/>
  <c r="K2" i="34"/>
  <c r="H2" i="34"/>
  <c r="K58" i="33"/>
  <c r="H58" i="33"/>
  <c r="K98" i="33"/>
  <c r="H98" i="33"/>
  <c r="K97" i="33"/>
  <c r="H97" i="33"/>
  <c r="K96" i="33"/>
  <c r="H96" i="33"/>
  <c r="K95" i="33"/>
  <c r="H95" i="33"/>
  <c r="K94" i="33"/>
  <c r="H94" i="33"/>
  <c r="K93" i="33"/>
  <c r="H93" i="33"/>
  <c r="K92" i="33"/>
  <c r="H92" i="33"/>
  <c r="K91" i="33"/>
  <c r="H91" i="33"/>
  <c r="K90" i="33"/>
  <c r="H90" i="33"/>
  <c r="K89" i="33"/>
  <c r="H89" i="33"/>
  <c r="K88" i="33"/>
  <c r="H88" i="33"/>
  <c r="K87" i="33"/>
  <c r="H87" i="33"/>
  <c r="K86" i="33"/>
  <c r="H86" i="33"/>
  <c r="K85" i="33"/>
  <c r="H85" i="33"/>
  <c r="K84" i="33"/>
  <c r="H84" i="33"/>
  <c r="K83" i="33"/>
  <c r="H83" i="33"/>
  <c r="K82" i="33"/>
  <c r="H82" i="33"/>
  <c r="K81" i="33"/>
  <c r="H81" i="33"/>
  <c r="K80" i="33"/>
  <c r="H80" i="33"/>
  <c r="K79" i="33"/>
  <c r="H79" i="33"/>
  <c r="K78" i="33"/>
  <c r="H78" i="33"/>
  <c r="K77" i="33"/>
  <c r="H77" i="33"/>
  <c r="K76" i="33"/>
  <c r="H76" i="33"/>
  <c r="K75" i="33"/>
  <c r="H75" i="33"/>
  <c r="K74" i="33"/>
  <c r="H74" i="33"/>
  <c r="K73" i="33"/>
  <c r="H73" i="33"/>
  <c r="K72" i="33"/>
  <c r="H72" i="33"/>
  <c r="K71" i="33"/>
  <c r="H71" i="33"/>
  <c r="K70" i="33"/>
  <c r="H70" i="33"/>
  <c r="K69" i="33"/>
  <c r="H69" i="33"/>
  <c r="K68" i="33"/>
  <c r="H68" i="33"/>
  <c r="K67" i="33"/>
  <c r="H67" i="33"/>
  <c r="K66" i="33"/>
  <c r="H66" i="33"/>
  <c r="K65" i="33"/>
  <c r="H65" i="33"/>
  <c r="K64" i="33"/>
  <c r="H64" i="33"/>
  <c r="K63" i="33"/>
  <c r="H63" i="33"/>
  <c r="K62" i="33"/>
  <c r="H62" i="33"/>
  <c r="K61" i="33"/>
  <c r="H61" i="33"/>
  <c r="K60" i="33"/>
  <c r="H60" i="33"/>
  <c r="K59" i="33"/>
  <c r="H59" i="33"/>
  <c r="K57" i="33"/>
  <c r="H57" i="33"/>
  <c r="K56" i="33"/>
  <c r="H56" i="33"/>
  <c r="K55" i="33"/>
  <c r="H55" i="33"/>
  <c r="K54" i="33"/>
  <c r="H54" i="33"/>
  <c r="K53" i="33"/>
  <c r="H53" i="33"/>
  <c r="K52" i="33"/>
  <c r="H52" i="33"/>
  <c r="K51" i="33"/>
  <c r="H51" i="33"/>
  <c r="K50" i="33"/>
  <c r="H50" i="33"/>
  <c r="K49" i="33"/>
  <c r="H49" i="33"/>
  <c r="K48" i="33"/>
  <c r="H48" i="33"/>
  <c r="K47" i="33"/>
  <c r="H47" i="33"/>
  <c r="K46" i="33"/>
  <c r="H46" i="33"/>
  <c r="K45" i="33"/>
  <c r="H45" i="33"/>
  <c r="K44" i="33"/>
  <c r="H44" i="33"/>
  <c r="K43" i="33"/>
  <c r="H43" i="33"/>
  <c r="K42" i="33"/>
  <c r="H42" i="33"/>
  <c r="K41" i="33"/>
  <c r="H41" i="33"/>
  <c r="K40" i="33"/>
  <c r="H40" i="33"/>
  <c r="K39" i="33"/>
  <c r="H39" i="33"/>
  <c r="K38" i="33"/>
  <c r="H38" i="33"/>
  <c r="K37" i="33"/>
  <c r="H37" i="33"/>
  <c r="K36" i="33"/>
  <c r="H36" i="33"/>
  <c r="K35" i="33"/>
  <c r="H35" i="33"/>
  <c r="K34" i="33"/>
  <c r="H34" i="33"/>
  <c r="K33" i="33"/>
  <c r="H33" i="33"/>
  <c r="K31" i="33"/>
  <c r="H31" i="33"/>
  <c r="K32" i="33"/>
  <c r="H32" i="33"/>
  <c r="K30" i="33"/>
  <c r="H30" i="33"/>
  <c r="K29" i="33"/>
  <c r="H29" i="33"/>
  <c r="K28" i="33"/>
  <c r="H28" i="33"/>
  <c r="K27" i="33"/>
  <c r="H27" i="33"/>
  <c r="K26" i="33"/>
  <c r="H26" i="33"/>
  <c r="K25" i="33"/>
  <c r="H25" i="33"/>
  <c r="K24" i="33"/>
  <c r="H24" i="33"/>
  <c r="K23" i="33"/>
  <c r="H23" i="33"/>
  <c r="K22" i="33"/>
  <c r="H22" i="33"/>
  <c r="K21" i="33"/>
  <c r="H21" i="33"/>
  <c r="K18" i="33"/>
  <c r="H18" i="33"/>
  <c r="K20" i="33"/>
  <c r="H20" i="33"/>
  <c r="K19" i="33"/>
  <c r="H19" i="33"/>
  <c r="K17" i="33"/>
  <c r="H17" i="33"/>
  <c r="K16" i="33"/>
  <c r="H16" i="33"/>
  <c r="K128" i="33"/>
  <c r="H128" i="33"/>
  <c r="S45" i="33"/>
  <c r="K127" i="33"/>
  <c r="H127" i="33"/>
  <c r="S44" i="33"/>
  <c r="K126" i="33"/>
  <c r="H126" i="33"/>
  <c r="K125" i="33"/>
  <c r="H125" i="33"/>
  <c r="K124" i="33"/>
  <c r="H124" i="33"/>
  <c r="K123" i="33"/>
  <c r="H123" i="33"/>
  <c r="K122" i="33"/>
  <c r="H122" i="33"/>
  <c r="K121" i="33"/>
  <c r="H121" i="33"/>
  <c r="K120" i="33"/>
  <c r="H120" i="33"/>
  <c r="K119" i="33"/>
  <c r="H119" i="33"/>
  <c r="K118" i="33"/>
  <c r="H118" i="33"/>
  <c r="K117" i="33"/>
  <c r="H117" i="33"/>
  <c r="S34" i="33"/>
  <c r="K116" i="33"/>
  <c r="H116" i="33"/>
  <c r="S33" i="33"/>
  <c r="K115" i="33"/>
  <c r="H115" i="33"/>
  <c r="K114" i="33"/>
  <c r="H114" i="33"/>
  <c r="K113" i="33"/>
  <c r="H113" i="33"/>
  <c r="S30" i="33"/>
  <c r="K112" i="33"/>
  <c r="H112" i="33"/>
  <c r="S29" i="33"/>
  <c r="K111" i="33"/>
  <c r="H111" i="33"/>
  <c r="K110" i="33"/>
  <c r="H110" i="33"/>
  <c r="S27" i="33"/>
  <c r="K109" i="33"/>
  <c r="H109" i="33"/>
  <c r="S26" i="33"/>
  <c r="K108" i="33"/>
  <c r="H108" i="33"/>
  <c r="K107" i="33"/>
  <c r="H107" i="33"/>
  <c r="K106" i="33"/>
  <c r="H106" i="33"/>
  <c r="S22" i="33"/>
  <c r="K105" i="33"/>
  <c r="H105" i="33"/>
  <c r="S21" i="33"/>
  <c r="K104" i="33"/>
  <c r="H104" i="33"/>
  <c r="K103" i="33"/>
  <c r="H103" i="33"/>
  <c r="K102" i="33"/>
  <c r="H102" i="33"/>
  <c r="K101" i="33"/>
  <c r="H101" i="33"/>
  <c r="K100" i="33"/>
  <c r="H100" i="33"/>
  <c r="K99" i="33"/>
  <c r="H99" i="33"/>
  <c r="K15" i="33"/>
  <c r="H15" i="33"/>
  <c r="S14" i="33"/>
  <c r="K11" i="33"/>
  <c r="H11" i="33"/>
  <c r="S13" i="33"/>
  <c r="K6" i="33"/>
  <c r="H6" i="33"/>
  <c r="K10" i="33"/>
  <c r="H10" i="33"/>
  <c r="S11" i="33"/>
  <c r="K3" i="33"/>
  <c r="H3" i="33"/>
  <c r="S10" i="33"/>
  <c r="K14" i="33"/>
  <c r="H14" i="33"/>
  <c r="K2" i="33"/>
  <c r="H2" i="33"/>
  <c r="K5" i="33"/>
  <c r="H5" i="33"/>
  <c r="S7" i="33"/>
  <c r="M58" i="33" s="1"/>
  <c r="K7" i="33"/>
  <c r="H7" i="33"/>
  <c r="S6" i="33"/>
  <c r="J94" i="33" s="1"/>
  <c r="K12" i="33"/>
  <c r="H12" i="33"/>
  <c r="K9" i="33"/>
  <c r="H9" i="33"/>
  <c r="K8" i="33"/>
  <c r="H8" i="33"/>
  <c r="K4" i="33"/>
  <c r="H4" i="33"/>
  <c r="K13" i="33"/>
  <c r="H13" i="33"/>
  <c r="M3" i="32"/>
  <c r="M5" i="32"/>
  <c r="M6" i="32"/>
  <c r="M16" i="32"/>
  <c r="M18" i="32"/>
  <c r="M20" i="32"/>
  <c r="M29" i="32"/>
  <c r="M68" i="32"/>
  <c r="M70" i="32"/>
  <c r="M80" i="32"/>
  <c r="M81" i="32"/>
  <c r="K2" i="32"/>
  <c r="K3" i="32"/>
  <c r="K5" i="32"/>
  <c r="K6" i="32"/>
  <c r="K7" i="32"/>
  <c r="K8" i="32"/>
  <c r="K11" i="32"/>
  <c r="K14" i="32"/>
  <c r="K15" i="32"/>
  <c r="K17" i="32"/>
  <c r="K78" i="32"/>
  <c r="K37" i="32"/>
  <c r="K97" i="32"/>
  <c r="K98" i="32"/>
  <c r="K99" i="32"/>
  <c r="K100" i="32"/>
  <c r="K101" i="32"/>
  <c r="K102" i="32"/>
  <c r="K103" i="32"/>
  <c r="K104" i="32"/>
  <c r="K105" i="32"/>
  <c r="K106" i="32"/>
  <c r="K107" i="32"/>
  <c r="K108" i="32"/>
  <c r="K109" i="32"/>
  <c r="K110" i="32"/>
  <c r="K111" i="32"/>
  <c r="K112" i="32"/>
  <c r="K113" i="32"/>
  <c r="K114" i="32"/>
  <c r="K115" i="32"/>
  <c r="K116" i="32"/>
  <c r="K117" i="32"/>
  <c r="K118" i="32"/>
  <c r="K119" i="32"/>
  <c r="K120" i="32"/>
  <c r="K121" i="32"/>
  <c r="K122" i="32"/>
  <c r="K123" i="32"/>
  <c r="K124" i="32"/>
  <c r="K125" i="32"/>
  <c r="K126" i="32"/>
  <c r="K127" i="32"/>
  <c r="K128" i="32"/>
  <c r="K4" i="32"/>
  <c r="K9" i="32"/>
  <c r="K12" i="32"/>
  <c r="K13" i="32"/>
  <c r="K10" i="32"/>
  <c r="K16" i="32"/>
  <c r="K18" i="32"/>
  <c r="K19" i="32"/>
  <c r="K20" i="32"/>
  <c r="K21" i="32"/>
  <c r="K22" i="32"/>
  <c r="K23" i="32"/>
  <c r="K24" i="32"/>
  <c r="K25" i="32"/>
  <c r="K26" i="32"/>
  <c r="K28" i="32"/>
  <c r="K27" i="32"/>
  <c r="K29" i="32"/>
  <c r="K30" i="32"/>
  <c r="K31" i="32"/>
  <c r="K32" i="32"/>
  <c r="K33" i="32"/>
  <c r="K34" i="32"/>
  <c r="K35" i="32"/>
  <c r="K36" i="32"/>
  <c r="K38" i="32"/>
  <c r="K39" i="32"/>
  <c r="K40" i="32"/>
  <c r="K41" i="32"/>
  <c r="K42" i="32"/>
  <c r="K43" i="32"/>
  <c r="K44" i="32"/>
  <c r="K45" i="32"/>
  <c r="K46" i="32"/>
  <c r="K47" i="32"/>
  <c r="K48" i="32"/>
  <c r="K49" i="32"/>
  <c r="K50" i="32"/>
  <c r="K51" i="32"/>
  <c r="K52" i="32"/>
  <c r="K53" i="32"/>
  <c r="K54" i="32"/>
  <c r="K56" i="32"/>
  <c r="K57" i="32"/>
  <c r="K58" i="32"/>
  <c r="K59" i="32"/>
  <c r="K60" i="32"/>
  <c r="K61" i="32"/>
  <c r="K62" i="32"/>
  <c r="K63" i="32"/>
  <c r="K64" i="32"/>
  <c r="K65" i="32"/>
  <c r="K66" i="32"/>
  <c r="K67" i="32"/>
  <c r="K68" i="32"/>
  <c r="K69" i="32"/>
  <c r="K70" i="32"/>
  <c r="K71" i="32"/>
  <c r="K72" i="32"/>
  <c r="K73" i="32"/>
  <c r="K74" i="32"/>
  <c r="K75" i="32"/>
  <c r="K76" i="32"/>
  <c r="K77" i="32"/>
  <c r="K79" i="32"/>
  <c r="K80" i="32"/>
  <c r="K81" i="32"/>
  <c r="K82" i="32"/>
  <c r="K83" i="32"/>
  <c r="K84" i="32"/>
  <c r="K85" i="32"/>
  <c r="K86" i="32"/>
  <c r="K87" i="32"/>
  <c r="K88" i="32"/>
  <c r="K89" i="32"/>
  <c r="K90" i="32"/>
  <c r="K91" i="32"/>
  <c r="K92" i="32"/>
  <c r="K93" i="32"/>
  <c r="K94" i="32"/>
  <c r="K95" i="32"/>
  <c r="K96" i="32"/>
  <c r="K55" i="32"/>
  <c r="H2" i="32"/>
  <c r="H3" i="32"/>
  <c r="H5" i="32"/>
  <c r="H6" i="32"/>
  <c r="H7" i="32"/>
  <c r="H8" i="32"/>
  <c r="H11" i="32"/>
  <c r="H14" i="32"/>
  <c r="H15" i="32"/>
  <c r="H17" i="32"/>
  <c r="H78" i="32"/>
  <c r="H37" i="32"/>
  <c r="H97" i="32"/>
  <c r="H98" i="32"/>
  <c r="H99" i="32"/>
  <c r="H100" i="32"/>
  <c r="H101" i="32"/>
  <c r="H102" i="32"/>
  <c r="H103" i="32"/>
  <c r="H104" i="32"/>
  <c r="H105" i="32"/>
  <c r="H106" i="32"/>
  <c r="H107" i="32"/>
  <c r="H108" i="32"/>
  <c r="H109" i="32"/>
  <c r="H110" i="32"/>
  <c r="H111" i="32"/>
  <c r="H112" i="32"/>
  <c r="H113" i="32"/>
  <c r="H114" i="32"/>
  <c r="H115" i="32"/>
  <c r="H116" i="32"/>
  <c r="H117" i="32"/>
  <c r="H118" i="32"/>
  <c r="H119" i="32"/>
  <c r="H120" i="32"/>
  <c r="H121" i="32"/>
  <c r="H122" i="32"/>
  <c r="H123" i="32"/>
  <c r="H124" i="32"/>
  <c r="H125" i="32"/>
  <c r="H126" i="32"/>
  <c r="H127" i="32"/>
  <c r="H128" i="32"/>
  <c r="H4" i="32"/>
  <c r="H9" i="32"/>
  <c r="H12" i="32"/>
  <c r="H13" i="32"/>
  <c r="H10" i="32"/>
  <c r="H16" i="32"/>
  <c r="H18" i="32"/>
  <c r="H19" i="32"/>
  <c r="H20" i="32"/>
  <c r="H21" i="32"/>
  <c r="H22" i="32"/>
  <c r="H23" i="32"/>
  <c r="H24" i="32"/>
  <c r="H25" i="32"/>
  <c r="H26" i="32"/>
  <c r="H28" i="32"/>
  <c r="H27" i="32"/>
  <c r="H29" i="32"/>
  <c r="H30" i="32"/>
  <c r="H31" i="32"/>
  <c r="H32" i="32"/>
  <c r="H33" i="32"/>
  <c r="H34" i="32"/>
  <c r="H35" i="32"/>
  <c r="H36" i="32"/>
  <c r="H38" i="32"/>
  <c r="H39" i="32"/>
  <c r="H40" i="32"/>
  <c r="H41" i="32"/>
  <c r="H42" i="32"/>
  <c r="H43" i="32"/>
  <c r="H44" i="32"/>
  <c r="H45" i="32"/>
  <c r="H46" i="32"/>
  <c r="H47" i="32"/>
  <c r="H48" i="32"/>
  <c r="H49" i="32"/>
  <c r="H50" i="32"/>
  <c r="H51" i="32"/>
  <c r="H52" i="32"/>
  <c r="H53" i="32"/>
  <c r="H54" i="32"/>
  <c r="H56" i="32"/>
  <c r="H57" i="32"/>
  <c r="H58" i="32"/>
  <c r="H59" i="32"/>
  <c r="H60" i="32"/>
  <c r="H61" i="32"/>
  <c r="H62" i="32"/>
  <c r="H63" i="32"/>
  <c r="H64" i="32"/>
  <c r="H65" i="32"/>
  <c r="H66" i="32"/>
  <c r="H67" i="32"/>
  <c r="H68" i="32"/>
  <c r="H69" i="32"/>
  <c r="H70" i="32"/>
  <c r="H71" i="32"/>
  <c r="H72" i="32"/>
  <c r="H73" i="32"/>
  <c r="H74" i="32"/>
  <c r="H75" i="32"/>
  <c r="H76" i="32"/>
  <c r="H77" i="32"/>
  <c r="H79" i="32"/>
  <c r="H80" i="32"/>
  <c r="H81" i="32"/>
  <c r="H82" i="32"/>
  <c r="H83" i="32"/>
  <c r="H84" i="32"/>
  <c r="H85" i="32"/>
  <c r="H86" i="32"/>
  <c r="H87" i="32"/>
  <c r="H88" i="32"/>
  <c r="H89" i="32"/>
  <c r="H90" i="32"/>
  <c r="H91" i="32"/>
  <c r="H92" i="32"/>
  <c r="H93" i="32"/>
  <c r="H94" i="32"/>
  <c r="H95" i="32"/>
  <c r="H96" i="32"/>
  <c r="H55" i="32"/>
  <c r="J3" i="32"/>
  <c r="J102" i="32"/>
  <c r="J117" i="32"/>
  <c r="J10" i="32"/>
  <c r="J32" i="32"/>
  <c r="I9" i="32"/>
  <c r="I10" i="32"/>
  <c r="I80" i="32"/>
  <c r="I83" i="32"/>
  <c r="P45" i="32"/>
  <c r="P44" i="32"/>
  <c r="P34" i="32"/>
  <c r="P33" i="32"/>
  <c r="P30" i="32"/>
  <c r="P29" i="32"/>
  <c r="P27" i="32"/>
  <c r="P26" i="32"/>
  <c r="P22" i="32"/>
  <c r="L6" i="32" s="1"/>
  <c r="P21" i="32"/>
  <c r="I7" i="32" s="1"/>
  <c r="P14" i="32"/>
  <c r="P13" i="32"/>
  <c r="P11" i="32"/>
  <c r="P10" i="32"/>
  <c r="P7" i="32"/>
  <c r="M7" i="32" s="1"/>
  <c r="P6" i="32"/>
  <c r="J6" i="32" s="1"/>
  <c r="K55" i="31"/>
  <c r="J55" i="31"/>
  <c r="I55" i="31"/>
  <c r="H55" i="31"/>
  <c r="K96" i="31"/>
  <c r="J96" i="31"/>
  <c r="I96" i="31"/>
  <c r="H96" i="31"/>
  <c r="K95" i="31"/>
  <c r="J95" i="31"/>
  <c r="I95" i="31"/>
  <c r="H95" i="31"/>
  <c r="K94" i="31"/>
  <c r="J94" i="31"/>
  <c r="I94" i="31"/>
  <c r="H94" i="31"/>
  <c r="K93" i="31"/>
  <c r="J93" i="31"/>
  <c r="I93" i="31"/>
  <c r="H93" i="31"/>
  <c r="K92" i="31"/>
  <c r="J92" i="31"/>
  <c r="I92" i="31"/>
  <c r="H92" i="31"/>
  <c r="K91" i="31"/>
  <c r="J91" i="31"/>
  <c r="I91" i="31"/>
  <c r="H91" i="31"/>
  <c r="K90" i="31"/>
  <c r="J90" i="31"/>
  <c r="I90" i="31"/>
  <c r="H90" i="31"/>
  <c r="K89" i="31"/>
  <c r="J89" i="31"/>
  <c r="I89" i="31"/>
  <c r="H89" i="31"/>
  <c r="K88" i="31"/>
  <c r="J88" i="31"/>
  <c r="I88" i="31"/>
  <c r="H88" i="31"/>
  <c r="K87" i="31"/>
  <c r="J87" i="31"/>
  <c r="I87" i="31"/>
  <c r="H87" i="31"/>
  <c r="K86" i="31"/>
  <c r="J86" i="31"/>
  <c r="I86" i="31"/>
  <c r="H86" i="31"/>
  <c r="K85" i="31"/>
  <c r="J85" i="31"/>
  <c r="I85" i="31"/>
  <c r="H85" i="31"/>
  <c r="K84" i="31"/>
  <c r="J84" i="31"/>
  <c r="I84" i="31"/>
  <c r="H84" i="31"/>
  <c r="K83" i="31"/>
  <c r="J83" i="31"/>
  <c r="I83" i="31"/>
  <c r="H83" i="31"/>
  <c r="K82" i="31"/>
  <c r="J82" i="31"/>
  <c r="I82" i="31"/>
  <c r="H82" i="31"/>
  <c r="K81" i="31"/>
  <c r="J81" i="31"/>
  <c r="I81" i="31"/>
  <c r="H81" i="31"/>
  <c r="K80" i="31"/>
  <c r="J80" i="31"/>
  <c r="I80" i="31"/>
  <c r="H80" i="31"/>
  <c r="K79" i="31"/>
  <c r="J79" i="31"/>
  <c r="I79" i="31"/>
  <c r="H79" i="31"/>
  <c r="K77" i="31"/>
  <c r="J77" i="31"/>
  <c r="I77" i="31"/>
  <c r="H77" i="31"/>
  <c r="K76" i="31"/>
  <c r="J76" i="31"/>
  <c r="I76" i="31"/>
  <c r="H76" i="31"/>
  <c r="K75" i="31"/>
  <c r="J75" i="31"/>
  <c r="I75" i="31"/>
  <c r="H75" i="31"/>
  <c r="K74" i="31"/>
  <c r="J74" i="31"/>
  <c r="I74" i="31"/>
  <c r="H74" i="31"/>
  <c r="K73" i="31"/>
  <c r="J73" i="31"/>
  <c r="I73" i="31"/>
  <c r="H73" i="31"/>
  <c r="K72" i="31"/>
  <c r="J72" i="31"/>
  <c r="I72" i="31"/>
  <c r="H72" i="31"/>
  <c r="K71" i="31"/>
  <c r="J71" i="31"/>
  <c r="I71" i="31"/>
  <c r="H71" i="31"/>
  <c r="K70" i="31"/>
  <c r="J70" i="31"/>
  <c r="I70" i="31"/>
  <c r="H70" i="31"/>
  <c r="K69" i="31"/>
  <c r="J69" i="31"/>
  <c r="I69" i="31"/>
  <c r="H69" i="31"/>
  <c r="K68" i="31"/>
  <c r="J68" i="31"/>
  <c r="I68" i="31"/>
  <c r="H68" i="31"/>
  <c r="K67" i="31"/>
  <c r="J67" i="31"/>
  <c r="I67" i="31"/>
  <c r="H67" i="31"/>
  <c r="K66" i="31"/>
  <c r="J66" i="31"/>
  <c r="I66" i="31"/>
  <c r="H66" i="31"/>
  <c r="K65" i="31"/>
  <c r="J65" i="31"/>
  <c r="I65" i="31"/>
  <c r="H65" i="31"/>
  <c r="K64" i="31"/>
  <c r="J64" i="31"/>
  <c r="I64" i="31"/>
  <c r="H64" i="31"/>
  <c r="K63" i="31"/>
  <c r="J63" i="31"/>
  <c r="I63" i="31"/>
  <c r="H63" i="31"/>
  <c r="K62" i="31"/>
  <c r="J62" i="31"/>
  <c r="I62" i="31"/>
  <c r="H62" i="31"/>
  <c r="K61" i="31"/>
  <c r="J61" i="31"/>
  <c r="I61" i="31"/>
  <c r="H61" i="31"/>
  <c r="K60" i="31"/>
  <c r="J60" i="31"/>
  <c r="I60" i="31"/>
  <c r="H60" i="31"/>
  <c r="K59" i="31"/>
  <c r="J59" i="31"/>
  <c r="I59" i="31"/>
  <c r="H59" i="31"/>
  <c r="K58" i="31"/>
  <c r="J58" i="31"/>
  <c r="I58" i="31"/>
  <c r="H58" i="31"/>
  <c r="K57" i="31"/>
  <c r="J57" i="31"/>
  <c r="I57" i="31"/>
  <c r="H57" i="31"/>
  <c r="K56" i="31"/>
  <c r="J56" i="31"/>
  <c r="I56" i="31"/>
  <c r="H56" i="31"/>
  <c r="K54" i="31"/>
  <c r="J54" i="31"/>
  <c r="I54" i="31"/>
  <c r="H54" i="31"/>
  <c r="K53" i="31"/>
  <c r="J53" i="31"/>
  <c r="I53" i="31"/>
  <c r="H53" i="31"/>
  <c r="K52" i="31"/>
  <c r="J52" i="31"/>
  <c r="I52" i="31"/>
  <c r="H52" i="31"/>
  <c r="K51" i="31"/>
  <c r="J51" i="31"/>
  <c r="I51" i="31"/>
  <c r="H51" i="31"/>
  <c r="K50" i="31"/>
  <c r="J50" i="31"/>
  <c r="I50" i="31"/>
  <c r="H50" i="31"/>
  <c r="K49" i="31"/>
  <c r="J49" i="31"/>
  <c r="I49" i="31"/>
  <c r="H49" i="31"/>
  <c r="K48" i="31"/>
  <c r="J48" i="31"/>
  <c r="I48" i="31"/>
  <c r="H48" i="31"/>
  <c r="K47" i="31"/>
  <c r="J47" i="31"/>
  <c r="I47" i="31"/>
  <c r="H47" i="31"/>
  <c r="K46" i="31"/>
  <c r="J46" i="31"/>
  <c r="I46" i="31"/>
  <c r="H46" i="31"/>
  <c r="K45" i="31"/>
  <c r="J45" i="31"/>
  <c r="I45" i="31"/>
  <c r="H45" i="31"/>
  <c r="K44" i="31"/>
  <c r="J44" i="31"/>
  <c r="I44" i="31"/>
  <c r="H44" i="31"/>
  <c r="K43" i="31"/>
  <c r="J43" i="31"/>
  <c r="I43" i="31"/>
  <c r="H43" i="31"/>
  <c r="K42" i="31"/>
  <c r="J42" i="31"/>
  <c r="I42" i="31"/>
  <c r="H42" i="31"/>
  <c r="K41" i="31"/>
  <c r="J41" i="31"/>
  <c r="I41" i="31"/>
  <c r="H41" i="31"/>
  <c r="K40" i="31"/>
  <c r="J40" i="31"/>
  <c r="I40" i="31"/>
  <c r="H40" i="31"/>
  <c r="K39" i="31"/>
  <c r="J39" i="31"/>
  <c r="I39" i="31"/>
  <c r="H39" i="31"/>
  <c r="K38" i="31"/>
  <c r="J38" i="31"/>
  <c r="I38" i="31"/>
  <c r="H38" i="31"/>
  <c r="K36" i="31"/>
  <c r="J36" i="31"/>
  <c r="I36" i="31"/>
  <c r="H36" i="31"/>
  <c r="K35" i="31"/>
  <c r="J35" i="31"/>
  <c r="I35" i="31"/>
  <c r="H35" i="31"/>
  <c r="K34" i="31"/>
  <c r="J34" i="31"/>
  <c r="I34" i="31"/>
  <c r="H34" i="31"/>
  <c r="K33" i="31"/>
  <c r="J33" i="31"/>
  <c r="I33" i="31"/>
  <c r="H33" i="31"/>
  <c r="K32" i="31"/>
  <c r="J32" i="31"/>
  <c r="I32" i="31"/>
  <c r="H32" i="31"/>
  <c r="K31" i="31"/>
  <c r="J31" i="31"/>
  <c r="I31" i="31"/>
  <c r="H31" i="31"/>
  <c r="K30" i="31"/>
  <c r="J30" i="31"/>
  <c r="I30" i="31"/>
  <c r="H30" i="31"/>
  <c r="K29" i="31"/>
  <c r="J29" i="31"/>
  <c r="I29" i="31"/>
  <c r="H29" i="31"/>
  <c r="K27" i="31"/>
  <c r="J27" i="31"/>
  <c r="I27" i="31"/>
  <c r="H27" i="31"/>
  <c r="K28" i="31"/>
  <c r="J28" i="31"/>
  <c r="I28" i="31"/>
  <c r="H28" i="31"/>
  <c r="K26" i="31"/>
  <c r="J26" i="31"/>
  <c r="I26" i="31"/>
  <c r="H26" i="31"/>
  <c r="K25" i="31"/>
  <c r="J25" i="31"/>
  <c r="I25" i="31"/>
  <c r="H25" i="31"/>
  <c r="K24" i="31"/>
  <c r="J24" i="31"/>
  <c r="I24" i="31"/>
  <c r="H24" i="31"/>
  <c r="K23" i="31"/>
  <c r="J23" i="31"/>
  <c r="I23" i="31"/>
  <c r="H23" i="31"/>
  <c r="K22" i="31"/>
  <c r="J22" i="31"/>
  <c r="I22" i="31"/>
  <c r="H22" i="31"/>
  <c r="K21" i="31"/>
  <c r="J21" i="31"/>
  <c r="I21" i="31"/>
  <c r="H21" i="31"/>
  <c r="K20" i="31"/>
  <c r="J20" i="31"/>
  <c r="I20" i="31"/>
  <c r="H20" i="31"/>
  <c r="K19" i="31"/>
  <c r="J19" i="31"/>
  <c r="I19" i="31"/>
  <c r="H19" i="31"/>
  <c r="K18" i="31"/>
  <c r="J18" i="31"/>
  <c r="I18" i="31"/>
  <c r="H18" i="31"/>
  <c r="K16" i="31"/>
  <c r="J16" i="31"/>
  <c r="I16" i="31"/>
  <c r="H16" i="31"/>
  <c r="K10" i="31"/>
  <c r="J10" i="31"/>
  <c r="I10" i="31"/>
  <c r="H10" i="31"/>
  <c r="K13" i="31"/>
  <c r="J13" i="31"/>
  <c r="I13" i="31"/>
  <c r="H13" i="31"/>
  <c r="K12" i="31"/>
  <c r="J12" i="31"/>
  <c r="I12" i="31"/>
  <c r="H12" i="31"/>
  <c r="K9" i="31"/>
  <c r="J9" i="31"/>
  <c r="I9" i="31"/>
  <c r="H9" i="31"/>
  <c r="K4" i="31"/>
  <c r="J4" i="31"/>
  <c r="I4" i="31"/>
  <c r="H4" i="31"/>
  <c r="K128" i="31"/>
  <c r="J128" i="31"/>
  <c r="I128" i="31"/>
  <c r="H128" i="31"/>
  <c r="K127" i="31"/>
  <c r="J127" i="31"/>
  <c r="I127" i="31"/>
  <c r="H127" i="31"/>
  <c r="K126" i="31"/>
  <c r="J126" i="31"/>
  <c r="I126" i="31"/>
  <c r="H126" i="31"/>
  <c r="K125" i="31"/>
  <c r="J125" i="31"/>
  <c r="I125" i="31"/>
  <c r="H125" i="31"/>
  <c r="K124" i="31"/>
  <c r="J124" i="31"/>
  <c r="I124" i="31"/>
  <c r="H124" i="31"/>
  <c r="K123" i="31"/>
  <c r="J123" i="31"/>
  <c r="I123" i="31"/>
  <c r="H123" i="31"/>
  <c r="K122" i="31"/>
  <c r="J122" i="31"/>
  <c r="I122" i="31"/>
  <c r="H122" i="31"/>
  <c r="K121" i="31"/>
  <c r="J121" i="31"/>
  <c r="I121" i="31"/>
  <c r="H121" i="31"/>
  <c r="K120" i="31"/>
  <c r="J120" i="31"/>
  <c r="I120" i="31"/>
  <c r="H120" i="31"/>
  <c r="K119" i="31"/>
  <c r="J119" i="31"/>
  <c r="I119" i="31"/>
  <c r="H119" i="31"/>
  <c r="K118" i="31"/>
  <c r="J118" i="31"/>
  <c r="I118" i="31"/>
  <c r="H118" i="31"/>
  <c r="K117" i="31"/>
  <c r="J117" i="31"/>
  <c r="I117" i="31"/>
  <c r="H117" i="31"/>
  <c r="K116" i="31"/>
  <c r="J116" i="31"/>
  <c r="I116" i="31"/>
  <c r="H116" i="31"/>
  <c r="K115" i="31"/>
  <c r="J115" i="31"/>
  <c r="I115" i="31"/>
  <c r="H115" i="31"/>
  <c r="K114" i="31"/>
  <c r="J114" i="31"/>
  <c r="I114" i="31"/>
  <c r="H114" i="31"/>
  <c r="K113" i="31"/>
  <c r="J113" i="31"/>
  <c r="I113" i="31"/>
  <c r="H113" i="31"/>
  <c r="K112" i="31"/>
  <c r="J112" i="31"/>
  <c r="I112" i="31"/>
  <c r="H112" i="31"/>
  <c r="K111" i="31"/>
  <c r="J111" i="31"/>
  <c r="I111" i="31"/>
  <c r="H111" i="31"/>
  <c r="K110" i="31"/>
  <c r="J110" i="31"/>
  <c r="I110" i="31"/>
  <c r="H110" i="31"/>
  <c r="K109" i="31"/>
  <c r="J109" i="31"/>
  <c r="I109" i="31"/>
  <c r="H109" i="31"/>
  <c r="P26" i="31"/>
  <c r="O26" i="31"/>
  <c r="K108" i="31"/>
  <c r="J108" i="31"/>
  <c r="I108" i="31"/>
  <c r="H108" i="31"/>
  <c r="K107" i="31"/>
  <c r="J107" i="31"/>
  <c r="I107" i="31"/>
  <c r="H107" i="31"/>
  <c r="K106" i="31"/>
  <c r="J106" i="31"/>
  <c r="I106" i="31"/>
  <c r="H106" i="31"/>
  <c r="P22" i="31"/>
  <c r="O22" i="31"/>
  <c r="K105" i="31"/>
  <c r="J105" i="31"/>
  <c r="I105" i="31"/>
  <c r="H105" i="31"/>
  <c r="P21" i="31"/>
  <c r="O21" i="31"/>
  <c r="K104" i="31"/>
  <c r="J104" i="31"/>
  <c r="I104" i="31"/>
  <c r="H104" i="31"/>
  <c r="K103" i="31"/>
  <c r="J103" i="31"/>
  <c r="I103" i="31"/>
  <c r="H103" i="31"/>
  <c r="K102" i="31"/>
  <c r="J102" i="31"/>
  <c r="I102" i="31"/>
  <c r="H102" i="31"/>
  <c r="K101" i="31"/>
  <c r="J101" i="31"/>
  <c r="I101" i="31"/>
  <c r="H101" i="31"/>
  <c r="K100" i="31"/>
  <c r="J100" i="31"/>
  <c r="I100" i="31"/>
  <c r="H100" i="31"/>
  <c r="K99" i="31"/>
  <c r="J99" i="31"/>
  <c r="I99" i="31"/>
  <c r="H99" i="31"/>
  <c r="K98" i="31"/>
  <c r="J98" i="31"/>
  <c r="I98" i="31"/>
  <c r="H98" i="31"/>
  <c r="O14" i="31"/>
  <c r="K97" i="31"/>
  <c r="J97" i="31"/>
  <c r="I97" i="31"/>
  <c r="H97" i="31"/>
  <c r="O13" i="31"/>
  <c r="K37" i="31"/>
  <c r="J37" i="31"/>
  <c r="I37" i="31"/>
  <c r="H37" i="31"/>
  <c r="K78" i="31"/>
  <c r="J78" i="31"/>
  <c r="I78" i="31"/>
  <c r="H78" i="31"/>
  <c r="O11" i="31"/>
  <c r="K17" i="31"/>
  <c r="J17" i="31"/>
  <c r="I17" i="31"/>
  <c r="H17" i="31"/>
  <c r="O10" i="31"/>
  <c r="K15" i="31"/>
  <c r="J15" i="31"/>
  <c r="I15" i="31"/>
  <c r="H15" i="31"/>
  <c r="K14" i="31"/>
  <c r="J14" i="31"/>
  <c r="I14" i="31"/>
  <c r="H14" i="31"/>
  <c r="K11" i="31"/>
  <c r="J11" i="31"/>
  <c r="I11" i="31"/>
  <c r="H11" i="31"/>
  <c r="O7" i="31"/>
  <c r="K8" i="31"/>
  <c r="J8" i="31"/>
  <c r="I8" i="31"/>
  <c r="H8" i="31"/>
  <c r="O6" i="31"/>
  <c r="K7" i="31"/>
  <c r="J7" i="31"/>
  <c r="I7" i="31"/>
  <c r="H7" i="31"/>
  <c r="K6" i="31"/>
  <c r="J6" i="31"/>
  <c r="I6" i="31"/>
  <c r="H6" i="31"/>
  <c r="K5" i="31"/>
  <c r="J5" i="31"/>
  <c r="I5" i="31"/>
  <c r="H5" i="31"/>
  <c r="K3" i="31"/>
  <c r="J3" i="31"/>
  <c r="I3" i="31"/>
  <c r="H3" i="31"/>
  <c r="K2" i="31"/>
  <c r="J2" i="31"/>
  <c r="I2" i="31"/>
  <c r="H2" i="31"/>
  <c r="K38" i="30"/>
  <c r="K39" i="30"/>
  <c r="K40" i="30"/>
  <c r="K42" i="30"/>
  <c r="K47" i="30"/>
  <c r="K48" i="30"/>
  <c r="K55" i="30"/>
  <c r="K56" i="30"/>
  <c r="K41" i="30"/>
  <c r="K49" i="30"/>
  <c r="K50" i="30"/>
  <c r="K57" i="30"/>
  <c r="K64" i="30"/>
  <c r="K63" i="30"/>
  <c r="K34" i="30"/>
  <c r="K36" i="30"/>
  <c r="K35" i="30"/>
  <c r="K33" i="30"/>
  <c r="K24" i="30"/>
  <c r="K25" i="30"/>
  <c r="K26" i="30"/>
  <c r="K29" i="30"/>
  <c r="K28" i="30"/>
  <c r="K31" i="30"/>
  <c r="K27" i="30"/>
  <c r="K23" i="30"/>
  <c r="K30" i="30"/>
  <c r="K32" i="30"/>
  <c r="K94" i="30"/>
  <c r="K68" i="30"/>
  <c r="K59" i="30"/>
  <c r="K61" i="30"/>
  <c r="K69" i="30"/>
  <c r="K70" i="30"/>
  <c r="K71" i="30"/>
  <c r="K72" i="30"/>
  <c r="K74" i="30"/>
  <c r="K80" i="30"/>
  <c r="K90" i="30"/>
  <c r="K91" i="30"/>
  <c r="K92" i="30"/>
  <c r="K93" i="30"/>
  <c r="K95" i="30"/>
  <c r="K73" i="30"/>
  <c r="K75" i="30"/>
  <c r="K84" i="30"/>
  <c r="K85" i="30"/>
  <c r="K86" i="30"/>
  <c r="K87" i="30"/>
  <c r="K96" i="30"/>
  <c r="K65" i="30"/>
  <c r="K76" i="30"/>
  <c r="K77" i="30"/>
  <c r="K5" i="30"/>
  <c r="K6" i="30"/>
  <c r="K11" i="30"/>
  <c r="K12" i="30"/>
  <c r="K78" i="30"/>
  <c r="K97" i="30"/>
  <c r="K98" i="30"/>
  <c r="K99" i="30"/>
  <c r="K101" i="30"/>
  <c r="K102" i="30"/>
  <c r="K103" i="30"/>
  <c r="K106" i="30"/>
  <c r="K108" i="30"/>
  <c r="K16" i="30"/>
  <c r="K18" i="30"/>
  <c r="K37" i="30"/>
  <c r="K127" i="30"/>
  <c r="K13" i="30"/>
  <c r="K100" i="30"/>
  <c r="K107" i="30"/>
  <c r="K123" i="30"/>
  <c r="K4" i="30"/>
  <c r="K111" i="30"/>
  <c r="K113" i="30"/>
  <c r="K117" i="30"/>
  <c r="K122" i="30"/>
  <c r="K10" i="30"/>
  <c r="K19" i="30"/>
  <c r="K20" i="30"/>
  <c r="K21" i="30"/>
  <c r="K22" i="30"/>
  <c r="K3" i="30"/>
  <c r="K104" i="30"/>
  <c r="K109" i="30"/>
  <c r="K112" i="30"/>
  <c r="K114" i="30"/>
  <c r="K116" i="30"/>
  <c r="K118" i="30"/>
  <c r="K119" i="30"/>
  <c r="K120" i="30"/>
  <c r="K121" i="30"/>
  <c r="K125" i="30"/>
  <c r="K126" i="30"/>
  <c r="K128" i="30"/>
  <c r="K14" i="30"/>
  <c r="K115" i="30"/>
  <c r="K2" i="30"/>
  <c r="K43" i="30"/>
  <c r="K60" i="30"/>
  <c r="K66" i="30"/>
  <c r="K89" i="30"/>
  <c r="K110" i="30"/>
  <c r="K124" i="30"/>
  <c r="K79" i="30"/>
  <c r="K83" i="30"/>
  <c r="K105" i="30"/>
  <c r="K82" i="30"/>
  <c r="K45" i="30"/>
  <c r="K58" i="30"/>
  <c r="K81" i="30"/>
  <c r="K88" i="30"/>
  <c r="K54" i="30"/>
  <c r="K62" i="30"/>
  <c r="K51" i="30"/>
  <c r="K44" i="30"/>
  <c r="K52" i="30"/>
  <c r="K67" i="30"/>
  <c r="K53" i="30"/>
  <c r="K9" i="30"/>
  <c r="K15" i="30"/>
  <c r="K8" i="30"/>
  <c r="K17" i="30"/>
  <c r="K7" i="30"/>
  <c r="K46" i="30"/>
  <c r="J38" i="30"/>
  <c r="J39" i="30"/>
  <c r="J40" i="30"/>
  <c r="J42" i="30"/>
  <c r="J47" i="30"/>
  <c r="J48" i="30"/>
  <c r="J55" i="30"/>
  <c r="J56" i="30"/>
  <c r="J41" i="30"/>
  <c r="J49" i="30"/>
  <c r="J50" i="30"/>
  <c r="J57" i="30"/>
  <c r="J64" i="30"/>
  <c r="J63" i="30"/>
  <c r="J34" i="30"/>
  <c r="J36" i="30"/>
  <c r="J35" i="30"/>
  <c r="J33" i="30"/>
  <c r="J24" i="30"/>
  <c r="J25" i="30"/>
  <c r="J26" i="30"/>
  <c r="J29" i="30"/>
  <c r="J28" i="30"/>
  <c r="J31" i="30"/>
  <c r="J27" i="30"/>
  <c r="J23" i="30"/>
  <c r="J30" i="30"/>
  <c r="J32" i="30"/>
  <c r="J94" i="30"/>
  <c r="J68" i="30"/>
  <c r="J59" i="30"/>
  <c r="J61" i="30"/>
  <c r="J69" i="30"/>
  <c r="J70" i="30"/>
  <c r="J71" i="30"/>
  <c r="J72" i="30"/>
  <c r="J74" i="30"/>
  <c r="J80" i="30"/>
  <c r="J90" i="30"/>
  <c r="J91" i="30"/>
  <c r="J92" i="30"/>
  <c r="J93" i="30"/>
  <c r="J95" i="30"/>
  <c r="J73" i="30"/>
  <c r="J75" i="30"/>
  <c r="J84" i="30"/>
  <c r="J85" i="30"/>
  <c r="J86" i="30"/>
  <c r="J87" i="30"/>
  <c r="J96" i="30"/>
  <c r="J65" i="30"/>
  <c r="J76" i="30"/>
  <c r="J77" i="30"/>
  <c r="J5" i="30"/>
  <c r="J6" i="30"/>
  <c r="J11" i="30"/>
  <c r="J12" i="30"/>
  <c r="J78" i="30"/>
  <c r="J97" i="30"/>
  <c r="J98" i="30"/>
  <c r="J99" i="30"/>
  <c r="J101" i="30"/>
  <c r="J102" i="30"/>
  <c r="J103" i="30"/>
  <c r="J106" i="30"/>
  <c r="J108" i="30"/>
  <c r="J16" i="30"/>
  <c r="J18" i="30"/>
  <c r="J37" i="30"/>
  <c r="J127" i="30"/>
  <c r="J13" i="30"/>
  <c r="J100" i="30"/>
  <c r="J107" i="30"/>
  <c r="J123" i="30"/>
  <c r="J4" i="30"/>
  <c r="J111" i="30"/>
  <c r="J113" i="30"/>
  <c r="J117" i="30"/>
  <c r="J122" i="30"/>
  <c r="J10" i="30"/>
  <c r="J19" i="30"/>
  <c r="J20" i="30"/>
  <c r="J21" i="30"/>
  <c r="J22" i="30"/>
  <c r="J3" i="30"/>
  <c r="J104" i="30"/>
  <c r="J109" i="30"/>
  <c r="J112" i="30"/>
  <c r="J114" i="30"/>
  <c r="J116" i="30"/>
  <c r="J118" i="30"/>
  <c r="J119" i="30"/>
  <c r="J120" i="30"/>
  <c r="J121" i="30"/>
  <c r="J125" i="30"/>
  <c r="J126" i="30"/>
  <c r="J128" i="30"/>
  <c r="J14" i="30"/>
  <c r="J115" i="30"/>
  <c r="J2" i="30"/>
  <c r="J43" i="30"/>
  <c r="J60" i="30"/>
  <c r="J66" i="30"/>
  <c r="J89" i="30"/>
  <c r="J110" i="30"/>
  <c r="J124" i="30"/>
  <c r="J79" i="30"/>
  <c r="J83" i="30"/>
  <c r="J105" i="30"/>
  <c r="J82" i="30"/>
  <c r="J45" i="30"/>
  <c r="J58" i="30"/>
  <c r="J81" i="30"/>
  <c r="J88" i="30"/>
  <c r="J54" i="30"/>
  <c r="J62" i="30"/>
  <c r="J51" i="30"/>
  <c r="J44" i="30"/>
  <c r="J52" i="30"/>
  <c r="J67" i="30"/>
  <c r="J53" i="30"/>
  <c r="J9" i="30"/>
  <c r="J15" i="30"/>
  <c r="J8" i="30"/>
  <c r="J17" i="30"/>
  <c r="J7" i="30"/>
  <c r="J46" i="30"/>
  <c r="P26" i="30"/>
  <c r="P21" i="30"/>
  <c r="P22" i="30"/>
  <c r="O26" i="30"/>
  <c r="O22" i="30"/>
  <c r="O21" i="30"/>
  <c r="O14" i="30"/>
  <c r="O13" i="30"/>
  <c r="O11" i="30"/>
  <c r="O10" i="30"/>
  <c r="O7" i="30"/>
  <c r="O6" i="30"/>
  <c r="H38" i="30"/>
  <c r="I38" i="30"/>
  <c r="H39" i="30"/>
  <c r="I39" i="30"/>
  <c r="H40" i="30"/>
  <c r="I40" i="30"/>
  <c r="H42" i="30"/>
  <c r="I42" i="30"/>
  <c r="H47" i="30"/>
  <c r="I47" i="30"/>
  <c r="H48" i="30"/>
  <c r="I48" i="30"/>
  <c r="H55" i="30"/>
  <c r="I55" i="30"/>
  <c r="H56" i="30"/>
  <c r="I56" i="30"/>
  <c r="H41" i="30"/>
  <c r="I41" i="30"/>
  <c r="H49" i="30"/>
  <c r="I49" i="30"/>
  <c r="H50" i="30"/>
  <c r="I50" i="30"/>
  <c r="H57" i="30"/>
  <c r="I57" i="30"/>
  <c r="H64" i="30"/>
  <c r="I64" i="30"/>
  <c r="H63" i="30"/>
  <c r="I63" i="30"/>
  <c r="H34" i="30"/>
  <c r="I34" i="30"/>
  <c r="H36" i="30"/>
  <c r="I36" i="30"/>
  <c r="H35" i="30"/>
  <c r="I35" i="30"/>
  <c r="H33" i="30"/>
  <c r="I33" i="30"/>
  <c r="H24" i="30"/>
  <c r="I24" i="30"/>
  <c r="H25" i="30"/>
  <c r="I25" i="30"/>
  <c r="H26" i="30"/>
  <c r="I26" i="30"/>
  <c r="H29" i="30"/>
  <c r="I29" i="30"/>
  <c r="H28" i="30"/>
  <c r="I28" i="30"/>
  <c r="H31" i="30"/>
  <c r="I31" i="30"/>
  <c r="H27" i="30"/>
  <c r="I27" i="30"/>
  <c r="H23" i="30"/>
  <c r="I23" i="30"/>
  <c r="H30" i="30"/>
  <c r="I30" i="30"/>
  <c r="H32" i="30"/>
  <c r="I32" i="30"/>
  <c r="H94" i="30"/>
  <c r="I94" i="30"/>
  <c r="H68" i="30"/>
  <c r="I68" i="30"/>
  <c r="H59" i="30"/>
  <c r="I59" i="30"/>
  <c r="H61" i="30"/>
  <c r="I61" i="30"/>
  <c r="H69" i="30"/>
  <c r="I69" i="30"/>
  <c r="H70" i="30"/>
  <c r="I70" i="30"/>
  <c r="H71" i="30"/>
  <c r="I71" i="30"/>
  <c r="H72" i="30"/>
  <c r="I72" i="30"/>
  <c r="H74" i="30"/>
  <c r="I74" i="30"/>
  <c r="H80" i="30"/>
  <c r="I80" i="30"/>
  <c r="H90" i="30"/>
  <c r="I90" i="30"/>
  <c r="H91" i="30"/>
  <c r="I91" i="30"/>
  <c r="H92" i="30"/>
  <c r="I92" i="30"/>
  <c r="H93" i="30"/>
  <c r="I93" i="30"/>
  <c r="H95" i="30"/>
  <c r="I95" i="30"/>
  <c r="H73" i="30"/>
  <c r="I73" i="30"/>
  <c r="H75" i="30"/>
  <c r="I75" i="30"/>
  <c r="H84" i="30"/>
  <c r="I84" i="30"/>
  <c r="H85" i="30"/>
  <c r="I85" i="30"/>
  <c r="H86" i="30"/>
  <c r="I86" i="30"/>
  <c r="H87" i="30"/>
  <c r="I87" i="30"/>
  <c r="H96" i="30"/>
  <c r="I96" i="30"/>
  <c r="H65" i="30"/>
  <c r="I65" i="30"/>
  <c r="H76" i="30"/>
  <c r="I76" i="30"/>
  <c r="H77" i="30"/>
  <c r="I77" i="30"/>
  <c r="H5" i="30"/>
  <c r="I5" i="30"/>
  <c r="H6" i="30"/>
  <c r="I6" i="30"/>
  <c r="H11" i="30"/>
  <c r="I11" i="30"/>
  <c r="H12" i="30"/>
  <c r="I12" i="30"/>
  <c r="H78" i="30"/>
  <c r="I78" i="30"/>
  <c r="H97" i="30"/>
  <c r="I97" i="30"/>
  <c r="H98" i="30"/>
  <c r="I98" i="30"/>
  <c r="H99" i="30"/>
  <c r="I99" i="30"/>
  <c r="H101" i="30"/>
  <c r="I101" i="30"/>
  <c r="H102" i="30"/>
  <c r="I102" i="30"/>
  <c r="H103" i="30"/>
  <c r="I103" i="30"/>
  <c r="H106" i="30"/>
  <c r="I106" i="30"/>
  <c r="H108" i="30"/>
  <c r="I108" i="30"/>
  <c r="H16" i="30"/>
  <c r="I16" i="30"/>
  <c r="H18" i="30"/>
  <c r="I18" i="30"/>
  <c r="H37" i="30"/>
  <c r="I37" i="30"/>
  <c r="H127" i="30"/>
  <c r="I127" i="30"/>
  <c r="H13" i="30"/>
  <c r="I13" i="30"/>
  <c r="H100" i="30"/>
  <c r="I100" i="30"/>
  <c r="H107" i="30"/>
  <c r="I107" i="30"/>
  <c r="H123" i="30"/>
  <c r="I123" i="30"/>
  <c r="H4" i="30"/>
  <c r="I4" i="30"/>
  <c r="H111" i="30"/>
  <c r="I111" i="30"/>
  <c r="H113" i="30"/>
  <c r="I113" i="30"/>
  <c r="H117" i="30"/>
  <c r="I117" i="30"/>
  <c r="H122" i="30"/>
  <c r="I122" i="30"/>
  <c r="H10" i="30"/>
  <c r="I10" i="30"/>
  <c r="H19" i="30"/>
  <c r="I19" i="30"/>
  <c r="H20" i="30"/>
  <c r="I20" i="30"/>
  <c r="H21" i="30"/>
  <c r="I21" i="30"/>
  <c r="H22" i="30"/>
  <c r="I22" i="30"/>
  <c r="H3" i="30"/>
  <c r="I3" i="30"/>
  <c r="H104" i="30"/>
  <c r="I104" i="30"/>
  <c r="H109" i="30"/>
  <c r="I109" i="30"/>
  <c r="H112" i="30"/>
  <c r="I112" i="30"/>
  <c r="H114" i="30"/>
  <c r="I114" i="30"/>
  <c r="H116" i="30"/>
  <c r="I116" i="30"/>
  <c r="H118" i="30"/>
  <c r="I118" i="30"/>
  <c r="H119" i="30"/>
  <c r="I119" i="30"/>
  <c r="H120" i="30"/>
  <c r="I120" i="30"/>
  <c r="H121" i="30"/>
  <c r="I121" i="30"/>
  <c r="H125" i="30"/>
  <c r="I125" i="30"/>
  <c r="H126" i="30"/>
  <c r="I126" i="30"/>
  <c r="H128" i="30"/>
  <c r="I128" i="30"/>
  <c r="H14" i="30"/>
  <c r="I14" i="30"/>
  <c r="H115" i="30"/>
  <c r="I115" i="30"/>
  <c r="H2" i="30"/>
  <c r="I2" i="30"/>
  <c r="H43" i="30"/>
  <c r="I43" i="30"/>
  <c r="H60" i="30"/>
  <c r="I60" i="30"/>
  <c r="H66" i="30"/>
  <c r="I66" i="30"/>
  <c r="H89" i="30"/>
  <c r="I89" i="30"/>
  <c r="H110" i="30"/>
  <c r="I110" i="30"/>
  <c r="H124" i="30"/>
  <c r="I124" i="30"/>
  <c r="H79" i="30"/>
  <c r="I79" i="30"/>
  <c r="H83" i="30"/>
  <c r="I83" i="30"/>
  <c r="H105" i="30"/>
  <c r="I105" i="30"/>
  <c r="H82" i="30"/>
  <c r="I82" i="30"/>
  <c r="H45" i="30"/>
  <c r="I45" i="30"/>
  <c r="H58" i="30"/>
  <c r="I58" i="30"/>
  <c r="H81" i="30"/>
  <c r="I81" i="30"/>
  <c r="H88" i="30"/>
  <c r="I88" i="30"/>
  <c r="H54" i="30"/>
  <c r="I54" i="30"/>
  <c r="H62" i="30"/>
  <c r="I62" i="30"/>
  <c r="H51" i="30"/>
  <c r="I51" i="30"/>
  <c r="H44" i="30"/>
  <c r="I44" i="30"/>
  <c r="H52" i="30"/>
  <c r="I52" i="30"/>
  <c r="H67" i="30"/>
  <c r="I67" i="30"/>
  <c r="H53" i="30"/>
  <c r="I53" i="30"/>
  <c r="H9" i="30"/>
  <c r="I9" i="30"/>
  <c r="H15" i="30"/>
  <c r="I15" i="30"/>
  <c r="H8" i="30"/>
  <c r="I8" i="30"/>
  <c r="H17" i="30"/>
  <c r="I17" i="30"/>
  <c r="H7" i="30"/>
  <c r="I7" i="30"/>
  <c r="H46" i="30"/>
  <c r="I46" i="30"/>
  <c r="I123" i="28"/>
  <c r="H123" i="28"/>
  <c r="I156" i="28"/>
  <c r="H156" i="28"/>
  <c r="I184" i="28"/>
  <c r="H184" i="28"/>
  <c r="I155" i="28"/>
  <c r="H155" i="28"/>
  <c r="I154" i="28"/>
  <c r="H154" i="28"/>
  <c r="I153" i="28"/>
  <c r="H153" i="28"/>
  <c r="I171" i="28"/>
  <c r="H171" i="28"/>
  <c r="I152" i="28"/>
  <c r="H152" i="28"/>
  <c r="I168" i="28"/>
  <c r="H168" i="28"/>
  <c r="I151" i="28"/>
  <c r="H151" i="28"/>
  <c r="I126" i="28"/>
  <c r="H126" i="28"/>
  <c r="I39" i="28"/>
  <c r="H39" i="28"/>
  <c r="I31" i="28"/>
  <c r="H31" i="28"/>
  <c r="I122" i="28"/>
  <c r="H122" i="28"/>
  <c r="I121" i="28"/>
  <c r="H121" i="28"/>
  <c r="I48" i="28"/>
  <c r="H48" i="28"/>
  <c r="I30" i="28"/>
  <c r="H30" i="28"/>
  <c r="I29" i="28"/>
  <c r="H29" i="28"/>
  <c r="I47" i="28"/>
  <c r="H47" i="28"/>
  <c r="I65" i="28"/>
  <c r="H65" i="28"/>
  <c r="I176" i="28"/>
  <c r="H176" i="28"/>
  <c r="I120" i="28"/>
  <c r="H120" i="28"/>
  <c r="I119" i="28"/>
  <c r="H119" i="28"/>
  <c r="I105" i="28"/>
  <c r="H105" i="28"/>
  <c r="I104" i="28"/>
  <c r="H104" i="28"/>
  <c r="I150" i="28"/>
  <c r="H150" i="28"/>
  <c r="I103" i="28"/>
  <c r="H103" i="28"/>
  <c r="I118" i="28"/>
  <c r="H118" i="28"/>
  <c r="I117" i="28"/>
  <c r="H117" i="28"/>
  <c r="I59" i="28"/>
  <c r="H59" i="28"/>
  <c r="I102" i="28"/>
  <c r="H102" i="28"/>
  <c r="I116" i="28"/>
  <c r="H116" i="28"/>
  <c r="I159" i="28"/>
  <c r="H159" i="28"/>
  <c r="I101" i="28"/>
  <c r="H101" i="28"/>
  <c r="I149" i="28"/>
  <c r="H149" i="28"/>
  <c r="I100" i="28"/>
  <c r="H100" i="28"/>
  <c r="I99" i="28"/>
  <c r="H99" i="28"/>
  <c r="I177" i="28"/>
  <c r="H177" i="28"/>
  <c r="I175" i="28"/>
  <c r="H175" i="28"/>
  <c r="I115" i="28"/>
  <c r="H115" i="28"/>
  <c r="I58" i="28"/>
  <c r="H58" i="28"/>
  <c r="I114" i="28"/>
  <c r="H114" i="28"/>
  <c r="I57" i="28"/>
  <c r="H57" i="28"/>
  <c r="I28" i="28"/>
  <c r="H28" i="28"/>
  <c r="I98" i="28"/>
  <c r="H98" i="28"/>
  <c r="I113" i="28"/>
  <c r="H113" i="28"/>
  <c r="I27" i="28"/>
  <c r="H27" i="28"/>
  <c r="I26" i="28"/>
  <c r="H26" i="28"/>
  <c r="I46" i="28"/>
  <c r="H46" i="28"/>
  <c r="I97" i="28"/>
  <c r="H97" i="28"/>
  <c r="I38" i="28"/>
  <c r="H38" i="28"/>
  <c r="I167" i="28"/>
  <c r="H167" i="28"/>
  <c r="I96" i="28"/>
  <c r="H96" i="28"/>
  <c r="I25" i="28"/>
  <c r="H25" i="28"/>
  <c r="I24" i="28"/>
  <c r="H24" i="28"/>
  <c r="I23" i="28"/>
  <c r="H23" i="28"/>
  <c r="I174" i="28"/>
  <c r="H174" i="28"/>
  <c r="I45" i="28"/>
  <c r="H45" i="28"/>
  <c r="I22" i="28"/>
  <c r="H22" i="28"/>
  <c r="I21" i="28"/>
  <c r="H21" i="28"/>
  <c r="I2" i="28"/>
  <c r="H2" i="28"/>
  <c r="I20" i="28"/>
  <c r="H20" i="28"/>
  <c r="I170" i="28"/>
  <c r="H170" i="28"/>
  <c r="I148" i="28"/>
  <c r="H148" i="28"/>
  <c r="I106" i="28"/>
  <c r="H106" i="28"/>
  <c r="I183" i="28"/>
  <c r="H183" i="28"/>
  <c r="I19" i="28"/>
  <c r="H19" i="28"/>
  <c r="I95" i="28"/>
  <c r="H95" i="28"/>
  <c r="I94" i="28"/>
  <c r="H94" i="28"/>
  <c r="I93" i="28"/>
  <c r="H93" i="28"/>
  <c r="I92" i="28"/>
  <c r="H92" i="28"/>
  <c r="I18" i="28"/>
  <c r="H18" i="28"/>
  <c r="I56" i="28"/>
  <c r="H56" i="28"/>
  <c r="I147" i="28"/>
  <c r="H147" i="28"/>
  <c r="I146" i="28"/>
  <c r="H146" i="28"/>
  <c r="I145" i="28"/>
  <c r="H145" i="28"/>
  <c r="I144" i="28"/>
  <c r="H144" i="28"/>
  <c r="I37" i="28"/>
  <c r="H37" i="28"/>
  <c r="I44" i="28"/>
  <c r="H44" i="28"/>
  <c r="I52" i="28"/>
  <c r="H52" i="28"/>
  <c r="I91" i="28"/>
  <c r="H91" i="28"/>
  <c r="I36" i="28"/>
  <c r="H36" i="28"/>
  <c r="I17" i="28"/>
  <c r="H17" i="28"/>
  <c r="I166" i="28"/>
  <c r="H166" i="28"/>
  <c r="I165" i="28"/>
  <c r="H165" i="28"/>
  <c r="I143" i="28"/>
  <c r="H143" i="28"/>
  <c r="I90" i="28"/>
  <c r="H90" i="28"/>
  <c r="I142" i="28"/>
  <c r="H142" i="28"/>
  <c r="I89" i="28"/>
  <c r="H89" i="28"/>
  <c r="I88" i="28"/>
  <c r="H88" i="28"/>
  <c r="I182" i="28"/>
  <c r="H182" i="28"/>
  <c r="I169" i="28"/>
  <c r="H169" i="28"/>
  <c r="I87" i="28"/>
  <c r="H87" i="28"/>
  <c r="I86" i="28"/>
  <c r="H86" i="28"/>
  <c r="I43" i="28"/>
  <c r="H43" i="28"/>
  <c r="I108" i="28"/>
  <c r="H108" i="28"/>
  <c r="I16" i="28"/>
  <c r="H16" i="28"/>
  <c r="I158" i="28"/>
  <c r="H158" i="28"/>
  <c r="I157" i="28"/>
  <c r="H157" i="28"/>
  <c r="I164" i="28"/>
  <c r="H164" i="28"/>
  <c r="I63" i="28"/>
  <c r="H63" i="28"/>
  <c r="I85" i="28"/>
  <c r="H85" i="28"/>
  <c r="I15" i="28"/>
  <c r="H15" i="28"/>
  <c r="I181" i="28"/>
  <c r="H181" i="28"/>
  <c r="I180" i="28"/>
  <c r="H180" i="28"/>
  <c r="I84" i="28"/>
  <c r="H84" i="28"/>
  <c r="I141" i="28"/>
  <c r="H141" i="28"/>
  <c r="I140" i="28"/>
  <c r="H140" i="28"/>
  <c r="I51" i="28"/>
  <c r="H51" i="28"/>
  <c r="I139" i="28"/>
  <c r="H139" i="28"/>
  <c r="I83" i="28"/>
  <c r="H83" i="28"/>
  <c r="I82" i="28"/>
  <c r="H82" i="28"/>
  <c r="I62" i="28"/>
  <c r="H62" i="28"/>
  <c r="I125" i="28"/>
  <c r="H125" i="28"/>
  <c r="I81" i="28"/>
  <c r="H81" i="28"/>
  <c r="I71" i="28"/>
  <c r="H71" i="28"/>
  <c r="I138" i="28"/>
  <c r="H138" i="28"/>
  <c r="I137" i="28"/>
  <c r="H137" i="28"/>
  <c r="I80" i="28"/>
  <c r="H80" i="28"/>
  <c r="I79" i="28"/>
  <c r="H79" i="28"/>
  <c r="I179" i="28"/>
  <c r="H179" i="28"/>
  <c r="H107" i="28"/>
  <c r="I50" i="28"/>
  <c r="H50" i="28"/>
  <c r="I78" i="28"/>
  <c r="H78" i="28"/>
  <c r="I14" i="28"/>
  <c r="H14" i="28"/>
  <c r="I178" i="28"/>
  <c r="H178" i="28"/>
  <c r="I77" i="28"/>
  <c r="H77" i="28"/>
  <c r="I76" i="28"/>
  <c r="H76" i="28"/>
  <c r="I136" i="28"/>
  <c r="H136" i="28"/>
  <c r="I75" i="28"/>
  <c r="H75" i="28"/>
  <c r="I74" i="28"/>
  <c r="H74" i="28"/>
  <c r="I163" i="28"/>
  <c r="H163" i="28"/>
  <c r="I172" i="28"/>
  <c r="H172" i="28"/>
  <c r="I135" i="28"/>
  <c r="H135" i="28"/>
  <c r="I173" i="28"/>
  <c r="H173" i="28"/>
  <c r="I35" i="28"/>
  <c r="H35" i="28"/>
  <c r="I134" i="28"/>
  <c r="H134" i="28"/>
  <c r="I133" i="28"/>
  <c r="H133" i="28"/>
  <c r="I132" i="28"/>
  <c r="H132" i="28"/>
  <c r="I162" i="28"/>
  <c r="H162" i="28"/>
  <c r="I73" i="28"/>
  <c r="H73" i="28"/>
  <c r="I124" i="28"/>
  <c r="H124" i="28"/>
  <c r="I49" i="28"/>
  <c r="H49" i="28"/>
  <c r="I3" i="28"/>
  <c r="H3" i="28"/>
  <c r="I64" i="28"/>
  <c r="H64" i="28"/>
  <c r="I42" i="28"/>
  <c r="H42" i="28"/>
  <c r="I131" i="28"/>
  <c r="H131" i="28"/>
  <c r="I61" i="28"/>
  <c r="H61" i="28"/>
  <c r="I112" i="28"/>
  <c r="H112" i="28"/>
  <c r="I13" i="28"/>
  <c r="H13" i="28"/>
  <c r="I55" i="28"/>
  <c r="H55" i="28"/>
  <c r="I41" i="28"/>
  <c r="H41" i="28"/>
  <c r="I12" i="28"/>
  <c r="H12" i="28"/>
  <c r="I11" i="28"/>
  <c r="H11" i="28"/>
  <c r="I10" i="28"/>
  <c r="H10" i="28"/>
  <c r="I60" i="28"/>
  <c r="H60" i="28"/>
  <c r="I70" i="28"/>
  <c r="H70" i="28"/>
  <c r="I69" i="28"/>
  <c r="H69" i="28"/>
  <c r="I111" i="28"/>
  <c r="H111" i="28"/>
  <c r="I110" i="28"/>
  <c r="H110" i="28"/>
  <c r="I109" i="28"/>
  <c r="H109" i="28"/>
  <c r="I68" i="28"/>
  <c r="H68" i="28"/>
  <c r="I130" i="28"/>
  <c r="H130" i="28"/>
  <c r="N22" i="28"/>
  <c r="M22" i="28"/>
  <c r="I129" i="28"/>
  <c r="H129" i="28"/>
  <c r="I161" i="28"/>
  <c r="H161" i="28"/>
  <c r="I67" i="28"/>
  <c r="H67" i="28"/>
  <c r="I34" i="28"/>
  <c r="H34" i="28"/>
  <c r="N18" i="28"/>
  <c r="M18" i="28"/>
  <c r="I54" i="28"/>
  <c r="H54" i="28"/>
  <c r="N17" i="28"/>
  <c r="M17" i="28"/>
  <c r="I33" i="28"/>
  <c r="H33" i="28"/>
  <c r="I9" i="28"/>
  <c r="H9" i="28"/>
  <c r="I128" i="28"/>
  <c r="H128" i="28"/>
  <c r="I66" i="28"/>
  <c r="H66" i="28"/>
  <c r="I40" i="28"/>
  <c r="H40" i="28"/>
  <c r="I8" i="28"/>
  <c r="H8" i="28"/>
  <c r="I7" i="28"/>
  <c r="H7" i="28"/>
  <c r="M10" i="28"/>
  <c r="I6" i="28"/>
  <c r="H6" i="28"/>
  <c r="M9" i="28"/>
  <c r="I32" i="28"/>
  <c r="H32" i="28"/>
  <c r="I185" i="28"/>
  <c r="M7" i="28"/>
  <c r="I5" i="28"/>
  <c r="H5" i="28"/>
  <c r="M6" i="28"/>
  <c r="I4" i="28"/>
  <c r="H4" i="28"/>
  <c r="I127" i="28"/>
  <c r="H127" i="28"/>
  <c r="I53" i="28"/>
  <c r="H53" i="28"/>
  <c r="M3" i="28"/>
  <c r="I107" i="28" s="1"/>
  <c r="I72" i="28"/>
  <c r="H72" i="28"/>
  <c r="M2" i="28"/>
  <c r="H185" i="28" s="1"/>
  <c r="I160" i="28"/>
  <c r="H160" i="28"/>
  <c r="I10" i="39" l="1"/>
  <c r="L16" i="39"/>
  <c r="AC7" i="38" a="1"/>
  <c r="AC7" i="38" s="1"/>
  <c r="Z2" i="35"/>
  <c r="Y2" i="35"/>
  <c r="W2" i="35"/>
  <c r="P6" i="45"/>
  <c r="P15" i="45"/>
  <c r="P8" i="45"/>
  <c r="P11" i="45"/>
  <c r="P3" i="44"/>
  <c r="P78" i="44"/>
  <c r="P98" i="44"/>
  <c r="P2" i="44"/>
  <c r="P14" i="44"/>
  <c r="P6" i="44"/>
  <c r="P15" i="44"/>
  <c r="P37" i="44"/>
  <c r="P8" i="44"/>
  <c r="P7" i="44"/>
  <c r="P97" i="44"/>
  <c r="P11" i="44"/>
  <c r="P5" i="44"/>
  <c r="P17" i="44"/>
  <c r="I3" i="40"/>
  <c r="I112" i="40"/>
  <c r="J67" i="40"/>
  <c r="I124" i="40"/>
  <c r="I51" i="40"/>
  <c r="I33" i="40"/>
  <c r="L97" i="40"/>
  <c r="J73" i="40"/>
  <c r="L67" i="40"/>
  <c r="L64" i="40"/>
  <c r="L51" i="40"/>
  <c r="L63" i="40"/>
  <c r="I12" i="40"/>
  <c r="I67" i="40"/>
  <c r="J51" i="40"/>
  <c r="I29" i="40"/>
  <c r="L33" i="40"/>
  <c r="I38" i="40"/>
  <c r="I2" i="40"/>
  <c r="I58" i="40"/>
  <c r="L38" i="40"/>
  <c r="I65" i="40"/>
  <c r="I10" i="40"/>
  <c r="I119" i="40"/>
  <c r="I125" i="40"/>
  <c r="I11" i="40"/>
  <c r="I49" i="40"/>
  <c r="J11" i="40"/>
  <c r="I63" i="40"/>
  <c r="I73" i="40"/>
  <c r="M27" i="40"/>
  <c r="L71" i="40"/>
  <c r="I127" i="40"/>
  <c r="I7" i="40"/>
  <c r="M85" i="40"/>
  <c r="J103" i="40"/>
  <c r="M91" i="40"/>
  <c r="L55" i="40"/>
  <c r="L59" i="40"/>
  <c r="J14" i="40"/>
  <c r="J82" i="40"/>
  <c r="M59" i="40"/>
  <c r="J89" i="40"/>
  <c r="L45" i="40"/>
  <c r="L125" i="40"/>
  <c r="L10" i="40"/>
  <c r="L29" i="40"/>
  <c r="L62" i="40"/>
  <c r="J24" i="40"/>
  <c r="M120" i="40"/>
  <c r="L39" i="40"/>
  <c r="M29" i="40"/>
  <c r="L12" i="40"/>
  <c r="L49" i="40"/>
  <c r="L122" i="40"/>
  <c r="L104" i="40"/>
  <c r="L112" i="40"/>
  <c r="I34" i="40"/>
  <c r="L43" i="40"/>
  <c r="M18" i="40"/>
  <c r="I13" i="40"/>
  <c r="J34" i="40"/>
  <c r="L44" i="40"/>
  <c r="L73" i="40"/>
  <c r="L11" i="40"/>
  <c r="L2" i="40"/>
  <c r="J13" i="40"/>
  <c r="M44" i="40"/>
  <c r="L96" i="40"/>
  <c r="I76" i="40"/>
  <c r="M123" i="40"/>
  <c r="M54" i="40"/>
  <c r="J3" i="40"/>
  <c r="L34" i="40"/>
  <c r="L13" i="40"/>
  <c r="I66" i="40"/>
  <c r="L84" i="40"/>
  <c r="I53" i="40"/>
  <c r="L3" i="40"/>
  <c r="L26" i="40"/>
  <c r="L27" i="40"/>
  <c r="I61" i="40"/>
  <c r="M90" i="40"/>
  <c r="J57" i="40"/>
  <c r="J25" i="40"/>
  <c r="M61" i="40"/>
  <c r="I89" i="40"/>
  <c r="J4" i="40"/>
  <c r="L90" i="40"/>
  <c r="L91" i="40"/>
  <c r="L120" i="40"/>
  <c r="M121" i="40"/>
  <c r="I57" i="40"/>
  <c r="J128" i="40"/>
  <c r="L123" i="40"/>
  <c r="M6" i="40"/>
  <c r="I14" i="40"/>
  <c r="I82" i="40"/>
  <c r="J83" i="40"/>
  <c r="L85" i="40"/>
  <c r="M23" i="40"/>
  <c r="J17" i="40"/>
  <c r="L18" i="40"/>
  <c r="M19" i="40"/>
  <c r="I103" i="40"/>
  <c r="J124" i="40"/>
  <c r="L54" i="40"/>
  <c r="M97" i="40"/>
  <c r="I62" i="40"/>
  <c r="J65" i="40"/>
  <c r="J66" i="40"/>
  <c r="J58" i="40"/>
  <c r="L25" i="40"/>
  <c r="M26" i="40"/>
  <c r="M55" i="40"/>
  <c r="M43" i="40"/>
  <c r="I88" i="40"/>
  <c r="J119" i="40"/>
  <c r="L4" i="40"/>
  <c r="M71" i="40"/>
  <c r="M45" i="40"/>
  <c r="M96" i="40"/>
  <c r="I5" i="40"/>
  <c r="J76" i="40"/>
  <c r="L128" i="40"/>
  <c r="M122" i="40"/>
  <c r="I126" i="40"/>
  <c r="J127" i="40"/>
  <c r="I50" i="40"/>
  <c r="J7" i="40"/>
  <c r="L83" i="40"/>
  <c r="M84" i="40"/>
  <c r="L17" i="40"/>
  <c r="M39" i="40"/>
  <c r="I102" i="40"/>
  <c r="J53" i="40"/>
  <c r="L124" i="40"/>
  <c r="M104" i="40"/>
  <c r="I99" i="40"/>
  <c r="J125" i="40"/>
  <c r="M73" i="40"/>
  <c r="M3" i="40"/>
  <c r="I64" i="40"/>
  <c r="J62" i="40"/>
  <c r="L24" i="40"/>
  <c r="M25" i="40"/>
  <c r="I70" i="40"/>
  <c r="J88" i="40"/>
  <c r="L89" i="40"/>
  <c r="M4" i="40"/>
  <c r="I75" i="40"/>
  <c r="J5" i="40"/>
  <c r="L57" i="40"/>
  <c r="M128" i="40"/>
  <c r="I111" i="40"/>
  <c r="J126" i="40"/>
  <c r="L14" i="40"/>
  <c r="I117" i="40"/>
  <c r="J50" i="40"/>
  <c r="L82" i="40"/>
  <c r="M83" i="40"/>
  <c r="M17" i="40"/>
  <c r="I52" i="40"/>
  <c r="J102" i="40"/>
  <c r="L103" i="40"/>
  <c r="M124" i="40"/>
  <c r="I36" i="40"/>
  <c r="J99" i="40"/>
  <c r="J38" i="40"/>
  <c r="J112" i="40"/>
  <c r="J64" i="40"/>
  <c r="L65" i="40"/>
  <c r="L66" i="40"/>
  <c r="L58" i="40"/>
  <c r="M24" i="40"/>
  <c r="I87" i="40"/>
  <c r="J70" i="40"/>
  <c r="L119" i="40"/>
  <c r="M89" i="40"/>
  <c r="I46" i="40"/>
  <c r="J75" i="40"/>
  <c r="L76" i="40"/>
  <c r="M57" i="40"/>
  <c r="I69" i="40"/>
  <c r="J111" i="40"/>
  <c r="L127" i="40"/>
  <c r="M14" i="40"/>
  <c r="I116" i="40"/>
  <c r="J117" i="40"/>
  <c r="L7" i="40"/>
  <c r="M82" i="40"/>
  <c r="I16" i="40"/>
  <c r="I8" i="40"/>
  <c r="J52" i="40"/>
  <c r="L53" i="40"/>
  <c r="M103" i="40"/>
  <c r="I107" i="40"/>
  <c r="J36" i="40"/>
  <c r="M67" i="40"/>
  <c r="M65" i="40"/>
  <c r="M66" i="40"/>
  <c r="M58" i="40"/>
  <c r="J87" i="40"/>
  <c r="L88" i="40"/>
  <c r="M119" i="40"/>
  <c r="I110" i="40"/>
  <c r="J46" i="40"/>
  <c r="L5" i="40"/>
  <c r="M76" i="40"/>
  <c r="I113" i="40"/>
  <c r="J69" i="40"/>
  <c r="L126" i="40"/>
  <c r="M127" i="40"/>
  <c r="I115" i="40"/>
  <c r="J116" i="40"/>
  <c r="L50" i="40"/>
  <c r="M7" i="40"/>
  <c r="J16" i="40"/>
  <c r="I101" i="40"/>
  <c r="J8" i="40"/>
  <c r="L102" i="40"/>
  <c r="M53" i="40"/>
  <c r="I98" i="40"/>
  <c r="J107" i="40"/>
  <c r="L99" i="40"/>
  <c r="M125" i="40"/>
  <c r="M62" i="40"/>
  <c r="L70" i="40"/>
  <c r="M88" i="40"/>
  <c r="I93" i="40"/>
  <c r="J110" i="40"/>
  <c r="L75" i="40"/>
  <c r="M5" i="40"/>
  <c r="I80" i="40"/>
  <c r="J113" i="40"/>
  <c r="L111" i="40"/>
  <c r="M126" i="40"/>
  <c r="I114" i="40"/>
  <c r="J115" i="40"/>
  <c r="L117" i="40"/>
  <c r="M50" i="40"/>
  <c r="I22" i="40"/>
  <c r="J101" i="40"/>
  <c r="L52" i="40"/>
  <c r="M102" i="40"/>
  <c r="I9" i="40"/>
  <c r="J98" i="40"/>
  <c r="L36" i="40"/>
  <c r="M99" i="40"/>
  <c r="M38" i="40"/>
  <c r="M112" i="40"/>
  <c r="M64" i="40"/>
  <c r="L87" i="40"/>
  <c r="M70" i="40"/>
  <c r="I92" i="40"/>
  <c r="J93" i="40"/>
  <c r="L46" i="40"/>
  <c r="M75" i="40"/>
  <c r="I79" i="40"/>
  <c r="J80" i="40"/>
  <c r="L69" i="40"/>
  <c r="M111" i="40"/>
  <c r="I31" i="40"/>
  <c r="J114" i="40"/>
  <c r="L116" i="40"/>
  <c r="M117" i="40"/>
  <c r="L16" i="40"/>
  <c r="I40" i="40"/>
  <c r="J22" i="40"/>
  <c r="L8" i="40"/>
  <c r="M52" i="40"/>
  <c r="I41" i="40"/>
  <c r="J9" i="40"/>
  <c r="L107" i="40"/>
  <c r="M36" i="40"/>
  <c r="M11" i="40"/>
  <c r="M13" i="40"/>
  <c r="M34" i="40"/>
  <c r="M87" i="40"/>
  <c r="I56" i="40"/>
  <c r="J92" i="40"/>
  <c r="L110" i="40"/>
  <c r="M46" i="40"/>
  <c r="I78" i="40"/>
  <c r="J79" i="40"/>
  <c r="L113" i="40"/>
  <c r="M69" i="40"/>
  <c r="I37" i="40"/>
  <c r="J31" i="40"/>
  <c r="L115" i="40"/>
  <c r="M116" i="40"/>
  <c r="M16" i="40"/>
  <c r="I21" i="40"/>
  <c r="J40" i="40"/>
  <c r="L101" i="40"/>
  <c r="M8" i="40"/>
  <c r="I60" i="40"/>
  <c r="J41" i="40"/>
  <c r="L98" i="40"/>
  <c r="M107" i="40"/>
  <c r="J63" i="40"/>
  <c r="J12" i="40"/>
  <c r="I35" i="40"/>
  <c r="I108" i="40"/>
  <c r="J56" i="40"/>
  <c r="L93" i="40"/>
  <c r="M110" i="40"/>
  <c r="I77" i="40"/>
  <c r="J78" i="40"/>
  <c r="L80" i="40"/>
  <c r="M113" i="40"/>
  <c r="I47" i="40"/>
  <c r="J37" i="40"/>
  <c r="L114" i="40"/>
  <c r="M115" i="40"/>
  <c r="I15" i="40"/>
  <c r="I32" i="40"/>
  <c r="J21" i="40"/>
  <c r="L22" i="40"/>
  <c r="M101" i="40"/>
  <c r="I100" i="40"/>
  <c r="J60" i="40"/>
  <c r="L9" i="40"/>
  <c r="M98" i="40"/>
  <c r="J10" i="40"/>
  <c r="J2" i="40"/>
  <c r="J49" i="40"/>
  <c r="I86" i="40"/>
  <c r="J35" i="40"/>
  <c r="I72" i="40"/>
  <c r="J108" i="40"/>
  <c r="L92" i="40"/>
  <c r="M93" i="40"/>
  <c r="I42" i="40"/>
  <c r="J77" i="40"/>
  <c r="L79" i="40"/>
  <c r="M80" i="40"/>
  <c r="I81" i="40"/>
  <c r="J47" i="40"/>
  <c r="L31" i="40"/>
  <c r="M114" i="40"/>
  <c r="I118" i="40"/>
  <c r="J15" i="40"/>
  <c r="I74" i="40"/>
  <c r="J32" i="40"/>
  <c r="L40" i="40"/>
  <c r="M22" i="40"/>
  <c r="I106" i="40"/>
  <c r="J100" i="40"/>
  <c r="L41" i="40"/>
  <c r="M9" i="40"/>
  <c r="J33" i="40"/>
  <c r="I28" i="40"/>
  <c r="I48" i="40"/>
  <c r="I109" i="40"/>
  <c r="J86" i="40"/>
  <c r="S47" i="40"/>
  <c r="S48" i="40"/>
  <c r="I68" i="40"/>
  <c r="J72" i="40"/>
  <c r="L56" i="40"/>
  <c r="M92" i="40"/>
  <c r="I95" i="40"/>
  <c r="J42" i="40"/>
  <c r="L78" i="40"/>
  <c r="M79" i="40"/>
  <c r="I30" i="40"/>
  <c r="J81" i="40"/>
  <c r="L37" i="40"/>
  <c r="M31" i="40"/>
  <c r="I94" i="40"/>
  <c r="J118" i="40"/>
  <c r="I20" i="40"/>
  <c r="J74" i="40"/>
  <c r="L21" i="40"/>
  <c r="M40" i="40"/>
  <c r="I105" i="40"/>
  <c r="J106" i="40"/>
  <c r="L60" i="40"/>
  <c r="M41" i="40"/>
  <c r="M63" i="40"/>
  <c r="M12" i="40"/>
  <c r="J28" i="40"/>
  <c r="J48" i="40"/>
  <c r="J109" i="40"/>
  <c r="L35" i="40"/>
  <c r="I121" i="40"/>
  <c r="J68" i="40"/>
  <c r="L108" i="40"/>
  <c r="M56" i="40"/>
  <c r="I6" i="40"/>
  <c r="J95" i="40"/>
  <c r="L77" i="40"/>
  <c r="M78" i="40"/>
  <c r="J30" i="40"/>
  <c r="L47" i="40"/>
  <c r="M37" i="40"/>
  <c r="I23" i="40"/>
  <c r="J94" i="40"/>
  <c r="L15" i="40"/>
  <c r="I19" i="40"/>
  <c r="J20" i="40"/>
  <c r="L32" i="40"/>
  <c r="M21" i="40"/>
  <c r="I97" i="40"/>
  <c r="J105" i="40"/>
  <c r="L100" i="40"/>
  <c r="M60" i="40"/>
  <c r="M10" i="40"/>
  <c r="M2" i="40"/>
  <c r="M49" i="40"/>
  <c r="I27" i="40"/>
  <c r="I59" i="40"/>
  <c r="I44" i="40"/>
  <c r="J61" i="40"/>
  <c r="L86" i="40"/>
  <c r="M35" i="40"/>
  <c r="I90" i="40"/>
  <c r="I91" i="40"/>
  <c r="I120" i="40"/>
  <c r="J121" i="40"/>
  <c r="L72" i="40"/>
  <c r="M108" i="40"/>
  <c r="I123" i="40"/>
  <c r="J6" i="40"/>
  <c r="L42" i="40"/>
  <c r="M77" i="40"/>
  <c r="L81" i="40"/>
  <c r="M47" i="40"/>
  <c r="I85" i="40"/>
  <c r="J23" i="40"/>
  <c r="L118" i="40"/>
  <c r="M15" i="40"/>
  <c r="I18" i="40"/>
  <c r="J19" i="40"/>
  <c r="L74" i="40"/>
  <c r="M32" i="40"/>
  <c r="I54" i="40"/>
  <c r="J97" i="40"/>
  <c r="L106" i="40"/>
  <c r="M100" i="40"/>
  <c r="M51" i="40"/>
  <c r="M33" i="40"/>
  <c r="I26" i="40"/>
  <c r="I55" i="40"/>
  <c r="I43" i="40"/>
  <c r="J27" i="40"/>
  <c r="J59" i="40"/>
  <c r="J44" i="40"/>
  <c r="L28" i="40"/>
  <c r="L48" i="40"/>
  <c r="L109" i="40"/>
  <c r="M86" i="40"/>
  <c r="I71" i="40"/>
  <c r="I45" i="40"/>
  <c r="I96" i="40"/>
  <c r="J90" i="40"/>
  <c r="J91" i="40"/>
  <c r="J120" i="40"/>
  <c r="L68" i="40"/>
  <c r="M72" i="40"/>
  <c r="I122" i="40"/>
  <c r="J123" i="40"/>
  <c r="L95" i="40"/>
  <c r="M42" i="40"/>
  <c r="L30" i="40"/>
  <c r="M81" i="40"/>
  <c r="I84" i="40"/>
  <c r="J85" i="40"/>
  <c r="L94" i="40"/>
  <c r="M118" i="40"/>
  <c r="I39" i="40"/>
  <c r="J18" i="40"/>
  <c r="L20" i="40"/>
  <c r="M74" i="40"/>
  <c r="I104" i="40"/>
  <c r="J54" i="40"/>
  <c r="L105" i="40"/>
  <c r="M106" i="40"/>
  <c r="J29" i="40"/>
  <c r="I25" i="40"/>
  <c r="J26" i="40"/>
  <c r="J55" i="40"/>
  <c r="J43" i="40"/>
  <c r="L61" i="40"/>
  <c r="M28" i="40"/>
  <c r="M48" i="40"/>
  <c r="M109" i="40"/>
  <c r="I4" i="40"/>
  <c r="J71" i="40"/>
  <c r="J45" i="40"/>
  <c r="J96" i="40"/>
  <c r="L121" i="40"/>
  <c r="M68" i="40"/>
  <c r="I128" i="40"/>
  <c r="J122" i="40"/>
  <c r="L6" i="40"/>
  <c r="M95" i="40"/>
  <c r="M30" i="40"/>
  <c r="I83" i="40"/>
  <c r="J84" i="40"/>
  <c r="L23" i="40"/>
  <c r="M94" i="40"/>
  <c r="I17" i="40"/>
  <c r="J39" i="40"/>
  <c r="L19" i="40"/>
  <c r="M20" i="40"/>
  <c r="I115" i="39"/>
  <c r="L10" i="39"/>
  <c r="I5" i="39"/>
  <c r="L21" i="39"/>
  <c r="L5" i="39"/>
  <c r="L8" i="39"/>
  <c r="L18" i="39"/>
  <c r="L2" i="39"/>
  <c r="L118" i="39"/>
  <c r="L3" i="39"/>
  <c r="I7" i="39"/>
  <c r="I2" i="39"/>
  <c r="L7" i="39"/>
  <c r="L12" i="39"/>
  <c r="I3" i="39"/>
  <c r="I8" i="39"/>
  <c r="L13" i="39"/>
  <c r="I16" i="39"/>
  <c r="I6" i="39"/>
  <c r="I11" i="39"/>
  <c r="L6" i="39"/>
  <c r="L11" i="39"/>
  <c r="I14" i="39"/>
  <c r="I4" i="39"/>
  <c r="I9" i="39"/>
  <c r="L14" i="39"/>
  <c r="L17" i="39"/>
  <c r="L4" i="39"/>
  <c r="L9" i="39"/>
  <c r="J21" i="39"/>
  <c r="J2" i="39"/>
  <c r="J14" i="39"/>
  <c r="J7" i="39"/>
  <c r="J42" i="39"/>
  <c r="I12" i="39"/>
  <c r="I17" i="39"/>
  <c r="L28" i="39"/>
  <c r="I20" i="39"/>
  <c r="I23" i="39"/>
  <c r="J3" i="39"/>
  <c r="I15" i="39"/>
  <c r="J23" i="39"/>
  <c r="I13" i="39"/>
  <c r="L15" i="39"/>
  <c r="I18" i="39"/>
  <c r="I21" i="39"/>
  <c r="L23" i="39"/>
  <c r="M92" i="39"/>
  <c r="J19" i="39"/>
  <c r="M47" i="39"/>
  <c r="L63" i="39"/>
  <c r="I77" i="39"/>
  <c r="L99" i="39"/>
  <c r="I113" i="39"/>
  <c r="J77" i="39"/>
  <c r="J90" i="39"/>
  <c r="J113" i="39"/>
  <c r="L116" i="39"/>
  <c r="L19" i="39"/>
  <c r="M28" i="39"/>
  <c r="I40" i="39"/>
  <c r="I61" i="39"/>
  <c r="M116" i="39"/>
  <c r="L26" i="39"/>
  <c r="M31" i="39"/>
  <c r="J34" i="39"/>
  <c r="L45" i="39"/>
  <c r="J61" i="39"/>
  <c r="J10" i="39"/>
  <c r="M26" i="39"/>
  <c r="L37" i="39"/>
  <c r="M45" i="39"/>
  <c r="M93" i="39"/>
  <c r="L43" i="39"/>
  <c r="I88" i="39"/>
  <c r="L100" i="39"/>
  <c r="I22" i="39"/>
  <c r="J24" i="39"/>
  <c r="M48" i="39"/>
  <c r="L64" i="39"/>
  <c r="M100" i="39"/>
  <c r="J114" i="39"/>
  <c r="J22" i="39"/>
  <c r="M29" i="39"/>
  <c r="M64" i="39"/>
  <c r="J78" i="39"/>
  <c r="L91" i="39"/>
  <c r="I32" i="39"/>
  <c r="I38" i="39"/>
  <c r="I41" i="39"/>
  <c r="J62" i="39"/>
  <c r="M8" i="39"/>
  <c r="J13" i="39"/>
  <c r="L20" i="39"/>
  <c r="L22" i="39"/>
  <c r="J35" i="39"/>
  <c r="J41" i="39"/>
  <c r="M117" i="39"/>
  <c r="I128" i="39"/>
  <c r="L27" i="39"/>
  <c r="L46" i="39"/>
  <c r="I89" i="39"/>
  <c r="M27" i="39"/>
  <c r="L41" i="39"/>
  <c r="L44" i="39"/>
  <c r="M46" i="39"/>
  <c r="I76" i="39"/>
  <c r="J89" i="39"/>
  <c r="I112" i="39"/>
  <c r="L25" i="39"/>
  <c r="M44" i="39"/>
  <c r="M49" i="39"/>
  <c r="M65" i="39"/>
  <c r="M101" i="39"/>
  <c r="L115" i="39"/>
  <c r="M30" i="39"/>
  <c r="J33" i="39"/>
  <c r="J39" i="39"/>
  <c r="I60" i="39"/>
  <c r="L92" i="39"/>
  <c r="J15" i="39"/>
  <c r="I24" i="39"/>
  <c r="J25" i="39"/>
  <c r="L29" i="39"/>
  <c r="L30" i="39"/>
  <c r="L31" i="39"/>
  <c r="M32" i="39"/>
  <c r="I42" i="39"/>
  <c r="J43" i="39"/>
  <c r="L47" i="39"/>
  <c r="L48" i="39"/>
  <c r="L49" i="39"/>
  <c r="M50" i="39"/>
  <c r="I62" i="39"/>
  <c r="J63" i="39"/>
  <c r="L65" i="39"/>
  <c r="M66" i="39"/>
  <c r="I78" i="39"/>
  <c r="I90" i="39"/>
  <c r="J91" i="39"/>
  <c r="L93" i="39"/>
  <c r="M94" i="39"/>
  <c r="J99" i="39"/>
  <c r="L101" i="39"/>
  <c r="M102" i="39"/>
  <c r="I114" i="39"/>
  <c r="J115" i="39"/>
  <c r="L117" i="39"/>
  <c r="M118" i="39"/>
  <c r="M3" i="39"/>
  <c r="M15" i="39"/>
  <c r="I19" i="39"/>
  <c r="J20" i="39"/>
  <c r="L24" i="39"/>
  <c r="M25" i="39"/>
  <c r="I39" i="39"/>
  <c r="J40" i="39"/>
  <c r="L42" i="39"/>
  <c r="M43" i="39"/>
  <c r="I59" i="39"/>
  <c r="J60" i="39"/>
  <c r="L62" i="39"/>
  <c r="M63" i="39"/>
  <c r="I75" i="39"/>
  <c r="J76" i="39"/>
  <c r="L78" i="39"/>
  <c r="I87" i="39"/>
  <c r="J88" i="39"/>
  <c r="L90" i="39"/>
  <c r="M91" i="39"/>
  <c r="M99" i="39"/>
  <c r="I111" i="39"/>
  <c r="J112" i="39"/>
  <c r="L114" i="39"/>
  <c r="M115" i="39"/>
  <c r="I127" i="39"/>
  <c r="J128" i="39"/>
  <c r="M24" i="39"/>
  <c r="M42" i="39"/>
  <c r="I58" i="39"/>
  <c r="J59" i="39"/>
  <c r="L61" i="39"/>
  <c r="M62" i="39"/>
  <c r="I74" i="39"/>
  <c r="J75" i="39"/>
  <c r="L77" i="39"/>
  <c r="M78" i="39"/>
  <c r="I86" i="39"/>
  <c r="J87" i="39"/>
  <c r="L89" i="39"/>
  <c r="M90" i="39"/>
  <c r="I98" i="39"/>
  <c r="I110" i="39"/>
  <c r="J111" i="39"/>
  <c r="L113" i="39"/>
  <c r="M114" i="39"/>
  <c r="I126" i="39"/>
  <c r="J127" i="39"/>
  <c r="J6" i="39"/>
  <c r="M7" i="39"/>
  <c r="J12" i="39"/>
  <c r="J18" i="39"/>
  <c r="M21" i="39"/>
  <c r="M22" i="39"/>
  <c r="M23" i="39"/>
  <c r="J38" i="39"/>
  <c r="L40" i="39"/>
  <c r="M41" i="39"/>
  <c r="I57" i="39"/>
  <c r="J58" i="39"/>
  <c r="L60" i="39"/>
  <c r="M61" i="39"/>
  <c r="I73" i="39"/>
  <c r="J74" i="39"/>
  <c r="L76" i="39"/>
  <c r="M77" i="39"/>
  <c r="I85" i="39"/>
  <c r="J86" i="39"/>
  <c r="L88" i="39"/>
  <c r="M89" i="39"/>
  <c r="J98" i="39"/>
  <c r="I109" i="39"/>
  <c r="J110" i="39"/>
  <c r="L112" i="39"/>
  <c r="M113" i="39"/>
  <c r="I125" i="39"/>
  <c r="J126" i="39"/>
  <c r="L128" i="39"/>
  <c r="M2" i="39"/>
  <c r="M20" i="39"/>
  <c r="L39" i="39"/>
  <c r="M40" i="39"/>
  <c r="I56" i="39"/>
  <c r="J57" i="39"/>
  <c r="L59" i="39"/>
  <c r="M60" i="39"/>
  <c r="I72" i="39"/>
  <c r="J73" i="39"/>
  <c r="L75" i="39"/>
  <c r="M76" i="39"/>
  <c r="I84" i="39"/>
  <c r="J85" i="39"/>
  <c r="L87" i="39"/>
  <c r="M88" i="39"/>
  <c r="I108" i="39"/>
  <c r="J109" i="39"/>
  <c r="L111" i="39"/>
  <c r="M112" i="39"/>
  <c r="I124" i="39"/>
  <c r="J125" i="39"/>
  <c r="L127" i="39"/>
  <c r="M128" i="39"/>
  <c r="M13" i="39"/>
  <c r="M14" i="39"/>
  <c r="M19" i="39"/>
  <c r="L38" i="39"/>
  <c r="M39" i="39"/>
  <c r="I55" i="39"/>
  <c r="J56" i="39"/>
  <c r="L58" i="39"/>
  <c r="M59" i="39"/>
  <c r="I71" i="39"/>
  <c r="J72" i="39"/>
  <c r="L74" i="39"/>
  <c r="M75" i="39"/>
  <c r="I83" i="39"/>
  <c r="J84" i="39"/>
  <c r="L86" i="39"/>
  <c r="M87" i="39"/>
  <c r="L98" i="39"/>
  <c r="I107" i="39"/>
  <c r="J108" i="39"/>
  <c r="L110" i="39"/>
  <c r="M111" i="39"/>
  <c r="I123" i="39"/>
  <c r="J124" i="39"/>
  <c r="L126" i="39"/>
  <c r="M127" i="39"/>
  <c r="M6" i="39"/>
  <c r="M12" i="39"/>
  <c r="M18" i="39"/>
  <c r="M38" i="39"/>
  <c r="I54" i="39"/>
  <c r="J55" i="39"/>
  <c r="L57" i="39"/>
  <c r="M58" i="39"/>
  <c r="I70" i="39"/>
  <c r="J71" i="39"/>
  <c r="L73" i="39"/>
  <c r="M74" i="39"/>
  <c r="I82" i="39"/>
  <c r="J83" i="39"/>
  <c r="L85" i="39"/>
  <c r="M86" i="39"/>
  <c r="M98" i="39"/>
  <c r="I106" i="39"/>
  <c r="J107" i="39"/>
  <c r="L109" i="39"/>
  <c r="M110" i="39"/>
  <c r="I122" i="39"/>
  <c r="J123" i="39"/>
  <c r="L125" i="39"/>
  <c r="M126" i="39"/>
  <c r="J11" i="39"/>
  <c r="I37" i="39"/>
  <c r="I53" i="39"/>
  <c r="J54" i="39"/>
  <c r="L56" i="39"/>
  <c r="M57" i="39"/>
  <c r="I69" i="39"/>
  <c r="J70" i="39"/>
  <c r="L72" i="39"/>
  <c r="M73" i="39"/>
  <c r="I81" i="39"/>
  <c r="J82" i="39"/>
  <c r="L84" i="39"/>
  <c r="M85" i="39"/>
  <c r="I97" i="39"/>
  <c r="I105" i="39"/>
  <c r="J106" i="39"/>
  <c r="L108" i="39"/>
  <c r="M109" i="39"/>
  <c r="I121" i="39"/>
  <c r="J122" i="39"/>
  <c r="L124" i="39"/>
  <c r="M125" i="39"/>
  <c r="J5" i="39"/>
  <c r="J9" i="39"/>
  <c r="J17" i="39"/>
  <c r="I36" i="39"/>
  <c r="J37" i="39"/>
  <c r="I52" i="39"/>
  <c r="J53" i="39"/>
  <c r="L55" i="39"/>
  <c r="M56" i="39"/>
  <c r="I68" i="39"/>
  <c r="J69" i="39"/>
  <c r="L71" i="39"/>
  <c r="M72" i="39"/>
  <c r="I80" i="39"/>
  <c r="J81" i="39"/>
  <c r="L83" i="39"/>
  <c r="M84" i="39"/>
  <c r="I96" i="39"/>
  <c r="J97" i="39"/>
  <c r="I104" i="39"/>
  <c r="J105" i="39"/>
  <c r="L107" i="39"/>
  <c r="M108" i="39"/>
  <c r="I120" i="39"/>
  <c r="J121" i="39"/>
  <c r="L123" i="39"/>
  <c r="M124" i="39"/>
  <c r="J4" i="39"/>
  <c r="J16" i="39"/>
  <c r="I33" i="39"/>
  <c r="I34" i="39"/>
  <c r="I35" i="39"/>
  <c r="J36" i="39"/>
  <c r="X47" i="39"/>
  <c r="X48" i="39"/>
  <c r="I51" i="39"/>
  <c r="J52" i="39"/>
  <c r="L54" i="39"/>
  <c r="M55" i="39"/>
  <c r="I67" i="39"/>
  <c r="J68" i="39"/>
  <c r="L70" i="39"/>
  <c r="M71" i="39"/>
  <c r="I79" i="39"/>
  <c r="J80" i="39"/>
  <c r="L82" i="39"/>
  <c r="M83" i="39"/>
  <c r="I95" i="39"/>
  <c r="J96" i="39"/>
  <c r="I103" i="39"/>
  <c r="J104" i="39"/>
  <c r="L106" i="39"/>
  <c r="M107" i="39"/>
  <c r="I119" i="39"/>
  <c r="J120" i="39"/>
  <c r="L122" i="39"/>
  <c r="M123" i="39"/>
  <c r="M10" i="39"/>
  <c r="M11" i="39"/>
  <c r="I50" i="39"/>
  <c r="J51" i="39"/>
  <c r="L53" i="39"/>
  <c r="M54" i="39"/>
  <c r="I66" i="39"/>
  <c r="J67" i="39"/>
  <c r="L69" i="39"/>
  <c r="M70" i="39"/>
  <c r="J79" i="39"/>
  <c r="L81" i="39"/>
  <c r="M82" i="39"/>
  <c r="I94" i="39"/>
  <c r="J95" i="39"/>
  <c r="L97" i="39"/>
  <c r="I102" i="39"/>
  <c r="J103" i="39"/>
  <c r="L105" i="39"/>
  <c r="M106" i="39"/>
  <c r="I118" i="39"/>
  <c r="J119" i="39"/>
  <c r="L121" i="39"/>
  <c r="M122" i="39"/>
  <c r="M5" i="39"/>
  <c r="M9" i="39"/>
  <c r="M17" i="39"/>
  <c r="I29" i="39"/>
  <c r="I30" i="39"/>
  <c r="I31" i="39"/>
  <c r="J32" i="39"/>
  <c r="L36" i="39"/>
  <c r="M37" i="39"/>
  <c r="I47" i="39"/>
  <c r="I48" i="39"/>
  <c r="I49" i="39"/>
  <c r="J50" i="39"/>
  <c r="L52" i="39"/>
  <c r="M53" i="39"/>
  <c r="I65" i="39"/>
  <c r="J66" i="39"/>
  <c r="L68" i="39"/>
  <c r="M69" i="39"/>
  <c r="L80" i="39"/>
  <c r="M81" i="39"/>
  <c r="I93" i="39"/>
  <c r="J94" i="39"/>
  <c r="L96" i="39"/>
  <c r="M97" i="39"/>
  <c r="I101" i="39"/>
  <c r="J102" i="39"/>
  <c r="L104" i="39"/>
  <c r="M105" i="39"/>
  <c r="I117" i="39"/>
  <c r="J118" i="39"/>
  <c r="L120" i="39"/>
  <c r="M121" i="39"/>
  <c r="M4" i="39"/>
  <c r="M16" i="39"/>
  <c r="I26" i="39"/>
  <c r="I27" i="39"/>
  <c r="I28" i="39"/>
  <c r="J29" i="39"/>
  <c r="J30" i="39"/>
  <c r="J31" i="39"/>
  <c r="L33" i="39"/>
  <c r="L34" i="39"/>
  <c r="L35" i="39"/>
  <c r="M36" i="39"/>
  <c r="I44" i="39"/>
  <c r="I45" i="39"/>
  <c r="I46" i="39"/>
  <c r="J47" i="39"/>
  <c r="J48" i="39"/>
  <c r="J49" i="39"/>
  <c r="L51" i="39"/>
  <c r="M52" i="39"/>
  <c r="I64" i="39"/>
  <c r="J65" i="39"/>
  <c r="L67" i="39"/>
  <c r="M68" i="39"/>
  <c r="L79" i="39"/>
  <c r="M80" i="39"/>
  <c r="I92" i="39"/>
  <c r="J93" i="39"/>
  <c r="L95" i="39"/>
  <c r="M96" i="39"/>
  <c r="I100" i="39"/>
  <c r="J101" i="39"/>
  <c r="L103" i="39"/>
  <c r="M104" i="39"/>
  <c r="I116" i="39"/>
  <c r="J117" i="39"/>
  <c r="L119" i="39"/>
  <c r="M120" i="39"/>
  <c r="J8" i="39"/>
  <c r="I25" i="39"/>
  <c r="J26" i="39"/>
  <c r="J27" i="39"/>
  <c r="J28" i="39"/>
  <c r="L32" i="39"/>
  <c r="M33" i="39"/>
  <c r="M34" i="39"/>
  <c r="M35" i="39"/>
  <c r="I43" i="39"/>
  <c r="J44" i="39"/>
  <c r="J45" i="39"/>
  <c r="J46" i="39"/>
  <c r="L50" i="39"/>
  <c r="M51" i="39"/>
  <c r="I63" i="39"/>
  <c r="J64" i="39"/>
  <c r="L66" i="39"/>
  <c r="M67" i="39"/>
  <c r="M79" i="39"/>
  <c r="I91" i="39"/>
  <c r="J92" i="39"/>
  <c r="L94" i="39"/>
  <c r="M95" i="39"/>
  <c r="I99" i="39"/>
  <c r="J100" i="39"/>
  <c r="L102" i="39"/>
  <c r="M103" i="39"/>
  <c r="V6" i="34"/>
  <c r="V7" i="34"/>
  <c r="J127" i="33"/>
  <c r="J76" i="33"/>
  <c r="M113" i="33"/>
  <c r="L95" i="33"/>
  <c r="I118" i="32"/>
  <c r="I84" i="32"/>
  <c r="I16" i="32"/>
  <c r="J49" i="32"/>
  <c r="M83" i="32"/>
  <c r="M32" i="32"/>
  <c r="M99" i="32"/>
  <c r="I66" i="32"/>
  <c r="I117" i="32"/>
  <c r="L83" i="32"/>
  <c r="M67" i="32"/>
  <c r="M10" i="32"/>
  <c r="I63" i="32"/>
  <c r="I114" i="32"/>
  <c r="L66" i="32"/>
  <c r="M66" i="32"/>
  <c r="M9" i="32"/>
  <c r="I53" i="32"/>
  <c r="I106" i="32"/>
  <c r="L49" i="32"/>
  <c r="M63" i="32"/>
  <c r="M121" i="32"/>
  <c r="I70" i="32"/>
  <c r="I50" i="32"/>
  <c r="I103" i="32"/>
  <c r="L32" i="32"/>
  <c r="M53" i="32"/>
  <c r="M119" i="32"/>
  <c r="I49" i="32"/>
  <c r="I102" i="32"/>
  <c r="L10" i="32"/>
  <c r="M51" i="32"/>
  <c r="M118" i="32"/>
  <c r="I46" i="32"/>
  <c r="I99" i="32"/>
  <c r="L117" i="32"/>
  <c r="M50" i="32"/>
  <c r="M117" i="32"/>
  <c r="I11" i="32"/>
  <c r="I36" i="32"/>
  <c r="I8" i="32"/>
  <c r="M55" i="32"/>
  <c r="M49" i="32"/>
  <c r="M114" i="32"/>
  <c r="L7" i="32"/>
  <c r="I33" i="32"/>
  <c r="I5" i="32"/>
  <c r="M96" i="32"/>
  <c r="M46" i="32"/>
  <c r="M106" i="32"/>
  <c r="P47" i="32"/>
  <c r="I32" i="32"/>
  <c r="I3" i="32"/>
  <c r="M87" i="32"/>
  <c r="M36" i="32"/>
  <c r="M104" i="32"/>
  <c r="I121" i="32"/>
  <c r="I67" i="32"/>
  <c r="I96" i="32"/>
  <c r="I29" i="32"/>
  <c r="J83" i="32"/>
  <c r="M85" i="32"/>
  <c r="M34" i="32"/>
  <c r="M103" i="32"/>
  <c r="I2" i="32"/>
  <c r="I87" i="32"/>
  <c r="I20" i="32"/>
  <c r="J66" i="32"/>
  <c r="M84" i="32"/>
  <c r="M33" i="32"/>
  <c r="M102" i="32"/>
  <c r="J86" i="32"/>
  <c r="J52" i="32"/>
  <c r="J19" i="32"/>
  <c r="J105" i="32"/>
  <c r="L69" i="32"/>
  <c r="L35" i="32"/>
  <c r="L120" i="32"/>
  <c r="I85" i="32"/>
  <c r="I68" i="32"/>
  <c r="I51" i="32"/>
  <c r="I34" i="32"/>
  <c r="I18" i="32"/>
  <c r="I119" i="32"/>
  <c r="I104" i="32"/>
  <c r="I6" i="32"/>
  <c r="J84" i="32"/>
  <c r="J67" i="32"/>
  <c r="J50" i="32"/>
  <c r="J33" i="32"/>
  <c r="J16" i="32"/>
  <c r="J118" i="32"/>
  <c r="J103" i="32"/>
  <c r="J5" i="32"/>
  <c r="L84" i="32"/>
  <c r="L67" i="32"/>
  <c r="L50" i="32"/>
  <c r="L33" i="32"/>
  <c r="L16" i="32"/>
  <c r="L118" i="32"/>
  <c r="L103" i="32"/>
  <c r="L5" i="32"/>
  <c r="L3" i="32"/>
  <c r="L116" i="32"/>
  <c r="J82" i="32"/>
  <c r="J48" i="32"/>
  <c r="J13" i="32"/>
  <c r="J101" i="32"/>
  <c r="L82" i="32"/>
  <c r="L48" i="32"/>
  <c r="L13" i="32"/>
  <c r="L2" i="32"/>
  <c r="P48" i="32"/>
  <c r="I82" i="32"/>
  <c r="I65" i="32"/>
  <c r="I48" i="32"/>
  <c r="I31" i="32"/>
  <c r="I13" i="32"/>
  <c r="I116" i="32"/>
  <c r="I101" i="32"/>
  <c r="J55" i="32"/>
  <c r="J81" i="32"/>
  <c r="J64" i="32"/>
  <c r="J47" i="32"/>
  <c r="J30" i="32"/>
  <c r="J12" i="32"/>
  <c r="J115" i="32"/>
  <c r="J100" i="32"/>
  <c r="L55" i="32"/>
  <c r="L81" i="32"/>
  <c r="L64" i="32"/>
  <c r="L47" i="32"/>
  <c r="L30" i="32"/>
  <c r="L12" i="32"/>
  <c r="L115" i="32"/>
  <c r="L100" i="32"/>
  <c r="J2" i="32"/>
  <c r="M82" i="32"/>
  <c r="M65" i="32"/>
  <c r="M48" i="32"/>
  <c r="M31" i="32"/>
  <c r="M13" i="32"/>
  <c r="M116" i="32"/>
  <c r="M101" i="32"/>
  <c r="M2" i="32"/>
  <c r="J65" i="32"/>
  <c r="J31" i="32"/>
  <c r="J116" i="32"/>
  <c r="L65" i="32"/>
  <c r="L31" i="32"/>
  <c r="L101" i="32"/>
  <c r="I55" i="32"/>
  <c r="I81" i="32"/>
  <c r="I64" i="32"/>
  <c r="I47" i="32"/>
  <c r="I30" i="32"/>
  <c r="I12" i="32"/>
  <c r="I115" i="32"/>
  <c r="I100" i="32"/>
  <c r="J96" i="32"/>
  <c r="J80" i="32"/>
  <c r="J63" i="32"/>
  <c r="J46" i="32"/>
  <c r="J29" i="32"/>
  <c r="J9" i="32"/>
  <c r="J114" i="32"/>
  <c r="J99" i="32"/>
  <c r="L96" i="32"/>
  <c r="L80" i="32"/>
  <c r="L63" i="32"/>
  <c r="L46" i="32"/>
  <c r="L29" i="32"/>
  <c r="L9" i="32"/>
  <c r="L114" i="32"/>
  <c r="L99" i="32"/>
  <c r="M64" i="32"/>
  <c r="M47" i="32"/>
  <c r="M30" i="32"/>
  <c r="M12" i="32"/>
  <c r="M115" i="32"/>
  <c r="M100" i="32"/>
  <c r="J79" i="32"/>
  <c r="J45" i="32"/>
  <c r="J27" i="32"/>
  <c r="J113" i="32"/>
  <c r="J98" i="32"/>
  <c r="L95" i="32"/>
  <c r="L79" i="32"/>
  <c r="L62" i="32"/>
  <c r="L45" i="32"/>
  <c r="L27" i="32"/>
  <c r="L4" i="32"/>
  <c r="L113" i="32"/>
  <c r="I95" i="32"/>
  <c r="I79" i="32"/>
  <c r="I62" i="32"/>
  <c r="I45" i="32"/>
  <c r="I27" i="32"/>
  <c r="I4" i="32"/>
  <c r="I113" i="32"/>
  <c r="I98" i="32"/>
  <c r="J94" i="32"/>
  <c r="J77" i="32"/>
  <c r="J61" i="32"/>
  <c r="J44" i="32"/>
  <c r="J28" i="32"/>
  <c r="J128" i="32"/>
  <c r="J112" i="32"/>
  <c r="J97" i="32"/>
  <c r="L94" i="32"/>
  <c r="L77" i="32"/>
  <c r="L61" i="32"/>
  <c r="L44" i="32"/>
  <c r="L28" i="32"/>
  <c r="L128" i="32"/>
  <c r="L112" i="32"/>
  <c r="L97" i="32"/>
  <c r="M95" i="32"/>
  <c r="M79" i="32"/>
  <c r="M62" i="32"/>
  <c r="M45" i="32"/>
  <c r="M27" i="32"/>
  <c r="M4" i="32"/>
  <c r="M113" i="32"/>
  <c r="M98" i="32"/>
  <c r="J95" i="32"/>
  <c r="J62" i="32"/>
  <c r="J4" i="32"/>
  <c r="I94" i="32"/>
  <c r="I77" i="32"/>
  <c r="I61" i="32"/>
  <c r="I44" i="32"/>
  <c r="I28" i="32"/>
  <c r="I128" i="32"/>
  <c r="I112" i="32"/>
  <c r="I97" i="32"/>
  <c r="J93" i="32"/>
  <c r="J76" i="32"/>
  <c r="J60" i="32"/>
  <c r="J43" i="32"/>
  <c r="J26" i="32"/>
  <c r="J127" i="32"/>
  <c r="J111" i="32"/>
  <c r="J37" i="32"/>
  <c r="L93" i="32"/>
  <c r="L76" i="32"/>
  <c r="L60" i="32"/>
  <c r="L43" i="32"/>
  <c r="L26" i="32"/>
  <c r="L127" i="32"/>
  <c r="L111" i="32"/>
  <c r="L37" i="32"/>
  <c r="M94" i="32"/>
  <c r="M77" i="32"/>
  <c r="M61" i="32"/>
  <c r="M44" i="32"/>
  <c r="M28" i="32"/>
  <c r="M128" i="32"/>
  <c r="M112" i="32"/>
  <c r="M97" i="32"/>
  <c r="I93" i="32"/>
  <c r="I76" i="32"/>
  <c r="I60" i="32"/>
  <c r="I43" i="32"/>
  <c r="I26" i="32"/>
  <c r="I127" i="32"/>
  <c r="I111" i="32"/>
  <c r="I37" i="32"/>
  <c r="J92" i="32"/>
  <c r="J75" i="32"/>
  <c r="J59" i="32"/>
  <c r="J42" i="32"/>
  <c r="J25" i="32"/>
  <c r="J126" i="32"/>
  <c r="J110" i="32"/>
  <c r="J78" i="32"/>
  <c r="L92" i="32"/>
  <c r="L75" i="32"/>
  <c r="L59" i="32"/>
  <c r="L42" i="32"/>
  <c r="L25" i="32"/>
  <c r="L126" i="32"/>
  <c r="L110" i="32"/>
  <c r="L78" i="32"/>
  <c r="M93" i="32"/>
  <c r="M76" i="32"/>
  <c r="M60" i="32"/>
  <c r="M43" i="32"/>
  <c r="M26" i="32"/>
  <c r="M127" i="32"/>
  <c r="M111" i="32"/>
  <c r="M37" i="32"/>
  <c r="I92" i="32"/>
  <c r="I75" i="32"/>
  <c r="I59" i="32"/>
  <c r="I42" i="32"/>
  <c r="I25" i="32"/>
  <c r="I126" i="32"/>
  <c r="I110" i="32"/>
  <c r="I78" i="32"/>
  <c r="J91" i="32"/>
  <c r="J74" i="32"/>
  <c r="J58" i="32"/>
  <c r="J41" i="32"/>
  <c r="J24" i="32"/>
  <c r="J125" i="32"/>
  <c r="J109" i="32"/>
  <c r="J17" i="32"/>
  <c r="L91" i="32"/>
  <c r="L74" i="32"/>
  <c r="L58" i="32"/>
  <c r="L41" i="32"/>
  <c r="L24" i="32"/>
  <c r="L125" i="32"/>
  <c r="L109" i="32"/>
  <c r="L17" i="32"/>
  <c r="M92" i="32"/>
  <c r="M75" i="32"/>
  <c r="M59" i="32"/>
  <c r="M42" i="32"/>
  <c r="M25" i="32"/>
  <c r="M126" i="32"/>
  <c r="M110" i="32"/>
  <c r="M78" i="32"/>
  <c r="I91" i="32"/>
  <c r="I74" i="32"/>
  <c r="I58" i="32"/>
  <c r="I41" i="32"/>
  <c r="I24" i="32"/>
  <c r="I125" i="32"/>
  <c r="I109" i="32"/>
  <c r="I17" i="32"/>
  <c r="J90" i="32"/>
  <c r="J73" i="32"/>
  <c r="J57" i="32"/>
  <c r="J40" i="32"/>
  <c r="J23" i="32"/>
  <c r="J124" i="32"/>
  <c r="J108" i="32"/>
  <c r="J15" i="32"/>
  <c r="L90" i="32"/>
  <c r="L73" i="32"/>
  <c r="L57" i="32"/>
  <c r="L40" i="32"/>
  <c r="L23" i="32"/>
  <c r="L124" i="32"/>
  <c r="L108" i="32"/>
  <c r="L15" i="32"/>
  <c r="M91" i="32"/>
  <c r="M74" i="32"/>
  <c r="M58" i="32"/>
  <c r="M41" i="32"/>
  <c r="M24" i="32"/>
  <c r="M125" i="32"/>
  <c r="M109" i="32"/>
  <c r="M17" i="32"/>
  <c r="I90" i="32"/>
  <c r="I73" i="32"/>
  <c r="I57" i="32"/>
  <c r="I40" i="32"/>
  <c r="I23" i="32"/>
  <c r="I124" i="32"/>
  <c r="I108" i="32"/>
  <c r="I15" i="32"/>
  <c r="J89" i="32"/>
  <c r="J72" i="32"/>
  <c r="J56" i="32"/>
  <c r="J39" i="32"/>
  <c r="J22" i="32"/>
  <c r="J123" i="32"/>
  <c r="J14" i="32"/>
  <c r="L89" i="32"/>
  <c r="L72" i="32"/>
  <c r="L56" i="32"/>
  <c r="L39" i="32"/>
  <c r="L22" i="32"/>
  <c r="L123" i="32"/>
  <c r="L14" i="32"/>
  <c r="M90" i="32"/>
  <c r="M73" i="32"/>
  <c r="M57" i="32"/>
  <c r="M40" i="32"/>
  <c r="M23" i="32"/>
  <c r="M124" i="32"/>
  <c r="M108" i="32"/>
  <c r="M15" i="32"/>
  <c r="L98" i="32"/>
  <c r="I89" i="32"/>
  <c r="I72" i="32"/>
  <c r="I56" i="32"/>
  <c r="I39" i="32"/>
  <c r="I22" i="32"/>
  <c r="I123" i="32"/>
  <c r="I14" i="32"/>
  <c r="J88" i="32"/>
  <c r="J71" i="32"/>
  <c r="J54" i="32"/>
  <c r="J38" i="32"/>
  <c r="J21" i="32"/>
  <c r="J122" i="32"/>
  <c r="J107" i="32"/>
  <c r="J11" i="32"/>
  <c r="L88" i="32"/>
  <c r="L71" i="32"/>
  <c r="L54" i="32"/>
  <c r="L38" i="32"/>
  <c r="L21" i="32"/>
  <c r="L122" i="32"/>
  <c r="L107" i="32"/>
  <c r="L11" i="32"/>
  <c r="M89" i="32"/>
  <c r="M72" i="32"/>
  <c r="M56" i="32"/>
  <c r="M39" i="32"/>
  <c r="M22" i="32"/>
  <c r="M123" i="32"/>
  <c r="M14" i="32"/>
  <c r="L102" i="32"/>
  <c r="I88" i="32"/>
  <c r="I71" i="32"/>
  <c r="I54" i="32"/>
  <c r="I38" i="32"/>
  <c r="I21" i="32"/>
  <c r="I122" i="32"/>
  <c r="I107" i="32"/>
  <c r="J87" i="32"/>
  <c r="J70" i="32"/>
  <c r="J53" i="32"/>
  <c r="J36" i="32"/>
  <c r="J20" i="32"/>
  <c r="J121" i="32"/>
  <c r="J106" i="32"/>
  <c r="J8" i="32"/>
  <c r="L87" i="32"/>
  <c r="L70" i="32"/>
  <c r="L53" i="32"/>
  <c r="L36" i="32"/>
  <c r="L20" i="32"/>
  <c r="L121" i="32"/>
  <c r="L106" i="32"/>
  <c r="L8" i="32"/>
  <c r="M88" i="32"/>
  <c r="M71" i="32"/>
  <c r="M54" i="32"/>
  <c r="M38" i="32"/>
  <c r="M21" i="32"/>
  <c r="M122" i="32"/>
  <c r="M107" i="32"/>
  <c r="M11" i="32"/>
  <c r="M8" i="32"/>
  <c r="J69" i="32"/>
  <c r="J35" i="32"/>
  <c r="J120" i="32"/>
  <c r="J7" i="32"/>
  <c r="L86" i="32"/>
  <c r="L52" i="32"/>
  <c r="L19" i="32"/>
  <c r="L105" i="32"/>
  <c r="I86" i="32"/>
  <c r="I69" i="32"/>
  <c r="I52" i="32"/>
  <c r="I35" i="32"/>
  <c r="I19" i="32"/>
  <c r="I120" i="32"/>
  <c r="I105" i="32"/>
  <c r="J85" i="32"/>
  <c r="J68" i="32"/>
  <c r="J51" i="32"/>
  <c r="J34" i="32"/>
  <c r="J18" i="32"/>
  <c r="J119" i="32"/>
  <c r="J104" i="32"/>
  <c r="L85" i="32"/>
  <c r="L68" i="32"/>
  <c r="L51" i="32"/>
  <c r="L34" i="32"/>
  <c r="L18" i="32"/>
  <c r="L119" i="32"/>
  <c r="L104" i="32"/>
  <c r="M86" i="32"/>
  <c r="M69" i="32"/>
  <c r="M52" i="32"/>
  <c r="M35" i="32"/>
  <c r="M19" i="32"/>
  <c r="M120" i="32"/>
  <c r="M105" i="32"/>
  <c r="O23" i="31"/>
  <c r="O25" i="31" s="1"/>
  <c r="P23" i="30"/>
  <c r="P24" i="30" s="1"/>
  <c r="N19" i="28"/>
  <c r="Z245" i="35"/>
  <c r="Z21" i="35"/>
  <c r="Z293" i="35"/>
  <c r="Z277" i="35"/>
  <c r="Z261" i="35"/>
  <c r="Z229" i="35"/>
  <c r="Z213" i="35"/>
  <c r="Z197" i="35"/>
  <c r="Z181" i="35"/>
  <c r="Z165" i="35"/>
  <c r="Z149" i="35"/>
  <c r="Z133" i="35"/>
  <c r="Z117" i="35"/>
  <c r="Z101" i="35"/>
  <c r="Z85" i="35"/>
  <c r="Z69" i="35"/>
  <c r="Z53" i="35"/>
  <c r="Z37" i="35"/>
  <c r="Z5" i="35"/>
  <c r="Z161" i="35"/>
  <c r="Z278" i="35"/>
  <c r="Z262" i="35"/>
  <c r="Z246" i="35"/>
  <c r="Z230" i="35"/>
  <c r="Z214" i="35"/>
  <c r="Z198" i="35"/>
  <c r="Z182" i="35"/>
  <c r="Z166" i="35"/>
  <c r="Z150" i="35"/>
  <c r="Z134" i="35"/>
  <c r="Z118" i="35"/>
  <c r="Z102" i="35"/>
  <c r="Z86" i="35"/>
  <c r="Z70" i="35"/>
  <c r="Z54" i="35"/>
  <c r="Z38" i="35"/>
  <c r="Z22" i="35"/>
  <c r="Z6" i="35"/>
  <c r="Z295" i="35"/>
  <c r="Z279" i="35"/>
  <c r="Z263" i="35"/>
  <c r="Z247" i="35"/>
  <c r="Z231" i="35"/>
  <c r="Z215" i="35"/>
  <c r="Z199" i="35"/>
  <c r="Z183" i="35"/>
  <c r="Z167" i="35"/>
  <c r="Z151" i="35"/>
  <c r="Z135" i="35"/>
  <c r="Z119" i="35"/>
  <c r="Z103" i="35"/>
  <c r="Z87" i="35"/>
  <c r="Z71" i="35"/>
  <c r="Z55" i="35"/>
  <c r="Z39" i="35"/>
  <c r="Z23" i="35"/>
  <c r="Z7" i="35"/>
  <c r="Z296" i="35"/>
  <c r="Z280" i="35"/>
  <c r="Z264" i="35"/>
  <c r="Z248" i="35"/>
  <c r="Z232" i="35"/>
  <c r="Z216" i="35"/>
  <c r="Z200" i="35"/>
  <c r="Z184" i="35"/>
  <c r="Z168" i="35"/>
  <c r="Z152" i="35"/>
  <c r="Z136" i="35"/>
  <c r="Z120" i="35"/>
  <c r="Z104" i="35"/>
  <c r="Z88" i="35"/>
  <c r="Z72" i="35"/>
  <c r="Z56" i="35"/>
  <c r="Z40" i="35"/>
  <c r="Z24" i="35"/>
  <c r="Z8" i="35"/>
  <c r="Z297" i="35"/>
  <c r="Z281" i="35"/>
  <c r="Z265" i="35"/>
  <c r="Z249" i="35"/>
  <c r="Z233" i="35"/>
  <c r="Z217" i="35"/>
  <c r="Z201" i="35"/>
  <c r="Z185" i="35"/>
  <c r="Z169" i="35"/>
  <c r="Z153" i="35"/>
  <c r="Z137" i="35"/>
  <c r="Z121" i="35"/>
  <c r="Z105" i="35"/>
  <c r="Z89" i="35"/>
  <c r="Z73" i="35"/>
  <c r="Z57" i="35"/>
  <c r="Z41" i="35"/>
  <c r="Z25" i="35"/>
  <c r="Z9" i="35"/>
  <c r="Z298" i="35"/>
  <c r="Z282" i="35"/>
  <c r="Z266" i="35"/>
  <c r="Z250" i="35"/>
  <c r="Z234" i="35"/>
  <c r="Z218" i="35"/>
  <c r="Z202" i="35"/>
  <c r="Z186" i="35"/>
  <c r="Z170" i="35"/>
  <c r="Z154" i="35"/>
  <c r="Z138" i="35"/>
  <c r="Z122" i="35"/>
  <c r="Z106" i="35"/>
  <c r="Z90" i="35"/>
  <c r="Z74" i="35"/>
  <c r="Z58" i="35"/>
  <c r="Z42" i="35"/>
  <c r="Z26" i="35"/>
  <c r="Z10" i="35"/>
  <c r="Z299" i="35"/>
  <c r="Z283" i="35"/>
  <c r="Z267" i="35"/>
  <c r="Z251" i="35"/>
  <c r="Z235" i="35"/>
  <c r="Z219" i="35"/>
  <c r="Z203" i="35"/>
  <c r="Z187" i="35"/>
  <c r="Z171" i="35"/>
  <c r="Z155" i="35"/>
  <c r="Z139" i="35"/>
  <c r="Z123" i="35"/>
  <c r="Z107" i="35"/>
  <c r="Z91" i="35"/>
  <c r="Z75" i="35"/>
  <c r="Z59" i="35"/>
  <c r="Z43" i="35"/>
  <c r="Z27" i="35"/>
  <c r="Z11" i="35"/>
  <c r="Z300" i="35"/>
  <c r="Z284" i="35"/>
  <c r="Z268" i="35"/>
  <c r="Z252" i="35"/>
  <c r="Z236" i="35"/>
  <c r="Z220" i="35"/>
  <c r="Z204" i="35"/>
  <c r="Z188" i="35"/>
  <c r="Z172" i="35"/>
  <c r="Z156" i="35"/>
  <c r="Z140" i="35"/>
  <c r="Z124" i="35"/>
  <c r="Z108" i="35"/>
  <c r="Z92" i="35"/>
  <c r="Z76" i="35"/>
  <c r="Z60" i="35"/>
  <c r="Z44" i="35"/>
  <c r="Z28" i="35"/>
  <c r="Z12" i="35"/>
  <c r="Z285" i="35"/>
  <c r="Z269" i="35"/>
  <c r="Z253" i="35"/>
  <c r="Z237" i="35"/>
  <c r="Z221" i="35"/>
  <c r="Z205" i="35"/>
  <c r="Z189" i="35"/>
  <c r="Z173" i="35"/>
  <c r="Z157" i="35"/>
  <c r="Z141" i="35"/>
  <c r="Z125" i="35"/>
  <c r="Z109" i="35"/>
  <c r="Z93" i="35"/>
  <c r="Z77" i="35"/>
  <c r="Z61" i="35"/>
  <c r="Z45" i="35"/>
  <c r="Z29" i="35"/>
  <c r="Z13" i="35"/>
  <c r="Z286" i="35"/>
  <c r="Z270" i="35"/>
  <c r="Z254" i="35"/>
  <c r="Z238" i="35"/>
  <c r="Z222" i="35"/>
  <c r="Z206" i="35"/>
  <c r="Z190" i="35"/>
  <c r="Z174" i="35"/>
  <c r="Z158" i="35"/>
  <c r="Z142" i="35"/>
  <c r="Z126" i="35"/>
  <c r="Z110" i="35"/>
  <c r="Z94" i="35"/>
  <c r="Z78" i="35"/>
  <c r="Z62" i="35"/>
  <c r="Z46" i="35"/>
  <c r="Z30" i="35"/>
  <c r="Z14" i="35"/>
  <c r="Z289" i="35"/>
  <c r="Z287" i="35"/>
  <c r="Z273" i="35"/>
  <c r="Z271" i="35"/>
  <c r="Z257" i="35"/>
  <c r="Z255" i="35"/>
  <c r="Z241" i="35"/>
  <c r="Z239" i="35"/>
  <c r="Z225" i="35"/>
  <c r="Z223" i="35"/>
  <c r="Z209" i="35"/>
  <c r="Z207" i="35"/>
  <c r="Z193" i="35"/>
  <c r="Z191" i="35"/>
  <c r="Z177" i="35"/>
  <c r="Z175" i="35"/>
  <c r="Z159" i="35"/>
  <c r="Z145" i="35"/>
  <c r="Z143" i="35"/>
  <c r="Z129" i="35"/>
  <c r="Z127" i="35"/>
  <c r="Z113" i="35"/>
  <c r="Z111" i="35"/>
  <c r="Z97" i="35"/>
  <c r="Z95" i="35"/>
  <c r="Z81" i="35"/>
  <c r="Z79" i="35"/>
  <c r="Z65" i="35"/>
  <c r="Z63" i="35"/>
  <c r="Z49" i="35"/>
  <c r="Z47" i="35"/>
  <c r="Z33" i="35"/>
  <c r="Z31" i="35"/>
  <c r="Z17" i="35"/>
  <c r="Z15" i="35"/>
  <c r="Z294" i="35"/>
  <c r="Z288" i="35"/>
  <c r="Z272" i="35"/>
  <c r="Z256" i="35"/>
  <c r="Z240" i="35"/>
  <c r="Z224" i="35"/>
  <c r="Z208" i="35"/>
  <c r="Z192" i="35"/>
  <c r="Z176" i="35"/>
  <c r="Z160" i="35"/>
  <c r="Z144" i="35"/>
  <c r="Z128" i="35"/>
  <c r="Z112" i="35"/>
  <c r="Z96" i="35"/>
  <c r="Z80" i="35"/>
  <c r="Z64" i="35"/>
  <c r="Z48" i="35"/>
  <c r="Z32" i="35"/>
  <c r="Z16" i="35"/>
  <c r="Z290" i="35"/>
  <c r="Z274" i="35"/>
  <c r="Z258" i="35"/>
  <c r="Z242" i="35"/>
  <c r="Z226" i="35"/>
  <c r="Z210" i="35"/>
  <c r="Z194" i="35"/>
  <c r="Z178" i="35"/>
  <c r="Z162" i="35"/>
  <c r="Z146" i="35"/>
  <c r="Z130" i="35"/>
  <c r="Z114" i="35"/>
  <c r="Z98" i="35"/>
  <c r="Z82" i="35"/>
  <c r="Z66" i="35"/>
  <c r="Z50" i="35"/>
  <c r="Z34" i="35"/>
  <c r="Z18" i="35"/>
  <c r="Z291" i="35"/>
  <c r="Z275" i="35"/>
  <c r="Z259" i="35"/>
  <c r="Z243" i="35"/>
  <c r="Z227" i="35"/>
  <c r="Z211" i="35"/>
  <c r="Z195" i="35"/>
  <c r="Z179" i="35"/>
  <c r="Z163" i="35"/>
  <c r="Z147" i="35"/>
  <c r="Z131" i="35"/>
  <c r="Z115" i="35"/>
  <c r="Z99" i="35"/>
  <c r="Z83" i="35"/>
  <c r="Z67" i="35"/>
  <c r="Z51" i="35"/>
  <c r="Z35" i="35"/>
  <c r="Z19" i="35"/>
  <c r="Z3" i="35"/>
  <c r="Z292" i="35"/>
  <c r="Z276" i="35"/>
  <c r="Z260" i="35"/>
  <c r="Z244" i="35"/>
  <c r="Z228" i="35"/>
  <c r="Z212" i="35"/>
  <c r="Z196" i="35"/>
  <c r="Z180" i="35"/>
  <c r="Z164" i="35"/>
  <c r="Z148" i="35"/>
  <c r="Z132" i="35"/>
  <c r="Z116" i="35"/>
  <c r="Z100" i="35"/>
  <c r="Z84" i="35"/>
  <c r="Z68" i="35"/>
  <c r="Z52" i="35"/>
  <c r="Z36" i="35"/>
  <c r="Z20" i="35"/>
  <c r="Z4" i="35"/>
  <c r="Y295" i="35"/>
  <c r="Y279" i="35"/>
  <c r="Y263" i="35"/>
  <c r="Y247" i="35"/>
  <c r="Y231" i="35"/>
  <c r="Y215" i="35"/>
  <c r="Y199" i="35"/>
  <c r="Y183" i="35"/>
  <c r="Y167" i="35"/>
  <c r="Y151" i="35"/>
  <c r="Y135" i="35"/>
  <c r="Y119" i="35"/>
  <c r="Y103" i="35"/>
  <c r="Y87" i="35"/>
  <c r="Y71" i="35"/>
  <c r="Y55" i="35"/>
  <c r="Y39" i="35"/>
  <c r="Y23" i="35"/>
  <c r="Y7" i="35"/>
  <c r="Y210" i="35"/>
  <c r="Y194" i="35"/>
  <c r="Y296" i="35"/>
  <c r="Y136" i="35"/>
  <c r="Y72" i="35"/>
  <c r="Y297" i="35"/>
  <c r="Y281" i="35"/>
  <c r="Y265" i="35"/>
  <c r="Y249" i="35"/>
  <c r="Y233" i="35"/>
  <c r="Y217" i="35"/>
  <c r="Y201" i="35"/>
  <c r="Y185" i="35"/>
  <c r="Y169" i="35"/>
  <c r="Y153" i="35"/>
  <c r="Y137" i="35"/>
  <c r="Y121" i="35"/>
  <c r="Y105" i="35"/>
  <c r="Y89" i="35"/>
  <c r="Y73" i="35"/>
  <c r="Y57" i="35"/>
  <c r="Y41" i="35"/>
  <c r="Y25" i="35"/>
  <c r="Y9" i="35"/>
  <c r="Y264" i="35"/>
  <c r="Y298" i="35"/>
  <c r="Y282" i="35"/>
  <c r="Y266" i="35"/>
  <c r="Y250" i="35"/>
  <c r="Y234" i="35"/>
  <c r="Y218" i="35"/>
  <c r="Y202" i="35"/>
  <c r="Y186" i="35"/>
  <c r="Y170" i="35"/>
  <c r="Y154" i="35"/>
  <c r="Y138" i="35"/>
  <c r="Y122" i="35"/>
  <c r="Y106" i="35"/>
  <c r="Y90" i="35"/>
  <c r="Y74" i="35"/>
  <c r="Y58" i="35"/>
  <c r="Y42" i="35"/>
  <c r="Y26" i="35"/>
  <c r="Y10" i="35"/>
  <c r="Y299" i="35"/>
  <c r="Y283" i="35"/>
  <c r="Y267" i="35"/>
  <c r="Y251" i="35"/>
  <c r="Y235" i="35"/>
  <c r="Y219" i="35"/>
  <c r="Y203" i="35"/>
  <c r="Y187" i="35"/>
  <c r="Y171" i="35"/>
  <c r="Y155" i="35"/>
  <c r="Y139" i="35"/>
  <c r="Y123" i="35"/>
  <c r="Y107" i="35"/>
  <c r="Y91" i="35"/>
  <c r="Y75" i="35"/>
  <c r="Y59" i="35"/>
  <c r="Y43" i="35"/>
  <c r="Y27" i="35"/>
  <c r="Y11" i="35"/>
  <c r="Y300" i="35"/>
  <c r="Y284" i="35"/>
  <c r="Y268" i="35"/>
  <c r="Y252" i="35"/>
  <c r="Y236" i="35"/>
  <c r="Y220" i="35"/>
  <c r="Y204" i="35"/>
  <c r="Y188" i="35"/>
  <c r="Y172" i="35"/>
  <c r="Y156" i="35"/>
  <c r="Y140" i="35"/>
  <c r="Y124" i="35"/>
  <c r="Y108" i="35"/>
  <c r="Y92" i="35"/>
  <c r="Y76" i="35"/>
  <c r="Y60" i="35"/>
  <c r="Y44" i="35"/>
  <c r="Y28" i="35"/>
  <c r="Y12" i="35"/>
  <c r="Y248" i="35"/>
  <c r="Y285" i="35"/>
  <c r="Y269" i="35"/>
  <c r="Y253" i="35"/>
  <c r="Y237" i="35"/>
  <c r="Y221" i="35"/>
  <c r="Y205" i="35"/>
  <c r="Y189" i="35"/>
  <c r="Y173" i="35"/>
  <c r="Y157" i="35"/>
  <c r="Y141" i="35"/>
  <c r="Y125" i="35"/>
  <c r="Y109" i="35"/>
  <c r="Y93" i="35"/>
  <c r="Y77" i="35"/>
  <c r="Y61" i="35"/>
  <c r="Y45" i="35"/>
  <c r="Y29" i="35"/>
  <c r="Y13" i="35"/>
  <c r="Y290" i="35"/>
  <c r="Y286" i="35"/>
  <c r="Y274" i="35"/>
  <c r="Y270" i="35"/>
  <c r="Y258" i="35"/>
  <c r="Y254" i="35"/>
  <c r="Y242" i="35"/>
  <c r="Y238" i="35"/>
  <c r="Y226" i="35"/>
  <c r="Y222" i="35"/>
  <c r="Y206" i="35"/>
  <c r="Y190" i="35"/>
  <c r="Y178" i="35"/>
  <c r="Y174" i="35"/>
  <c r="Y162" i="35"/>
  <c r="Y158" i="35"/>
  <c r="Y146" i="35"/>
  <c r="Y142" i="35"/>
  <c r="Y130" i="35"/>
  <c r="Y126" i="35"/>
  <c r="Y114" i="35"/>
  <c r="Y110" i="35"/>
  <c r="Y98" i="35"/>
  <c r="Y97" i="35"/>
  <c r="Y94" i="35"/>
  <c r="Y82" i="35"/>
  <c r="Y78" i="35"/>
  <c r="Y66" i="35"/>
  <c r="Y62" i="35"/>
  <c r="Y50" i="35"/>
  <c r="Y46" i="35"/>
  <c r="Y34" i="35"/>
  <c r="Y30" i="35"/>
  <c r="Y18" i="35"/>
  <c r="Y14" i="35"/>
  <c r="Y104" i="35"/>
  <c r="Y289" i="35"/>
  <c r="Y287" i="35"/>
  <c r="Y273" i="35"/>
  <c r="Y271" i="35"/>
  <c r="Y257" i="35"/>
  <c r="Y255" i="35"/>
  <c r="Y241" i="35"/>
  <c r="Y239" i="35"/>
  <c r="Y225" i="35"/>
  <c r="Y223" i="35"/>
  <c r="Y209" i="35"/>
  <c r="Y207" i="35"/>
  <c r="Y193" i="35"/>
  <c r="Y191" i="35"/>
  <c r="Y177" i="35"/>
  <c r="Y175" i="35"/>
  <c r="Y161" i="35"/>
  <c r="Y159" i="35"/>
  <c r="Y145" i="35"/>
  <c r="Y143" i="35"/>
  <c r="Y129" i="35"/>
  <c r="Y127" i="35"/>
  <c r="Y113" i="35"/>
  <c r="Y111" i="35"/>
  <c r="Y95" i="35"/>
  <c r="Y81" i="35"/>
  <c r="Y79" i="35"/>
  <c r="Y65" i="35"/>
  <c r="Y63" i="35"/>
  <c r="Y49" i="35"/>
  <c r="Y47" i="35"/>
  <c r="Y33" i="35"/>
  <c r="Y31" i="35"/>
  <c r="Y17" i="35"/>
  <c r="Y15" i="35"/>
  <c r="Y280" i="35"/>
  <c r="Y200" i="35"/>
  <c r="Y184" i="35"/>
  <c r="Y88" i="35"/>
  <c r="Y288" i="35"/>
  <c r="Y272" i="35"/>
  <c r="Y256" i="35"/>
  <c r="Y240" i="35"/>
  <c r="Y224" i="35"/>
  <c r="Y208" i="35"/>
  <c r="Y192" i="35"/>
  <c r="Y176" i="35"/>
  <c r="Y160" i="35"/>
  <c r="Y144" i="35"/>
  <c r="Y128" i="35"/>
  <c r="Y112" i="35"/>
  <c r="Y96" i="35"/>
  <c r="Y80" i="35"/>
  <c r="Y64" i="35"/>
  <c r="Y48" i="35"/>
  <c r="Y32" i="35"/>
  <c r="Y16" i="35"/>
  <c r="Y232" i="35"/>
  <c r="Y216" i="35"/>
  <c r="Y56" i="35"/>
  <c r="Y40" i="35"/>
  <c r="Y291" i="35"/>
  <c r="Y275" i="35"/>
  <c r="Y259" i="35"/>
  <c r="Y243" i="35"/>
  <c r="Y227" i="35"/>
  <c r="Y211" i="35"/>
  <c r="Y195" i="35"/>
  <c r="Y179" i="35"/>
  <c r="Y163" i="35"/>
  <c r="Y147" i="35"/>
  <c r="Y131" i="35"/>
  <c r="Y115" i="35"/>
  <c r="Y99" i="35"/>
  <c r="Y83" i="35"/>
  <c r="Y67" i="35"/>
  <c r="Y51" i="35"/>
  <c r="Y35" i="35"/>
  <c r="Y19" i="35"/>
  <c r="Y3" i="35"/>
  <c r="Y120" i="35"/>
  <c r="Y24" i="35"/>
  <c r="Y292" i="35"/>
  <c r="Y276" i="35"/>
  <c r="Y260" i="35"/>
  <c r="Y244" i="35"/>
  <c r="Y228" i="35"/>
  <c r="Y212" i="35"/>
  <c r="Y196" i="35"/>
  <c r="Y180" i="35"/>
  <c r="Y164" i="35"/>
  <c r="Y148" i="35"/>
  <c r="Y132" i="35"/>
  <c r="Y116" i="35"/>
  <c r="Y100" i="35"/>
  <c r="Y84" i="35"/>
  <c r="Y68" i="35"/>
  <c r="Y52" i="35"/>
  <c r="Y36" i="35"/>
  <c r="Y20" i="35"/>
  <c r="Y4" i="35"/>
  <c r="Y168" i="35"/>
  <c r="Y152" i="35"/>
  <c r="Y8" i="35"/>
  <c r="Y293" i="35"/>
  <c r="Y277" i="35"/>
  <c r="Y261" i="35"/>
  <c r="Y245" i="35"/>
  <c r="Y229" i="35"/>
  <c r="Y213" i="35"/>
  <c r="Y197" i="35"/>
  <c r="Y181" i="35"/>
  <c r="Y165" i="35"/>
  <c r="Y149" i="35"/>
  <c r="Y133" i="35"/>
  <c r="Y117" i="35"/>
  <c r="Y101" i="35"/>
  <c r="Y85" i="35"/>
  <c r="Y69" i="35"/>
  <c r="Y53" i="35"/>
  <c r="Y37" i="35"/>
  <c r="Y21" i="35"/>
  <c r="Y5" i="35"/>
  <c r="X294" i="35"/>
  <c r="X278" i="35"/>
  <c r="X262" i="35"/>
  <c r="X246" i="35"/>
  <c r="X230" i="35"/>
  <c r="X214" i="35"/>
  <c r="X198" i="35"/>
  <c r="X182" i="35"/>
  <c r="X166" i="35"/>
  <c r="X150" i="35"/>
  <c r="X134" i="35"/>
  <c r="X118" i="35"/>
  <c r="X102" i="35"/>
  <c r="X86" i="35"/>
  <c r="X70" i="35"/>
  <c r="X54" i="35"/>
  <c r="X38" i="35"/>
  <c r="X22" i="35"/>
  <c r="X6" i="35"/>
  <c r="Y294" i="35"/>
  <c r="Y278" i="35"/>
  <c r="Y262" i="35"/>
  <c r="Y246" i="35"/>
  <c r="Y230" i="35"/>
  <c r="Y214" i="35"/>
  <c r="Y198" i="35"/>
  <c r="Y182" i="35"/>
  <c r="Y166" i="35"/>
  <c r="Y150" i="35"/>
  <c r="Y134" i="35"/>
  <c r="Y118" i="35"/>
  <c r="Y102" i="35"/>
  <c r="Y86" i="35"/>
  <c r="Y70" i="35"/>
  <c r="Y54" i="35"/>
  <c r="Y38" i="35"/>
  <c r="Y22" i="35"/>
  <c r="Y6" i="35"/>
  <c r="X24" i="35"/>
  <c r="X225" i="35"/>
  <c r="X295" i="35"/>
  <c r="X263" i="35"/>
  <c r="X231" i="35"/>
  <c r="X71" i="35"/>
  <c r="X248" i="35"/>
  <c r="X88" i="35"/>
  <c r="X56" i="35"/>
  <c r="X293" i="35"/>
  <c r="X277" i="35"/>
  <c r="X261" i="35"/>
  <c r="X245" i="35"/>
  <c r="X229" i="35"/>
  <c r="X213" i="35"/>
  <c r="X197" i="35"/>
  <c r="X181" i="35"/>
  <c r="X165" i="35"/>
  <c r="X149" i="35"/>
  <c r="X133" i="35"/>
  <c r="X117" i="35"/>
  <c r="X101" i="35"/>
  <c r="X85" i="35"/>
  <c r="X69" i="35"/>
  <c r="X53" i="35"/>
  <c r="X37" i="35"/>
  <c r="X21" i="35"/>
  <c r="X5" i="35"/>
  <c r="X297" i="35"/>
  <c r="X281" i="35"/>
  <c r="X265" i="35"/>
  <c r="X249" i="35"/>
  <c r="X233" i="35"/>
  <c r="X217" i="35"/>
  <c r="X201" i="35"/>
  <c r="X185" i="35"/>
  <c r="X169" i="35"/>
  <c r="X153" i="35"/>
  <c r="X137" i="35"/>
  <c r="X121" i="35"/>
  <c r="X105" i="35"/>
  <c r="X89" i="35"/>
  <c r="X73" i="35"/>
  <c r="X57" i="35"/>
  <c r="X41" i="35"/>
  <c r="X25" i="35"/>
  <c r="X9" i="35"/>
  <c r="X247" i="35"/>
  <c r="X298" i="35"/>
  <c r="X282" i="35"/>
  <c r="X266" i="35"/>
  <c r="X250" i="35"/>
  <c r="X234" i="35"/>
  <c r="X218" i="35"/>
  <c r="X202" i="35"/>
  <c r="X186" i="35"/>
  <c r="X170" i="35"/>
  <c r="X154" i="35"/>
  <c r="X138" i="35"/>
  <c r="X122" i="35"/>
  <c r="X106" i="35"/>
  <c r="X90" i="35"/>
  <c r="X74" i="35"/>
  <c r="X58" i="35"/>
  <c r="X42" i="35"/>
  <c r="X26" i="35"/>
  <c r="X10" i="35"/>
  <c r="X215" i="35"/>
  <c r="X183" i="35"/>
  <c r="X103" i="35"/>
  <c r="X87" i="35"/>
  <c r="X55" i="35"/>
  <c r="X39" i="35"/>
  <c r="X23" i="35"/>
  <c r="X7" i="35"/>
  <c r="X232" i="35"/>
  <c r="X168" i="35"/>
  <c r="X152" i="35"/>
  <c r="X8" i="35"/>
  <c r="X299" i="35"/>
  <c r="X283" i="35"/>
  <c r="X267" i="35"/>
  <c r="X251" i="35"/>
  <c r="X235" i="35"/>
  <c r="X219" i="35"/>
  <c r="X203" i="35"/>
  <c r="X187" i="35"/>
  <c r="X171" i="35"/>
  <c r="X155" i="35"/>
  <c r="X139" i="35"/>
  <c r="X123" i="35"/>
  <c r="X107" i="35"/>
  <c r="X91" i="35"/>
  <c r="X75" i="35"/>
  <c r="X59" i="35"/>
  <c r="X43" i="35"/>
  <c r="X27" i="35"/>
  <c r="X11" i="35"/>
  <c r="X199" i="35"/>
  <c r="X119" i="35"/>
  <c r="X296" i="35"/>
  <c r="X216" i="35"/>
  <c r="X184" i="35"/>
  <c r="X136" i="35"/>
  <c r="X300" i="35"/>
  <c r="X284" i="35"/>
  <c r="X268" i="35"/>
  <c r="X252" i="35"/>
  <c r="X236" i="35"/>
  <c r="X220" i="35"/>
  <c r="X204" i="35"/>
  <c r="X188" i="35"/>
  <c r="X172" i="35"/>
  <c r="X156" i="35"/>
  <c r="X140" i="35"/>
  <c r="X124" i="35"/>
  <c r="X108" i="35"/>
  <c r="X92" i="35"/>
  <c r="X76" i="35"/>
  <c r="X60" i="35"/>
  <c r="X44" i="35"/>
  <c r="X28" i="35"/>
  <c r="X12" i="35"/>
  <c r="X285" i="35"/>
  <c r="X269" i="35"/>
  <c r="X253" i="35"/>
  <c r="X237" i="35"/>
  <c r="X221" i="35"/>
  <c r="X205" i="35"/>
  <c r="X189" i="35"/>
  <c r="X173" i="35"/>
  <c r="X157" i="35"/>
  <c r="X141" i="35"/>
  <c r="X125" i="35"/>
  <c r="X109" i="35"/>
  <c r="X93" i="35"/>
  <c r="X77" i="35"/>
  <c r="X61" i="35"/>
  <c r="X45" i="35"/>
  <c r="X29" i="35"/>
  <c r="X13" i="35"/>
  <c r="X279" i="35"/>
  <c r="X286" i="35"/>
  <c r="X270" i="35"/>
  <c r="X254" i="35"/>
  <c r="X238" i="35"/>
  <c r="X222" i="35"/>
  <c r="X206" i="35"/>
  <c r="X190" i="35"/>
  <c r="X174" i="35"/>
  <c r="X158" i="35"/>
  <c r="X142" i="35"/>
  <c r="X126" i="35"/>
  <c r="X110" i="35"/>
  <c r="X94" i="35"/>
  <c r="X78" i="35"/>
  <c r="X62" i="35"/>
  <c r="X46" i="35"/>
  <c r="X30" i="35"/>
  <c r="X14" i="35"/>
  <c r="X264" i="35"/>
  <c r="X120" i="35"/>
  <c r="X2" i="35"/>
  <c r="X289" i="35"/>
  <c r="X287" i="35"/>
  <c r="X273" i="35"/>
  <c r="X271" i="35"/>
  <c r="X257" i="35"/>
  <c r="X255" i="35"/>
  <c r="X241" i="35"/>
  <c r="X239" i="35"/>
  <c r="X223" i="35"/>
  <c r="X209" i="35"/>
  <c r="X207" i="35"/>
  <c r="X193" i="35"/>
  <c r="X191" i="35"/>
  <c r="X177" i="35"/>
  <c r="X175" i="35"/>
  <c r="X161" i="35"/>
  <c r="X159" i="35"/>
  <c r="X145" i="35"/>
  <c r="X143" i="35"/>
  <c r="X129" i="35"/>
  <c r="X127" i="35"/>
  <c r="X113" i="35"/>
  <c r="X111" i="35"/>
  <c r="X97" i="35"/>
  <c r="X95" i="35"/>
  <c r="X81" i="35"/>
  <c r="X79" i="35"/>
  <c r="X65" i="35"/>
  <c r="X63" i="35"/>
  <c r="X49" i="35"/>
  <c r="X47" i="35"/>
  <c r="X33" i="35"/>
  <c r="X31" i="35"/>
  <c r="X17" i="35"/>
  <c r="X15" i="35"/>
  <c r="X288" i="35"/>
  <c r="X272" i="35"/>
  <c r="X256" i="35"/>
  <c r="X240" i="35"/>
  <c r="X224" i="35"/>
  <c r="X208" i="35"/>
  <c r="X192" i="35"/>
  <c r="X176" i="35"/>
  <c r="X160" i="35"/>
  <c r="X144" i="35"/>
  <c r="X128" i="35"/>
  <c r="X112" i="35"/>
  <c r="X96" i="35"/>
  <c r="X80" i="35"/>
  <c r="X64" i="35"/>
  <c r="X48" i="35"/>
  <c r="X32" i="35"/>
  <c r="X16" i="35"/>
  <c r="X167" i="35"/>
  <c r="X104" i="35"/>
  <c r="X40" i="35"/>
  <c r="X290" i="35"/>
  <c r="X274" i="35"/>
  <c r="X258" i="35"/>
  <c r="X242" i="35"/>
  <c r="X226" i="35"/>
  <c r="X210" i="35"/>
  <c r="X194" i="35"/>
  <c r="X178" i="35"/>
  <c r="X162" i="35"/>
  <c r="X146" i="35"/>
  <c r="X130" i="35"/>
  <c r="X114" i="35"/>
  <c r="X98" i="35"/>
  <c r="X82" i="35"/>
  <c r="X66" i="35"/>
  <c r="X50" i="35"/>
  <c r="X34" i="35"/>
  <c r="X18" i="35"/>
  <c r="X72" i="35"/>
  <c r="X291" i="35"/>
  <c r="X275" i="35"/>
  <c r="X259" i="35"/>
  <c r="X243" i="35"/>
  <c r="X227" i="35"/>
  <c r="X211" i="35"/>
  <c r="X195" i="35"/>
  <c r="X179" i="35"/>
  <c r="X163" i="35"/>
  <c r="X147" i="35"/>
  <c r="X131" i="35"/>
  <c r="X115" i="35"/>
  <c r="X99" i="35"/>
  <c r="X83" i="35"/>
  <c r="X67" i="35"/>
  <c r="X51" i="35"/>
  <c r="X35" i="35"/>
  <c r="X19" i="35"/>
  <c r="X3" i="35"/>
  <c r="X151" i="35"/>
  <c r="X135" i="35"/>
  <c r="X280" i="35"/>
  <c r="X200" i="35"/>
  <c r="X292" i="35"/>
  <c r="X276" i="35"/>
  <c r="X260" i="35"/>
  <c r="X244" i="35"/>
  <c r="X228" i="35"/>
  <c r="X212" i="35"/>
  <c r="X196" i="35"/>
  <c r="X180" i="35"/>
  <c r="X164" i="35"/>
  <c r="X148" i="35"/>
  <c r="X132" i="35"/>
  <c r="X116" i="35"/>
  <c r="X100" i="35"/>
  <c r="X84" i="35"/>
  <c r="X68" i="35"/>
  <c r="X52" i="35"/>
  <c r="X36" i="35"/>
  <c r="X20" i="35"/>
  <c r="X4" i="35"/>
  <c r="W116" i="35"/>
  <c r="W103" i="35"/>
  <c r="W87" i="35"/>
  <c r="W71" i="35"/>
  <c r="W55" i="35"/>
  <c r="W185" i="35"/>
  <c r="W169" i="35"/>
  <c r="W153" i="35"/>
  <c r="W137" i="35"/>
  <c r="W121" i="35"/>
  <c r="W299" i="35"/>
  <c r="W283" i="35"/>
  <c r="W267" i="35"/>
  <c r="W251" i="35"/>
  <c r="W235" i="35"/>
  <c r="W225" i="35"/>
  <c r="W223" i="35"/>
  <c r="W219" i="35"/>
  <c r="W209" i="35"/>
  <c r="W207" i="35"/>
  <c r="W202" i="35"/>
  <c r="W6" i="35"/>
  <c r="W22" i="35"/>
  <c r="W15" i="35"/>
  <c r="W38" i="35"/>
  <c r="W54" i="35"/>
  <c r="W236" i="35"/>
  <c r="W154" i="35"/>
  <c r="W298" i="35"/>
  <c r="W282" i="35"/>
  <c r="W266" i="35"/>
  <c r="W250" i="35"/>
  <c r="W234" i="35"/>
  <c r="W218" i="35"/>
  <c r="W201" i="35"/>
  <c r="W193" i="35"/>
  <c r="W191" i="35"/>
  <c r="W184" i="35"/>
  <c r="W177" i="35"/>
  <c r="W175" i="35"/>
  <c r="W168" i="35"/>
  <c r="W152" i="35"/>
  <c r="W136" i="35"/>
  <c r="W120" i="35"/>
  <c r="W102" i="35"/>
  <c r="W86" i="35"/>
  <c r="W70" i="35"/>
  <c r="W53" i="35"/>
  <c r="W37" i="35"/>
  <c r="W21" i="35"/>
  <c r="W5" i="35"/>
  <c r="W170" i="35"/>
  <c r="W289" i="35"/>
  <c r="W287" i="35"/>
  <c r="W285" i="35"/>
  <c r="W273" i="35"/>
  <c r="W271" i="35"/>
  <c r="W269" i="35"/>
  <c r="W253" i="35"/>
  <c r="W237" i="35"/>
  <c r="W221" i="35"/>
  <c r="W204" i="35"/>
  <c r="W187" i="35"/>
  <c r="W171" i="35"/>
  <c r="W155" i="35"/>
  <c r="W139" i="35"/>
  <c r="W123" i="35"/>
  <c r="W105" i="35"/>
  <c r="W89" i="35"/>
  <c r="W73" i="35"/>
  <c r="W57" i="35"/>
  <c r="W40" i="35"/>
  <c r="W24" i="35"/>
  <c r="W8" i="35"/>
  <c r="W268" i="35"/>
  <c r="W255" i="35"/>
  <c r="W186" i="35"/>
  <c r="W286" i="35"/>
  <c r="W270" i="35"/>
  <c r="W254" i="35"/>
  <c r="W222" i="35"/>
  <c r="W205" i="35"/>
  <c r="W188" i="35"/>
  <c r="W156" i="35"/>
  <c r="W140" i="35"/>
  <c r="W124" i="35"/>
  <c r="W106" i="35"/>
  <c r="W90" i="35"/>
  <c r="W74" i="35"/>
  <c r="W58" i="35"/>
  <c r="W41" i="35"/>
  <c r="W25" i="35"/>
  <c r="W9" i="35"/>
  <c r="W56" i="35"/>
  <c r="W206" i="35"/>
  <c r="W189" i="35"/>
  <c r="W173" i="35"/>
  <c r="W157" i="35"/>
  <c r="W141" i="35"/>
  <c r="W125" i="35"/>
  <c r="W107" i="35"/>
  <c r="W91" i="35"/>
  <c r="W75" i="35"/>
  <c r="W59" i="35"/>
  <c r="W42" i="35"/>
  <c r="W26" i="35"/>
  <c r="W10" i="35"/>
  <c r="W104" i="35"/>
  <c r="W288" i="35"/>
  <c r="W272" i="35"/>
  <c r="W256" i="35"/>
  <c r="W240" i="35"/>
  <c r="W224" i="35"/>
  <c r="W190" i="35"/>
  <c r="W174" i="35"/>
  <c r="W158" i="35"/>
  <c r="W142" i="35"/>
  <c r="W126" i="35"/>
  <c r="W108" i="35"/>
  <c r="W92" i="35"/>
  <c r="W76" i="35"/>
  <c r="W60" i="35"/>
  <c r="W43" i="35"/>
  <c r="W27" i="35"/>
  <c r="W11" i="35"/>
  <c r="W39" i="35"/>
  <c r="W208" i="35"/>
  <c r="W109" i="35"/>
  <c r="W93" i="35"/>
  <c r="W77" i="35"/>
  <c r="W61" i="35"/>
  <c r="W44" i="35"/>
  <c r="W28" i="35"/>
  <c r="W12" i="35"/>
  <c r="W290" i="35"/>
  <c r="W274" i="35"/>
  <c r="W258" i="35"/>
  <c r="W242" i="35"/>
  <c r="W226" i="35"/>
  <c r="W192" i="35"/>
  <c r="W176" i="35"/>
  <c r="W160" i="35"/>
  <c r="W144" i="35"/>
  <c r="W128" i="35"/>
  <c r="W110" i="35"/>
  <c r="W94" i="35"/>
  <c r="W78" i="35"/>
  <c r="W62" i="35"/>
  <c r="W45" i="35"/>
  <c r="W29" i="35"/>
  <c r="W13" i="35"/>
  <c r="W257" i="35"/>
  <c r="W72" i="35"/>
  <c r="W23" i="35"/>
  <c r="W291" i="35"/>
  <c r="W275" i="35"/>
  <c r="W259" i="35"/>
  <c r="W243" i="35"/>
  <c r="W227" i="35"/>
  <c r="W210" i="35"/>
  <c r="W194" i="35"/>
  <c r="W46" i="35"/>
  <c r="W30" i="35"/>
  <c r="W14" i="35"/>
  <c r="W300" i="35"/>
  <c r="W284" i="35"/>
  <c r="W252" i="35"/>
  <c r="W292" i="35"/>
  <c r="W276" i="35"/>
  <c r="W260" i="35"/>
  <c r="W244" i="35"/>
  <c r="W228" i="35"/>
  <c r="W212" i="35"/>
  <c r="W211" i="35"/>
  <c r="W195" i="35"/>
  <c r="W178" i="35"/>
  <c r="W162" i="35"/>
  <c r="W146" i="35"/>
  <c r="W130" i="35"/>
  <c r="W112" i="35"/>
  <c r="W96" i="35"/>
  <c r="W80" i="35"/>
  <c r="W64" i="35"/>
  <c r="W138" i="35"/>
  <c r="W7" i="35"/>
  <c r="W293" i="35"/>
  <c r="W277" i="35"/>
  <c r="W261" i="35"/>
  <c r="W245" i="35"/>
  <c r="W229" i="35"/>
  <c r="W213" i="35"/>
  <c r="W196" i="35"/>
  <c r="W179" i="35"/>
  <c r="W163" i="35"/>
  <c r="W147" i="35"/>
  <c r="W131" i="35"/>
  <c r="W65" i="35"/>
  <c r="W49" i="35"/>
  <c r="W48" i="35"/>
  <c r="W33" i="35"/>
  <c r="W32" i="35"/>
  <c r="W17" i="35"/>
  <c r="W16" i="35"/>
  <c r="W294" i="35"/>
  <c r="W278" i="35"/>
  <c r="W262" i="35"/>
  <c r="W246" i="35"/>
  <c r="W230" i="35"/>
  <c r="W214" i="35"/>
  <c r="W197" i="35"/>
  <c r="W180" i="35"/>
  <c r="W164" i="35"/>
  <c r="W148" i="35"/>
  <c r="W132" i="35"/>
  <c r="W114" i="35"/>
  <c r="W98" i="35"/>
  <c r="W82" i="35"/>
  <c r="W66" i="35"/>
  <c r="W203" i="35"/>
  <c r="W295" i="35"/>
  <c r="W279" i="35"/>
  <c r="W263" i="35"/>
  <c r="W247" i="35"/>
  <c r="W231" i="35"/>
  <c r="W215" i="35"/>
  <c r="W198" i="35"/>
  <c r="W181" i="35"/>
  <c r="W165" i="35"/>
  <c r="W149" i="35"/>
  <c r="W133" i="35"/>
  <c r="W115" i="35"/>
  <c r="W99" i="35"/>
  <c r="W83" i="35"/>
  <c r="W67" i="35"/>
  <c r="W63" i="35"/>
  <c r="W50" i="35"/>
  <c r="W47" i="35"/>
  <c r="W34" i="35"/>
  <c r="W31" i="35"/>
  <c r="W18" i="35"/>
  <c r="W241" i="35"/>
  <c r="W220" i="35"/>
  <c r="W88" i="35"/>
  <c r="W296" i="35"/>
  <c r="W280" i="35"/>
  <c r="W248" i="35"/>
  <c r="W232" i="35"/>
  <c r="W216" i="35"/>
  <c r="W199" i="35"/>
  <c r="W182" i="35"/>
  <c r="W166" i="35"/>
  <c r="W150" i="35"/>
  <c r="W134" i="35"/>
  <c r="W117" i="35"/>
  <c r="W100" i="35"/>
  <c r="W84" i="35"/>
  <c r="W81" i="35"/>
  <c r="W79" i="35"/>
  <c r="W68" i="35"/>
  <c r="W51" i="35"/>
  <c r="W35" i="35"/>
  <c r="W19" i="35"/>
  <c r="W3" i="35"/>
  <c r="W239" i="35"/>
  <c r="W122" i="35"/>
  <c r="W297" i="35"/>
  <c r="W281" i="35"/>
  <c r="W265" i="35"/>
  <c r="W249" i="35"/>
  <c r="W233" i="35"/>
  <c r="W217" i="35"/>
  <c r="W200" i="35"/>
  <c r="W183" i="35"/>
  <c r="W167" i="35"/>
  <c r="W161" i="35"/>
  <c r="W159" i="35"/>
  <c r="W151" i="35"/>
  <c r="W145" i="35"/>
  <c r="W143" i="35"/>
  <c r="W135" i="35"/>
  <c r="W129" i="35"/>
  <c r="W127" i="35"/>
  <c r="W119" i="35"/>
  <c r="W118" i="35"/>
  <c r="W113" i="35"/>
  <c r="W111" i="35"/>
  <c r="W101" i="35"/>
  <c r="W97" i="35"/>
  <c r="W95" i="35"/>
  <c r="W85" i="35"/>
  <c r="W69" i="35"/>
  <c r="W52" i="35"/>
  <c r="W36" i="35"/>
  <c r="W20" i="35"/>
  <c r="W4" i="35"/>
  <c r="W238" i="35"/>
  <c r="W172" i="35"/>
  <c r="W264" i="35"/>
  <c r="M59" i="34"/>
  <c r="M8" i="34"/>
  <c r="I54" i="34"/>
  <c r="L116" i="34"/>
  <c r="M9" i="34"/>
  <c r="M38" i="34"/>
  <c r="M3" i="34"/>
  <c r="M98" i="34"/>
  <c r="M46" i="34"/>
  <c r="M67" i="34"/>
  <c r="I37" i="34"/>
  <c r="M25" i="34"/>
  <c r="M42" i="34"/>
  <c r="J52" i="34"/>
  <c r="M37" i="34"/>
  <c r="M105" i="34"/>
  <c r="L9" i="34"/>
  <c r="I18" i="34"/>
  <c r="I28" i="34"/>
  <c r="I32" i="34"/>
  <c r="J36" i="34"/>
  <c r="I51" i="34"/>
  <c r="I61" i="34"/>
  <c r="J66" i="34"/>
  <c r="I76" i="34"/>
  <c r="I93" i="34"/>
  <c r="J18" i="34"/>
  <c r="J28" i="34"/>
  <c r="L42" i="34"/>
  <c r="J57" i="34"/>
  <c r="J61" i="34"/>
  <c r="J76" i="34"/>
  <c r="J93" i="34"/>
  <c r="L101" i="34"/>
  <c r="I122" i="34"/>
  <c r="L71" i="34"/>
  <c r="I83" i="34"/>
  <c r="J2" i="34"/>
  <c r="I8" i="34"/>
  <c r="I17" i="34"/>
  <c r="I97" i="34"/>
  <c r="M101" i="34"/>
  <c r="I106" i="34"/>
  <c r="L109" i="34"/>
  <c r="I113" i="34"/>
  <c r="J122" i="34"/>
  <c r="I127" i="34"/>
  <c r="I38" i="34"/>
  <c r="M71" i="34"/>
  <c r="J83" i="34"/>
  <c r="M88" i="34"/>
  <c r="M93" i="34"/>
  <c r="J23" i="34"/>
  <c r="J32" i="34"/>
  <c r="J51" i="34"/>
  <c r="J3" i="34"/>
  <c r="J17" i="34"/>
  <c r="J106" i="34"/>
  <c r="M109" i="34"/>
  <c r="J113" i="34"/>
  <c r="I118" i="34"/>
  <c r="J127" i="34"/>
  <c r="J19" i="34"/>
  <c r="I24" i="34"/>
  <c r="J27" i="34"/>
  <c r="I43" i="34"/>
  <c r="I52" i="34"/>
  <c r="I58" i="34"/>
  <c r="J62" i="34"/>
  <c r="L67" i="34"/>
  <c r="J77" i="34"/>
  <c r="L106" i="34"/>
  <c r="M33" i="34"/>
  <c r="I98" i="34"/>
  <c r="M106" i="34"/>
  <c r="I110" i="34"/>
  <c r="J20" i="34"/>
  <c r="I29" i="34"/>
  <c r="I68" i="34"/>
  <c r="J79" i="34"/>
  <c r="I90" i="34"/>
  <c r="J95" i="34"/>
  <c r="J13" i="34"/>
  <c r="J43" i="34"/>
  <c r="J48" i="34"/>
  <c r="J5" i="34"/>
  <c r="J11" i="34"/>
  <c r="J78" i="34"/>
  <c r="J98" i="34"/>
  <c r="J110" i="34"/>
  <c r="J119" i="34"/>
  <c r="I10" i="34"/>
  <c r="I34" i="34"/>
  <c r="I44" i="34"/>
  <c r="I49" i="34"/>
  <c r="J53" i="34"/>
  <c r="M63" i="34"/>
  <c r="J68" i="34"/>
  <c r="I85" i="34"/>
  <c r="J90" i="34"/>
  <c r="L33" i="34"/>
  <c r="I104" i="34"/>
  <c r="I115" i="34"/>
  <c r="M124" i="34"/>
  <c r="J10" i="34"/>
  <c r="L25" i="34"/>
  <c r="M29" i="34"/>
  <c r="J34" i="34"/>
  <c r="J40" i="34"/>
  <c r="J44" i="34"/>
  <c r="J49" i="34"/>
  <c r="L59" i="34"/>
  <c r="I74" i="34"/>
  <c r="J85" i="34"/>
  <c r="L11" i="34"/>
  <c r="L78" i="34"/>
  <c r="J104" i="34"/>
  <c r="J115" i="34"/>
  <c r="L119" i="34"/>
  <c r="I21" i="34"/>
  <c r="J74" i="34"/>
  <c r="J6" i="34"/>
  <c r="M11" i="34"/>
  <c r="L4" i="34"/>
  <c r="J21" i="34"/>
  <c r="J69" i="34"/>
  <c r="L80" i="34"/>
  <c r="M85" i="34"/>
  <c r="J91" i="34"/>
  <c r="I95" i="34"/>
  <c r="I120" i="34"/>
  <c r="M125" i="34"/>
  <c r="M4" i="34"/>
  <c r="I26" i="34"/>
  <c r="I35" i="34"/>
  <c r="I41" i="34"/>
  <c r="J45" i="34"/>
  <c r="I60" i="34"/>
  <c r="J65" i="34"/>
  <c r="M80" i="34"/>
  <c r="J37" i="34"/>
  <c r="I108" i="34"/>
  <c r="J120" i="34"/>
  <c r="Y47" i="34"/>
  <c r="L16" i="34"/>
  <c r="M21" i="34"/>
  <c r="J26" i="34"/>
  <c r="J31" i="34"/>
  <c r="J35" i="34"/>
  <c r="J41" i="34"/>
  <c r="L50" i="34"/>
  <c r="M54" i="34"/>
  <c r="J60" i="34"/>
  <c r="J118" i="34"/>
  <c r="J24" i="34"/>
  <c r="J58" i="34"/>
  <c r="I7" i="34"/>
  <c r="J100" i="34"/>
  <c r="J108" i="34"/>
  <c r="I112" i="34"/>
  <c r="I126" i="34"/>
  <c r="M16" i="34"/>
  <c r="M50" i="34"/>
  <c r="J70" i="34"/>
  <c r="M75" i="34"/>
  <c r="J7" i="34"/>
  <c r="J15" i="34"/>
  <c r="L37" i="34"/>
  <c r="L105" i="34"/>
  <c r="J112" i="34"/>
  <c r="M116" i="34"/>
  <c r="J126" i="34"/>
  <c r="I46" i="34"/>
  <c r="I66" i="34"/>
  <c r="J87" i="34"/>
  <c r="L87" i="34"/>
  <c r="L2" i="34"/>
  <c r="L79" i="34"/>
  <c r="L92" i="34"/>
  <c r="I99" i="34"/>
  <c r="I103" i="34"/>
  <c r="I109" i="34"/>
  <c r="M115" i="34"/>
  <c r="I123" i="34"/>
  <c r="I9" i="34"/>
  <c r="L20" i="34"/>
  <c r="L70" i="34"/>
  <c r="L84" i="34"/>
  <c r="M92" i="34"/>
  <c r="L96" i="34"/>
  <c r="L95" i="34"/>
  <c r="L115" i="34"/>
  <c r="I3" i="34"/>
  <c r="I15" i="34"/>
  <c r="J99" i="34"/>
  <c r="J103" i="34"/>
  <c r="J123" i="34"/>
  <c r="J9" i="34"/>
  <c r="L27" i="34"/>
  <c r="L36" i="34"/>
  <c r="L45" i="34"/>
  <c r="L53" i="34"/>
  <c r="L62" i="34"/>
  <c r="L75" i="34"/>
  <c r="M84" i="34"/>
  <c r="L88" i="34"/>
  <c r="M96" i="34"/>
  <c r="Y48" i="34"/>
  <c r="L38" i="34"/>
  <c r="I117" i="34"/>
  <c r="L120" i="34"/>
  <c r="I128" i="34"/>
  <c r="M76" i="34"/>
  <c r="I82" i="34"/>
  <c r="I94" i="34"/>
  <c r="L3" i="34"/>
  <c r="L8" i="34"/>
  <c r="L124" i="34"/>
  <c r="L21" i="34"/>
  <c r="L29" i="34"/>
  <c r="L100" i="34"/>
  <c r="M97" i="34"/>
  <c r="I101" i="34"/>
  <c r="J114" i="34"/>
  <c r="J117" i="34"/>
  <c r="M120" i="34"/>
  <c r="I125" i="34"/>
  <c r="J128" i="34"/>
  <c r="M18" i="34"/>
  <c r="M68" i="34"/>
  <c r="I73" i="34"/>
  <c r="J82" i="34"/>
  <c r="I86" i="34"/>
  <c r="J94" i="34"/>
  <c r="L46" i="34"/>
  <c r="L54" i="34"/>
  <c r="I11" i="34"/>
  <c r="J101" i="34"/>
  <c r="I105" i="34"/>
  <c r="L110" i="34"/>
  <c r="J125" i="34"/>
  <c r="I13" i="34"/>
  <c r="M26" i="34"/>
  <c r="M34" i="34"/>
  <c r="M43" i="34"/>
  <c r="M51" i="34"/>
  <c r="M60" i="34"/>
  <c r="I65" i="34"/>
  <c r="J73" i="34"/>
  <c r="I77" i="34"/>
  <c r="J86" i="34"/>
  <c r="L63" i="34"/>
  <c r="I6" i="34"/>
  <c r="M110" i="34"/>
  <c r="L114" i="34"/>
  <c r="M117" i="34"/>
  <c r="I19" i="34"/>
  <c r="I23" i="34"/>
  <c r="I31" i="34"/>
  <c r="I40" i="34"/>
  <c r="I48" i="34"/>
  <c r="I57" i="34"/>
  <c r="I69" i="34"/>
  <c r="I91" i="34"/>
  <c r="M78" i="34"/>
  <c r="M114" i="34"/>
  <c r="M119" i="34"/>
  <c r="M27" i="34"/>
  <c r="M36" i="34"/>
  <c r="M45" i="34"/>
  <c r="M53" i="34"/>
  <c r="M70" i="34"/>
  <c r="M79" i="34"/>
  <c r="M87" i="34"/>
  <c r="M95" i="34"/>
  <c r="L6" i="34"/>
  <c r="L15" i="34"/>
  <c r="L103" i="34"/>
  <c r="L122" i="34"/>
  <c r="M127" i="34"/>
  <c r="L13" i="34"/>
  <c r="L23" i="34"/>
  <c r="L31" i="34"/>
  <c r="L40" i="34"/>
  <c r="L48" i="34"/>
  <c r="L57" i="34"/>
  <c r="L65" i="34"/>
  <c r="L73" i="34"/>
  <c r="L82" i="34"/>
  <c r="L90" i="34"/>
  <c r="M6" i="34"/>
  <c r="M15" i="34"/>
  <c r="M103" i="34"/>
  <c r="L112" i="34"/>
  <c r="M122" i="34"/>
  <c r="M13" i="34"/>
  <c r="M23" i="34"/>
  <c r="M31" i="34"/>
  <c r="M40" i="34"/>
  <c r="M48" i="34"/>
  <c r="M57" i="34"/>
  <c r="I63" i="34"/>
  <c r="M65" i="34"/>
  <c r="I71" i="34"/>
  <c r="M73" i="34"/>
  <c r="I80" i="34"/>
  <c r="M82" i="34"/>
  <c r="I88" i="34"/>
  <c r="M90" i="34"/>
  <c r="I96" i="34"/>
  <c r="M2" i="34"/>
  <c r="M100" i="34"/>
  <c r="L127" i="34"/>
  <c r="M20" i="34"/>
  <c r="M62" i="34"/>
  <c r="L98" i="34"/>
  <c r="M112" i="34"/>
  <c r="L117" i="34"/>
  <c r="L125" i="34"/>
  <c r="L18" i="34"/>
  <c r="L26" i="34"/>
  <c r="J29" i="34"/>
  <c r="L34" i="34"/>
  <c r="J38" i="34"/>
  <c r="L43" i="34"/>
  <c r="J46" i="34"/>
  <c r="L51" i="34"/>
  <c r="J54" i="34"/>
  <c r="L60" i="34"/>
  <c r="J63" i="34"/>
  <c r="L68" i="34"/>
  <c r="J71" i="34"/>
  <c r="L76" i="34"/>
  <c r="J80" i="34"/>
  <c r="L85" i="34"/>
  <c r="J88" i="34"/>
  <c r="L93" i="34"/>
  <c r="J96" i="34"/>
  <c r="L91" i="34"/>
  <c r="I5" i="34"/>
  <c r="M7" i="34"/>
  <c r="I14" i="34"/>
  <c r="L17" i="34"/>
  <c r="I102" i="34"/>
  <c r="M104" i="34"/>
  <c r="I107" i="34"/>
  <c r="M108" i="34"/>
  <c r="I111" i="34"/>
  <c r="I121" i="34"/>
  <c r="M123" i="34"/>
  <c r="M128" i="34"/>
  <c r="I12" i="34"/>
  <c r="M10" i="34"/>
  <c r="I22" i="34"/>
  <c r="M24" i="34"/>
  <c r="I30" i="34"/>
  <c r="M32" i="34"/>
  <c r="I39" i="34"/>
  <c r="M41" i="34"/>
  <c r="I47" i="34"/>
  <c r="M49" i="34"/>
  <c r="I56" i="34"/>
  <c r="M58" i="34"/>
  <c r="I64" i="34"/>
  <c r="M66" i="34"/>
  <c r="I72" i="34"/>
  <c r="M74" i="34"/>
  <c r="I81" i="34"/>
  <c r="M83" i="34"/>
  <c r="I89" i="34"/>
  <c r="M91" i="34"/>
  <c r="I55" i="34"/>
  <c r="J14" i="34"/>
  <c r="M17" i="34"/>
  <c r="L99" i="34"/>
  <c r="J102" i="34"/>
  <c r="J107" i="34"/>
  <c r="J111" i="34"/>
  <c r="L113" i="34"/>
  <c r="I116" i="34"/>
  <c r="L118" i="34"/>
  <c r="J121" i="34"/>
  <c r="L126" i="34"/>
  <c r="J12" i="34"/>
  <c r="L19" i="34"/>
  <c r="J22" i="34"/>
  <c r="L28" i="34"/>
  <c r="J30" i="34"/>
  <c r="L35" i="34"/>
  <c r="J39" i="34"/>
  <c r="L44" i="34"/>
  <c r="J47" i="34"/>
  <c r="L52" i="34"/>
  <c r="J56" i="34"/>
  <c r="L61" i="34"/>
  <c r="J64" i="34"/>
  <c r="L69" i="34"/>
  <c r="J72" i="34"/>
  <c r="L77" i="34"/>
  <c r="J81" i="34"/>
  <c r="L86" i="34"/>
  <c r="J89" i="34"/>
  <c r="L94" i="34"/>
  <c r="J55" i="34"/>
  <c r="L7" i="34"/>
  <c r="L104" i="34"/>
  <c r="L108" i="34"/>
  <c r="L123" i="34"/>
  <c r="L128" i="34"/>
  <c r="L24" i="34"/>
  <c r="L32" i="34"/>
  <c r="L41" i="34"/>
  <c r="L49" i="34"/>
  <c r="L58" i="34"/>
  <c r="L66" i="34"/>
  <c r="L74" i="34"/>
  <c r="L83" i="34"/>
  <c r="J97" i="34"/>
  <c r="M99" i="34"/>
  <c r="M113" i="34"/>
  <c r="J116" i="34"/>
  <c r="M118" i="34"/>
  <c r="I124" i="34"/>
  <c r="M126" i="34"/>
  <c r="I4" i="34"/>
  <c r="I16" i="34"/>
  <c r="M19" i="34"/>
  <c r="I25" i="34"/>
  <c r="M28" i="34"/>
  <c r="I33" i="34"/>
  <c r="M35" i="34"/>
  <c r="I42" i="34"/>
  <c r="M44" i="34"/>
  <c r="I50" i="34"/>
  <c r="M52" i="34"/>
  <c r="I59" i="34"/>
  <c r="M61" i="34"/>
  <c r="I67" i="34"/>
  <c r="M69" i="34"/>
  <c r="I75" i="34"/>
  <c r="M77" i="34"/>
  <c r="I84" i="34"/>
  <c r="M86" i="34"/>
  <c r="I92" i="34"/>
  <c r="M94" i="34"/>
  <c r="L5" i="34"/>
  <c r="L14" i="34"/>
  <c r="L102" i="34"/>
  <c r="L107" i="34"/>
  <c r="L111" i="34"/>
  <c r="L121" i="34"/>
  <c r="J124" i="34"/>
  <c r="J4" i="34"/>
  <c r="L12" i="34"/>
  <c r="J16" i="34"/>
  <c r="L22" i="34"/>
  <c r="J25" i="34"/>
  <c r="L30" i="34"/>
  <c r="J33" i="34"/>
  <c r="L39" i="34"/>
  <c r="J42" i="34"/>
  <c r="L47" i="34"/>
  <c r="J50" i="34"/>
  <c r="L56" i="34"/>
  <c r="J59" i="34"/>
  <c r="L64" i="34"/>
  <c r="J67" i="34"/>
  <c r="L72" i="34"/>
  <c r="J75" i="34"/>
  <c r="L81" i="34"/>
  <c r="J84" i="34"/>
  <c r="L89" i="34"/>
  <c r="J92" i="34"/>
  <c r="L55" i="34"/>
  <c r="L10" i="34"/>
  <c r="I2" i="34"/>
  <c r="M5" i="34"/>
  <c r="J8" i="34"/>
  <c r="M14" i="34"/>
  <c r="I78" i="34"/>
  <c r="L97" i="34"/>
  <c r="I100" i="34"/>
  <c r="M102" i="34"/>
  <c r="J105" i="34"/>
  <c r="M107" i="34"/>
  <c r="M111" i="34"/>
  <c r="I114" i="34"/>
  <c r="I119" i="34"/>
  <c r="M121" i="34"/>
  <c r="M12" i="34"/>
  <c r="I20" i="34"/>
  <c r="M22" i="34"/>
  <c r="I27" i="34"/>
  <c r="M30" i="34"/>
  <c r="I36" i="34"/>
  <c r="M39" i="34"/>
  <c r="I45" i="34"/>
  <c r="M47" i="34"/>
  <c r="I53" i="34"/>
  <c r="M56" i="34"/>
  <c r="I62" i="34"/>
  <c r="M64" i="34"/>
  <c r="I70" i="34"/>
  <c r="M72" i="34"/>
  <c r="I79" i="34"/>
  <c r="M81" i="34"/>
  <c r="I87" i="34"/>
  <c r="M89" i="34"/>
  <c r="J22" i="33"/>
  <c r="J103" i="33"/>
  <c r="M7" i="33"/>
  <c r="M64" i="33"/>
  <c r="L123" i="33"/>
  <c r="J9" i="33"/>
  <c r="J20" i="33"/>
  <c r="M3" i="33"/>
  <c r="J51" i="33"/>
  <c r="L99" i="33"/>
  <c r="L65" i="33"/>
  <c r="L52" i="33"/>
  <c r="L93" i="33"/>
  <c r="L36" i="33"/>
  <c r="L44" i="33"/>
  <c r="J60" i="33"/>
  <c r="L32" i="33"/>
  <c r="L60" i="33"/>
  <c r="L118" i="33"/>
  <c r="L10" i="33"/>
  <c r="L89" i="33"/>
  <c r="L122" i="33"/>
  <c r="L17" i="33"/>
  <c r="L88" i="33"/>
  <c r="I9" i="33"/>
  <c r="J84" i="33"/>
  <c r="L35" i="33"/>
  <c r="L103" i="33"/>
  <c r="J27" i="33"/>
  <c r="L40" i="33"/>
  <c r="L69" i="33"/>
  <c r="L114" i="33"/>
  <c r="L55" i="33"/>
  <c r="L84" i="33"/>
  <c r="J8" i="33"/>
  <c r="L27" i="33"/>
  <c r="M107" i="33"/>
  <c r="M35" i="33"/>
  <c r="M118" i="33"/>
  <c r="M32" i="33"/>
  <c r="M122" i="33"/>
  <c r="M54" i="33"/>
  <c r="M22" i="33"/>
  <c r="M70" i="33"/>
  <c r="L23" i="33"/>
  <c r="L9" i="33"/>
  <c r="I109" i="33"/>
  <c r="M124" i="33"/>
  <c r="M23" i="33"/>
  <c r="M37" i="33"/>
  <c r="M42" i="33"/>
  <c r="L51" i="33"/>
  <c r="M71" i="33"/>
  <c r="L85" i="33"/>
  <c r="M88" i="33"/>
  <c r="M127" i="33"/>
  <c r="M27" i="33"/>
  <c r="M46" i="33"/>
  <c r="M9" i="33"/>
  <c r="I14" i="33"/>
  <c r="L100" i="33"/>
  <c r="I112" i="33"/>
  <c r="L128" i="33"/>
  <c r="L20" i="33"/>
  <c r="L28" i="33"/>
  <c r="M51" i="33"/>
  <c r="L56" i="33"/>
  <c r="M67" i="33"/>
  <c r="L76" i="33"/>
  <c r="M75" i="33"/>
  <c r="I51" i="33"/>
  <c r="I76" i="33"/>
  <c r="L119" i="33"/>
  <c r="L31" i="33"/>
  <c r="J14" i="33"/>
  <c r="I11" i="33"/>
  <c r="L116" i="33"/>
  <c r="J125" i="33"/>
  <c r="M20" i="33"/>
  <c r="J38" i="33"/>
  <c r="I43" i="33"/>
  <c r="L47" i="33"/>
  <c r="M62" i="33"/>
  <c r="M76" i="33"/>
  <c r="L81" i="33"/>
  <c r="M91" i="33"/>
  <c r="L96" i="33"/>
  <c r="M50" i="33"/>
  <c r="M19" i="33"/>
  <c r="M45" i="33"/>
  <c r="M55" i="33"/>
  <c r="L105" i="33"/>
  <c r="L108" i="33"/>
  <c r="L112" i="33"/>
  <c r="M116" i="33"/>
  <c r="L24" i="33"/>
  <c r="J43" i="33"/>
  <c r="M47" i="33"/>
  <c r="I68" i="33"/>
  <c r="L72" i="33"/>
  <c r="M86" i="33"/>
  <c r="M15" i="33"/>
  <c r="I27" i="33"/>
  <c r="M79" i="33"/>
  <c r="M103" i="33"/>
  <c r="M99" i="33"/>
  <c r="I20" i="33"/>
  <c r="L13" i="33"/>
  <c r="L12" i="33"/>
  <c r="L14" i="33"/>
  <c r="L11" i="33"/>
  <c r="M105" i="33"/>
  <c r="M112" i="33"/>
  <c r="M121" i="33"/>
  <c r="M125" i="33"/>
  <c r="M16" i="33"/>
  <c r="M29" i="33"/>
  <c r="M34" i="33"/>
  <c r="M38" i="33"/>
  <c r="J68" i="33"/>
  <c r="M72" i="33"/>
  <c r="J92" i="33"/>
  <c r="M111" i="33"/>
  <c r="M80" i="33"/>
  <c r="M13" i="33"/>
  <c r="M14" i="33"/>
  <c r="M11" i="33"/>
  <c r="L58" i="33"/>
  <c r="S47" i="33"/>
  <c r="L18" i="33"/>
  <c r="L43" i="33"/>
  <c r="M63" i="33"/>
  <c r="L77" i="33"/>
  <c r="M8" i="33"/>
  <c r="M60" i="33"/>
  <c r="M2" i="33"/>
  <c r="M102" i="33"/>
  <c r="J117" i="33"/>
  <c r="I122" i="33"/>
  <c r="J30" i="33"/>
  <c r="I35" i="33"/>
  <c r="M43" i="33"/>
  <c r="L48" i="33"/>
  <c r="M59" i="33"/>
  <c r="L68" i="33"/>
  <c r="M87" i="33"/>
  <c r="L92" i="33"/>
  <c r="I84" i="33"/>
  <c r="M84" i="33"/>
  <c r="L80" i="33"/>
  <c r="L104" i="33"/>
  <c r="L61" i="33"/>
  <c r="L109" i="33"/>
  <c r="J122" i="33"/>
  <c r="L126" i="33"/>
  <c r="I17" i="33"/>
  <c r="J35" i="33"/>
  <c r="L39" i="33"/>
  <c r="M53" i="33"/>
  <c r="M68" i="33"/>
  <c r="L73" i="33"/>
  <c r="M83" i="33"/>
  <c r="M92" i="33"/>
  <c r="M94" i="33"/>
  <c r="L7" i="33"/>
  <c r="J15" i="33"/>
  <c r="I103" i="33"/>
  <c r="M109" i="33"/>
  <c r="L113" i="33"/>
  <c r="M117" i="33"/>
  <c r="M126" i="33"/>
  <c r="M21" i="33"/>
  <c r="M26" i="33"/>
  <c r="M30" i="33"/>
  <c r="M39" i="33"/>
  <c r="I60" i="33"/>
  <c r="L64" i="33"/>
  <c r="M78" i="33"/>
  <c r="I13" i="33"/>
  <c r="J7" i="33"/>
  <c r="I10" i="33"/>
  <c r="I100" i="33"/>
  <c r="J105" i="33"/>
  <c r="J109" i="33"/>
  <c r="I114" i="33"/>
  <c r="I119" i="33"/>
  <c r="I24" i="33"/>
  <c r="I31" i="33"/>
  <c r="I40" i="33"/>
  <c r="I48" i="33"/>
  <c r="I56" i="33"/>
  <c r="I65" i="33"/>
  <c r="I73" i="33"/>
  <c r="I81" i="33"/>
  <c r="I89" i="33"/>
  <c r="I97" i="33"/>
  <c r="J13" i="33"/>
  <c r="J10" i="33"/>
  <c r="J100" i="33"/>
  <c r="J114" i="33"/>
  <c r="J119" i="33"/>
  <c r="L124" i="33"/>
  <c r="I127" i="33"/>
  <c r="L16" i="33"/>
  <c r="L21" i="33"/>
  <c r="J24" i="33"/>
  <c r="L29" i="33"/>
  <c r="J31" i="33"/>
  <c r="L37" i="33"/>
  <c r="J40" i="33"/>
  <c r="L45" i="33"/>
  <c r="J48" i="33"/>
  <c r="L53" i="33"/>
  <c r="J56" i="33"/>
  <c r="L62" i="33"/>
  <c r="J65" i="33"/>
  <c r="L70" i="33"/>
  <c r="J73" i="33"/>
  <c r="L78" i="33"/>
  <c r="J81" i="33"/>
  <c r="L86" i="33"/>
  <c r="J89" i="33"/>
  <c r="L94" i="33"/>
  <c r="J97" i="33"/>
  <c r="I92" i="33"/>
  <c r="L97" i="33"/>
  <c r="M10" i="33"/>
  <c r="I15" i="33"/>
  <c r="M100" i="33"/>
  <c r="J112" i="33"/>
  <c r="M114" i="33"/>
  <c r="I117" i="33"/>
  <c r="M119" i="33"/>
  <c r="I125" i="33"/>
  <c r="L127" i="33"/>
  <c r="I22" i="33"/>
  <c r="M24" i="33"/>
  <c r="I30" i="33"/>
  <c r="M31" i="33"/>
  <c r="I38" i="33"/>
  <c r="M40" i="33"/>
  <c r="I46" i="33"/>
  <c r="M48" i="33"/>
  <c r="I54" i="33"/>
  <c r="M56" i="33"/>
  <c r="I63" i="33"/>
  <c r="M65" i="33"/>
  <c r="I71" i="33"/>
  <c r="M73" i="33"/>
  <c r="I79" i="33"/>
  <c r="M81" i="33"/>
  <c r="I87" i="33"/>
  <c r="M89" i="33"/>
  <c r="I95" i="33"/>
  <c r="M97" i="33"/>
  <c r="J95" i="33"/>
  <c r="J46" i="33"/>
  <c r="J63" i="33"/>
  <c r="J71" i="33"/>
  <c r="J79" i="33"/>
  <c r="I4" i="33"/>
  <c r="I5" i="33"/>
  <c r="I6" i="33"/>
  <c r="I101" i="33"/>
  <c r="I106" i="33"/>
  <c r="I110" i="33"/>
  <c r="I115" i="33"/>
  <c r="I120" i="33"/>
  <c r="J17" i="33"/>
  <c r="I25" i="33"/>
  <c r="I33" i="33"/>
  <c r="I41" i="33"/>
  <c r="I49" i="33"/>
  <c r="I57" i="33"/>
  <c r="I66" i="33"/>
  <c r="I74" i="33"/>
  <c r="I82" i="33"/>
  <c r="I90" i="33"/>
  <c r="I98" i="33"/>
  <c r="J54" i="33"/>
  <c r="J87" i="33"/>
  <c r="J4" i="33"/>
  <c r="J5" i="33"/>
  <c r="J6" i="33"/>
  <c r="L15" i="33"/>
  <c r="J101" i="33"/>
  <c r="J106" i="33"/>
  <c r="J110" i="33"/>
  <c r="J115" i="33"/>
  <c r="L117" i="33"/>
  <c r="J120" i="33"/>
  <c r="L125" i="33"/>
  <c r="L22" i="33"/>
  <c r="J25" i="33"/>
  <c r="L30" i="33"/>
  <c r="J33" i="33"/>
  <c r="L38" i="33"/>
  <c r="J41" i="33"/>
  <c r="L46" i="33"/>
  <c r="J49" i="33"/>
  <c r="L54" i="33"/>
  <c r="J57" i="33"/>
  <c r="L63" i="33"/>
  <c r="J66" i="33"/>
  <c r="L71" i="33"/>
  <c r="J74" i="33"/>
  <c r="L79" i="33"/>
  <c r="J82" i="33"/>
  <c r="L87" i="33"/>
  <c r="J90" i="33"/>
  <c r="J98" i="33"/>
  <c r="M95" i="33"/>
  <c r="I123" i="33"/>
  <c r="I28" i="33"/>
  <c r="I36" i="33"/>
  <c r="I44" i="33"/>
  <c r="I52" i="33"/>
  <c r="I61" i="33"/>
  <c r="I69" i="33"/>
  <c r="I85" i="33"/>
  <c r="I93" i="33"/>
  <c r="L4" i="33"/>
  <c r="J12" i="33"/>
  <c r="L5" i="33"/>
  <c r="I3" i="33"/>
  <c r="L6" i="33"/>
  <c r="L101" i="33"/>
  <c r="J104" i="33"/>
  <c r="L106" i="33"/>
  <c r="J108" i="33"/>
  <c r="L110" i="33"/>
  <c r="L115" i="33"/>
  <c r="L120" i="33"/>
  <c r="J123" i="33"/>
  <c r="J128" i="33"/>
  <c r="M17" i="33"/>
  <c r="J18" i="33"/>
  <c r="L25" i="33"/>
  <c r="J28" i="33"/>
  <c r="L33" i="33"/>
  <c r="J36" i="33"/>
  <c r="L41" i="33"/>
  <c r="J44" i="33"/>
  <c r="L49" i="33"/>
  <c r="J52" i="33"/>
  <c r="L57" i="33"/>
  <c r="J61" i="33"/>
  <c r="L66" i="33"/>
  <c r="J69" i="33"/>
  <c r="L74" i="33"/>
  <c r="J77" i="33"/>
  <c r="L82" i="33"/>
  <c r="J85" i="33"/>
  <c r="L90" i="33"/>
  <c r="J93" i="33"/>
  <c r="L98" i="33"/>
  <c r="I12" i="33"/>
  <c r="I104" i="33"/>
  <c r="I108" i="33"/>
  <c r="I128" i="33"/>
  <c r="I18" i="33"/>
  <c r="I77" i="33"/>
  <c r="M4" i="33"/>
  <c r="M5" i="33"/>
  <c r="J3" i="33"/>
  <c r="M6" i="33"/>
  <c r="I99" i="33"/>
  <c r="M101" i="33"/>
  <c r="M106" i="33"/>
  <c r="M110" i="33"/>
  <c r="I113" i="33"/>
  <c r="M115" i="33"/>
  <c r="I118" i="33"/>
  <c r="M120" i="33"/>
  <c r="I126" i="33"/>
  <c r="S48" i="33"/>
  <c r="I23" i="33"/>
  <c r="M25" i="33"/>
  <c r="I32" i="33"/>
  <c r="M33" i="33"/>
  <c r="I39" i="33"/>
  <c r="M41" i="33"/>
  <c r="I47" i="33"/>
  <c r="M49" i="33"/>
  <c r="I55" i="33"/>
  <c r="M57" i="33"/>
  <c r="I64" i="33"/>
  <c r="M66" i="33"/>
  <c r="I72" i="33"/>
  <c r="M74" i="33"/>
  <c r="I80" i="33"/>
  <c r="M82" i="33"/>
  <c r="I88" i="33"/>
  <c r="M90" i="33"/>
  <c r="I96" i="33"/>
  <c r="M98" i="33"/>
  <c r="J96" i="33"/>
  <c r="J99" i="33"/>
  <c r="J113" i="33"/>
  <c r="J118" i="33"/>
  <c r="J126" i="33"/>
  <c r="J23" i="33"/>
  <c r="J32" i="33"/>
  <c r="J39" i="33"/>
  <c r="J47" i="33"/>
  <c r="J55" i="33"/>
  <c r="J64" i="33"/>
  <c r="J72" i="33"/>
  <c r="J80" i="33"/>
  <c r="J88" i="33"/>
  <c r="I8" i="33"/>
  <c r="M12" i="33"/>
  <c r="I2" i="33"/>
  <c r="L3" i="33"/>
  <c r="I102" i="33"/>
  <c r="M104" i="33"/>
  <c r="I107" i="33"/>
  <c r="M108" i="33"/>
  <c r="I111" i="33"/>
  <c r="I121" i="33"/>
  <c r="M123" i="33"/>
  <c r="M128" i="33"/>
  <c r="I19" i="33"/>
  <c r="M18" i="33"/>
  <c r="I26" i="33"/>
  <c r="M28" i="33"/>
  <c r="I34" i="33"/>
  <c r="M36" i="33"/>
  <c r="I42" i="33"/>
  <c r="M44" i="33"/>
  <c r="I50" i="33"/>
  <c r="M52" i="33"/>
  <c r="I59" i="33"/>
  <c r="M61" i="33"/>
  <c r="I67" i="33"/>
  <c r="M69" i="33"/>
  <c r="I75" i="33"/>
  <c r="M77" i="33"/>
  <c r="I83" i="33"/>
  <c r="M85" i="33"/>
  <c r="I91" i="33"/>
  <c r="M93" i="33"/>
  <c r="I58" i="33"/>
  <c r="J58" i="33"/>
  <c r="J2" i="33"/>
  <c r="J102" i="33"/>
  <c r="J111" i="33"/>
  <c r="I116" i="33"/>
  <c r="J26" i="33"/>
  <c r="J34" i="33"/>
  <c r="J50" i="33"/>
  <c r="J67" i="33"/>
  <c r="J11" i="33"/>
  <c r="J116" i="33"/>
  <c r="I124" i="33"/>
  <c r="I16" i="33"/>
  <c r="I21" i="33"/>
  <c r="I29" i="33"/>
  <c r="I37" i="33"/>
  <c r="I45" i="33"/>
  <c r="I53" i="33"/>
  <c r="I62" i="33"/>
  <c r="I70" i="33"/>
  <c r="I78" i="33"/>
  <c r="I86" i="33"/>
  <c r="I94" i="33"/>
  <c r="M96" i="33"/>
  <c r="J107" i="33"/>
  <c r="J121" i="33"/>
  <c r="J19" i="33"/>
  <c r="J42" i="33"/>
  <c r="J59" i="33"/>
  <c r="J75" i="33"/>
  <c r="J83" i="33"/>
  <c r="J91" i="33"/>
  <c r="L8" i="33"/>
  <c r="I7" i="33"/>
  <c r="L2" i="33"/>
  <c r="L102" i="33"/>
  <c r="I105" i="33"/>
  <c r="L107" i="33"/>
  <c r="L111" i="33"/>
  <c r="L121" i="33"/>
  <c r="J124" i="33"/>
  <c r="J16" i="33"/>
  <c r="L19" i="33"/>
  <c r="J21" i="33"/>
  <c r="L26" i="33"/>
  <c r="J29" i="33"/>
  <c r="L34" i="33"/>
  <c r="J37" i="33"/>
  <c r="L42" i="33"/>
  <c r="J45" i="33"/>
  <c r="L50" i="33"/>
  <c r="J53" i="33"/>
  <c r="L59" i="33"/>
  <c r="J62" i="33"/>
  <c r="L67" i="33"/>
  <c r="J70" i="33"/>
  <c r="L75" i="33"/>
  <c r="J78" i="33"/>
  <c r="L83" i="33"/>
  <c r="J86" i="33"/>
  <c r="L91" i="33"/>
  <c r="P23" i="31"/>
  <c r="P24" i="31" s="1"/>
  <c r="P25" i="31" s="1"/>
  <c r="O24" i="31"/>
  <c r="O23" i="30"/>
  <c r="O24" i="30" s="1"/>
  <c r="P25" i="30"/>
  <c r="N20" i="28"/>
  <c r="N21" i="28" s="1"/>
  <c r="M19" i="28"/>
  <c r="M21" i="28" s="1"/>
  <c r="P7" i="39" l="1"/>
  <c r="P2" i="39"/>
  <c r="P14" i="39"/>
  <c r="P3" i="39"/>
  <c r="P17" i="39"/>
  <c r="P6" i="39"/>
  <c r="P8" i="39"/>
  <c r="P5" i="39"/>
  <c r="P78" i="39"/>
  <c r="P15" i="39"/>
  <c r="P37" i="39"/>
  <c r="P11" i="39"/>
  <c r="P97" i="39"/>
  <c r="P98" i="39"/>
  <c r="AC7" i="35" a="1"/>
  <c r="AC7" i="35" s="1"/>
  <c r="O25" i="30"/>
  <c r="M20" i="28"/>
  <c r="O107" i="39" l="1" a="1"/>
  <c r="O107" i="39" s="1"/>
  <c r="O51" i="39" l="1" a="1"/>
  <c r="O51" i="39" s="1"/>
  <c r="O35" i="39" a="1"/>
  <c r="O35" i="39" s="1"/>
  <c r="N125" i="45" a="1"/>
  <c r="N125" i="45" s="1"/>
  <c r="O116" i="44" l="1" a="1"/>
  <c r="O116" i="44" s="1"/>
  <c r="O27" i="44" l="1" a="1"/>
  <c r="O27" i="44" s="1"/>
  <c r="O99" i="45" a="1"/>
  <c r="O99" i="45" s="1"/>
  <c r="O103" i="45" l="1" a="1"/>
  <c r="O103" i="45" s="1"/>
  <c r="O120" i="45" a="1"/>
  <c r="O120" i="45" s="1"/>
  <c r="O23" i="45" a="1"/>
  <c r="O23" i="45" s="1"/>
  <c r="O125" i="45" l="1" a="1"/>
  <c r="O125" i="45" s="1"/>
  <c r="P125" i="45" s="1"/>
  <c r="O85" i="45" l="1" a="1"/>
  <c r="O85" i="45" s="1"/>
  <c r="O19" i="45" a="1"/>
  <c r="O19" i="45" s="1"/>
  <c r="O122" i="45" a="1"/>
  <c r="O122" i="45" s="1"/>
  <c r="O34" i="45" a="1"/>
  <c r="O34" i="45" s="1"/>
  <c r="N122" i="44" a="1"/>
  <c r="N122" i="44" s="1"/>
  <c r="O68" i="45" l="1" a="1"/>
  <c r="O68" i="45" s="1"/>
  <c r="O96" i="45" a="1"/>
  <c r="O96" i="45" s="1"/>
  <c r="O75" i="45" a="1"/>
  <c r="O75" i="45" s="1"/>
  <c r="O22" i="45" a="1"/>
  <c r="O22" i="45" s="1"/>
  <c r="O66" i="45" a="1"/>
  <c r="O66" i="45" s="1"/>
  <c r="O58" i="45" a="1"/>
  <c r="O58" i="45" s="1"/>
  <c r="O93" i="45" a="1"/>
  <c r="O93" i="45" s="1"/>
  <c r="O29" i="45" a="1"/>
  <c r="O29" i="45" s="1"/>
  <c r="O52" i="45" a="1"/>
  <c r="O52" i="45" s="1"/>
  <c r="O44" i="45" l="1" a="1"/>
  <c r="O44" i="45" s="1"/>
  <c r="O55" i="45" a="1"/>
  <c r="O55" i="45" s="1"/>
  <c r="O27" i="45" a="1"/>
  <c r="O27" i="45" s="1"/>
  <c r="O25" i="45" a="1"/>
  <c r="O25" i="45" s="1"/>
  <c r="O113" i="45" a="1"/>
  <c r="O113" i="45" s="1"/>
  <c r="O109" i="45" a="1"/>
  <c r="O109" i="45" s="1"/>
  <c r="O53" i="45" a="1"/>
  <c r="O53" i="45" s="1"/>
  <c r="O26" i="45" a="1"/>
  <c r="O26" i="45" s="1"/>
  <c r="O72" i="45" a="1"/>
  <c r="O72" i="45" s="1"/>
  <c r="N88" i="45" a="1"/>
  <c r="N88" i="45" s="1"/>
  <c r="N22" i="45" a="1"/>
  <c r="N22" i="45" s="1"/>
  <c r="P22" i="45" s="1"/>
  <c r="O94" i="45" l="1" a="1"/>
  <c r="O94" i="45" s="1"/>
  <c r="O38" i="45" a="1"/>
  <c r="O38" i="45" s="1"/>
  <c r="O51" i="45" a="1"/>
  <c r="O51" i="45" s="1"/>
  <c r="O24" i="45" a="1"/>
  <c r="O24" i="45" s="1"/>
  <c r="O92" i="45" a="1"/>
  <c r="O92" i="45" s="1"/>
  <c r="O101" i="45" a="1"/>
  <c r="O101" i="45" s="1"/>
  <c r="N101" i="45" l="1" a="1"/>
  <c r="N101" i="45" s="1"/>
  <c r="P101" i="45" s="1"/>
  <c r="N128" i="45" a="1"/>
  <c r="N128" i="45" s="1"/>
  <c r="N123" i="45" a="1"/>
  <c r="N123" i="45" s="1"/>
  <c r="N54" i="39" l="1" a="1"/>
  <c r="N54" i="39" s="1"/>
  <c r="N89" i="39" a="1"/>
  <c r="N89" i="39" s="1"/>
  <c r="N82" i="39" a="1"/>
  <c r="N82" i="39" s="1"/>
  <c r="N74" i="39" l="1" a="1"/>
  <c r="N74" i="39" s="1"/>
  <c r="N27" i="39" a="1"/>
  <c r="N27" i="39" s="1"/>
  <c r="N64" i="39" l="1" a="1"/>
  <c r="N64" i="39" s="1"/>
  <c r="N25" i="39" l="1" a="1"/>
  <c r="N25" i="39" s="1"/>
  <c r="N123" i="39" a="1"/>
  <c r="N123" i="39" s="1"/>
  <c r="N18" i="45" a="1"/>
  <c r="N18" i="45" s="1"/>
  <c r="N104" i="34" a="1"/>
  <c r="N104" i="34" s="1"/>
  <c r="N111" i="45" l="1" a="1"/>
  <c r="N111" i="45" s="1"/>
  <c r="N35" i="34" a="1"/>
  <c r="N35" i="34" s="1"/>
  <c r="N32" i="45" a="1"/>
  <c r="N32" i="45" s="1"/>
  <c r="N105" i="45" a="1"/>
  <c r="N105" i="45" s="1"/>
  <c r="N85" i="45" l="1" a="1"/>
  <c r="N85" i="45" s="1"/>
  <c r="P85" i="45" s="1"/>
  <c r="N84" i="34" a="1"/>
  <c r="N84" i="34" s="1"/>
  <c r="N75" i="34" a="1"/>
  <c r="N75" i="34" s="1"/>
  <c r="N31" i="34" a="1"/>
  <c r="N31" i="34" s="1"/>
  <c r="N45" i="34" a="1"/>
  <c r="N45" i="34" s="1"/>
  <c r="N128" i="34" a="1"/>
  <c r="N128" i="34" s="1"/>
  <c r="N108" i="34" l="1" a="1"/>
  <c r="N108" i="34" s="1"/>
  <c r="N92" i="34" a="1"/>
  <c r="N92" i="34" s="1"/>
  <c r="O9" i="34" a="1"/>
  <c r="O9" i="34" s="1"/>
  <c r="O68" i="34" a="1"/>
  <c r="O68" i="34" s="1"/>
  <c r="O121" i="34" a="1"/>
  <c r="O121" i="34" s="1"/>
  <c r="N119" i="44" a="1"/>
  <c r="N119" i="44" s="1"/>
  <c r="O109" i="34" l="1" a="1"/>
  <c r="O109" i="34" s="1"/>
  <c r="O81" i="39" a="1"/>
  <c r="O81" i="39" s="1"/>
  <c r="O124" i="39" a="1"/>
  <c r="O124" i="39" s="1"/>
  <c r="O112" i="39" a="1"/>
  <c r="O112" i="39" s="1"/>
  <c r="O110" i="34" a="1"/>
  <c r="O110" i="34" s="1"/>
  <c r="O93" i="34" a="1"/>
  <c r="O93" i="34" s="1"/>
  <c r="O83" i="34" a="1"/>
  <c r="O83" i="34" s="1"/>
  <c r="O23" i="39" l="1" a="1"/>
  <c r="O23" i="39" s="1"/>
  <c r="O30" i="39" a="1"/>
  <c r="O30" i="39" s="1"/>
  <c r="O34" i="39" a="1"/>
  <c r="O34" i="39" s="1"/>
  <c r="O43" i="39" a="1"/>
  <c r="O43" i="39" s="1"/>
  <c r="O19" i="39" l="1" a="1"/>
  <c r="O19" i="39" s="1"/>
  <c r="O92" i="39" a="1"/>
  <c r="O92" i="39" s="1"/>
  <c r="N18" i="44" a="1"/>
  <c r="N18" i="44" s="1"/>
  <c r="N48" i="39" a="1"/>
  <c r="N48" i="39" s="1"/>
  <c r="N121" i="39" l="1" a="1"/>
  <c r="N121" i="39" s="1"/>
  <c r="N75" i="39" a="1"/>
  <c r="N75" i="39" s="1"/>
  <c r="N73" i="44" a="1"/>
  <c r="N73" i="44" s="1"/>
  <c r="N22" i="39" a="1"/>
  <c r="N22" i="39" s="1"/>
  <c r="N40" i="39" l="1" a="1"/>
  <c r="N40" i="39" s="1"/>
  <c r="N76" i="39" a="1"/>
  <c r="N76" i="39" s="1"/>
  <c r="N53" i="39" a="1"/>
  <c r="N53" i="39" s="1"/>
  <c r="N13" i="44" a="1"/>
  <c r="N13" i="44" s="1"/>
  <c r="N87" i="44" s="1" a="1"/>
  <c r="N87" i="44" s="1"/>
  <c r="N102" i="44" a="1"/>
  <c r="N102" i="44" s="1"/>
  <c r="N120" i="39" l="1" a="1"/>
  <c r="N120" i="39" s="1"/>
  <c r="N112" i="44" a="1"/>
  <c r="N112" i="44" s="1"/>
  <c r="N33" i="39" a="1"/>
  <c r="N33" i="39" s="1"/>
  <c r="N23" i="39" a="1"/>
  <c r="N23" i="39" s="1"/>
  <c r="P23" i="39" s="1"/>
  <c r="N16" i="39" a="1"/>
  <c r="N16" i="39" s="1"/>
  <c r="N69" i="39" a="1"/>
  <c r="N69" i="39" s="1"/>
  <c r="N96" i="39" a="1"/>
  <c r="N96" i="39" s="1"/>
  <c r="N104" i="44" a="1"/>
  <c r="N104" i="44" s="1"/>
  <c r="N80" i="44" a="1"/>
  <c r="N80" i="44" s="1"/>
  <c r="N94" i="44" a="1"/>
  <c r="N94" i="44" s="1"/>
  <c r="N86" i="44" a="1"/>
  <c r="N86" i="44" s="1"/>
  <c r="N41" i="39" a="1"/>
  <c r="N41" i="39" s="1"/>
  <c r="N86" i="39" a="1"/>
  <c r="N86" i="39" s="1"/>
  <c r="N91" i="44" a="1"/>
  <c r="N91" i="44" s="1"/>
  <c r="N69" i="44" a="1"/>
  <c r="N69" i="44" s="1"/>
  <c r="N24" i="44" a="1"/>
  <c r="N24" i="44" s="1"/>
  <c r="N30" i="44" a="1"/>
  <c r="N30" i="44" s="1"/>
  <c r="N26" i="44" a="1"/>
  <c r="N26" i="44" s="1"/>
  <c r="N72" i="44" a="1"/>
  <c r="N72" i="44" s="1"/>
  <c r="N47" i="44" a="1"/>
  <c r="N47" i="44" s="1"/>
  <c r="N77" i="44" a="1"/>
  <c r="N77" i="44" s="1"/>
  <c r="N20" i="44" a="1"/>
  <c r="N20" i="44" s="1"/>
  <c r="O68" i="44" a="1"/>
  <c r="O68" i="44" s="1"/>
  <c r="O20" i="39" a="1"/>
  <c r="O20" i="39" s="1"/>
  <c r="O13" i="34" a="1"/>
  <c r="O13" i="34" s="1"/>
  <c r="O31" i="34" a="1"/>
  <c r="O31" i="34" s="1"/>
  <c r="O36" i="34" a="1"/>
  <c r="O36" i="34" s="1"/>
  <c r="O71" i="39" a="1"/>
  <c r="O71" i="39" s="1"/>
  <c r="O42" i="39" a="1"/>
  <c r="O42" i="39" s="1"/>
  <c r="O35" i="44" a="1"/>
  <c r="O35" i="44" s="1"/>
  <c r="O61" i="34" l="1" a="1"/>
  <c r="O61" i="34" s="1"/>
  <c r="O100" i="34" a="1"/>
  <c r="O100" i="34" s="1"/>
  <c r="O118" i="34" a="1"/>
  <c r="O118" i="34" s="1"/>
  <c r="O117" i="34" a="1"/>
  <c r="O117" i="34" s="1"/>
  <c r="O96" i="39" a="1"/>
  <c r="O96" i="39" s="1"/>
  <c r="P96" i="39" s="1"/>
  <c r="O104" i="39" a="1"/>
  <c r="O104" i="39" s="1"/>
  <c r="O30" i="34" a="1"/>
  <c r="O30" i="34" s="1"/>
  <c r="O66" i="39" a="1"/>
  <c r="O66" i="39" s="1"/>
  <c r="O44" i="39" a="1"/>
  <c r="O44" i="39" s="1"/>
  <c r="O44" i="34" a="1"/>
  <c r="O44" i="34" s="1"/>
  <c r="O104" i="34" a="1"/>
  <c r="O104" i="34" s="1"/>
  <c r="O76" i="44" a="1"/>
  <c r="O76" i="44" s="1"/>
  <c r="O33" i="34" a="1"/>
  <c r="O33" i="34" s="1"/>
  <c r="O30" i="44" a="1"/>
  <c r="O30" i="44" s="1"/>
  <c r="P30" i="44" s="1"/>
  <c r="O108" i="34" a="1"/>
  <c r="O108" i="34" s="1"/>
  <c r="O81" i="34" a="1"/>
  <c r="O81" i="34" s="1"/>
  <c r="O56" i="34" a="1"/>
  <c r="O56" i="34" s="1"/>
  <c r="O34" i="44" a="1"/>
  <c r="O34" i="44" s="1"/>
  <c r="O27" i="39" a="1"/>
  <c r="O27" i="39" s="1"/>
  <c r="P27" i="39" s="1"/>
  <c r="O18" i="39" a="1"/>
  <c r="O18" i="39" s="1"/>
  <c r="O62" i="39" a="1"/>
  <c r="O62" i="39" s="1"/>
  <c r="O125" i="39" a="1"/>
  <c r="O125" i="39" s="1"/>
  <c r="O75" i="44" a="1"/>
  <c r="O75" i="44" s="1"/>
  <c r="O66" i="44" a="1"/>
  <c r="O66" i="44" s="1"/>
  <c r="O87" i="34" a="1"/>
  <c r="O87" i="34" s="1"/>
  <c r="O119" i="34" a="1"/>
  <c r="O119" i="34" s="1"/>
  <c r="O19" i="34" a="1"/>
  <c r="O19" i="34" s="1"/>
  <c r="O66" i="34" a="1"/>
  <c r="O66" i="34" s="1"/>
  <c r="O49" i="44" l="1" a="1"/>
  <c r="O49" i="44" s="1"/>
  <c r="O32" i="44" a="1"/>
  <c r="O32" i="44" s="1"/>
  <c r="O117" i="44" a="1"/>
  <c r="O117" i="44" s="1"/>
  <c r="O96" i="44" a="1"/>
  <c r="O96" i="44" s="1"/>
  <c r="O12" i="44" a="1"/>
  <c r="O12" i="44" s="1"/>
  <c r="O121" i="44" s="1" a="1"/>
  <c r="O121" i="44" s="1"/>
  <c r="O85" i="44" a="1"/>
  <c r="O85" i="44" s="1"/>
  <c r="O115" i="44" a="1"/>
  <c r="O115" i="44" s="1"/>
  <c r="O29" i="34" a="1"/>
  <c r="O29" i="34" s="1"/>
  <c r="O67" i="34" a="1"/>
  <c r="O67" i="34" s="1"/>
  <c r="O44" i="44" a="1"/>
  <c r="O44" i="44" s="1"/>
  <c r="O126" i="34" a="1"/>
  <c r="O126" i="34" s="1"/>
  <c r="O34" i="34" a="1"/>
  <c r="O34" i="34" s="1"/>
  <c r="O63" i="44" a="1"/>
  <c r="O63" i="44" s="1"/>
  <c r="O125" i="34" a="1"/>
  <c r="O125" i="34" s="1"/>
  <c r="O24" i="34" a="1"/>
  <c r="O24" i="34" s="1"/>
  <c r="N92" i="40" a="1"/>
  <c r="N92" i="40" s="1"/>
  <c r="N59" i="34" a="1"/>
  <c r="N59" i="34" s="1"/>
  <c r="N74" i="34" a="1"/>
  <c r="N74" i="34" s="1"/>
  <c r="O101" i="34" a="1"/>
  <c r="O101" i="34" s="1"/>
  <c r="O25" i="34" a="1"/>
  <c r="O25" i="34" s="1"/>
  <c r="O92" i="44" l="1" a="1"/>
  <c r="O92" i="44" s="1"/>
  <c r="O128" i="44" a="1"/>
  <c r="O128" i="44" s="1"/>
  <c r="O120" i="44" a="1"/>
  <c r="O120" i="44" s="1"/>
  <c r="O124" i="44" a="1"/>
  <c r="O124" i="44" s="1"/>
  <c r="O93" i="44" a="1"/>
  <c r="O93" i="44" s="1"/>
  <c r="O62" i="44" a="1"/>
  <c r="O62" i="44" s="1"/>
  <c r="O51" i="44" a="1"/>
  <c r="O51" i="44" s="1"/>
  <c r="O20" i="44" a="1"/>
  <c r="O20" i="44" s="1"/>
  <c r="P20" i="44" s="1"/>
  <c r="O69" i="44" a="1"/>
  <c r="O69" i="44" s="1"/>
  <c r="P69" i="44" s="1"/>
  <c r="O79" i="44" a="1"/>
  <c r="O79" i="44" s="1"/>
  <c r="O58" i="44" a="1"/>
  <c r="O58" i="44" s="1"/>
  <c r="O124" i="34" a="1"/>
  <c r="O124" i="34" s="1"/>
  <c r="O46" i="34" a="1"/>
  <c r="O46" i="34" s="1"/>
  <c r="O25" i="44" a="1"/>
  <c r="O25" i="44" s="1"/>
  <c r="O112" i="44" a="1"/>
  <c r="O112" i="44" s="1"/>
  <c r="P112" i="44" s="1"/>
  <c r="O77" i="44" a="1"/>
  <c r="O77" i="44" s="1"/>
  <c r="P77" i="44" s="1"/>
  <c r="O41" i="44" a="1"/>
  <c r="O41" i="44" s="1"/>
  <c r="O19" i="44" a="1"/>
  <c r="O19" i="44" s="1"/>
  <c r="O81" i="44" a="1"/>
  <c r="O81" i="44" s="1"/>
  <c r="O108" i="44" a="1"/>
  <c r="O108" i="44" s="1"/>
  <c r="N123" i="34" a="1"/>
  <c r="N123" i="34" s="1"/>
  <c r="N53" i="34" a="1"/>
  <c r="N53" i="34" s="1"/>
  <c r="N119" i="34" a="1"/>
  <c r="N119" i="34" s="1"/>
  <c r="N118" i="34" a="1"/>
  <c r="N118" i="34" s="1"/>
  <c r="N106" i="34" a="1"/>
  <c r="N106" i="34" s="1"/>
  <c r="O35" i="34" a="1"/>
  <c r="O35" i="34" s="1"/>
  <c r="N51" i="34" a="1"/>
  <c r="N51" i="34" s="1"/>
  <c r="N54" i="34" a="1"/>
  <c r="N54" i="34" s="1"/>
  <c r="O58" i="34" a="1"/>
  <c r="O58" i="34" s="1"/>
  <c r="O91" i="34" a="1"/>
  <c r="O91" i="34" s="1"/>
  <c r="O62" i="34" a="1"/>
  <c r="O62" i="34" s="1"/>
  <c r="O74" i="34" a="1"/>
  <c r="O74" i="34" s="1"/>
  <c r="N12" i="44" l="1" a="1"/>
  <c r="N12" i="44" s="1"/>
  <c r="N82" i="44" s="1" a="1"/>
  <c r="N82" i="44" s="1"/>
  <c r="N103" i="44" l="1" a="1"/>
  <c r="N103" i="44" s="1"/>
  <c r="N4" i="44" a="1"/>
  <c r="N4" i="44" s="1"/>
  <c r="N126" i="44" s="1" a="1"/>
  <c r="N126" i="44" s="1"/>
  <c r="N28" i="44" a="1"/>
  <c r="N28" i="44" s="1"/>
  <c r="N70" i="44" a="1"/>
  <c r="N70" i="44" s="1"/>
  <c r="N49" i="44" a="1"/>
  <c r="N49" i="44" s="1"/>
  <c r="P49" i="44" s="1"/>
  <c r="N67" i="44" a="1"/>
  <c r="N67" i="44" s="1"/>
  <c r="N23" i="44" a="1"/>
  <c r="N23" i="44" s="1"/>
  <c r="N75" i="44" a="1"/>
  <c r="N75" i="44" s="1"/>
  <c r="P75" i="44" s="1"/>
  <c r="N38" i="44" a="1"/>
  <c r="N38" i="44" s="1"/>
  <c r="N79" i="44" a="1"/>
  <c r="N79" i="44" s="1"/>
  <c r="P79" i="44" s="1"/>
  <c r="N116" i="44" a="1"/>
  <c r="N116" i="44" s="1"/>
  <c r="P116" i="44" s="1"/>
  <c r="N61" i="44" a="1"/>
  <c r="N61" i="44" s="1"/>
  <c r="N113" i="44" a="1"/>
  <c r="N113" i="44" s="1"/>
  <c r="N90" i="44" a="1"/>
  <c r="N90" i="44" s="1"/>
  <c r="N48" i="44" a="1"/>
  <c r="N48" i="44" s="1"/>
  <c r="P12" i="44"/>
  <c r="N29" i="44" a="1"/>
  <c r="N29" i="44" s="1"/>
  <c r="N128" i="44" a="1"/>
  <c r="N128" i="44" s="1"/>
  <c r="P128" i="44" s="1"/>
  <c r="N44" i="44" a="1"/>
  <c r="N44" i="44" s="1"/>
  <c r="P44" i="44" s="1"/>
  <c r="N66" i="44" a="1"/>
  <c r="N66" i="44" s="1"/>
  <c r="P66" i="44" s="1"/>
  <c r="N84" i="44" a="1"/>
  <c r="N84" i="44" s="1"/>
  <c r="N115" i="44" a="1"/>
  <c r="N115" i="44" s="1"/>
  <c r="P115" i="44" s="1"/>
  <c r="N76" i="44" a="1"/>
  <c r="N76" i="44" s="1"/>
  <c r="P76" i="44" s="1"/>
  <c r="N60" i="44" a="1"/>
  <c r="N60" i="44" s="1"/>
  <c r="N19" i="44" l="1" a="1"/>
  <c r="N19" i="44" s="1"/>
  <c r="P19" i="44" s="1"/>
  <c r="N53" i="44" a="1"/>
  <c r="N53" i="44" s="1"/>
  <c r="N108" i="44" a="1"/>
  <c r="N108" i="44" s="1"/>
  <c r="P108" i="44" s="1"/>
  <c r="N110" i="44" a="1"/>
  <c r="N110" i="44" s="1"/>
  <c r="N59" i="44" a="1"/>
  <c r="N59" i="44" s="1"/>
  <c r="N111" i="44" a="1"/>
  <c r="N111" i="44" s="1"/>
  <c r="N10" i="44" a="1"/>
  <c r="N10" i="44" s="1"/>
  <c r="N36" i="44" a="1"/>
  <c r="N36" i="44" s="1"/>
  <c r="N109" i="44" a="1"/>
  <c r="N109" i="44" s="1"/>
  <c r="N71" i="44" a="1"/>
  <c r="N71" i="44" s="1"/>
  <c r="N35" i="44" a="1"/>
  <c r="N35" i="44" s="1"/>
  <c r="P35" i="44" s="1"/>
  <c r="N100" i="44" a="1"/>
  <c r="N100" i="44" s="1"/>
  <c r="N99" i="44" a="1"/>
  <c r="N99" i="44" s="1"/>
  <c r="N74" i="44" a="1"/>
  <c r="N74" i="44" s="1"/>
  <c r="N93" i="44" a="1"/>
  <c r="N93" i="44" s="1"/>
  <c r="P93" i="44" s="1"/>
  <c r="N121" i="44" a="1"/>
  <c r="N121" i="44" s="1"/>
  <c r="P121" i="44" s="1"/>
  <c r="N21" i="44" a="1"/>
  <c r="N21" i="44" s="1"/>
  <c r="N50" i="44" a="1"/>
  <c r="N50" i="44" s="1"/>
  <c r="N118" i="44" a="1"/>
  <c r="N118" i="44" s="1"/>
  <c r="N64" i="34" a="1"/>
  <c r="N64" i="34" s="1"/>
  <c r="O89" i="34" a="1"/>
  <c r="O89" i="34" s="1"/>
  <c r="O92" i="34" a="1"/>
  <c r="O92" i="34" s="1"/>
  <c r="O38" i="44" a="1"/>
  <c r="O38" i="44" s="1"/>
  <c r="P38" i="44" s="1"/>
  <c r="N89" i="40" a="1"/>
  <c r="N89" i="40" s="1"/>
  <c r="O82" i="39" a="1"/>
  <c r="O82" i="39" s="1"/>
  <c r="P82" i="39" s="1"/>
  <c r="O127" i="40" a="1"/>
  <c r="O127" i="40" s="1"/>
  <c r="N16" i="45" a="1"/>
  <c r="N16" i="45" s="1"/>
  <c r="N95" i="45" a="1"/>
  <c r="N95" i="45" s="1"/>
  <c r="N36" i="45" a="1"/>
  <c r="N36" i="45" s="1"/>
  <c r="N13" i="45" a="1"/>
  <c r="N13" i="45" s="1"/>
  <c r="N107" i="45" a="1"/>
  <c r="N107" i="45" s="1"/>
  <c r="O68" i="39" a="1"/>
  <c r="O68" i="39" s="1"/>
  <c r="O102" i="44" a="1"/>
  <c r="O102" i="44" s="1"/>
  <c r="P102" i="44" s="1"/>
  <c r="N55" i="44" l="1" a="1"/>
  <c r="N55" i="44" s="1"/>
  <c r="N123" i="44" a="1"/>
  <c r="N123" i="44" s="1"/>
  <c r="N100" i="45" a="1"/>
  <c r="N100" i="45" s="1"/>
  <c r="N124" i="45" a="1"/>
  <c r="N124" i="45" s="1"/>
  <c r="N107" i="44" a="1"/>
  <c r="N107" i="44" s="1"/>
  <c r="O114" i="44" a="1"/>
  <c r="O114" i="44" s="1"/>
  <c r="O86" i="44" a="1"/>
  <c r="O86" i="44" s="1"/>
  <c r="P86" i="44" s="1"/>
  <c r="O109" i="44" a="1"/>
  <c r="O109" i="44" s="1"/>
  <c r="O60" i="44" a="1"/>
  <c r="O60" i="44" s="1"/>
  <c r="P60" i="44" s="1"/>
  <c r="O59" i="44" a="1"/>
  <c r="O59" i="44" s="1"/>
  <c r="P59" i="44" s="1"/>
  <c r="O111" i="44" a="1"/>
  <c r="O111" i="44" s="1"/>
  <c r="P111" i="44" s="1"/>
  <c r="N58" i="44" a="1"/>
  <c r="N58" i="44" s="1"/>
  <c r="P58" i="44" s="1"/>
  <c r="N106" i="44" a="1"/>
  <c r="N106" i="44" s="1"/>
  <c r="N62" i="44" a="1"/>
  <c r="N62" i="44" s="1"/>
  <c r="P62" i="44" s="1"/>
  <c r="N22" i="44" a="1"/>
  <c r="N22" i="44" s="1"/>
  <c r="N27" i="44" a="1"/>
  <c r="N27" i="44" s="1"/>
  <c r="P27" i="44" s="1"/>
  <c r="N16" i="44" a="1"/>
  <c r="N16" i="44" s="1"/>
  <c r="N96" i="44" a="1"/>
  <c r="N96" i="44" s="1"/>
  <c r="P96" i="44" s="1"/>
  <c r="N65" i="44" a="1"/>
  <c r="N65" i="44" s="1"/>
  <c r="N88" i="44" a="1"/>
  <c r="N88" i="44" s="1"/>
  <c r="N125" i="44" a="1"/>
  <c r="N125" i="44" s="1"/>
  <c r="N106" i="45" a="1"/>
  <c r="N106" i="45" s="1"/>
  <c r="P109" i="44"/>
  <c r="N93" i="45" a="1"/>
  <c r="N93" i="45" s="1"/>
  <c r="P93" i="45" s="1"/>
  <c r="N79" i="45" a="1"/>
  <c r="N79" i="45" s="1"/>
  <c r="N4" i="45" a="1"/>
  <c r="N4" i="45" s="1"/>
  <c r="N19" i="45" a="1"/>
  <c r="N19" i="45" s="1"/>
  <c r="P19" i="45" s="1"/>
  <c r="N90" i="34" a="1"/>
  <c r="N90" i="34" s="1"/>
  <c r="N57" i="44" a="1"/>
  <c r="N57" i="44" s="1"/>
  <c r="N85" i="44" a="1"/>
  <c r="N85" i="44" s="1"/>
  <c r="P85" i="44" s="1"/>
  <c r="N127" i="44" a="1"/>
  <c r="N127" i="44" s="1"/>
  <c r="N9" i="44" a="1"/>
  <c r="N9" i="44" s="1"/>
  <c r="O91" i="44" a="1"/>
  <c r="O91" i="44" s="1"/>
  <c r="P91" i="44" s="1"/>
  <c r="N63" i="44" a="1"/>
  <c r="N63" i="44" s="1"/>
  <c r="P63" i="44" s="1"/>
  <c r="O54" i="34" a="1"/>
  <c r="O54" i="34" s="1"/>
  <c r="N40" i="40" a="1"/>
  <c r="N40" i="40" s="1"/>
  <c r="N62" i="45" a="1"/>
  <c r="N62" i="45" s="1"/>
  <c r="O110" i="39" a="1"/>
  <c r="O110" i="39" s="1"/>
  <c r="O95" i="39" a="1"/>
  <c r="O95" i="39" s="1"/>
  <c r="O57" i="39" a="1"/>
  <c r="O57" i="39" s="1"/>
  <c r="O84" i="39" a="1"/>
  <c r="O84" i="39" s="1"/>
  <c r="O31" i="39" a="1"/>
  <c r="O31" i="39" s="1"/>
  <c r="O21" i="34" a="1"/>
  <c r="O21" i="34" s="1"/>
  <c r="O107" i="34" a="1"/>
  <c r="O107" i="34" s="1"/>
  <c r="N35" i="45" a="1"/>
  <c r="N35" i="45" s="1"/>
  <c r="N43" i="45" a="1"/>
  <c r="N43" i="45" s="1"/>
  <c r="N28" i="45" a="1"/>
  <c r="N28" i="45" s="1"/>
  <c r="O74" i="44" a="1"/>
  <c r="O74" i="44" s="1"/>
  <c r="P74" i="44" s="1"/>
  <c r="O57" i="44" a="1"/>
  <c r="O57" i="44" s="1"/>
  <c r="O42" i="44" a="1"/>
  <c r="O42" i="44" s="1"/>
  <c r="N69" i="45" a="1"/>
  <c r="N69" i="45" s="1"/>
  <c r="N61" i="45" a="1"/>
  <c r="N61" i="45" s="1"/>
  <c r="N63" i="40" a="1"/>
  <c r="N63" i="40" s="1"/>
  <c r="N39" i="44" a="1"/>
  <c r="N39" i="44" s="1"/>
  <c r="N31" i="44" a="1"/>
  <c r="N31" i="44" s="1"/>
  <c r="N32" i="44" a="1"/>
  <c r="N32" i="44" s="1"/>
  <c r="P32" i="44" s="1"/>
  <c r="N45" i="44" a="1"/>
  <c r="N45" i="44" s="1"/>
  <c r="N105" i="44" a="1"/>
  <c r="N105" i="44" s="1"/>
  <c r="N40" i="44" a="1"/>
  <c r="N40" i="44" s="1"/>
  <c r="N25" i="44" a="1"/>
  <c r="N25" i="44" s="1"/>
  <c r="P25" i="44" s="1"/>
  <c r="N124" i="44" a="1"/>
  <c r="N124" i="44" s="1"/>
  <c r="P124" i="44" s="1"/>
  <c r="N92" i="44" a="1"/>
  <c r="N92" i="44" s="1"/>
  <c r="P92" i="44" s="1"/>
  <c r="N101" i="44" a="1"/>
  <c r="N101" i="44" s="1"/>
  <c r="N103" i="34" a="1"/>
  <c r="N103" i="34" s="1"/>
  <c r="N30" i="34" a="1"/>
  <c r="N30" i="34" s="1"/>
  <c r="O128" i="34" a="1"/>
  <c r="O128" i="34" s="1"/>
  <c r="N10" i="45" a="1"/>
  <c r="N10" i="45" s="1"/>
  <c r="N92" i="45" s="1" a="1"/>
  <c r="N92" i="45" s="1"/>
  <c r="P92" i="45" s="1"/>
  <c r="N53" i="45" a="1"/>
  <c r="N53" i="45" s="1"/>
  <c r="P53" i="45" s="1"/>
  <c r="N21" i="45" a="1"/>
  <c r="N21" i="45" s="1"/>
  <c r="N26" i="40" a="1"/>
  <c r="N26" i="40" s="1"/>
  <c r="N34" i="45" a="1"/>
  <c r="N34" i="45" s="1"/>
  <c r="P34" i="45" s="1"/>
  <c r="N74" i="45" a="1"/>
  <c r="N74" i="45" s="1"/>
  <c r="N71" i="45" a="1"/>
  <c r="N71" i="45" s="1"/>
  <c r="N109" i="45" a="1"/>
  <c r="N109" i="45" s="1"/>
  <c r="P109" i="45" s="1"/>
  <c r="N126" i="45" a="1"/>
  <c r="N126" i="45" s="1"/>
  <c r="N118" i="45" a="1"/>
  <c r="N118" i="45" s="1"/>
  <c r="N65" i="45" a="1"/>
  <c r="N65" i="45" s="1"/>
  <c r="N20" i="45" a="1"/>
  <c r="N20" i="45" s="1"/>
  <c r="N55" i="45" a="1"/>
  <c r="N55" i="45" s="1"/>
  <c r="P55" i="45" s="1"/>
  <c r="N120" i="45" a="1"/>
  <c r="N120" i="45" s="1"/>
  <c r="P120" i="45" s="1"/>
  <c r="N31" i="45" a="1"/>
  <c r="N31" i="45" s="1"/>
  <c r="N71" i="40" a="1"/>
  <c r="N71" i="40" s="1"/>
  <c r="N116" i="34" a="1"/>
  <c r="N116" i="34" s="1"/>
  <c r="N19" i="34" a="1"/>
  <c r="N19" i="34" s="1"/>
  <c r="O99" i="44" a="1"/>
  <c r="O99" i="44" s="1"/>
  <c r="P99" i="44" s="1"/>
  <c r="O45" i="44" a="1"/>
  <c r="O45" i="44" s="1"/>
  <c r="O16" i="44" a="1"/>
  <c r="O16" i="44" s="1"/>
  <c r="P16" i="44" s="1"/>
  <c r="O22" i="44" a="1"/>
  <c r="O22" i="44" s="1"/>
  <c r="O84" i="44" a="1"/>
  <c r="O84" i="44" s="1"/>
  <c r="P84" i="44" s="1"/>
  <c r="O119" i="44" a="1"/>
  <c r="O119" i="44" s="1"/>
  <c r="P119" i="44" s="1"/>
  <c r="O127" i="44" a="1"/>
  <c r="O127" i="44" s="1"/>
  <c r="P127" i="44" s="1"/>
  <c r="N58" i="45" l="1" a="1"/>
  <c r="N58" i="45" s="1"/>
  <c r="P58" i="45" s="1"/>
  <c r="N41" i="45" a="1"/>
  <c r="N41" i="45" s="1"/>
  <c r="N33" i="44" a="1"/>
  <c r="N33" i="44" s="1"/>
  <c r="N81" i="44" a="1"/>
  <c r="N81" i="44" s="1"/>
  <c r="P81" i="44" s="1"/>
  <c r="N46" i="44" a="1"/>
  <c r="N46" i="44" s="1"/>
  <c r="N114" i="44" a="1"/>
  <c r="N114" i="44" s="1"/>
  <c r="P114" i="44" s="1"/>
  <c r="N89" i="45" a="1"/>
  <c r="N89" i="45" s="1"/>
  <c r="P22" i="44"/>
  <c r="P57" i="44"/>
  <c r="N75" i="45" a="1"/>
  <c r="N75" i="45" s="1"/>
  <c r="P75" i="45" s="1"/>
  <c r="N25" i="45" a="1"/>
  <c r="N25" i="45" s="1"/>
  <c r="P25" i="45" s="1"/>
  <c r="N29" i="45" a="1"/>
  <c r="N29" i="45" s="1"/>
  <c r="P29" i="45" s="1"/>
  <c r="N45" i="45" a="1"/>
  <c r="N45" i="45" s="1"/>
  <c r="N51" i="44" a="1"/>
  <c r="N51" i="44" s="1"/>
  <c r="P51" i="44" s="1"/>
  <c r="N64" i="44" a="1"/>
  <c r="N64" i="44" s="1"/>
  <c r="N117" i="44" a="1"/>
  <c r="N117" i="44" s="1"/>
  <c r="P117" i="44" s="1"/>
  <c r="N120" i="44" a="1"/>
  <c r="N120" i="44" s="1"/>
  <c r="P120" i="44" s="1"/>
  <c r="O125" i="44" a="1"/>
  <c r="O125" i="44" s="1"/>
  <c r="P125" i="44" s="1"/>
  <c r="O24" i="44" a="1"/>
  <c r="O24" i="44" s="1"/>
  <c r="P24" i="44" s="1"/>
  <c r="O71" i="44" a="1"/>
  <c r="O71" i="44" s="1"/>
  <c r="P71" i="44" s="1"/>
  <c r="O31" i="44" a="1"/>
  <c r="O31" i="44" s="1"/>
  <c r="P31" i="44" s="1"/>
  <c r="O90" i="44" a="1"/>
  <c r="O90" i="44" s="1"/>
  <c r="P90" i="44" s="1"/>
  <c r="O101" i="44" a="1"/>
  <c r="O101" i="44" s="1"/>
  <c r="P101" i="44" s="1"/>
  <c r="N41" i="44" a="1"/>
  <c r="N41" i="44" s="1"/>
  <c r="P41" i="44" s="1"/>
  <c r="N30" i="45" a="1"/>
  <c r="N30" i="45" s="1"/>
  <c r="N73" i="45" a="1"/>
  <c r="N73" i="45" s="1"/>
  <c r="N102" i="45" a="1"/>
  <c r="N102" i="45" s="1"/>
  <c r="N103" i="45" a="1"/>
  <c r="N103" i="45" s="1"/>
  <c r="P103" i="45" s="1"/>
  <c r="N63" i="45" a="1"/>
  <c r="N63" i="45" s="1"/>
  <c r="N27" i="45" a="1"/>
  <c r="N27" i="45" s="1"/>
  <c r="P27" i="45" s="1"/>
  <c r="N83" i="45" a="1"/>
  <c r="N83" i="45" s="1"/>
  <c r="N80" i="45" a="1"/>
  <c r="N80" i="45" s="1"/>
  <c r="N114" i="45" a="1"/>
  <c r="N114" i="45" s="1"/>
  <c r="O122" i="44" a="1"/>
  <c r="O122" i="44" s="1"/>
  <c r="P122" i="44" s="1"/>
  <c r="O56" i="44" a="1"/>
  <c r="O56" i="44" s="1"/>
  <c r="O46" i="44" a="1"/>
  <c r="O46" i="44" s="1"/>
  <c r="O23" i="44" a="1"/>
  <c r="O23" i="44" s="1"/>
  <c r="P23" i="44" s="1"/>
  <c r="N117" i="40" a="1"/>
  <c r="N117" i="40" s="1"/>
  <c r="N50" i="45" a="1"/>
  <c r="N50" i="45" s="1"/>
  <c r="N43" i="44" a="1"/>
  <c r="N43" i="44" s="1"/>
  <c r="N52" i="44" a="1"/>
  <c r="N52" i="44" s="1"/>
  <c r="N34" i="44" a="1"/>
  <c r="N34" i="44" s="1"/>
  <c r="P34" i="44" s="1"/>
  <c r="N68" i="44" a="1"/>
  <c r="N68" i="44" s="1"/>
  <c r="P68" i="44" s="1"/>
  <c r="N89" i="44" a="1"/>
  <c r="N89" i="44" s="1"/>
  <c r="N42" i="44" a="1"/>
  <c r="N42" i="44" s="1"/>
  <c r="P42" i="44" s="1"/>
  <c r="N95" i="44" a="1"/>
  <c r="N95" i="44" s="1"/>
  <c r="N56" i="44" a="1"/>
  <c r="N56" i="44" s="1"/>
  <c r="N83" i="44" a="1"/>
  <c r="N83" i="44" s="1"/>
  <c r="N54" i="44" a="1"/>
  <c r="N54" i="44" s="1"/>
  <c r="N52" i="45" a="1"/>
  <c r="N52" i="45" s="1"/>
  <c r="P52" i="45" s="1"/>
  <c r="N121" i="45" a="1"/>
  <c r="N121" i="45" s="1"/>
  <c r="N90" i="45" a="1"/>
  <c r="N90" i="45" s="1"/>
  <c r="O52" i="44" a="1"/>
  <c r="O52" i="44" s="1"/>
  <c r="O107" i="44" a="1"/>
  <c r="O107" i="44" s="1"/>
  <c r="P107" i="44" s="1"/>
  <c r="O47" i="44" a="1"/>
  <c r="O47" i="44" s="1"/>
  <c r="P47" i="44" s="1"/>
  <c r="O113" i="44" a="1"/>
  <c r="O113" i="44" s="1"/>
  <c r="P113" i="44" s="1"/>
  <c r="O95" i="44" a="1"/>
  <c r="O95" i="44" s="1"/>
  <c r="O105" i="44" a="1"/>
  <c r="O105" i="44" s="1"/>
  <c r="P105" i="44" s="1"/>
  <c r="O83" i="44" a="1"/>
  <c r="O83" i="44" s="1"/>
  <c r="O40" i="44" a="1"/>
  <c r="O40" i="44" s="1"/>
  <c r="P40" i="44" s="1"/>
  <c r="O88" i="44" a="1"/>
  <c r="O88" i="44" s="1"/>
  <c r="P88" i="44" s="1"/>
  <c r="N40" i="45" a="1"/>
  <c r="N40" i="45" s="1"/>
  <c r="N84" i="45" a="1"/>
  <c r="N84" i="45" s="1"/>
  <c r="N47" i="45" a="1"/>
  <c r="N47" i="45" s="1"/>
  <c r="N122" i="45" a="1"/>
  <c r="N122" i="45" s="1"/>
  <c r="P122" i="45" s="1"/>
  <c r="N112" i="45" a="1"/>
  <c r="N112" i="45" s="1"/>
  <c r="N113" i="34" a="1"/>
  <c r="N113" i="34" s="1"/>
  <c r="P45" i="44"/>
  <c r="N51" i="45" a="1"/>
  <c r="N51" i="45" s="1"/>
  <c r="P51" i="45" s="1"/>
  <c r="N115" i="45" a="1"/>
  <c r="N115" i="45" s="1"/>
  <c r="N70" i="45" a="1"/>
  <c r="N70" i="45" s="1"/>
  <c r="N33" i="45" a="1"/>
  <c r="N33" i="45" s="1"/>
  <c r="N76" i="45" a="1"/>
  <c r="N76" i="45" s="1"/>
  <c r="N116" i="45" a="1"/>
  <c r="N116" i="45" s="1"/>
  <c r="N59" i="45" a="1"/>
  <c r="N59" i="45" s="1"/>
  <c r="O80" i="44" a="1"/>
  <c r="O80" i="44" s="1"/>
  <c r="P80" i="44" s="1"/>
  <c r="N97" i="40" a="1"/>
  <c r="N97" i="40" s="1"/>
  <c r="O54" i="44" a="1"/>
  <c r="O54" i="44" s="1"/>
  <c r="O43" i="44" a="1"/>
  <c r="O43" i="44" s="1"/>
  <c r="O18" i="44" a="1"/>
  <c r="O18" i="44" s="1"/>
  <c r="P18" i="44" s="1"/>
  <c r="O39" i="44" a="1"/>
  <c r="O39" i="44" s="1"/>
  <c r="P39" i="44" s="1"/>
  <c r="O36" i="44" a="1"/>
  <c r="O36" i="44" s="1"/>
  <c r="P36" i="44" s="1"/>
  <c r="P46" i="44" l="1"/>
  <c r="P56" i="44"/>
  <c r="P83" i="44"/>
  <c r="P95" i="44"/>
  <c r="P54" i="44"/>
  <c r="P43" i="44"/>
  <c r="P52" i="44"/>
  <c r="N81" i="40" a="1"/>
  <c r="N81" i="40" s="1"/>
  <c r="N45" i="40" a="1"/>
  <c r="N45" i="40" s="1"/>
  <c r="N10" i="34" a="1"/>
  <c r="N10" i="34" s="1"/>
  <c r="N100" i="34" s="1" a="1"/>
  <c r="N100" i="34" s="1"/>
  <c r="N49" i="34" a="1"/>
  <c r="N49" i="34" s="1"/>
  <c r="N101" i="34" a="1"/>
  <c r="N101" i="34" s="1"/>
  <c r="O12" i="34" a="1"/>
  <c r="O12" i="34" s="1"/>
  <c r="O20" i="34" a="1"/>
  <c r="O20" i="34" s="1"/>
  <c r="O43" i="34" a="1"/>
  <c r="O43" i="34" s="1"/>
  <c r="O65" i="34" a="1"/>
  <c r="O65" i="34" s="1"/>
  <c r="O73" i="34" a="1"/>
  <c r="O73" i="34" s="1"/>
  <c r="O90" i="34" a="1"/>
  <c r="O90" i="34" s="1"/>
  <c r="O99" i="34" a="1"/>
  <c r="O99" i="34" s="1"/>
  <c r="O115" i="34" a="1"/>
  <c r="O115" i="34" s="1"/>
  <c r="O60" i="40" a="1"/>
  <c r="O60" i="40" s="1"/>
  <c r="O75" i="40" a="1"/>
  <c r="O75" i="40"/>
  <c r="O82" i="34" l="1" a="1"/>
  <c r="O82" i="34" s="1"/>
  <c r="O50" i="34" a="1"/>
  <c r="O50" i="34" s="1"/>
  <c r="O88" i="34" a="1"/>
  <c r="O88" i="34" s="1"/>
  <c r="O69" i="34" a="1"/>
  <c r="O69" i="34" s="1"/>
  <c r="O94" i="34" a="1"/>
  <c r="O94" i="34" s="1"/>
  <c r="O26" i="34" a="1"/>
  <c r="O26" i="34" s="1"/>
  <c r="O4" i="34" a="1"/>
  <c r="O4" i="34" s="1"/>
  <c r="O57" i="34" s="1" a="1"/>
  <c r="O57" i="34" s="1"/>
  <c r="O85" i="34" a="1"/>
  <c r="O85" i="34" s="1"/>
  <c r="N18" i="34" a="1"/>
  <c r="N18" i="34" s="1"/>
  <c r="N55" i="34" a="1"/>
  <c r="N55" i="34" s="1"/>
  <c r="N81" i="34" a="1"/>
  <c r="N81" i="34" s="1"/>
  <c r="N26" i="34" a="1"/>
  <c r="N26" i="34" s="1"/>
  <c r="O72" i="34" a="1"/>
  <c r="O72" i="34" s="1"/>
  <c r="O80" i="34" a="1"/>
  <c r="O80" i="34" s="1"/>
  <c r="O77" i="34" a="1"/>
  <c r="O77" i="34" s="1"/>
  <c r="O47" i="34" a="1"/>
  <c r="O47" i="34" s="1"/>
  <c r="O51" i="34" a="1"/>
  <c r="O51" i="34" s="1"/>
  <c r="O10" i="34" a="1"/>
  <c r="O10" i="34" s="1"/>
  <c r="O63" i="34" s="1" a="1"/>
  <c r="O63" i="34" s="1"/>
  <c r="N79" i="34" a="1"/>
  <c r="N79" i="34" s="1"/>
  <c r="N9" i="34" a="1"/>
  <c r="N9" i="34" s="1"/>
  <c r="N13" i="34" a="1"/>
  <c r="N13" i="34" s="1"/>
  <c r="N120" i="34" a="1"/>
  <c r="N120" i="34" s="1"/>
  <c r="N50" i="34" a="1"/>
  <c r="N50" i="34" s="1"/>
  <c r="N87" i="34" a="1"/>
  <c r="N87" i="34" s="1"/>
  <c r="N34" i="34" a="1"/>
  <c r="N34" i="34" s="1"/>
  <c r="N122" i="34" a="1"/>
  <c r="N122" i="34" s="1"/>
  <c r="N88" i="34" a="1"/>
  <c r="N88" i="34" s="1"/>
  <c r="O53" i="34" a="1"/>
  <c r="O53" i="34" s="1"/>
  <c r="O103" i="34" a="1"/>
  <c r="O103" i="34" s="1"/>
  <c r="O114" i="34" a="1"/>
  <c r="O114" i="34" s="1"/>
  <c r="O45" i="34" a="1"/>
  <c r="O45" i="34" s="1"/>
  <c r="O75" i="34" a="1"/>
  <c r="O75" i="34" s="1"/>
  <c r="O46" i="40" a="1"/>
  <c r="O46" i="40" s="1"/>
  <c r="N89" i="34" l="1" a="1"/>
  <c r="N89" i="34" s="1"/>
  <c r="N58" i="34" a="1"/>
  <c r="N58" i="34" s="1"/>
  <c r="N20" i="34" a="1"/>
  <c r="N20" i="34" s="1"/>
  <c r="N48" i="34" a="1"/>
  <c r="N48" i="34" s="1"/>
  <c r="N33" i="34" a="1"/>
  <c r="N33" i="34" s="1"/>
  <c r="O39" i="34" a="1"/>
  <c r="O39" i="34" s="1"/>
  <c r="O96" i="34" a="1"/>
  <c r="O96" i="34" s="1"/>
  <c r="O40" i="34" a="1"/>
  <c r="O40" i="34" s="1"/>
  <c r="O23" i="34" a="1"/>
  <c r="O23" i="34" s="1"/>
  <c r="O116" i="34" a="1"/>
  <c r="O116" i="34" s="1"/>
  <c r="O41" i="34" a="1"/>
  <c r="O41" i="34" s="1"/>
  <c r="N47" i="34" a="1"/>
  <c r="N47" i="34" s="1"/>
  <c r="N111" i="34" a="1"/>
  <c r="N111" i="34" s="1"/>
  <c r="N72" i="34" a="1"/>
  <c r="N72" i="34" s="1"/>
  <c r="N121" i="34" a="1"/>
  <c r="N121" i="34" s="1"/>
  <c r="O102" i="34" a="1"/>
  <c r="O102" i="34" s="1"/>
  <c r="O106" i="34" a="1"/>
  <c r="O106" i="34" s="1"/>
  <c r="O60" i="34" a="1"/>
  <c r="O60" i="34" s="1"/>
  <c r="O105" i="34" a="1"/>
  <c r="O105" i="34" s="1"/>
  <c r="O111" i="34" a="1"/>
  <c r="O111" i="34" s="1"/>
  <c r="O70" i="34" a="1"/>
  <c r="O70" i="34" s="1"/>
  <c r="O38" i="34" a="1"/>
  <c r="O38" i="34" s="1"/>
  <c r="O18" i="34" a="1"/>
  <c r="O18" i="34" s="1"/>
  <c r="N114" i="34" a="1"/>
  <c r="N114" i="34" s="1"/>
  <c r="N95" i="34" a="1"/>
  <c r="N95" i="34" s="1"/>
  <c r="N21" i="34" a="1"/>
  <c r="N21" i="34" s="1"/>
  <c r="N39" i="34" a="1"/>
  <c r="N39" i="34" s="1"/>
  <c r="N126" i="34" a="1"/>
  <c r="N126" i="34" s="1"/>
  <c r="O71" i="34" a="1"/>
  <c r="O71" i="34" s="1"/>
  <c r="O64" i="34" a="1"/>
  <c r="O64" i="34" s="1"/>
  <c r="O55" i="34" a="1"/>
  <c r="O55" i="34" s="1"/>
  <c r="O79" i="34" a="1"/>
  <c r="O79" i="34" s="1"/>
  <c r="O48" i="34" a="1"/>
  <c r="O48" i="34" s="1"/>
  <c r="O112" i="34" a="1"/>
  <c r="O112" i="34" s="1"/>
  <c r="O122" i="34" a="1"/>
  <c r="O122" i="34" s="1"/>
  <c r="O86" i="34" a="1"/>
  <c r="O86" i="34" s="1"/>
  <c r="O84" i="34" a="1"/>
  <c r="O84" i="34" s="1"/>
  <c r="O127" i="34" a="1"/>
  <c r="O127" i="34" s="1"/>
  <c r="O123" i="34" a="1"/>
  <c r="O123" i="34" s="1"/>
  <c r="O95" i="34" a="1"/>
  <c r="O95" i="34" s="1"/>
  <c r="O28" i="34" a="1"/>
  <c r="O28" i="34" s="1"/>
  <c r="O16" i="34" a="1"/>
  <c r="O16" i="34" s="1"/>
  <c r="O76" i="34" a="1"/>
  <c r="O76" i="34" s="1"/>
  <c r="O32" i="34" a="1"/>
  <c r="O32" i="34" s="1"/>
  <c r="N69" i="34" a="1"/>
  <c r="N69" i="34" s="1"/>
  <c r="N63" i="34" a="1"/>
  <c r="N63" i="34" s="1"/>
  <c r="N61" i="34" a="1"/>
  <c r="N61" i="34" s="1"/>
  <c r="N125" i="34" a="1"/>
  <c r="N125" i="34" s="1"/>
  <c r="N32" i="34" a="1"/>
  <c r="N32" i="34" s="1"/>
  <c r="O113" i="34" a="1"/>
  <c r="O113" i="34" s="1"/>
  <c r="O120" i="34" a="1"/>
  <c r="O120" i="34" s="1"/>
  <c r="N117" i="34" a="1"/>
  <c r="N117" i="34" s="1"/>
  <c r="N27" i="34" a="1"/>
  <c r="N27" i="34" s="1"/>
  <c r="N44" i="34" a="1"/>
  <c r="N44" i="34" s="1"/>
  <c r="N82" i="34" a="1"/>
  <c r="N82" i="34" s="1"/>
  <c r="N115" i="34" a="1"/>
  <c r="N115" i="34" s="1"/>
  <c r="N23" i="34" a="1"/>
  <c r="N23" i="34" s="1"/>
  <c r="N60" i="34" a="1"/>
  <c r="N60" i="34" s="1"/>
  <c r="N93" i="34" a="1"/>
  <c r="N93" i="34" s="1"/>
  <c r="N41" i="34" a="1"/>
  <c r="N41" i="34" s="1"/>
  <c r="N46" i="34" a="1"/>
  <c r="N46" i="34" s="1"/>
  <c r="N36" i="34" a="1"/>
  <c r="N36" i="34" s="1"/>
  <c r="N83" i="34" a="1"/>
  <c r="N83" i="34" s="1"/>
  <c r="N109" i="34" a="1"/>
  <c r="N109" i="34" s="1"/>
  <c r="N25" i="34" a="1"/>
  <c r="N25" i="34" s="1"/>
  <c r="N71" i="34" a="1"/>
  <c r="N71" i="34" s="1"/>
  <c r="N38" i="34" a="1"/>
  <c r="N38" i="34" s="1"/>
  <c r="N77" i="34" a="1"/>
  <c r="N77" i="34" s="1"/>
  <c r="N76" i="34" a="1"/>
  <c r="N76" i="34" s="1"/>
  <c r="N40" i="34" a="1"/>
  <c r="N40" i="34" s="1"/>
  <c r="N94" i="34" a="1"/>
  <c r="N94" i="34" s="1"/>
  <c r="N127" i="34" a="1"/>
  <c r="N127" i="34" s="1"/>
  <c r="N68" i="34" a="1"/>
  <c r="N68" i="34" s="1"/>
  <c r="O27" i="34" a="1"/>
  <c r="O27" i="34" s="1"/>
  <c r="O59" i="34" a="1"/>
  <c r="O59" i="34" s="1"/>
  <c r="O49" i="34" a="1"/>
  <c r="O49" i="34" s="1"/>
  <c r="O42" i="34" a="1"/>
  <c r="O42" i="34" s="1"/>
  <c r="O22" i="34" a="1"/>
  <c r="O22" i="34" s="1"/>
  <c r="O52" i="34" a="1"/>
  <c r="O52" i="34" s="1"/>
  <c r="N62" i="34" a="1"/>
  <c r="N62" i="34" s="1"/>
  <c r="N42" i="34" a="1"/>
  <c r="N42" i="34" s="1"/>
  <c r="N91" i="34" a="1"/>
  <c r="N91" i="34" s="1"/>
  <c r="Q69" i="34" l="1"/>
  <c r="Q31" i="34"/>
  <c r="Q113" i="34"/>
  <c r="Q109" i="34"/>
  <c r="Q34" i="34"/>
  <c r="Q36" i="34"/>
  <c r="Q124" i="34"/>
  <c r="Q53" i="34"/>
  <c r="Q55" i="34"/>
  <c r="Q68" i="34"/>
  <c r="Q78" i="34"/>
  <c r="Q66" i="34"/>
  <c r="Q125" i="34"/>
  <c r="Q93" i="34"/>
  <c r="Q27" i="34"/>
  <c r="Q2" i="34"/>
  <c r="Q19" i="34"/>
  <c r="Q46" i="34"/>
  <c r="Q100" i="34"/>
  <c r="Q89" i="34"/>
  <c r="Q70" i="34"/>
  <c r="Q5" i="34"/>
  <c r="Q102" i="34"/>
  <c r="Q105" i="34"/>
  <c r="Q7" i="34"/>
  <c r="Q56" i="34"/>
  <c r="Q41" i="34"/>
  <c r="Q43" i="34"/>
  <c r="Q64" i="34"/>
  <c r="Q104" i="34"/>
  <c r="Q97" i="34"/>
  <c r="Q15" i="34"/>
  <c r="Q83" i="34"/>
  <c r="Q96" i="34"/>
  <c r="Q14" i="34"/>
  <c r="Q118" i="34"/>
  <c r="Q111" i="34"/>
  <c r="Q121" i="34"/>
  <c r="Q128" i="34"/>
  <c r="Q112" i="34"/>
  <c r="Q107" i="34"/>
  <c r="Q57" i="34"/>
  <c r="Q126" i="34"/>
  <c r="Q82" i="34"/>
  <c r="Q20" i="34"/>
  <c r="Q28" i="34"/>
  <c r="Q58" i="34"/>
  <c r="Q25" i="34"/>
  <c r="Q35" i="34"/>
  <c r="Q12" i="34"/>
  <c r="Q98" i="34"/>
  <c r="Q42" i="34"/>
  <c r="Q71" i="34"/>
  <c r="Q116" i="34"/>
  <c r="Q59" i="34"/>
  <c r="Q33" i="34"/>
  <c r="Q87" i="34"/>
  <c r="Q95" i="34"/>
  <c r="Q26" i="34"/>
  <c r="Q84" i="34"/>
  <c r="Q73" i="34"/>
  <c r="Q49" i="34"/>
  <c r="Q48" i="34"/>
  <c r="Q101" i="34"/>
  <c r="Q120" i="34"/>
  <c r="Q110" i="34"/>
  <c r="Q37" i="34"/>
  <c r="Q17" i="34"/>
  <c r="Q39" i="34"/>
  <c r="Q79" i="34"/>
  <c r="Q72" i="34"/>
  <c r="Q10" i="34"/>
  <c r="Q114" i="34"/>
  <c r="Q23" i="34"/>
  <c r="Q80" i="34"/>
  <c r="Q9" i="34"/>
  <c r="Q85" i="34"/>
  <c r="Q88" i="34"/>
  <c r="Q123" i="34"/>
  <c r="Q115" i="34"/>
  <c r="Q3" i="34"/>
  <c r="Q22" i="34"/>
  <c r="Q6" i="34"/>
  <c r="Q11" i="34"/>
  <c r="Q122" i="34"/>
  <c r="Q90" i="34"/>
  <c r="Q92" i="34"/>
  <c r="Q119" i="34"/>
  <c r="Q103" i="34"/>
  <c r="Q117" i="34"/>
  <c r="Q74" i="34"/>
  <c r="Q40" i="34"/>
  <c r="Q44" i="34"/>
  <c r="Q30" i="34"/>
  <c r="Q67" i="34"/>
  <c r="Q106" i="34"/>
  <c r="Q127" i="34"/>
  <c r="Q18" i="34"/>
  <c r="Q32" i="34"/>
  <c r="Q51" i="34"/>
  <c r="Q4" i="34"/>
  <c r="Q29" i="34"/>
  <c r="Q86" i="34"/>
  <c r="Q75" i="34"/>
  <c r="Q45" i="34"/>
  <c r="Q61" i="34"/>
  <c r="Q76" i="34"/>
  <c r="Q91" i="34"/>
  <c r="Q54" i="34"/>
  <c r="Q81" i="34"/>
  <c r="Q13" i="34"/>
  <c r="Q8" i="34"/>
  <c r="Q77" i="34"/>
  <c r="Q94" i="34"/>
  <c r="Q60" i="34"/>
  <c r="Q38" i="34"/>
  <c r="Q24" i="34"/>
  <c r="Q62" i="34"/>
  <c r="Q16" i="34"/>
  <c r="Q99" i="34"/>
  <c r="Q108" i="34"/>
  <c r="Q47" i="34"/>
  <c r="Q63" i="34"/>
  <c r="Q21" i="34"/>
  <c r="Q52" i="34"/>
  <c r="Q50" i="34"/>
  <c r="Q65" i="34"/>
  <c r="N50" i="39" a="1"/>
  <c r="N50" i="39" s="1"/>
  <c r="N122" i="40" a="1"/>
  <c r="N122" i="40" s="1"/>
  <c r="N9" i="40" a="1"/>
  <c r="N9" i="40" s="1"/>
  <c r="N103" i="40" a="1"/>
  <c r="N103" i="40" s="1"/>
  <c r="O119" i="39" a="1"/>
  <c r="O119" i="39" s="1"/>
  <c r="O74" i="40" a="1"/>
  <c r="O74" i="40" s="1"/>
  <c r="N78" i="40" a="1"/>
  <c r="N78" i="40" s="1"/>
  <c r="N121" i="40" a="1"/>
  <c r="N121" i="40"/>
  <c r="N125" i="39" a="1"/>
  <c r="N125" i="39" s="1"/>
  <c r="P125" i="39" s="1"/>
  <c r="N18" i="39" a="1"/>
  <c r="N18" i="39" s="1"/>
  <c r="P18" i="39" s="1"/>
  <c r="O118" i="39" a="1"/>
  <c r="O118" i="39" s="1"/>
  <c r="O52" i="39" a="1"/>
  <c r="O52" i="39" s="1"/>
  <c r="O121" i="39" a="1"/>
  <c r="O121" i="39" s="1"/>
  <c r="P121" i="39" s="1"/>
  <c r="N126" i="39" a="1"/>
  <c r="N126" i="39" s="1"/>
  <c r="O85" i="40" a="1"/>
  <c r="O85" i="40"/>
  <c r="N81" i="39" a="1"/>
  <c r="N81" i="39" s="1"/>
  <c r="P81" i="39" s="1"/>
  <c r="O31" i="40" a="1"/>
  <c r="O31" i="40" s="1"/>
  <c r="O87" i="39" a="1"/>
  <c r="O87" i="39" s="1"/>
  <c r="N9" i="39" a="1"/>
  <c r="N9" i="39" s="1"/>
  <c r="N55" i="39" a="1"/>
  <c r="N55" i="39" s="1"/>
  <c r="N103" i="39" a="1"/>
  <c r="N103" i="39" s="1"/>
  <c r="O22" i="39" a="1"/>
  <c r="O22" i="39" s="1"/>
  <c r="P22" i="39" s="1"/>
  <c r="O59" i="39" a="1"/>
  <c r="O59" i="39" s="1"/>
  <c r="O54" i="39" a="1"/>
  <c r="O54" i="39"/>
  <c r="P54" i="39"/>
  <c r="O37" i="40" a="1"/>
  <c r="O37" i="40" s="1"/>
  <c r="N4" i="39" l="1" a="1"/>
  <c r="N4" i="39" s="1"/>
  <c r="N104" i="39" a="1"/>
  <c r="N104" i="39" s="1"/>
  <c r="P104" i="39" s="1"/>
  <c r="N59" i="39" a="1"/>
  <c r="N59" i="39" s="1"/>
  <c r="P59" i="39" s="1"/>
  <c r="N59" i="40" a="1"/>
  <c r="N59" i="40" s="1"/>
  <c r="O20" i="40" a="1"/>
  <c r="O20" i="40" s="1"/>
  <c r="O39" i="40" a="1"/>
  <c r="O39" i="40" s="1"/>
  <c r="N108" i="40" a="1"/>
  <c r="N108" i="40" s="1"/>
  <c r="N53" i="40" a="1"/>
  <c r="N53" i="40" s="1"/>
  <c r="N32" i="40" a="1"/>
  <c r="N32" i="40" s="1"/>
  <c r="V2" i="34"/>
  <c r="N43" i="39" a="1"/>
  <c r="N43" i="39" s="1"/>
  <c r="P43" i="39" s="1"/>
  <c r="N36" i="39" a="1"/>
  <c r="N36" i="39" s="1"/>
  <c r="N120" i="40" a="1"/>
  <c r="N120" i="40" s="1"/>
  <c r="N46" i="40" a="1"/>
  <c r="N46" i="40" s="1"/>
  <c r="N43" i="40" a="1"/>
  <c r="N43" i="40" s="1"/>
  <c r="N110" i="39" a="1"/>
  <c r="N110" i="39" s="1"/>
  <c r="P110" i="39" s="1"/>
  <c r="N112" i="39" a="1"/>
  <c r="N112" i="39" s="1"/>
  <c r="P112" i="39" s="1"/>
  <c r="N72" i="39" a="1"/>
  <c r="N72" i="39" s="1"/>
  <c r="O51" i="40" a="1"/>
  <c r="O51" i="40" s="1"/>
  <c r="O70" i="40" a="1"/>
  <c r="O70" i="40" s="1"/>
  <c r="O77" i="39" a="1"/>
  <c r="O77" i="39" s="1"/>
  <c r="O94" i="39" a="1"/>
  <c r="O94" i="39" s="1"/>
  <c r="O38" i="39" a="1"/>
  <c r="O38" i="39" s="1"/>
  <c r="O67" i="39" a="1"/>
  <c r="O67" i="39" s="1"/>
  <c r="O53" i="39" a="1"/>
  <c r="O53" i="39" s="1"/>
  <c r="P53" i="39" s="1"/>
  <c r="O93" i="39" a="1"/>
  <c r="O93" i="39" s="1"/>
  <c r="O41" i="39" a="1"/>
  <c r="O41" i="39" s="1"/>
  <c r="P41" i="39" s="1"/>
  <c r="O115" i="40" a="1"/>
  <c r="O115" i="40" s="1"/>
  <c r="O107" i="40" a="1"/>
  <c r="O107" i="40" s="1"/>
  <c r="O122" i="39" a="1"/>
  <c r="O122" i="39" s="1"/>
  <c r="O48" i="40" a="1"/>
  <c r="O48" i="40" s="1"/>
  <c r="O94" i="40" a="1"/>
  <c r="O94" i="40" s="1"/>
  <c r="U2" i="34"/>
  <c r="N114" i="39" l="1" a="1"/>
  <c r="N114" i="39" s="1"/>
  <c r="N95" i="39" a="1"/>
  <c r="N95" i="39" s="1"/>
  <c r="P95" i="39" s="1"/>
  <c r="N106" i="39" a="1"/>
  <c r="N106" i="39" s="1"/>
  <c r="N65" i="39" a="1"/>
  <c r="N65" i="39" s="1"/>
  <c r="N39" i="39" a="1"/>
  <c r="N39" i="39" s="1"/>
  <c r="O66" i="40" a="1"/>
  <c r="O66" i="40" s="1"/>
  <c r="O95" i="40" a="1"/>
  <c r="O95" i="40" s="1"/>
  <c r="O58" i="40" a="1"/>
  <c r="O58" i="40" s="1"/>
  <c r="O44" i="40" a="1"/>
  <c r="O44" i="40" s="1"/>
  <c r="O100" i="40" a="1"/>
  <c r="O100" i="40" s="1"/>
  <c r="O84" i="40" a="1"/>
  <c r="O84" i="40" s="1"/>
  <c r="O124" i="40" a="1"/>
  <c r="O124" i="40" s="1"/>
  <c r="O50" i="40" a="1"/>
  <c r="O50" i="40" s="1"/>
  <c r="O68" i="40" l="1" a="1"/>
  <c r="O68" i="40" s="1"/>
  <c r="O88" i="40" a="1"/>
  <c r="O88" i="40" s="1"/>
  <c r="O61" i="40" a="1"/>
  <c r="O61" i="40" s="1"/>
  <c r="O30" i="40" a="1"/>
  <c r="O30" i="40" s="1"/>
  <c r="O117" i="40" a="1"/>
  <c r="O117" i="40" s="1"/>
  <c r="O113" i="40" a="1"/>
  <c r="O113" i="40" s="1"/>
  <c r="O119" i="40" a="1"/>
  <c r="O119" i="40" s="1"/>
  <c r="O89" i="40" a="1"/>
  <c r="O89" i="40" s="1"/>
  <c r="O18" i="40" a="1"/>
  <c r="O18" i="40" s="1"/>
  <c r="N93" i="39" a="1"/>
  <c r="N93" i="39"/>
  <c r="P93" i="39" s="1"/>
  <c r="N12" i="39" a="1"/>
  <c r="N12" i="39" s="1"/>
  <c r="N52" i="39" a="1"/>
  <c r="N52" i="39" s="1"/>
  <c r="P52" i="39" s="1"/>
  <c r="N10" i="39" a="1"/>
  <c r="N10" i="39" s="1"/>
  <c r="N122" i="39" a="1"/>
  <c r="N122" i="39"/>
  <c r="P122" i="39" s="1"/>
  <c r="N119" i="39" a="1"/>
  <c r="N119" i="39" s="1"/>
  <c r="P119" i="39" s="1"/>
  <c r="N56" i="39" a="1"/>
  <c r="N56" i="39"/>
  <c r="N101" i="39" a="1"/>
  <c r="N101" i="39" s="1"/>
  <c r="O112" i="45" a="1"/>
  <c r="O112" i="45"/>
  <c r="P112" i="45"/>
  <c r="O76" i="45" a="1"/>
  <c r="O76" i="45" s="1"/>
  <c r="P76" i="45" s="1"/>
  <c r="O59" i="45" a="1"/>
  <c r="O59" i="45" s="1"/>
  <c r="P59" i="45" s="1"/>
  <c r="O127" i="45" a="1"/>
  <c r="O127" i="45" s="1"/>
  <c r="O48" i="45" a="1"/>
  <c r="O48" i="45" s="1"/>
  <c r="N45" i="39" a="1"/>
  <c r="N45" i="39" s="1"/>
  <c r="O54" i="45" a="1"/>
  <c r="O54" i="45" s="1"/>
  <c r="N111" i="39" a="1"/>
  <c r="N111" i="39" s="1"/>
  <c r="N68" i="39" a="1"/>
  <c r="N68" i="39" s="1"/>
  <c r="P68" i="39" s="1"/>
  <c r="N27" i="40" a="1"/>
  <c r="N27" i="40" s="1"/>
  <c r="N34" i="40" a="1"/>
  <c r="N34" i="40" s="1"/>
  <c r="N94" i="40" a="1"/>
  <c r="N94" i="40" s="1"/>
  <c r="N87" i="40" a="1"/>
  <c r="N87" i="40" s="1"/>
  <c r="N17" i="40" a="1"/>
  <c r="N17" i="40"/>
  <c r="N44" i="39" a="1"/>
  <c r="N44" i="39" s="1"/>
  <c r="P44" i="39" s="1"/>
  <c r="N28" i="39" a="1"/>
  <c r="N28" i="39" s="1"/>
  <c r="N66" i="39" a="1"/>
  <c r="N66" i="39"/>
  <c r="P66" i="39" s="1"/>
  <c r="N42" i="39" a="1"/>
  <c r="N42" i="39" s="1"/>
  <c r="P42" i="39" s="1"/>
  <c r="N20" i="39" a="1"/>
  <c r="N20" i="39"/>
  <c r="P20" i="39" s="1"/>
  <c r="O105" i="45" a="1"/>
  <c r="O105" i="45" s="1"/>
  <c r="P105" i="45" s="1"/>
  <c r="O4" i="45" a="1"/>
  <c r="O4" i="45" s="1"/>
  <c r="O83" i="45" a="1"/>
  <c r="O83" i="45"/>
  <c r="P83" i="45"/>
  <c r="O111" i="45" a="1"/>
  <c r="O111" i="45" s="1"/>
  <c r="P111" i="45" s="1"/>
  <c r="N51" i="39" a="1"/>
  <c r="N51" i="39" s="1"/>
  <c r="P51" i="39" s="1"/>
  <c r="N13" i="39" a="1"/>
  <c r="N13" i="39" s="1"/>
  <c r="N124" i="39" a="1"/>
  <c r="N124" i="39"/>
  <c r="P124" i="39" s="1"/>
  <c r="N49" i="39" a="1"/>
  <c r="N49" i="39" s="1"/>
  <c r="N29" i="39" a="1"/>
  <c r="N29" i="39" s="1"/>
  <c r="N107" i="39" a="1"/>
  <c r="N107" i="39" s="1"/>
  <c r="P107" i="39" s="1"/>
  <c r="N77" i="45" a="1"/>
  <c r="N77" i="45" s="1"/>
  <c r="O77" i="45" a="1"/>
  <c r="O77" i="45"/>
  <c r="N81" i="45" a="1"/>
  <c r="N81" i="45" s="1"/>
  <c r="N9" i="45" a="1"/>
  <c r="N9" i="45"/>
  <c r="N117" i="45" a="1"/>
  <c r="N117" i="45" s="1"/>
  <c r="N56" i="45" a="1"/>
  <c r="N56" i="45" s="1"/>
  <c r="O56" i="45" a="1"/>
  <c r="O56" i="45" s="1"/>
  <c r="N42" i="45" a="1"/>
  <c r="N42" i="45" s="1"/>
  <c r="N99" i="45" a="1"/>
  <c r="N99" i="45" s="1"/>
  <c r="P99" i="45" s="1"/>
  <c r="N94" i="45" a="1"/>
  <c r="N94" i="45" s="1"/>
  <c r="P94" i="45" s="1"/>
  <c r="N96" i="45" a="1"/>
  <c r="N96" i="45" s="1"/>
  <c r="P96" i="45" s="1"/>
  <c r="N72" i="45" a="1"/>
  <c r="N72" i="45" s="1"/>
  <c r="P72" i="45" s="1"/>
  <c r="N26" i="45" a="1"/>
  <c r="N26" i="45" s="1"/>
  <c r="P26" i="45" s="1"/>
  <c r="O91" i="45" a="1"/>
  <c r="O91" i="45" s="1"/>
  <c r="O12" i="45" a="1"/>
  <c r="O12" i="45" s="1"/>
  <c r="N74" i="40" a="1"/>
  <c r="N74" i="40" s="1"/>
  <c r="N110" i="40" a="1"/>
  <c r="N110" i="40" s="1"/>
  <c r="N6" i="40" a="1"/>
  <c r="N6" i="40" s="1"/>
  <c r="N114" i="40" a="1"/>
  <c r="N114" i="40" s="1"/>
  <c r="N13" i="40" a="1"/>
  <c r="N13" i="40" s="1"/>
  <c r="N128" i="40" s="1" a="1"/>
  <c r="N128" i="40" s="1"/>
  <c r="N88" i="40" l="1" a="1"/>
  <c r="N88" i="40" s="1"/>
  <c r="N21" i="40" a="1"/>
  <c r="N21" i="40" s="1"/>
  <c r="N25" i="40" a="1"/>
  <c r="N25" i="40" s="1"/>
  <c r="N111" i="40" a="1"/>
  <c r="N111" i="40" s="1"/>
  <c r="N42" i="40" a="1"/>
  <c r="N42" i="40" s="1"/>
  <c r="N47" i="39" a="1"/>
  <c r="N47" i="39" s="1"/>
  <c r="N92" i="39" a="1"/>
  <c r="N92" i="39" s="1"/>
  <c r="P92" i="39" s="1"/>
  <c r="N19" i="39" a="1"/>
  <c r="N19" i="39" s="1"/>
  <c r="P19" i="39" s="1"/>
  <c r="N113" i="39" a="1"/>
  <c r="N113" i="39" s="1"/>
  <c r="N94" i="39" a="1"/>
  <c r="N94" i="39" s="1"/>
  <c r="P94" i="39" s="1"/>
  <c r="N77" i="39" a="1"/>
  <c r="N77" i="39" s="1"/>
  <c r="P77" i="39" s="1"/>
  <c r="N88" i="39" a="1"/>
  <c r="N88" i="39" s="1"/>
  <c r="N62" i="39" a="1"/>
  <c r="N62" i="39" s="1"/>
  <c r="P62" i="39" s="1"/>
  <c r="O65" i="45" a="1"/>
  <c r="O65" i="45" s="1"/>
  <c r="P65" i="45" s="1"/>
  <c r="O9" i="45" a="1"/>
  <c r="O9" i="45" s="1"/>
  <c r="O42" i="45" a="1"/>
  <c r="O42" i="45" s="1"/>
  <c r="O102" i="45" a="1"/>
  <c r="O102" i="45" s="1"/>
  <c r="P102" i="45" s="1"/>
  <c r="O20" i="45" a="1"/>
  <c r="O20" i="45" s="1"/>
  <c r="P20" i="45" s="1"/>
  <c r="O62" i="45" a="1"/>
  <c r="O62" i="45" s="1"/>
  <c r="P62" i="45" s="1"/>
  <c r="P42" i="45"/>
  <c r="P77" i="45"/>
  <c r="O46" i="45" a="1"/>
  <c r="O46" i="45" s="1"/>
  <c r="O115" i="45" a="1"/>
  <c r="O115" i="45" s="1"/>
  <c r="P115" i="45" s="1"/>
  <c r="O114" i="45" a="1"/>
  <c r="O114" i="45" s="1"/>
  <c r="P114" i="45" s="1"/>
  <c r="O10" i="45" a="1"/>
  <c r="O10" i="45" s="1"/>
  <c r="O61" i="45" a="1"/>
  <c r="O61" i="45" s="1"/>
  <c r="P61" i="45" s="1"/>
  <c r="O90" i="45" a="1"/>
  <c r="O90" i="45" s="1"/>
  <c r="P90" i="45" s="1"/>
  <c r="O117" i="45" a="1"/>
  <c r="O117" i="45" s="1"/>
  <c r="N91" i="39" a="1"/>
  <c r="N91" i="39" s="1"/>
  <c r="N117" i="39" a="1"/>
  <c r="N117" i="39" s="1"/>
  <c r="N30" i="39" a="1"/>
  <c r="N30" i="39" s="1"/>
  <c r="P30" i="39" s="1"/>
  <c r="N46" i="39" a="1"/>
  <c r="N46" i="39" s="1"/>
  <c r="N108" i="39" a="1"/>
  <c r="N108" i="39" s="1"/>
  <c r="N87" i="39" a="1"/>
  <c r="N87" i="39" s="1"/>
  <c r="P87" i="39" s="1"/>
  <c r="O39" i="45" a="1"/>
  <c r="O39" i="45" s="1"/>
  <c r="N71" i="39" a="1"/>
  <c r="N71" i="39" s="1"/>
  <c r="P71" i="39" s="1"/>
  <c r="N115" i="40" a="1"/>
  <c r="N115" i="40" s="1"/>
  <c r="N105" i="40" a="1"/>
  <c r="N105" i="40" s="1"/>
  <c r="N21" i="39" a="1"/>
  <c r="N21" i="39" s="1"/>
  <c r="N63" i="39" a="1"/>
  <c r="N63" i="39" s="1"/>
  <c r="N90" i="39" a="1"/>
  <c r="N90" i="39" s="1"/>
  <c r="N58" i="39" a="1"/>
  <c r="N58" i="39" s="1"/>
  <c r="N100" i="39" a="1"/>
  <c r="N100" i="39" s="1"/>
  <c r="N31" i="39" a="1"/>
  <c r="N31" i="39" s="1"/>
  <c r="P31" i="39" s="1"/>
  <c r="P117" i="45"/>
  <c r="N26" i="39" a="1"/>
  <c r="N26" i="39" s="1"/>
  <c r="P9" i="45"/>
  <c r="N91" i="45" a="1"/>
  <c r="N91" i="45" s="1"/>
  <c r="P91" i="45" s="1"/>
  <c r="N46" i="45" a="1"/>
  <c r="N46" i="45" s="1"/>
  <c r="N82" i="45" a="1"/>
  <c r="N82" i="45" s="1"/>
  <c r="N12" i="45" a="1"/>
  <c r="N12" i="45" s="1"/>
  <c r="P12" i="45" s="1"/>
  <c r="N113" i="45" a="1"/>
  <c r="N113" i="45" s="1"/>
  <c r="P113" i="45" s="1"/>
  <c r="N110" i="45" a="1"/>
  <c r="N110" i="45" s="1"/>
  <c r="N44" i="45" a="1"/>
  <c r="N44" i="45" s="1"/>
  <c r="P44" i="45" s="1"/>
  <c r="N79" i="39" a="1"/>
  <c r="N79" i="39" s="1"/>
  <c r="N24" i="39" a="1"/>
  <c r="N24" i="39" s="1"/>
  <c r="N115" i="39" a="1"/>
  <c r="N115" i="39" s="1"/>
  <c r="N60" i="39" a="1"/>
  <c r="N60" i="39" s="1"/>
  <c r="N128" i="39" a="1"/>
  <c r="N128" i="39" s="1"/>
  <c r="N109" i="39" a="1"/>
  <c r="N109" i="39" s="1"/>
  <c r="N105" i="39" a="1"/>
  <c r="N105" i="39" s="1"/>
  <c r="N34" i="39" a="1"/>
  <c r="N34" i="39" s="1"/>
  <c r="P34" i="39" s="1"/>
  <c r="N39" i="40" a="1"/>
  <c r="N39" i="40" s="1"/>
  <c r="N90" i="40" a="1"/>
  <c r="N90" i="40" s="1"/>
  <c r="N96" i="40" a="1"/>
  <c r="N96" i="40" s="1"/>
  <c r="N23" i="40" a="1"/>
  <c r="N23" i="40" s="1"/>
  <c r="O67" i="45" a="1"/>
  <c r="O67" i="45" s="1"/>
  <c r="O79" i="45" a="1"/>
  <c r="O79" i="45" s="1"/>
  <c r="P79" i="45" s="1"/>
  <c r="O36" i="45" a="1"/>
  <c r="O36" i="45" s="1"/>
  <c r="P36" i="45" s="1"/>
  <c r="O28" i="45" a="1"/>
  <c r="O28" i="45" s="1"/>
  <c r="P28" i="45" s="1"/>
  <c r="O81" i="45" a="1"/>
  <c r="O81" i="45" s="1"/>
  <c r="P81" i="45" s="1"/>
  <c r="P4" i="45"/>
  <c r="N104" i="40" a="1"/>
  <c r="N104" i="40" s="1"/>
  <c r="P56" i="45"/>
  <c r="N61" i="39" a="1"/>
  <c r="N61" i="39" s="1"/>
  <c r="N67" i="39" a="1"/>
  <c r="N67" i="39" s="1"/>
  <c r="P67" i="39" s="1"/>
  <c r="N99" i="39" a="1"/>
  <c r="N99" i="39" s="1"/>
  <c r="N127" i="39" a="1"/>
  <c r="N127" i="39" s="1"/>
  <c r="N73" i="39" a="1"/>
  <c r="N73" i="39" s="1"/>
  <c r="N85" i="39" a="1"/>
  <c r="N85" i="39" s="1"/>
  <c r="N57" i="39" a="1"/>
  <c r="N57" i="39" s="1"/>
  <c r="P57" i="39" s="1"/>
  <c r="N84" i="39" a="1"/>
  <c r="N84" i="39" s="1"/>
  <c r="P84" i="39" s="1"/>
  <c r="N118" i="39" a="1"/>
  <c r="N118" i="39" s="1"/>
  <c r="P118" i="39" s="1"/>
  <c r="N80" i="39" a="1"/>
  <c r="N80" i="39" s="1"/>
  <c r="N48" i="40" a="1"/>
  <c r="N48" i="40" s="1"/>
  <c r="N58" i="40" a="1"/>
  <c r="N58" i="40" s="1"/>
  <c r="N123" i="40" a="1"/>
  <c r="N123" i="40" s="1"/>
  <c r="N70" i="40" a="1"/>
  <c r="N70" i="40" s="1"/>
  <c r="N38" i="40" a="1"/>
  <c r="N38" i="40" s="1"/>
  <c r="N22" i="40" a="1"/>
  <c r="N22" i="40" s="1"/>
  <c r="N116" i="40" a="1"/>
  <c r="N116" i="40" s="1"/>
  <c r="N66" i="40" a="1"/>
  <c r="N66" i="40" s="1"/>
  <c r="N72" i="40" a="1"/>
  <c r="N72" i="40" s="1"/>
  <c r="N19" i="40" a="1"/>
  <c r="N19" i="40" s="1"/>
  <c r="N41" i="40" a="1"/>
  <c r="N41" i="40" s="1"/>
  <c r="N51" i="40" a="1"/>
  <c r="N51" i="40" s="1"/>
  <c r="N113" i="40" a="1"/>
  <c r="N113" i="40" s="1"/>
  <c r="N61" i="40" a="1"/>
  <c r="N61" i="40" s="1"/>
  <c r="N32" i="39" a="1"/>
  <c r="N32" i="39" s="1"/>
  <c r="N35" i="39" a="1"/>
  <c r="N35" i="39" s="1"/>
  <c r="P35" i="39" s="1"/>
  <c r="N70" i="39" a="1"/>
  <c r="N70" i="39" s="1"/>
  <c r="N38" i="39" a="1"/>
  <c r="N38" i="39" s="1"/>
  <c r="P38" i="39" s="1"/>
  <c r="N102" i="39" a="1"/>
  <c r="N102" i="39" s="1"/>
  <c r="N83" i="39" a="1"/>
  <c r="N83" i="39" s="1"/>
  <c r="N116" i="39" a="1"/>
  <c r="N116" i="39" s="1"/>
  <c r="N82" i="40" a="1"/>
  <c r="N82" i="40" s="1"/>
  <c r="O84" i="45" a="1"/>
  <c r="O84" i="45" s="1"/>
  <c r="P84" i="45" s="1"/>
  <c r="O49" i="45" a="1"/>
  <c r="O49" i="45" s="1"/>
  <c r="O116" i="45" a="1"/>
  <c r="O116" i="45" s="1"/>
  <c r="P116" i="45" s="1"/>
  <c r="O31" i="45" a="1"/>
  <c r="O31" i="45" s="1"/>
  <c r="P31" i="45" s="1"/>
  <c r="O40" i="45" a="1"/>
  <c r="O40" i="45" s="1"/>
  <c r="P40" i="45" s="1"/>
  <c r="O35" i="45" a="1"/>
  <c r="O35" i="45" s="1"/>
  <c r="P35" i="45" s="1"/>
  <c r="N38" i="45" a="1"/>
  <c r="N38" i="45" s="1"/>
  <c r="P38" i="45" s="1"/>
  <c r="N39" i="45" a="1"/>
  <c r="N39" i="45" s="1"/>
  <c r="P39" i="45" s="1"/>
  <c r="N54" i="45" a="1"/>
  <c r="N54" i="45" s="1"/>
  <c r="P54" i="45" s="1"/>
  <c r="N104" i="45" a="1"/>
  <c r="N104" i="45" s="1"/>
  <c r="N68" i="45" a="1"/>
  <c r="N68" i="45" s="1"/>
  <c r="P68" i="45" s="1"/>
  <c r="N24" i="45" a="1"/>
  <c r="N24" i="45" s="1"/>
  <c r="P24" i="45" s="1"/>
  <c r="N66" i="45" a="1"/>
  <c r="N66" i="45" s="1"/>
  <c r="P66" i="45" s="1"/>
  <c r="N49" i="45" a="1"/>
  <c r="N49" i="45" s="1"/>
  <c r="N87" i="45" a="1"/>
  <c r="N87" i="45" s="1"/>
  <c r="N108" i="45" a="1"/>
  <c r="N108" i="45" s="1"/>
  <c r="N57" i="45" a="1"/>
  <c r="N57" i="45" s="1"/>
  <c r="N23" i="45" a="1"/>
  <c r="N23" i="45" s="1"/>
  <c r="P23" i="45" s="1"/>
  <c r="N119" i="45" a="1"/>
  <c r="N119" i="45" s="1"/>
  <c r="N69" i="40" a="1"/>
  <c r="N69" i="40" s="1"/>
  <c r="N77" i="40" a="1"/>
  <c r="N77" i="40" s="1"/>
  <c r="N60" i="45" l="1" a="1"/>
  <c r="N60" i="45" s="1"/>
  <c r="N64" i="45" a="1"/>
  <c r="N64" i="45" s="1"/>
  <c r="N48" i="45" a="1"/>
  <c r="N48" i="45" s="1"/>
  <c r="P48" i="45" s="1"/>
  <c r="N86" i="45" a="1"/>
  <c r="N86" i="45" s="1"/>
  <c r="N67" i="45" a="1"/>
  <c r="N67" i="45" s="1"/>
  <c r="P67" i="45" s="1"/>
  <c r="P46" i="45"/>
  <c r="O47" i="45" a="1"/>
  <c r="O47" i="45" s="1"/>
  <c r="P47" i="45" s="1"/>
  <c r="O108" i="45" a="1"/>
  <c r="O108" i="45" s="1"/>
  <c r="P108" i="45" s="1"/>
  <c r="O45" i="45" a="1"/>
  <c r="O45" i="45" s="1"/>
  <c r="P45" i="45" s="1"/>
  <c r="O106" i="45" a="1"/>
  <c r="O106" i="45" s="1"/>
  <c r="P106" i="45" s="1"/>
  <c r="O69" i="45" a="1"/>
  <c r="O69" i="45" s="1"/>
  <c r="P69" i="45" s="1"/>
  <c r="P10" i="45"/>
  <c r="O33" i="45" a="1"/>
  <c r="O33" i="45" s="1"/>
  <c r="P33" i="45" s="1"/>
  <c r="O87" i="45" a="1"/>
  <c r="O87" i="45" s="1"/>
  <c r="P87" i="45" s="1"/>
  <c r="O86" i="45" a="1"/>
  <c r="O86" i="45" s="1"/>
  <c r="O126" i="45" a="1"/>
  <c r="O126" i="45" s="1"/>
  <c r="P126" i="45" s="1"/>
  <c r="O121" i="45" a="1"/>
  <c r="O121" i="45" s="1"/>
  <c r="P121" i="45" s="1"/>
  <c r="O57" i="45" a="1"/>
  <c r="O57" i="45" s="1"/>
  <c r="P57" i="45" s="1"/>
  <c r="O118" i="45" a="1"/>
  <c r="O118" i="45" s="1"/>
  <c r="P118" i="45" s="1"/>
  <c r="O60" i="45" a="1"/>
  <c r="O60" i="45" s="1"/>
  <c r="N127" i="45" a="1"/>
  <c r="N127" i="45" s="1"/>
  <c r="P127" i="45" s="1"/>
  <c r="P49" i="45"/>
  <c r="N84" i="40" a="1"/>
  <c r="N84" i="40" s="1"/>
  <c r="N31" i="40" a="1"/>
  <c r="N31" i="40" s="1"/>
  <c r="N55" i="40" a="1"/>
  <c r="N55" i="40" s="1"/>
  <c r="N85" i="40" a="1"/>
  <c r="N85" i="40" s="1"/>
  <c r="N124" i="40" a="1"/>
  <c r="N124" i="40" s="1"/>
  <c r="O9" i="39" a="1"/>
  <c r="O9" i="39" s="1"/>
  <c r="O116" i="39" a="1"/>
  <c r="O116" i="39" s="1"/>
  <c r="P116" i="39" s="1"/>
  <c r="O73" i="39" a="1"/>
  <c r="O73" i="39"/>
  <c r="P73" i="39"/>
  <c r="O80" i="39" a="1"/>
  <c r="O80" i="39" s="1"/>
  <c r="P80" i="39" s="1"/>
  <c r="O119" i="45" a="1"/>
  <c r="O119" i="45"/>
  <c r="P119" i="45"/>
  <c r="O127" i="39" a="1"/>
  <c r="O127" i="39" s="1"/>
  <c r="P127" i="39" s="1"/>
  <c r="O101" i="39" a="1"/>
  <c r="O101" i="39" s="1"/>
  <c r="P101" i="39" s="1"/>
  <c r="O13" i="39" a="1"/>
  <c r="O126" i="39" a="1"/>
  <c r="O126" i="39" s="1"/>
  <c r="P126" i="39" s="1"/>
  <c r="O65" i="39" a="1"/>
  <c r="O65" i="39" s="1"/>
  <c r="P65" i="39" s="1"/>
  <c r="N4" i="34" a="1"/>
  <c r="N4" i="34"/>
  <c r="N24" i="34" a="1"/>
  <c r="N29" i="34" a="1"/>
  <c r="N65" i="34" a="1"/>
  <c r="N65" i="34" s="1"/>
  <c r="N70" i="34" a="1"/>
  <c r="N70" i="34" s="1"/>
  <c r="N80" i="34" a="1"/>
  <c r="N80" i="34" s="1"/>
  <c r="N85" i="34" a="1"/>
  <c r="N85" i="34" s="1"/>
  <c r="N24" i="34"/>
  <c r="N29" i="34"/>
  <c r="O108" i="39" a="1"/>
  <c r="O108" i="39"/>
  <c r="P108" i="39"/>
  <c r="O13" i="39"/>
  <c r="O50" i="45" a="1"/>
  <c r="O50" i="45" s="1"/>
  <c r="P50" i="45" s="1"/>
  <c r="O30" i="45" a="1"/>
  <c r="O30" i="45"/>
  <c r="P30" i="45" s="1"/>
  <c r="O110" i="45" a="1"/>
  <c r="O110" i="45" s="1"/>
  <c r="P110" i="45" s="1"/>
  <c r="O70" i="45" a="1"/>
  <c r="O70" i="45" s="1"/>
  <c r="P70" i="45" s="1"/>
  <c r="O63" i="45" a="1"/>
  <c r="O63" i="45"/>
  <c r="P63" i="45"/>
  <c r="O40" i="40" a="1"/>
  <c r="O40" i="40"/>
  <c r="O24" i="40" a="1"/>
  <c r="O24" i="40"/>
  <c r="O36" i="40" a="1"/>
  <c r="O36" i="40" s="1"/>
  <c r="O53" i="40" a="1"/>
  <c r="O53" i="40" s="1"/>
  <c r="O71" i="45" a="1"/>
  <c r="O71" i="45"/>
  <c r="P71" i="45" s="1"/>
  <c r="O74" i="45" a="1"/>
  <c r="O74" i="45" s="1"/>
  <c r="P74" i="45" s="1"/>
  <c r="O16" i="45" a="1"/>
  <c r="O16" i="45"/>
  <c r="P16" i="45" s="1"/>
  <c r="O107" i="45" a="1"/>
  <c r="O107" i="45" s="1"/>
  <c r="P107" i="45" s="1"/>
  <c r="O108" i="40" a="1"/>
  <c r="O108" i="40" s="1"/>
  <c r="O121" i="40" a="1"/>
  <c r="O121" i="40" s="1"/>
  <c r="O128" i="40" a="1"/>
  <c r="O128" i="40"/>
  <c r="O65" i="40" a="1"/>
  <c r="O65" i="40"/>
  <c r="O101" i="40" a="1"/>
  <c r="O101" i="40"/>
  <c r="O76" i="40" a="1"/>
  <c r="O76" i="40" s="1"/>
  <c r="O25" i="40" a="1"/>
  <c r="O25" i="40"/>
  <c r="O114" i="39" a="1"/>
  <c r="O114" i="39" s="1"/>
  <c r="P114" i="39" s="1"/>
  <c r="O117" i="39" a="1"/>
  <c r="O117" i="39" s="1"/>
  <c r="P117" i="39" s="1"/>
  <c r="P13" i="39"/>
  <c r="O21" i="39" a="1"/>
  <c r="O21" i="39"/>
  <c r="P21" i="39" s="1"/>
  <c r="O32" i="45" a="1"/>
  <c r="O32" i="45" s="1"/>
  <c r="P32" i="45" s="1"/>
  <c r="O89" i="45" a="1"/>
  <c r="O89" i="45"/>
  <c r="P89" i="45" s="1"/>
  <c r="O41" i="45" a="1"/>
  <c r="O41" i="45" s="1"/>
  <c r="P41" i="45" s="1"/>
  <c r="O18" i="45" a="1"/>
  <c r="O18" i="45" s="1"/>
  <c r="P18" i="45" s="1"/>
  <c r="O13" i="45" a="1"/>
  <c r="O13" i="45"/>
  <c r="P13" i="45" s="1"/>
  <c r="O63" i="39" a="1"/>
  <c r="O63" i="39"/>
  <c r="P63" i="39"/>
  <c r="O106" i="39" a="1"/>
  <c r="O106" i="39"/>
  <c r="P106" i="39"/>
  <c r="O123" i="39" a="1"/>
  <c r="O123" i="39" s="1"/>
  <c r="P123" i="39" s="1"/>
  <c r="O16" i="39" a="1"/>
  <c r="O16" i="39" s="1"/>
  <c r="P16" i="39" s="1"/>
  <c r="O48" i="39" a="1"/>
  <c r="O48" i="39"/>
  <c r="P48" i="39"/>
  <c r="O76" i="39" a="1"/>
  <c r="O76" i="39" s="1"/>
  <c r="P76" i="39" s="1"/>
  <c r="O128" i="39" a="1"/>
  <c r="O128" i="39" s="1"/>
  <c r="P128" i="39" s="1"/>
  <c r="O109" i="39" a="1"/>
  <c r="O109" i="39"/>
  <c r="P109" i="39"/>
  <c r="O75" i="39" a="1"/>
  <c r="O75" i="39" s="1"/>
  <c r="P75" i="39" s="1"/>
  <c r="O70" i="39" a="1"/>
  <c r="O70" i="39" s="1"/>
  <c r="P70" i="39" s="1"/>
  <c r="O64" i="39" a="1"/>
  <c r="O64" i="39"/>
  <c r="P64" i="39" s="1"/>
  <c r="O10" i="39" a="1"/>
  <c r="O10" i="39"/>
  <c r="O24" i="39" s="1" a="1"/>
  <c r="O24" i="39" s="1"/>
  <c r="P24" i="39" s="1"/>
  <c r="P10" i="39"/>
  <c r="O12" i="39" a="1"/>
  <c r="O12" i="39" s="1"/>
  <c r="O36" i="39" a="1"/>
  <c r="O36" i="39"/>
  <c r="P36" i="39" s="1"/>
  <c r="O4" i="39" a="1"/>
  <c r="O4" i="39"/>
  <c r="P4" i="39"/>
  <c r="O99" i="40" a="1"/>
  <c r="O99" i="40"/>
  <c r="O90" i="39" a="1"/>
  <c r="O90" i="39"/>
  <c r="P90" i="39" s="1"/>
  <c r="O58" i="39" a="1"/>
  <c r="O58" i="39"/>
  <c r="P58" i="39"/>
  <c r="O29" i="39" a="1"/>
  <c r="O29" i="39" s="1"/>
  <c r="P29" i="39" s="1"/>
  <c r="O45" i="39" a="1"/>
  <c r="O45" i="39" s="1"/>
  <c r="P45" i="39" s="1"/>
  <c r="O115" i="39" a="1"/>
  <c r="O115" i="39"/>
  <c r="P115" i="39"/>
  <c r="O40" i="39" l="1" a="1"/>
  <c r="O40" i="39" s="1"/>
  <c r="P40" i="39" s="1"/>
  <c r="O102" i="39" a="1"/>
  <c r="O102" i="39" s="1"/>
  <c r="P102" i="39" s="1"/>
  <c r="O39" i="39" a="1"/>
  <c r="O39" i="39" s="1"/>
  <c r="P39" i="39" s="1"/>
  <c r="O113" i="39" a="1"/>
  <c r="O113" i="39" s="1"/>
  <c r="P113" i="39" s="1"/>
  <c r="P9" i="39"/>
  <c r="O69" i="39" a="1"/>
  <c r="O69" i="39" s="1"/>
  <c r="P69" i="39" s="1"/>
  <c r="O32" i="39" a="1"/>
  <c r="O32" i="39" s="1"/>
  <c r="P32" i="39" s="1"/>
  <c r="O55" i="39" a="1"/>
  <c r="O55" i="39" s="1"/>
  <c r="P55" i="39" s="1"/>
  <c r="O105" i="39" a="1"/>
  <c r="O105" i="39" s="1"/>
  <c r="P105" i="39" s="1"/>
  <c r="O89" i="39" a="1"/>
  <c r="O89" i="39" s="1"/>
  <c r="P89" i="39" s="1"/>
  <c r="O85" i="39" a="1"/>
  <c r="O85" i="39" s="1"/>
  <c r="P85" i="39" s="1"/>
  <c r="O83" i="39" a="1"/>
  <c r="O83" i="39" s="1"/>
  <c r="P83" i="39" s="1"/>
  <c r="P12" i="39"/>
  <c r="O111" i="39" a="1"/>
  <c r="O111" i="39" s="1"/>
  <c r="P111" i="39" s="1"/>
  <c r="O86" i="39" a="1"/>
  <c r="O86" i="39" s="1"/>
  <c r="P86" i="39" s="1"/>
  <c r="O60" i="39" a="1"/>
  <c r="O60" i="39" s="1"/>
  <c r="P60" i="39" s="1"/>
  <c r="O88" i="39" a="1"/>
  <c r="O88" i="39" s="1"/>
  <c r="P88" i="39" s="1"/>
  <c r="O103" i="39" a="1"/>
  <c r="O103" i="39" s="1"/>
  <c r="P103" i="39" s="1"/>
  <c r="O28" i="39" a="1"/>
  <c r="O28" i="39" s="1"/>
  <c r="P28" i="39" s="1"/>
  <c r="O25" i="39" a="1"/>
  <c r="O25" i="39" s="1"/>
  <c r="P25" i="39" s="1"/>
  <c r="O46" i="39" a="1"/>
  <c r="O46" i="39" s="1"/>
  <c r="P46" i="39" s="1"/>
  <c r="O61" i="39" a="1"/>
  <c r="O61" i="39" s="1"/>
  <c r="P61" i="39" s="1"/>
  <c r="O74" i="39" a="1"/>
  <c r="O74" i="39" s="1"/>
  <c r="P74" i="39" s="1"/>
  <c r="O50" i="39" a="1"/>
  <c r="O50" i="39" s="1"/>
  <c r="P50" i="39" s="1"/>
  <c r="P86" i="45"/>
  <c r="O100" i="39" a="1"/>
  <c r="O100" i="39" s="1"/>
  <c r="P100" i="39" s="1"/>
  <c r="O79" i="39" a="1"/>
  <c r="O79" i="39" s="1"/>
  <c r="P79" i="39" s="1"/>
  <c r="O47" i="39" a="1"/>
  <c r="O47" i="39" s="1"/>
  <c r="P47" i="39" s="1"/>
  <c r="O33" i="39" a="1"/>
  <c r="O33" i="39" s="1"/>
  <c r="P33" i="39" s="1"/>
  <c r="O120" i="39" a="1"/>
  <c r="O120" i="39" s="1"/>
  <c r="P120" i="39" s="1"/>
  <c r="P64" i="45"/>
  <c r="P60" i="45"/>
  <c r="O104" i="45" a="1"/>
  <c r="O104" i="45" s="1"/>
  <c r="P104" i="45" s="1"/>
  <c r="O43" i="45" a="1"/>
  <c r="O43" i="45" s="1"/>
  <c r="P43" i="45" s="1"/>
  <c r="O124" i="45" a="1"/>
  <c r="O124" i="45" s="1"/>
  <c r="P124" i="45" s="1"/>
  <c r="O64" i="45" a="1"/>
  <c r="O64" i="45" s="1"/>
  <c r="O88" i="45" a="1"/>
  <c r="O88" i="45" s="1"/>
  <c r="P88" i="45" s="1"/>
  <c r="O21" i="45" a="1"/>
  <c r="O21" i="45" s="1"/>
  <c r="P21" i="45" s="1"/>
  <c r="O123" i="45" a="1"/>
  <c r="O123" i="45" s="1"/>
  <c r="P123" i="45" s="1"/>
  <c r="O80" i="45" a="1"/>
  <c r="O80" i="45" s="1"/>
  <c r="P80" i="45" s="1"/>
  <c r="O100" i="45" a="1"/>
  <c r="O100" i="45" s="1"/>
  <c r="P100" i="45" s="1"/>
  <c r="O95" i="45" a="1"/>
  <c r="O95" i="45" s="1"/>
  <c r="P95" i="45" s="1"/>
  <c r="O82" i="45" a="1"/>
  <c r="O82" i="45" s="1"/>
  <c r="P82" i="45" s="1"/>
  <c r="O128" i="45" a="1"/>
  <c r="O128" i="45" s="1"/>
  <c r="P128" i="45" s="1"/>
  <c r="O73" i="45" a="1"/>
  <c r="O73" i="45" s="1"/>
  <c r="P73" i="45" s="1"/>
  <c r="O49" i="39" a="1"/>
  <c r="O49" i="39" s="1"/>
  <c r="P49" i="39" s="1"/>
  <c r="O91" i="39" a="1"/>
  <c r="O91" i="39" s="1"/>
  <c r="P91" i="39" s="1"/>
  <c r="O72" i="39" a="1"/>
  <c r="O72" i="39" s="1"/>
  <c r="P72" i="39" s="1"/>
  <c r="O99" i="39" a="1"/>
  <c r="O99" i="39" s="1"/>
  <c r="P99" i="39" s="1"/>
  <c r="N57" i="34" a="1"/>
  <c r="N57" i="34" s="1"/>
  <c r="N112" i="34" a="1"/>
  <c r="N112" i="34" s="1"/>
  <c r="N124" i="34" a="1"/>
  <c r="N124" i="34" s="1"/>
  <c r="N73" i="34" a="1"/>
  <c r="N73" i="34" s="1"/>
  <c r="N22" i="34" a="1"/>
  <c r="N22" i="34" s="1"/>
  <c r="N12" i="34" a="1"/>
  <c r="N12" i="34" s="1"/>
  <c r="N110" i="34" a="1"/>
  <c r="N110" i="34" s="1"/>
  <c r="N86" i="34" a="1"/>
  <c r="N86" i="34" s="1"/>
  <c r="N102" i="34" a="1"/>
  <c r="N102" i="34" s="1"/>
  <c r="N66" i="34" a="1"/>
  <c r="N66" i="34" s="1"/>
  <c r="O56" i="39" a="1"/>
  <c r="O56" i="39" s="1"/>
  <c r="P56" i="39" s="1"/>
  <c r="O26" i="39" a="1"/>
  <c r="O26" i="39" s="1"/>
  <c r="P26" i="39" s="1"/>
  <c r="N105" i="34" l="1" a="1"/>
  <c r="N105" i="34" s="1"/>
  <c r="N96" i="34" a="1"/>
  <c r="N96" i="34" s="1"/>
  <c r="N43" i="34" a="1"/>
  <c r="N43" i="34" s="1"/>
  <c r="N56" i="34" a="1"/>
  <c r="N56" i="34" s="1"/>
  <c r="N67" i="34" a="1"/>
  <c r="N67" i="34" s="1"/>
  <c r="N28" i="34" a="1"/>
  <c r="N28" i="34" s="1"/>
  <c r="N107" i="34" a="1"/>
  <c r="N107" i="34" s="1"/>
  <c r="N99" i="34" a="1"/>
  <c r="N99" i="34" s="1"/>
  <c r="P48" i="34"/>
  <c r="N16" i="34" a="1"/>
  <c r="N16" i="34" s="1"/>
  <c r="P96" i="34" s="1"/>
  <c r="P2" i="34"/>
  <c r="P122" i="34"/>
  <c r="P5" i="34"/>
  <c r="P53" i="34"/>
  <c r="N52" i="34" a="1"/>
  <c r="N52" i="34" s="1"/>
  <c r="P118" i="34"/>
  <c r="P93" i="34"/>
  <c r="P88" i="34"/>
  <c r="P106" i="34"/>
  <c r="P30" i="34"/>
  <c r="P97" i="34" l="1"/>
  <c r="P111" i="34"/>
  <c r="P14" i="34"/>
  <c r="P99" i="34"/>
  <c r="P76" i="34"/>
  <c r="P65" i="34"/>
  <c r="P95" i="34"/>
  <c r="P90" i="34"/>
  <c r="P56" i="34"/>
  <c r="P10" i="34"/>
  <c r="P74" i="34"/>
  <c r="P100" i="34"/>
  <c r="P49" i="34"/>
  <c r="P79" i="34"/>
  <c r="P16" i="34"/>
  <c r="P84" i="34"/>
  <c r="P33" i="34"/>
  <c r="P63" i="34"/>
  <c r="P32" i="34"/>
  <c r="P127" i="34"/>
  <c r="P51" i="34"/>
  <c r="P103" i="34"/>
  <c r="P68" i="34"/>
  <c r="P3" i="34"/>
  <c r="P17" i="34"/>
  <c r="P115" i="34"/>
  <c r="P35" i="34"/>
  <c r="P6" i="34"/>
  <c r="P52" i="34"/>
  <c r="P114" i="34"/>
  <c r="P13" i="34"/>
  <c r="P92" i="34"/>
  <c r="P116" i="34"/>
  <c r="P71" i="34"/>
  <c r="P98" i="34"/>
  <c r="P58" i="34"/>
  <c r="P37" i="34"/>
  <c r="P124" i="34"/>
  <c r="P40" i="34"/>
  <c r="P67" i="34"/>
  <c r="P54" i="34"/>
  <c r="P44" i="34"/>
  <c r="P9" i="34"/>
  <c r="P82" i="34"/>
  <c r="P128" i="34"/>
  <c r="P21" i="34"/>
  <c r="P108" i="34"/>
  <c r="P24" i="34"/>
  <c r="P105" i="34"/>
  <c r="P60" i="34"/>
  <c r="P119" i="34"/>
  <c r="P57" i="34"/>
  <c r="P22" i="34"/>
  <c r="P126" i="34"/>
  <c r="P36" i="34"/>
  <c r="P43" i="34"/>
  <c r="P39" i="34"/>
  <c r="P117" i="34"/>
  <c r="P4" i="34"/>
  <c r="P66" i="34"/>
  <c r="P112" i="34"/>
  <c r="P42" i="34"/>
  <c r="P113" i="34"/>
  <c r="P81" i="34"/>
  <c r="P59" i="34"/>
  <c r="P38" i="34"/>
  <c r="P87" i="34"/>
  <c r="P75" i="34"/>
  <c r="P61" i="34"/>
  <c r="P78" i="34"/>
  <c r="P91" i="34"/>
  <c r="P23" i="34"/>
  <c r="P101" i="34"/>
  <c r="P109" i="34"/>
  <c r="P50" i="34"/>
  <c r="P15" i="34"/>
  <c r="P47" i="34"/>
  <c r="P31" i="34"/>
  <c r="P83" i="34"/>
  <c r="P121" i="34"/>
  <c r="P8" i="34"/>
  <c r="P89" i="34"/>
  <c r="P73" i="34"/>
  <c r="P28" i="34"/>
  <c r="P12" i="34"/>
  <c r="P25" i="34"/>
  <c r="P110" i="34"/>
  <c r="P55" i="34"/>
  <c r="P77" i="34"/>
  <c r="P62" i="34"/>
  <c r="P11" i="34"/>
  <c r="P120" i="34"/>
  <c r="P7" i="34"/>
  <c r="V4" i="34" s="1"/>
  <c r="P85" i="34"/>
  <c r="P45" i="34"/>
  <c r="P34" i="34"/>
  <c r="P80" i="34"/>
  <c r="P72" i="34"/>
  <c r="P26" i="34"/>
  <c r="P102" i="34"/>
  <c r="P86" i="34"/>
  <c r="P70" i="34"/>
  <c r="P19" i="34"/>
  <c r="P41" i="34"/>
  <c r="P107" i="34"/>
  <c r="P20" i="34"/>
  <c r="P94" i="34"/>
  <c r="P27" i="34"/>
  <c r="P46" i="34"/>
  <c r="P29" i="34"/>
  <c r="P104" i="34"/>
  <c r="P125" i="34"/>
  <c r="P69" i="34"/>
  <c r="P123" i="34"/>
  <c r="P18" i="34"/>
  <c r="P64" i="34"/>
  <c r="U4" i="34" l="1"/>
  <c r="N4" i="40" a="1"/>
  <c r="N37" i="40" a="1"/>
  <c r="N37" i="40"/>
  <c r="N100" i="40" a="1"/>
  <c r="N100" i="40"/>
  <c r="N60" i="40" a="1"/>
  <c r="N60" i="40"/>
  <c r="N47" i="40" a="1"/>
  <c r="N47" i="40"/>
  <c r="N109" i="40" a="1"/>
  <c r="N109" i="40"/>
  <c r="N44" i="40" a="1"/>
  <c r="N44" i="40"/>
  <c r="N28" i="40" a="1"/>
  <c r="N28" i="40"/>
  <c r="N107" i="40" a="1"/>
  <c r="N107" i="40"/>
  <c r="O4" i="40" a="1"/>
  <c r="O6" i="40" a="1"/>
  <c r="O72" i="40" a="1"/>
  <c r="O72" i="40"/>
  <c r="O87" i="40" a="1"/>
  <c r="O87" i="40"/>
  <c r="O43" i="40" a="1"/>
  <c r="O43" i="40"/>
  <c r="O6" i="40"/>
  <c r="O13" i="40" a="1"/>
  <c r="O120" i="40" a="1"/>
  <c r="O120" i="40"/>
  <c r="O83" i="40" a="1"/>
  <c r="O83" i="40"/>
  <c r="O4" i="40"/>
  <c r="O90" i="40" a="1"/>
  <c r="O90" i="40"/>
  <c r="O82" i="40" a="1"/>
  <c r="O82" i="40"/>
  <c r="O2" i="40" a="1"/>
  <c r="O91" i="40" a="1"/>
  <c r="O91" i="40"/>
  <c r="O71" i="40" a="1"/>
  <c r="O71" i="40"/>
  <c r="O54" i="40" a="1"/>
  <c r="O54" i="40"/>
  <c r="O77" i="40" a="1"/>
  <c r="O77" i="40"/>
  <c r="O59" i="40" a="1"/>
  <c r="O59" i="40"/>
  <c r="O22" i="40" a="1"/>
  <c r="O22" i="40"/>
  <c r="O13" i="40"/>
  <c r="O13" i="44" a="1"/>
  <c r="O13" i="44"/>
  <c r="O33" i="44" a="1"/>
  <c r="O33" i="44"/>
  <c r="P33" i="44"/>
  <c r="O89" i="44" a="1"/>
  <c r="O89" i="44"/>
  <c r="P89" i="44"/>
  <c r="O123" i="44" a="1"/>
  <c r="O123" i="44"/>
  <c r="P123" i="44"/>
  <c r="N68" i="40" a="1"/>
  <c r="N68" i="40"/>
  <c r="N57" i="40" a="1"/>
  <c r="N57" i="40"/>
  <c r="N62" i="40" a="1"/>
  <c r="N62" i="40"/>
  <c r="N98" i="40" a="1"/>
  <c r="N98" i="40"/>
  <c r="N80" i="40" a="1"/>
  <c r="N80" i="40"/>
  <c r="O106" i="44" a="1"/>
  <c r="O106" i="44"/>
  <c r="P106" i="44"/>
  <c r="N4" i="40"/>
  <c r="N119" i="40" a="1"/>
  <c r="N119" i="40"/>
  <c r="N86" i="40" a="1"/>
  <c r="N86" i="40"/>
  <c r="N93" i="40" a="1"/>
  <c r="N93" i="40"/>
  <c r="N83" i="40" a="1"/>
  <c r="N83" i="40"/>
  <c r="N102" i="40" a="1"/>
  <c r="N102" i="40"/>
  <c r="N118" i="40" a="1"/>
  <c r="N118" i="40"/>
  <c r="N36" i="40" a="1"/>
  <c r="N36" i="40"/>
  <c r="O50" i="44" a="1"/>
  <c r="O50" i="44"/>
  <c r="P50" i="44"/>
  <c r="O5" i="40" a="1"/>
  <c r="O64" i="40" a="1"/>
  <c r="O64" i="40"/>
  <c r="O5" i="40"/>
  <c r="O32" i="40" a="1"/>
  <c r="O32" i="40"/>
  <c r="O19" i="40" a="1"/>
  <c r="O19" i="40"/>
  <c r="O69" i="40" a="1"/>
  <c r="O69" i="40"/>
  <c r="O109" i="40" a="1"/>
  <c r="O109" i="40"/>
  <c r="O93" i="40" a="1"/>
  <c r="O93" i="40"/>
  <c r="O63" i="40" a="1"/>
  <c r="O63" i="40"/>
  <c r="O111" i="40" a="1"/>
  <c r="O111" i="40"/>
  <c r="O100" i="44" a="1"/>
  <c r="O100" i="44"/>
  <c r="P100" i="44"/>
  <c r="O53" i="44" a="1"/>
  <c r="O53" i="44"/>
  <c r="P53" i="44"/>
  <c r="O47" i="40" a="1"/>
  <c r="O47" i="40"/>
  <c r="O2" i="40"/>
  <c r="O23" i="40" a="1"/>
  <c r="O23" i="40"/>
  <c r="O81" i="40" a="1"/>
  <c r="O81" i="40"/>
  <c r="O52" i="40" a="1"/>
  <c r="O52" i="40"/>
  <c r="O67" i="44" a="1"/>
  <c r="O67" i="44"/>
  <c r="P67" i="44"/>
  <c r="O28" i="44" a="1"/>
  <c r="O28" i="44"/>
  <c r="P28" i="44"/>
  <c r="O114" i="40" a="1"/>
  <c r="O114" i="40"/>
  <c r="O21" i="40" a="1"/>
  <c r="O21" i="40"/>
  <c r="O80" i="40" a="1"/>
  <c r="O80" i="40"/>
  <c r="O48" i="44" a="1"/>
  <c r="O48" i="44"/>
  <c r="P48" i="44"/>
  <c r="O9" i="44" a="1"/>
  <c r="O70" i="44" a="1"/>
  <c r="O70" i="44"/>
  <c r="P70" i="44"/>
  <c r="N95" i="40" a="1"/>
  <c r="N95" i="40"/>
  <c r="N20" i="40" a="1"/>
  <c r="N20" i="40"/>
  <c r="N56" i="40" a="1"/>
  <c r="N56" i="40"/>
  <c r="N91" i="40" a="1"/>
  <c r="N91" i="40"/>
  <c r="N50" i="40" a="1"/>
  <c r="N50" i="40"/>
  <c r="N33" i="40" a="1"/>
  <c r="N33" i="40"/>
  <c r="N76" i="40" a="1"/>
  <c r="N76" i="40"/>
  <c r="O61" i="44" a="1"/>
  <c r="O61" i="44"/>
  <c r="P61" i="44"/>
  <c r="O86" i="40" a="1"/>
  <c r="O86" i="40"/>
  <c r="O123" i="40" a="1"/>
  <c r="O123" i="40"/>
  <c r="O42" i="40" a="1"/>
  <c r="O42" i="40"/>
  <c r="O62" i="40" a="1"/>
  <c r="O62" i="40"/>
  <c r="O38" i="40" a="1"/>
  <c r="O38" i="40"/>
  <c r="O103" i="40" a="1"/>
  <c r="O103" i="40"/>
  <c r="O96" i="40" a="1"/>
  <c r="O96" i="40"/>
  <c r="O79" i="40" a="1"/>
  <c r="O79" i="40"/>
  <c r="O122" i="40" a="1"/>
  <c r="O122" i="40"/>
  <c r="O28" i="40" a="1"/>
  <c r="O28" i="40"/>
  <c r="O118" i="40" a="1"/>
  <c r="O118" i="40"/>
  <c r="O126" i="40" a="1"/>
  <c r="O126" i="40"/>
  <c r="O102" i="40" a="1"/>
  <c r="O102" i="40"/>
  <c r="O64" i="44" a="1"/>
  <c r="O64" i="44"/>
  <c r="P64" i="44"/>
  <c r="O73" i="44" a="1"/>
  <c r="O73" i="44"/>
  <c r="P73" i="44"/>
  <c r="O110" i="44" a="1"/>
  <c r="O110" i="44"/>
  <c r="P110" i="44"/>
  <c r="O10" i="44" a="1"/>
  <c r="O10" i="44"/>
  <c r="O82" i="44" a="1"/>
  <c r="O82" i="44"/>
  <c r="P82" i="44"/>
  <c r="O9" i="44"/>
  <c r="O126" i="44" a="1"/>
  <c r="O126" i="44"/>
  <c r="P126" i="44"/>
  <c r="O94" i="44" a="1"/>
  <c r="O94" i="44"/>
  <c r="P94" i="44"/>
  <c r="O72" i="44" a="1"/>
  <c r="O72" i="44"/>
  <c r="P72" i="44"/>
  <c r="P9" i="44"/>
  <c r="O103" i="44" a="1"/>
  <c r="O103" i="44"/>
  <c r="P103" i="44"/>
  <c r="O26" i="44" a="1"/>
  <c r="O26" i="44"/>
  <c r="P26" i="44"/>
  <c r="P13" i="44"/>
  <c r="O55" i="44" a="1"/>
  <c r="O55" i="44"/>
  <c r="P55" i="44"/>
  <c r="O118" i="44" a="1"/>
  <c r="O118" i="44"/>
  <c r="P118" i="44"/>
  <c r="O116" i="40" a="1"/>
  <c r="O116" i="40"/>
  <c r="P10" i="44"/>
  <c r="O87" i="44" a="1"/>
  <c r="O87" i="44"/>
  <c r="P87" i="44"/>
  <c r="O21" i="44" a="1"/>
  <c r="O21" i="44"/>
  <c r="P21" i="44"/>
  <c r="O104" i="44" a="1"/>
  <c r="O104" i="44"/>
  <c r="P104" i="44"/>
  <c r="O34" i="40" a="1"/>
  <c r="O34" i="40"/>
  <c r="O45" i="40" a="1"/>
  <c r="O45" i="40"/>
  <c r="O26" i="40" a="1"/>
  <c r="O26" i="40"/>
  <c r="O29" i="44" a="1"/>
  <c r="O29" i="44"/>
  <c r="P29" i="44"/>
  <c r="O65" i="44" a="1"/>
  <c r="O65" i="44"/>
  <c r="P65" i="44"/>
  <c r="O4" i="44" a="1"/>
  <c r="O4" i="44"/>
  <c r="P4" i="44"/>
  <c r="O105" i="40" a="1"/>
  <c r="O105" i="40"/>
  <c r="O57" i="40" a="1"/>
  <c r="O57" i="40"/>
  <c r="O33" i="40" a="1"/>
  <c r="O33" i="40"/>
  <c r="O104" i="40" a="1"/>
  <c r="O104" i="40"/>
  <c r="O8" i="40" a="1"/>
  <c r="O8" i="40"/>
  <c r="O9" i="40" a="1"/>
  <c r="O97" i="40" a="1"/>
  <c r="O97" i="40"/>
  <c r="O98" i="40" a="1"/>
  <c r="O98" i="40"/>
  <c r="N18" i="40" a="1"/>
  <c r="N18" i="40"/>
  <c r="N101" i="40" a="1"/>
  <c r="N101" i="40"/>
  <c r="N64" i="40" a="1"/>
  <c r="N64" i="40"/>
  <c r="N24" i="40" a="1"/>
  <c r="N24" i="40"/>
  <c r="O27" i="40" a="1"/>
  <c r="O27" i="40"/>
  <c r="O92" i="40" a="1"/>
  <c r="O92" i="40"/>
  <c r="O110" i="40" a="1"/>
  <c r="O110" i="40"/>
  <c r="O106" i="40" a="1"/>
  <c r="O106" i="40"/>
  <c r="O56" i="40" a="1"/>
  <c r="O56" i="40"/>
  <c r="O78" i="40" a="1"/>
  <c r="O78" i="40"/>
  <c r="O55" i="40" a="1"/>
  <c r="O55" i="40"/>
  <c r="N79" i="40" a="1"/>
  <c r="N79" i="40"/>
  <c r="N99" i="40" a="1"/>
  <c r="N99" i="40"/>
  <c r="N54" i="40" a="1"/>
  <c r="N54" i="40"/>
  <c r="N2" i="40" a="1"/>
  <c r="N2" i="40"/>
  <c r="N52" i="40" a="1"/>
  <c r="N52" i="40"/>
  <c r="O17" i="40" a="1"/>
  <c r="O17" i="40"/>
  <c r="O41" i="40" a="1"/>
  <c r="O41" i="40"/>
  <c r="O9" i="40"/>
  <c r="O7" i="40" a="1"/>
  <c r="O7" i="40"/>
  <c r="N127" i="40" a="1"/>
  <c r="N127" i="40"/>
  <c r="N75" i="40" a="1"/>
  <c r="N75" i="40"/>
  <c r="N8" i="40" a="1"/>
  <c r="N8" i="40"/>
  <c r="N7" i="40" a="1"/>
  <c r="N7" i="40"/>
  <c r="N65" i="40" a="1"/>
  <c r="N65" i="40"/>
  <c r="N106" i="40" a="1"/>
  <c r="N106" i="40"/>
  <c r="N30" i="40" a="1"/>
  <c r="N30" i="40"/>
  <c r="N5" i="40" a="1"/>
  <c r="N5" i="40"/>
  <c r="N126" i="40" a="1"/>
  <c r="N126" i="4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<sst xmlns="http://schemas.openxmlformats.org/spreadsheetml/2006/main" count="14469" uniqueCount="1386">
  <si>
    <t>TransactionID</t>
  </si>
  <si>
    <t>ProductCode</t>
  </si>
  <si>
    <t>ProductQuantity</t>
  </si>
  <si>
    <t>TransactionTimestamp</t>
  </si>
  <si>
    <t>PricePerUnit</t>
  </si>
  <si>
    <t>ConsumerID</t>
  </si>
  <si>
    <t>Country</t>
  </si>
  <si>
    <t>France</t>
  </si>
  <si>
    <t>United Kingdom</t>
  </si>
  <si>
    <t>$0.85</t>
  </si>
  <si>
    <t>$0.21</t>
  </si>
  <si>
    <t>$1.66</t>
  </si>
  <si>
    <t>$0.42</t>
  </si>
  <si>
    <t>Portugal</t>
  </si>
  <si>
    <t>$0.81</t>
  </si>
  <si>
    <t>$0.79</t>
  </si>
  <si>
    <t>Switzerland</t>
  </si>
  <si>
    <t>$0.75</t>
  </si>
  <si>
    <t>Sweden</t>
  </si>
  <si>
    <t>$0.65</t>
  </si>
  <si>
    <t>$1.63</t>
  </si>
  <si>
    <t>Germany</t>
  </si>
  <si>
    <t>$0.83</t>
  </si>
  <si>
    <t>$0.72</t>
  </si>
  <si>
    <t>Revised Pquantity C</t>
  </si>
  <si>
    <t>Revised Price E</t>
  </si>
  <si>
    <t>Mean of Pquantity - C</t>
  </si>
  <si>
    <t>Mean of Price - E</t>
  </si>
  <si>
    <t>Max Pquantity - C</t>
  </si>
  <si>
    <t>Min Pquantity - C</t>
  </si>
  <si>
    <t>Standard Deviation C</t>
  </si>
  <si>
    <t>Standard Deviation E</t>
  </si>
  <si>
    <t>Mean of Column C - Quantity</t>
  </si>
  <si>
    <t>Mean of Column E - Price</t>
  </si>
  <si>
    <t>Average Product Quantity - C</t>
  </si>
  <si>
    <t>Average Price per Unit - E</t>
  </si>
  <si>
    <t>min product quantity - C</t>
  </si>
  <si>
    <t>max product quantity - C</t>
  </si>
  <si>
    <t>min price per unit -e</t>
  </si>
  <si>
    <t>max price per unit -e</t>
  </si>
  <si>
    <t>High Quantity C</t>
  </si>
  <si>
    <t>Low Quatity C</t>
  </si>
  <si>
    <t>High Price E</t>
  </si>
  <si>
    <t>Low Price E</t>
  </si>
  <si>
    <t>standard deviation c</t>
  </si>
  <si>
    <t>standard deviation e</t>
  </si>
  <si>
    <t>z score c</t>
  </si>
  <si>
    <t>zscore e</t>
  </si>
  <si>
    <t>Quantity_MinMax C</t>
  </si>
  <si>
    <t>Quantity_Zscore C</t>
  </si>
  <si>
    <t>Quantity_Bin C</t>
  </si>
  <si>
    <t>Price_MinMax E</t>
  </si>
  <si>
    <t>Price_Zscore E</t>
  </si>
  <si>
    <t>Price_Bin E</t>
  </si>
  <si>
    <t>Industry</t>
  </si>
  <si>
    <t>Shipping</t>
  </si>
  <si>
    <t>SEM</t>
  </si>
  <si>
    <t>Banking</t>
  </si>
  <si>
    <t>Content Marketing</t>
  </si>
  <si>
    <t>Manufacturing</t>
  </si>
  <si>
    <t>Trade Show</t>
  </si>
  <si>
    <t>Retail</t>
  </si>
  <si>
    <t>Telecom</t>
  </si>
  <si>
    <t>Webinar</t>
  </si>
  <si>
    <t>Energy</t>
  </si>
  <si>
    <t>Email</t>
  </si>
  <si>
    <t>LinkedIn Ads</t>
  </si>
  <si>
    <t>Lower</t>
  </si>
  <si>
    <t>Upper</t>
  </si>
  <si>
    <t>Norm_ProductQuantity</t>
  </si>
  <si>
    <t>Eigenvalue 2 - Small</t>
  </si>
  <si>
    <t>Row Labels</t>
  </si>
  <si>
    <t>Grand Total</t>
  </si>
  <si>
    <t>Sum of ProductQuantity</t>
  </si>
  <si>
    <t>Mean</t>
  </si>
  <si>
    <t>Standard Error</t>
  </si>
  <si>
    <t>Median</t>
  </si>
  <si>
    <t>Mode</t>
  </si>
  <si>
    <t>Standard Deviation</t>
  </si>
  <si>
    <t>Sample Variance</t>
  </si>
  <si>
    <t>Kurtosis</t>
  </si>
  <si>
    <t>Skewness</t>
  </si>
  <si>
    <t>Range</t>
  </si>
  <si>
    <t>Minimum</t>
  </si>
  <si>
    <t>Maximum</t>
  </si>
  <si>
    <t>Sum</t>
  </si>
  <si>
    <t>Count</t>
  </si>
  <si>
    <t>Confidence Level(95.0%)</t>
  </si>
  <si>
    <t>Company_ID</t>
  </si>
  <si>
    <t>Company_Size</t>
  </si>
  <si>
    <t>Annual_Revenue (Mâ‚º)</t>
  </si>
  <si>
    <t>Marketing_Spend (Kâ‚º)</t>
  </si>
  <si>
    <t>Campaign_Type</t>
  </si>
  <si>
    <t>Leads_Generated</t>
  </si>
  <si>
    <t>Conversion_Rate (%)</t>
  </si>
  <si>
    <t>Region</t>
  </si>
  <si>
    <t>District</t>
  </si>
  <si>
    <t>Last_Product_1</t>
  </si>
  <si>
    <t>Last_Product_2</t>
  </si>
  <si>
    <t>Frequency_of_Purchase</t>
  </si>
  <si>
    <t>Days_Since_Last_Purchase</t>
  </si>
  <si>
    <t>Contract_Status</t>
  </si>
  <si>
    <t>Total_Purchases_Last_Year</t>
  </si>
  <si>
    <t>Payment_Behavior</t>
  </si>
  <si>
    <t>Preferred_Channel</t>
  </si>
  <si>
    <t>Sales_Rep</t>
  </si>
  <si>
    <t>C0001</t>
  </si>
  <si>
    <t>Mining, metals &amp; minerals</t>
  </si>
  <si>
    <t>Medium</t>
  </si>
  <si>
    <t>Adana</t>
  </si>
  <si>
    <t>Ceyhan</t>
  </si>
  <si>
    <t>Process safety &amp; automation</t>
  </si>
  <si>
    <t>Valves</t>
  </si>
  <si>
    <t>Monthly</t>
  </si>
  <si>
    <t>Pending</t>
  </si>
  <si>
    <t>On-time</t>
  </si>
  <si>
    <t>Sales Rep</t>
  </si>
  <si>
    <t>E**** T*******</t>
  </si>
  <si>
    <t>C0002</t>
  </si>
  <si>
    <t>Space</t>
  </si>
  <si>
    <t>Small</t>
  </si>
  <si>
    <t>Sakarya</t>
  </si>
  <si>
    <t>Arifiye</t>
  </si>
  <si>
    <t>Energy storage systems</t>
  </si>
  <si>
    <t>Actuators &amp; motion control</t>
  </si>
  <si>
    <t>Occasionally</t>
  </si>
  <si>
    <t>Active</t>
  </si>
  <si>
    <t>D**** S*******</t>
  </si>
  <si>
    <t>C0003</t>
  </si>
  <si>
    <t>Buildings</t>
  </si>
  <si>
    <t>Ankara</t>
  </si>
  <si>
    <t>Etimesgut</t>
  </si>
  <si>
    <t>Lighting &amp; controls</t>
  </si>
  <si>
    <t>Conduit &amp; cable management</t>
  </si>
  <si>
    <t>Quarterly</t>
  </si>
  <si>
    <t>Occasional delay</t>
  </si>
  <si>
    <t>B**** K*******</t>
  </si>
  <si>
    <t>C0004</t>
  </si>
  <si>
    <t>Oil &amp; gas</t>
  </si>
  <si>
    <t>Eskisehir</t>
  </si>
  <si>
    <t>Tepebasi</t>
  </si>
  <si>
    <t>Medium-voltage power systems</t>
  </si>
  <si>
    <t>A**** Y*******</t>
  </si>
  <si>
    <t>C0005</t>
  </si>
  <si>
    <t>Zonguldak</t>
  </si>
  <si>
    <t>Kozlu</t>
  </si>
  <si>
    <t>Fuel systems &amp; emissions</t>
  </si>
  <si>
    <t>C**** D*******</t>
  </si>
  <si>
    <t>C0006</t>
  </si>
  <si>
    <t>Data centres</t>
  </si>
  <si>
    <t>Kayseri</t>
  </si>
  <si>
    <t>Melikgazi</t>
  </si>
  <si>
    <t>Low-voltage power systems</t>
  </si>
  <si>
    <t>Online</t>
  </si>
  <si>
    <t>C0007</t>
  </si>
  <si>
    <t>Food &amp; beverage</t>
  </si>
  <si>
    <t>Kocaeli</t>
  </si>
  <si>
    <t>Izmit</t>
  </si>
  <si>
    <t>Pumps</t>
  </si>
  <si>
    <t>Yearly</t>
  </si>
  <si>
    <t>C0008</t>
  </si>
  <si>
    <t>Residential</t>
  </si>
  <si>
    <t>Izmir</t>
  </si>
  <si>
    <t>Cigli</t>
  </si>
  <si>
    <t>Wiring devices &amp; connectivity</t>
  </si>
  <si>
    <t>C0009</t>
  </si>
  <si>
    <t>Large</t>
  </si>
  <si>
    <t>Korfez</t>
  </si>
  <si>
    <t>Dealer</t>
  </si>
  <si>
    <t>H**** N*******</t>
  </si>
  <si>
    <t>C0010</t>
  </si>
  <si>
    <t>Hose, tubing, fittings</t>
  </si>
  <si>
    <t>C0011</t>
  </si>
  <si>
    <t>Konya</t>
  </si>
  <si>
    <t>Meram</t>
  </si>
  <si>
    <t>C0012</t>
  </si>
  <si>
    <t>Aerospace</t>
  </si>
  <si>
    <t>Karsiyaka</t>
  </si>
  <si>
    <t>Engine solutions</t>
  </si>
  <si>
    <t>F**** O*******</t>
  </si>
  <si>
    <t>C0013</t>
  </si>
  <si>
    <t>Seyhan</t>
  </si>
  <si>
    <t>Electronic components</t>
  </si>
  <si>
    <t>C0014</t>
  </si>
  <si>
    <t>Machine building</t>
  </si>
  <si>
    <t>Istanbul</t>
  </si>
  <si>
    <t>Atasehir</t>
  </si>
  <si>
    <t>Clutches and brakes</t>
  </si>
  <si>
    <t>C0015</t>
  </si>
  <si>
    <t>Healthcare</t>
  </si>
  <si>
    <t>Safety &amp; emergency comms</t>
  </si>
  <si>
    <t>C0016</t>
  </si>
  <si>
    <t>Hydraulic motors &amp; generators</t>
  </si>
  <si>
    <t>G**** R*******</t>
  </si>
  <si>
    <t>C0017</t>
  </si>
  <si>
    <t>Filtration solutions</t>
  </si>
  <si>
    <t>C0018</t>
  </si>
  <si>
    <t>Vehicles</t>
  </si>
  <si>
    <t>Konak</t>
  </si>
  <si>
    <t>Vehicle controls &amp; automation</t>
  </si>
  <si>
    <t>Transmissions</t>
  </si>
  <si>
    <t>Expired</t>
  </si>
  <si>
    <t>C0019</t>
  </si>
  <si>
    <t>Gebze</t>
  </si>
  <si>
    <t>C0020</t>
  </si>
  <si>
    <t>Antalya</t>
  </si>
  <si>
    <t>Kepez</t>
  </si>
  <si>
    <t>C0021</t>
  </si>
  <si>
    <t>Cankaya</t>
  </si>
  <si>
    <t>Life support systems</t>
  </si>
  <si>
    <t>C0022</t>
  </si>
  <si>
    <t>Server racks, enclosures</t>
  </si>
  <si>
    <t>C0023</t>
  </si>
  <si>
    <t>C0024</t>
  </si>
  <si>
    <t>Late</t>
  </si>
  <si>
    <t>C0025</t>
  </si>
  <si>
    <t>Selcuklu</t>
  </si>
  <si>
    <t>C0026</t>
  </si>
  <si>
    <t>Utilities</t>
  </si>
  <si>
    <t>C0027</t>
  </si>
  <si>
    <t>C0028</t>
  </si>
  <si>
    <t>C0029</t>
  </si>
  <si>
    <t>C0030</t>
  </si>
  <si>
    <t>Sariyer</t>
  </si>
  <si>
    <t>C0031</t>
  </si>
  <si>
    <t>Kartal</t>
  </si>
  <si>
    <t>C0032</t>
  </si>
  <si>
    <t>C0033</t>
  </si>
  <si>
    <t>Electrical circuit protection</t>
  </si>
  <si>
    <t>C0034</t>
  </si>
  <si>
    <t>C0035</t>
  </si>
  <si>
    <t>C0036</t>
  </si>
  <si>
    <t>C0037</t>
  </si>
  <si>
    <t>C0038</t>
  </si>
  <si>
    <t>C0039</t>
  </si>
  <si>
    <t>C0040</t>
  </si>
  <si>
    <t>Muratpasa</t>
  </si>
  <si>
    <t>C0041</t>
  </si>
  <si>
    <t>C0042</t>
  </si>
  <si>
    <t>Odunpazari</t>
  </si>
  <si>
    <t>C0043</t>
  </si>
  <si>
    <t>C0044</t>
  </si>
  <si>
    <t>C0045</t>
  </si>
  <si>
    <t>C0046</t>
  </si>
  <si>
    <t>Kocasinan</t>
  </si>
  <si>
    <t>C0047</t>
  </si>
  <si>
    <t>Bursa</t>
  </si>
  <si>
    <t>Osmangazi</t>
  </si>
  <si>
    <t>C0048</t>
  </si>
  <si>
    <t>C0049</t>
  </si>
  <si>
    <t>Nilufer</t>
  </si>
  <si>
    <t>C0050</t>
  </si>
  <si>
    <t>C0051</t>
  </si>
  <si>
    <t>C0052</t>
  </si>
  <si>
    <t>C0053</t>
  </si>
  <si>
    <t>Serdivan</t>
  </si>
  <si>
    <t>C0054</t>
  </si>
  <si>
    <t>C0055</t>
  </si>
  <si>
    <t>Yenimahalle</t>
  </si>
  <si>
    <t>C0056</t>
  </si>
  <si>
    <t>C0057</t>
  </si>
  <si>
    <t>C0058</t>
  </si>
  <si>
    <t>Mamak</t>
  </si>
  <si>
    <t>C0059</t>
  </si>
  <si>
    <t>Yildirim</t>
  </si>
  <si>
    <t>C0060</t>
  </si>
  <si>
    <t>C0061</t>
  </si>
  <si>
    <t>C0062</t>
  </si>
  <si>
    <t>C0063</t>
  </si>
  <si>
    <t>Eregli</t>
  </si>
  <si>
    <t>C0064</t>
  </si>
  <si>
    <t>C0065</t>
  </si>
  <si>
    <t>C0066</t>
  </si>
  <si>
    <t>C0067</t>
  </si>
  <si>
    <t>C0068</t>
  </si>
  <si>
    <t>C0069</t>
  </si>
  <si>
    <t>C0070</t>
  </si>
  <si>
    <t>Utility &amp; grid solutions</t>
  </si>
  <si>
    <t>C0071</t>
  </si>
  <si>
    <t>C0072</t>
  </si>
  <si>
    <t>C0073</t>
  </si>
  <si>
    <t>C0074</t>
  </si>
  <si>
    <t>C0075</t>
  </si>
  <si>
    <t>C0076</t>
  </si>
  <si>
    <t>C0077</t>
  </si>
  <si>
    <t>C0078</t>
  </si>
  <si>
    <t>C0079</t>
  </si>
  <si>
    <t>C0080</t>
  </si>
  <si>
    <t>C0081</t>
  </si>
  <si>
    <t>C0082</t>
  </si>
  <si>
    <t>C0083</t>
  </si>
  <si>
    <t>C0084</t>
  </si>
  <si>
    <t>C0085</t>
  </si>
  <si>
    <t>C0086</t>
  </si>
  <si>
    <t>C0087</t>
  </si>
  <si>
    <t>C0088</t>
  </si>
  <si>
    <t>C0089</t>
  </si>
  <si>
    <t>C0090</t>
  </si>
  <si>
    <t>Konyaalti</t>
  </si>
  <si>
    <t>C0091</t>
  </si>
  <si>
    <t>C0092</t>
  </si>
  <si>
    <t>C0093</t>
  </si>
  <si>
    <t>C0094</t>
  </si>
  <si>
    <t>C0095</t>
  </si>
  <si>
    <t>C0096</t>
  </si>
  <si>
    <t>C0097</t>
  </si>
  <si>
    <t>C0098</t>
  </si>
  <si>
    <t>C0099</t>
  </si>
  <si>
    <t>C0100</t>
  </si>
  <si>
    <t>C0101</t>
  </si>
  <si>
    <t>C0102</t>
  </si>
  <si>
    <t>Beylikduzu</t>
  </si>
  <si>
    <t>C0103</t>
  </si>
  <si>
    <t>C0104</t>
  </si>
  <si>
    <t>C0105</t>
  </si>
  <si>
    <t>C0106</t>
  </si>
  <si>
    <t>C0107</t>
  </si>
  <si>
    <t>C0108</t>
  </si>
  <si>
    <t>C0109</t>
  </si>
  <si>
    <t>C0110</t>
  </si>
  <si>
    <t>C0111</t>
  </si>
  <si>
    <t>C0112</t>
  </si>
  <si>
    <t>C0113</t>
  </si>
  <si>
    <t>C0114</t>
  </si>
  <si>
    <t>C0115</t>
  </si>
  <si>
    <t>C0116</t>
  </si>
  <si>
    <t>C0117</t>
  </si>
  <si>
    <t>C0118</t>
  </si>
  <si>
    <t>C0119</t>
  </si>
  <si>
    <t>C0120</t>
  </si>
  <si>
    <t>C0121</t>
  </si>
  <si>
    <t>C0122</t>
  </si>
  <si>
    <t>C0123</t>
  </si>
  <si>
    <t>C0124</t>
  </si>
  <si>
    <t>C0125</t>
  </si>
  <si>
    <t>C0126</t>
  </si>
  <si>
    <t>C0127</t>
  </si>
  <si>
    <t>C0128</t>
  </si>
  <si>
    <t>C0129</t>
  </si>
  <si>
    <t>C0130</t>
  </si>
  <si>
    <t>C0131</t>
  </si>
  <si>
    <t>C0132</t>
  </si>
  <si>
    <t>C0133</t>
  </si>
  <si>
    <t>C0134</t>
  </si>
  <si>
    <t>C0135</t>
  </si>
  <si>
    <t>C0136</t>
  </si>
  <si>
    <t>C0137</t>
  </si>
  <si>
    <t>C0138</t>
  </si>
  <si>
    <t>C0139</t>
  </si>
  <si>
    <t>C0140</t>
  </si>
  <si>
    <t>C0141</t>
  </si>
  <si>
    <t>C0142</t>
  </si>
  <si>
    <t>C0143</t>
  </si>
  <si>
    <t>C0144</t>
  </si>
  <si>
    <t>C0145</t>
  </si>
  <si>
    <t>C0146</t>
  </si>
  <si>
    <t>C0147</t>
  </si>
  <si>
    <t>C0148</t>
  </si>
  <si>
    <t>C0149</t>
  </si>
  <si>
    <t>C0150</t>
  </si>
  <si>
    <t>C0151</t>
  </si>
  <si>
    <t>C0152</t>
  </si>
  <si>
    <t>C0153</t>
  </si>
  <si>
    <t>C0154</t>
  </si>
  <si>
    <t>C0155</t>
  </si>
  <si>
    <t>C0156</t>
  </si>
  <si>
    <t>C0157</t>
  </si>
  <si>
    <t>C0158</t>
  </si>
  <si>
    <t>C0159</t>
  </si>
  <si>
    <t>C0160</t>
  </si>
  <si>
    <t>C0161</t>
  </si>
  <si>
    <t>C0162</t>
  </si>
  <si>
    <t>C0163</t>
  </si>
  <si>
    <t>C0164</t>
  </si>
  <si>
    <t>C0165</t>
  </si>
  <si>
    <t>C0166</t>
  </si>
  <si>
    <t>C0167</t>
  </si>
  <si>
    <t>C0168</t>
  </si>
  <si>
    <t>C0169</t>
  </si>
  <si>
    <t>C0170</t>
  </si>
  <si>
    <t>C0171</t>
  </si>
  <si>
    <t>C0172</t>
  </si>
  <si>
    <t>Umraniye</t>
  </si>
  <si>
    <t>C0173</t>
  </si>
  <si>
    <t>C0174</t>
  </si>
  <si>
    <t>C0175</t>
  </si>
  <si>
    <t>C0176</t>
  </si>
  <si>
    <t>C0177</t>
  </si>
  <si>
    <t>C0178</t>
  </si>
  <si>
    <t>C0179</t>
  </si>
  <si>
    <t>C0180</t>
  </si>
  <si>
    <t>C0181</t>
  </si>
  <si>
    <t>C0182</t>
  </si>
  <si>
    <t>C0183</t>
  </si>
  <si>
    <t>C0184</t>
  </si>
  <si>
    <t>C0185</t>
  </si>
  <si>
    <t>C0186</t>
  </si>
  <si>
    <t>C0187</t>
  </si>
  <si>
    <t>C0188</t>
  </si>
  <si>
    <t>C0189</t>
  </si>
  <si>
    <t>C0190</t>
  </si>
  <si>
    <t>C0191</t>
  </si>
  <si>
    <t>C0192</t>
  </si>
  <si>
    <t>C0193</t>
  </si>
  <si>
    <t>C0194</t>
  </si>
  <si>
    <t>C0195</t>
  </si>
  <si>
    <t>C0196</t>
  </si>
  <si>
    <t>C0197</t>
  </si>
  <si>
    <t>C0198</t>
  </si>
  <si>
    <t>C0199</t>
  </si>
  <si>
    <t>C0200</t>
  </si>
  <si>
    <t>C0201</t>
  </si>
  <si>
    <t>C0202</t>
  </si>
  <si>
    <t>Bornova</t>
  </si>
  <si>
    <t>C0203</t>
  </si>
  <si>
    <t>C0204</t>
  </si>
  <si>
    <t>C0205</t>
  </si>
  <si>
    <t>C0206</t>
  </si>
  <si>
    <t>C0207</t>
  </si>
  <si>
    <t>C0208</t>
  </si>
  <si>
    <t>C0209</t>
  </si>
  <si>
    <t>C0210</t>
  </si>
  <si>
    <t>C0211</t>
  </si>
  <si>
    <t>C0212</t>
  </si>
  <si>
    <t>C0213</t>
  </si>
  <si>
    <t>C0214</t>
  </si>
  <si>
    <t>C0215</t>
  </si>
  <si>
    <t>C0216</t>
  </si>
  <si>
    <t>C0217</t>
  </si>
  <si>
    <t>C0218</t>
  </si>
  <si>
    <t>C0219</t>
  </si>
  <si>
    <t>C0220</t>
  </si>
  <si>
    <t>C0221</t>
  </si>
  <si>
    <t>C0222</t>
  </si>
  <si>
    <t>C0223</t>
  </si>
  <si>
    <t>C0224</t>
  </si>
  <si>
    <t>C0225</t>
  </si>
  <si>
    <t>C0226</t>
  </si>
  <si>
    <t>C0227</t>
  </si>
  <si>
    <t>C0228</t>
  </si>
  <si>
    <t>C0229</t>
  </si>
  <si>
    <t>C0230</t>
  </si>
  <si>
    <t>C0231</t>
  </si>
  <si>
    <t>C0232</t>
  </si>
  <si>
    <t>C0233</t>
  </si>
  <si>
    <t>C0234</t>
  </si>
  <si>
    <t>C0235</t>
  </si>
  <si>
    <t>C0236</t>
  </si>
  <si>
    <t>C0237</t>
  </si>
  <si>
    <t>C0238</t>
  </si>
  <si>
    <t>C0239</t>
  </si>
  <si>
    <t>C0240</t>
  </si>
  <si>
    <t>C0241</t>
  </si>
  <si>
    <t>C0242</t>
  </si>
  <si>
    <t>C0243</t>
  </si>
  <si>
    <t>C0244</t>
  </si>
  <si>
    <t>C0245</t>
  </si>
  <si>
    <t>C0246</t>
  </si>
  <si>
    <t>C0247</t>
  </si>
  <si>
    <t>C0248</t>
  </si>
  <si>
    <t>C0249</t>
  </si>
  <si>
    <t>C0250</t>
  </si>
  <si>
    <t>C0251</t>
  </si>
  <si>
    <t>C0252</t>
  </si>
  <si>
    <t>C0253</t>
  </si>
  <si>
    <t>C0254</t>
  </si>
  <si>
    <t>C0255</t>
  </si>
  <si>
    <t>C0256</t>
  </si>
  <si>
    <t>C0257</t>
  </si>
  <si>
    <t>C0258</t>
  </si>
  <si>
    <t>C0259</t>
  </si>
  <si>
    <t>C0260</t>
  </si>
  <si>
    <t>C0261</t>
  </si>
  <si>
    <t>C0262</t>
  </si>
  <si>
    <t>C0263</t>
  </si>
  <si>
    <t>C0264</t>
  </si>
  <si>
    <t>C0265</t>
  </si>
  <si>
    <t>C0266</t>
  </si>
  <si>
    <t>C0267</t>
  </si>
  <si>
    <t>C0268</t>
  </si>
  <si>
    <t>C0269</t>
  </si>
  <si>
    <t>C0270</t>
  </si>
  <si>
    <t>C0271</t>
  </si>
  <si>
    <t>C0272</t>
  </si>
  <si>
    <t>C0273</t>
  </si>
  <si>
    <t>C0274</t>
  </si>
  <si>
    <t>C0275</t>
  </si>
  <si>
    <t>C0276</t>
  </si>
  <si>
    <t>C0277</t>
  </si>
  <si>
    <t>C0278</t>
  </si>
  <si>
    <t>C0279</t>
  </si>
  <si>
    <t>C0280</t>
  </si>
  <si>
    <t>C0281</t>
  </si>
  <si>
    <t>C0282</t>
  </si>
  <si>
    <t>C0283</t>
  </si>
  <si>
    <t>C0284</t>
  </si>
  <si>
    <t>C0285</t>
  </si>
  <si>
    <t>C0286</t>
  </si>
  <si>
    <t>C0287</t>
  </si>
  <si>
    <t>C0288</t>
  </si>
  <si>
    <t>C0289</t>
  </si>
  <si>
    <t>C0290</t>
  </si>
  <si>
    <t>C0291</t>
  </si>
  <si>
    <t>C0292</t>
  </si>
  <si>
    <t>C0293</t>
  </si>
  <si>
    <t>C0294</t>
  </si>
  <si>
    <t>C0295</t>
  </si>
  <si>
    <t>C0296</t>
  </si>
  <si>
    <t>C0297</t>
  </si>
  <si>
    <t>C0298</t>
  </si>
  <si>
    <t>C0299</t>
  </si>
  <si>
    <t>C0300</t>
  </si>
  <si>
    <t>C0301</t>
  </si>
  <si>
    <t>C0302</t>
  </si>
  <si>
    <t>C0303</t>
  </si>
  <si>
    <t>C0304</t>
  </si>
  <si>
    <t>C0305</t>
  </si>
  <si>
    <t>C0306</t>
  </si>
  <si>
    <t>C0307</t>
  </si>
  <si>
    <t>C0308</t>
  </si>
  <si>
    <t>C0309</t>
  </si>
  <si>
    <t>C0310</t>
  </si>
  <si>
    <t>C0311</t>
  </si>
  <si>
    <t>C0312</t>
  </si>
  <si>
    <t>C0313</t>
  </si>
  <si>
    <t>C0314</t>
  </si>
  <si>
    <t>C0315</t>
  </si>
  <si>
    <t>C0316</t>
  </si>
  <si>
    <t>C0317</t>
  </si>
  <si>
    <t>C0318</t>
  </si>
  <si>
    <t>C0319</t>
  </si>
  <si>
    <t>C0320</t>
  </si>
  <si>
    <t>C0321</t>
  </si>
  <si>
    <t>C0322</t>
  </si>
  <si>
    <t>C0323</t>
  </si>
  <si>
    <t>C0324</t>
  </si>
  <si>
    <t>C0325</t>
  </si>
  <si>
    <t>C0326</t>
  </si>
  <si>
    <t>C0327</t>
  </si>
  <si>
    <t>C0328</t>
  </si>
  <si>
    <t>C0329</t>
  </si>
  <si>
    <t>C0330</t>
  </si>
  <si>
    <t>C0331</t>
  </si>
  <si>
    <t>C0332</t>
  </si>
  <si>
    <t>C0333</t>
  </si>
  <si>
    <t>C0334</t>
  </si>
  <si>
    <t>C0335</t>
  </si>
  <si>
    <t>C0336</t>
  </si>
  <si>
    <t>C0337</t>
  </si>
  <si>
    <t>C0338</t>
  </si>
  <si>
    <t>C0339</t>
  </si>
  <si>
    <t>C0340</t>
  </si>
  <si>
    <t>C0341</t>
  </si>
  <si>
    <t>C0342</t>
  </si>
  <si>
    <t>C0343</t>
  </si>
  <si>
    <t>C0344</t>
  </si>
  <si>
    <t>C0345</t>
  </si>
  <si>
    <t>C0346</t>
  </si>
  <si>
    <t>C0347</t>
  </si>
  <si>
    <t>C0348</t>
  </si>
  <si>
    <t>C0349</t>
  </si>
  <si>
    <t>C0350</t>
  </si>
  <si>
    <t>C0351</t>
  </si>
  <si>
    <t>C0352</t>
  </si>
  <si>
    <t>C0353</t>
  </si>
  <si>
    <t>C0354</t>
  </si>
  <si>
    <t>C0355</t>
  </si>
  <si>
    <t>C0356</t>
  </si>
  <si>
    <t>C0357</t>
  </si>
  <si>
    <t>C0358</t>
  </si>
  <si>
    <t>C0359</t>
  </si>
  <si>
    <t>C0360</t>
  </si>
  <si>
    <t>C0361</t>
  </si>
  <si>
    <t>C0362</t>
  </si>
  <si>
    <t>C0363</t>
  </si>
  <si>
    <t>C0364</t>
  </si>
  <si>
    <t>C0365</t>
  </si>
  <si>
    <t>C0366</t>
  </si>
  <si>
    <t>C0367</t>
  </si>
  <si>
    <t>C0368</t>
  </si>
  <si>
    <t>C0369</t>
  </si>
  <si>
    <t>C0370</t>
  </si>
  <si>
    <t>C0371</t>
  </si>
  <si>
    <t>C0372</t>
  </si>
  <si>
    <t>C0373</t>
  </si>
  <si>
    <t>C0374</t>
  </si>
  <si>
    <t>C0375</t>
  </si>
  <si>
    <t>C0376</t>
  </si>
  <si>
    <t>C0377</t>
  </si>
  <si>
    <t>C0378</t>
  </si>
  <si>
    <t>C0379</t>
  </si>
  <si>
    <t>C0380</t>
  </si>
  <si>
    <t>C0381</t>
  </si>
  <si>
    <t>C0382</t>
  </si>
  <si>
    <t>C0383</t>
  </si>
  <si>
    <t>C0384</t>
  </si>
  <si>
    <t>C0385</t>
  </si>
  <si>
    <t>C0386</t>
  </si>
  <si>
    <t>C0387</t>
  </si>
  <si>
    <t>C0388</t>
  </si>
  <si>
    <t>C0389</t>
  </si>
  <si>
    <t>C0390</t>
  </si>
  <si>
    <t>C0391</t>
  </si>
  <si>
    <t>C0392</t>
  </si>
  <si>
    <t>C0393</t>
  </si>
  <si>
    <t>C0394</t>
  </si>
  <si>
    <t>C0395</t>
  </si>
  <si>
    <t>C0396</t>
  </si>
  <si>
    <t>C0397</t>
  </si>
  <si>
    <t>C0398</t>
  </si>
  <si>
    <t>C0399</t>
  </si>
  <si>
    <t>C0400</t>
  </si>
  <si>
    <t>C0401</t>
  </si>
  <si>
    <t>C0402</t>
  </si>
  <si>
    <t>C0403</t>
  </si>
  <si>
    <t>C0404</t>
  </si>
  <si>
    <t>C0405</t>
  </si>
  <si>
    <t>C0406</t>
  </si>
  <si>
    <t>C0407</t>
  </si>
  <si>
    <t>C0408</t>
  </si>
  <si>
    <t>C0409</t>
  </si>
  <si>
    <t>C0410</t>
  </si>
  <si>
    <t>C0411</t>
  </si>
  <si>
    <t>C0412</t>
  </si>
  <si>
    <t>C0413</t>
  </si>
  <si>
    <t>C0414</t>
  </si>
  <si>
    <t>C0415</t>
  </si>
  <si>
    <t>C0416</t>
  </si>
  <si>
    <t>C0417</t>
  </si>
  <si>
    <t>C0418</t>
  </si>
  <si>
    <t>C0419</t>
  </si>
  <si>
    <t>C0420</t>
  </si>
  <si>
    <t>C0421</t>
  </si>
  <si>
    <t>C0422</t>
  </si>
  <si>
    <t>C0423</t>
  </si>
  <si>
    <t>C0424</t>
  </si>
  <si>
    <t>C0425</t>
  </si>
  <si>
    <t>C0426</t>
  </si>
  <si>
    <t>C0427</t>
  </si>
  <si>
    <t>C0428</t>
  </si>
  <si>
    <t>C0429</t>
  </si>
  <si>
    <t>C0430</t>
  </si>
  <si>
    <t>C0431</t>
  </si>
  <si>
    <t>C0432</t>
  </si>
  <si>
    <t>C0433</t>
  </si>
  <si>
    <t>C0434</t>
  </si>
  <si>
    <t>C0435</t>
  </si>
  <si>
    <t>C0436</t>
  </si>
  <si>
    <t>C0437</t>
  </si>
  <si>
    <t>C0438</t>
  </si>
  <si>
    <t>C0439</t>
  </si>
  <si>
    <t>C0440</t>
  </si>
  <si>
    <t>C0441</t>
  </si>
  <si>
    <t>C0442</t>
  </si>
  <si>
    <t>C0443</t>
  </si>
  <si>
    <t>C0444</t>
  </si>
  <si>
    <t>C0445</t>
  </si>
  <si>
    <t>C0446</t>
  </si>
  <si>
    <t>C0447</t>
  </si>
  <si>
    <t>C0448</t>
  </si>
  <si>
    <t>C0449</t>
  </si>
  <si>
    <t>C0450</t>
  </si>
  <si>
    <t>C0451</t>
  </si>
  <si>
    <t>C0452</t>
  </si>
  <si>
    <t>C0453</t>
  </si>
  <si>
    <t>C0454</t>
  </si>
  <si>
    <t>C0455</t>
  </si>
  <si>
    <t>C0456</t>
  </si>
  <si>
    <t>C0457</t>
  </si>
  <si>
    <t>C0458</t>
  </si>
  <si>
    <t>C0459</t>
  </si>
  <si>
    <t>C0460</t>
  </si>
  <si>
    <t>C0461</t>
  </si>
  <si>
    <t>C0462</t>
  </si>
  <si>
    <t>C0463</t>
  </si>
  <si>
    <t>C0464</t>
  </si>
  <si>
    <t>C0465</t>
  </si>
  <si>
    <t>C0466</t>
  </si>
  <si>
    <t>C0467</t>
  </si>
  <si>
    <t>C0468</t>
  </si>
  <si>
    <t>C0469</t>
  </si>
  <si>
    <t>C0470</t>
  </si>
  <si>
    <t>C0471</t>
  </si>
  <si>
    <t>C0472</t>
  </si>
  <si>
    <t>C0473</t>
  </si>
  <si>
    <t>C0474</t>
  </si>
  <si>
    <t>C0475</t>
  </si>
  <si>
    <t>C0476</t>
  </si>
  <si>
    <t>C0477</t>
  </si>
  <si>
    <t>C0478</t>
  </si>
  <si>
    <t>C0479</t>
  </si>
  <si>
    <t>C0480</t>
  </si>
  <si>
    <t>C0481</t>
  </si>
  <si>
    <t>C0482</t>
  </si>
  <si>
    <t>C0483</t>
  </si>
  <si>
    <t>C0484</t>
  </si>
  <si>
    <t>C0485</t>
  </si>
  <si>
    <t>C0486</t>
  </si>
  <si>
    <t>C0487</t>
  </si>
  <si>
    <t>C0488</t>
  </si>
  <si>
    <t>C0489</t>
  </si>
  <si>
    <t>C0490</t>
  </si>
  <si>
    <t>C0491</t>
  </si>
  <si>
    <t>C0492</t>
  </si>
  <si>
    <t>C0493</t>
  </si>
  <si>
    <t>C0494</t>
  </si>
  <si>
    <t>C0495</t>
  </si>
  <si>
    <t>C0496</t>
  </si>
  <si>
    <t>C0497</t>
  </si>
  <si>
    <t>C0498</t>
  </si>
  <si>
    <t>C0499</t>
  </si>
  <si>
    <t>C0500</t>
  </si>
  <si>
    <t>C0501</t>
  </si>
  <si>
    <t>C0502</t>
  </si>
  <si>
    <t>C0503</t>
  </si>
  <si>
    <t>C0504</t>
  </si>
  <si>
    <t>C0505</t>
  </si>
  <si>
    <t>C0506</t>
  </si>
  <si>
    <t>C0507</t>
  </si>
  <si>
    <t>C0508</t>
  </si>
  <si>
    <t>C0509</t>
  </si>
  <si>
    <t>C0510</t>
  </si>
  <si>
    <t>C0511</t>
  </si>
  <si>
    <t>C0512</t>
  </si>
  <si>
    <t>C0513</t>
  </si>
  <si>
    <t>C0514</t>
  </si>
  <si>
    <t>C0515</t>
  </si>
  <si>
    <t>C0516</t>
  </si>
  <si>
    <t>C0517</t>
  </si>
  <si>
    <t>C0518</t>
  </si>
  <si>
    <t>C0519</t>
  </si>
  <si>
    <t>C0520</t>
  </si>
  <si>
    <t>C0521</t>
  </si>
  <si>
    <t>C0522</t>
  </si>
  <si>
    <t>C0523</t>
  </si>
  <si>
    <t>C0524</t>
  </si>
  <si>
    <t>C0525</t>
  </si>
  <si>
    <t>C0526</t>
  </si>
  <si>
    <t>C0527</t>
  </si>
  <si>
    <t>C0528</t>
  </si>
  <si>
    <t>C0529</t>
  </si>
  <si>
    <t>C0530</t>
  </si>
  <si>
    <t>C0531</t>
  </si>
  <si>
    <t>C0532</t>
  </si>
  <si>
    <t>C0533</t>
  </si>
  <si>
    <t>C0534</t>
  </si>
  <si>
    <t>C0535</t>
  </si>
  <si>
    <t>C0536</t>
  </si>
  <si>
    <t>C0537</t>
  </si>
  <si>
    <t>C0538</t>
  </si>
  <si>
    <t>C0539</t>
  </si>
  <si>
    <t>C0540</t>
  </si>
  <si>
    <t>C0541</t>
  </si>
  <si>
    <t>C0542</t>
  </si>
  <si>
    <t>C0543</t>
  </si>
  <si>
    <t>C0544</t>
  </si>
  <si>
    <t>C0545</t>
  </si>
  <si>
    <t>C0546</t>
  </si>
  <si>
    <t>C0547</t>
  </si>
  <si>
    <t>C0548</t>
  </si>
  <si>
    <t>C0549</t>
  </si>
  <si>
    <t>C0550</t>
  </si>
  <si>
    <t>C0551</t>
  </si>
  <si>
    <t>C0552</t>
  </si>
  <si>
    <t>C0553</t>
  </si>
  <si>
    <t>C0554</t>
  </si>
  <si>
    <t>C0555</t>
  </si>
  <si>
    <t>C0556</t>
  </si>
  <si>
    <t>C0557</t>
  </si>
  <si>
    <t>C0558</t>
  </si>
  <si>
    <t>C0559</t>
  </si>
  <si>
    <t>C0560</t>
  </si>
  <si>
    <t>C0561</t>
  </si>
  <si>
    <t>C0562</t>
  </si>
  <si>
    <t>C0563</t>
  </si>
  <si>
    <t>C0564</t>
  </si>
  <si>
    <t>C0565</t>
  </si>
  <si>
    <t>C0566</t>
  </si>
  <si>
    <t>C0567</t>
  </si>
  <si>
    <t>C0568</t>
  </si>
  <si>
    <t>C0569</t>
  </si>
  <si>
    <t>C0570</t>
  </si>
  <si>
    <t>C0571</t>
  </si>
  <si>
    <t>C0572</t>
  </si>
  <si>
    <t>C0573</t>
  </si>
  <si>
    <t>C0574</t>
  </si>
  <si>
    <t>C0575</t>
  </si>
  <si>
    <t>C0576</t>
  </si>
  <si>
    <t>C0577</t>
  </si>
  <si>
    <t>C0578</t>
  </si>
  <si>
    <t>C0579</t>
  </si>
  <si>
    <t>C0580</t>
  </si>
  <si>
    <t>C0581</t>
  </si>
  <si>
    <t>C0582</t>
  </si>
  <si>
    <t>C0583</t>
  </si>
  <si>
    <t>C0584</t>
  </si>
  <si>
    <t>C0585</t>
  </si>
  <si>
    <t>C0586</t>
  </si>
  <si>
    <t>C0587</t>
  </si>
  <si>
    <t>C0588</t>
  </si>
  <si>
    <t>C0589</t>
  </si>
  <si>
    <t>C0590</t>
  </si>
  <si>
    <t>C0591</t>
  </si>
  <si>
    <t>C0592</t>
  </si>
  <si>
    <t>C0593</t>
  </si>
  <si>
    <t>C0594</t>
  </si>
  <si>
    <t>C0595</t>
  </si>
  <si>
    <t>C0596</t>
  </si>
  <si>
    <t>C0597</t>
  </si>
  <si>
    <t>C0598</t>
  </si>
  <si>
    <t>C0599</t>
  </si>
  <si>
    <t>C0600</t>
  </si>
  <si>
    <t>C0601</t>
  </si>
  <si>
    <t>C0602</t>
  </si>
  <si>
    <t>C0603</t>
  </si>
  <si>
    <t>C0604</t>
  </si>
  <si>
    <t>C0605</t>
  </si>
  <si>
    <t>C0606</t>
  </si>
  <si>
    <t>C0607</t>
  </si>
  <si>
    <t>C0608</t>
  </si>
  <si>
    <t>C0609</t>
  </si>
  <si>
    <t>C0610</t>
  </si>
  <si>
    <t>C0611</t>
  </si>
  <si>
    <t>C0612</t>
  </si>
  <si>
    <t>C0613</t>
  </si>
  <si>
    <t>C0614</t>
  </si>
  <si>
    <t>C0615</t>
  </si>
  <si>
    <t>C0616</t>
  </si>
  <si>
    <t>C0617</t>
  </si>
  <si>
    <t>C0618</t>
  </si>
  <si>
    <t>C0619</t>
  </si>
  <si>
    <t>C0620</t>
  </si>
  <si>
    <t>C0621</t>
  </si>
  <si>
    <t>C0622</t>
  </si>
  <si>
    <t>C0623</t>
  </si>
  <si>
    <t>C0624</t>
  </si>
  <si>
    <t>C0625</t>
  </si>
  <si>
    <t>C0626</t>
  </si>
  <si>
    <t>C0627</t>
  </si>
  <si>
    <t>C0628</t>
  </si>
  <si>
    <t>C0629</t>
  </si>
  <si>
    <t>C0630</t>
  </si>
  <si>
    <t>C0631</t>
  </si>
  <si>
    <t>C0632</t>
  </si>
  <si>
    <t>C0633</t>
  </si>
  <si>
    <t>C0634</t>
  </si>
  <si>
    <t>C0635</t>
  </si>
  <si>
    <t>C0636</t>
  </si>
  <si>
    <t>C0637</t>
  </si>
  <si>
    <t>C0638</t>
  </si>
  <si>
    <t>C0639</t>
  </si>
  <si>
    <t>C0640</t>
  </si>
  <si>
    <t>C0641</t>
  </si>
  <si>
    <t>C0642</t>
  </si>
  <si>
    <t>C0643</t>
  </si>
  <si>
    <t>C0644</t>
  </si>
  <si>
    <t>C0645</t>
  </si>
  <si>
    <t>C0646</t>
  </si>
  <si>
    <t>C0647</t>
  </si>
  <si>
    <t>C0648</t>
  </si>
  <si>
    <t>C0649</t>
  </si>
  <si>
    <t>C0650</t>
  </si>
  <si>
    <t>C0651</t>
  </si>
  <si>
    <t>C0652</t>
  </si>
  <si>
    <t>C0653</t>
  </si>
  <si>
    <t>C0654</t>
  </si>
  <si>
    <t>C0655</t>
  </si>
  <si>
    <t>C0656</t>
  </si>
  <si>
    <t>C0657</t>
  </si>
  <si>
    <t>C0658</t>
  </si>
  <si>
    <t>C0659</t>
  </si>
  <si>
    <t>C0660</t>
  </si>
  <si>
    <t>C0661</t>
  </si>
  <si>
    <t>C0662</t>
  </si>
  <si>
    <t>C0663</t>
  </si>
  <si>
    <t>C0664</t>
  </si>
  <si>
    <t>C0665</t>
  </si>
  <si>
    <t>C0666</t>
  </si>
  <si>
    <t>C0667</t>
  </si>
  <si>
    <t>C0668</t>
  </si>
  <si>
    <t>C0669</t>
  </si>
  <si>
    <t>C0670</t>
  </si>
  <si>
    <t>C0671</t>
  </si>
  <si>
    <t>C0672</t>
  </si>
  <si>
    <t>C0673</t>
  </si>
  <si>
    <t>C0674</t>
  </si>
  <si>
    <t>C0675</t>
  </si>
  <si>
    <t>C0676</t>
  </si>
  <si>
    <t>C0677</t>
  </si>
  <si>
    <t>C0678</t>
  </si>
  <si>
    <t>C0679</t>
  </si>
  <si>
    <t>C0680</t>
  </si>
  <si>
    <t>C0681</t>
  </si>
  <si>
    <t>C0682</t>
  </si>
  <si>
    <t>C0683</t>
  </si>
  <si>
    <t>C0684</t>
  </si>
  <si>
    <t>C0685</t>
  </si>
  <si>
    <t>C0686</t>
  </si>
  <si>
    <t>C0687</t>
  </si>
  <si>
    <t>C0688</t>
  </si>
  <si>
    <t>C0689</t>
  </si>
  <si>
    <t>C0690</t>
  </si>
  <si>
    <t>C0691</t>
  </si>
  <si>
    <t>C0692</t>
  </si>
  <si>
    <t>C0693</t>
  </si>
  <si>
    <t>C0694</t>
  </si>
  <si>
    <t>C0695</t>
  </si>
  <si>
    <t>C0696</t>
  </si>
  <si>
    <t>C0697</t>
  </si>
  <si>
    <t>C0698</t>
  </si>
  <si>
    <t>C0699</t>
  </si>
  <si>
    <t>C0700</t>
  </si>
  <si>
    <t>C0701</t>
  </si>
  <si>
    <t>C0702</t>
  </si>
  <si>
    <t>C0703</t>
  </si>
  <si>
    <t>C0704</t>
  </si>
  <si>
    <t>C0705</t>
  </si>
  <si>
    <t>C0706</t>
  </si>
  <si>
    <t>C0707</t>
  </si>
  <si>
    <t>C0708</t>
  </si>
  <si>
    <t>C0709</t>
  </si>
  <si>
    <t>C0710</t>
  </si>
  <si>
    <t>C0711</t>
  </si>
  <si>
    <t>C0712</t>
  </si>
  <si>
    <t>C0713</t>
  </si>
  <si>
    <t>C0714</t>
  </si>
  <si>
    <t>C0715</t>
  </si>
  <si>
    <t>C0716</t>
  </si>
  <si>
    <t>C0717</t>
  </si>
  <si>
    <t>C0718</t>
  </si>
  <si>
    <t>C0719</t>
  </si>
  <si>
    <t>C0720</t>
  </si>
  <si>
    <t>C0721</t>
  </si>
  <si>
    <t>C0722</t>
  </si>
  <si>
    <t>C0723</t>
  </si>
  <si>
    <t>C0724</t>
  </si>
  <si>
    <t>C0725</t>
  </si>
  <si>
    <t>C0726</t>
  </si>
  <si>
    <t>C0727</t>
  </si>
  <si>
    <t>C0728</t>
  </si>
  <si>
    <t>C0729</t>
  </si>
  <si>
    <t>C0730</t>
  </si>
  <si>
    <t>C0731</t>
  </si>
  <si>
    <t>C0732</t>
  </si>
  <si>
    <t>C0733</t>
  </si>
  <si>
    <t>C0734</t>
  </si>
  <si>
    <t>CustomerID</t>
  </si>
  <si>
    <t>CompanySize</t>
  </si>
  <si>
    <t>FirstPurchaseDate</t>
  </si>
  <si>
    <t>LastRenewalDate</t>
  </si>
  <si>
    <t>TotalProjects</t>
  </si>
  <si>
    <t>TotalVendors</t>
  </si>
  <si>
    <t>TotalSpend</t>
  </si>
  <si>
    <t>ServicesProvided</t>
  </si>
  <si>
    <t>DeliveryEffortDays</t>
  </si>
  <si>
    <t>SupportContractHours</t>
  </si>
  <si>
    <t>SupportHoursUsed</t>
  </si>
  <si>
    <t>CustomerSatisfactionScore</t>
  </si>
  <si>
    <t>IsUpsellOpportunity</t>
  </si>
  <si>
    <t>ChurnRisk</t>
  </si>
  <si>
    <t>ContractRenewed</t>
  </si>
  <si>
    <t>CUST0001</t>
  </si>
  <si>
    <t>Yes</t>
  </si>
  <si>
    <t>No</t>
  </si>
  <si>
    <t>Low</t>
  </si>
  <si>
    <t>CUST0002</t>
  </si>
  <si>
    <t>CUST0003</t>
  </si>
  <si>
    <t>CUST0004</t>
  </si>
  <si>
    <t>CUST0005</t>
  </si>
  <si>
    <t>CUST0006</t>
  </si>
  <si>
    <t>CUST0007</t>
  </si>
  <si>
    <t>CUST0008</t>
  </si>
  <si>
    <t>CUST0009</t>
  </si>
  <si>
    <t>CUST0010</t>
  </si>
  <si>
    <t>CUST0011</t>
  </si>
  <si>
    <t>CUST0012</t>
  </si>
  <si>
    <t>CUST0013</t>
  </si>
  <si>
    <t>CUST0014</t>
  </si>
  <si>
    <t>CUST0015</t>
  </si>
  <si>
    <t>CUST0016</t>
  </si>
  <si>
    <t>Public Sector</t>
  </si>
  <si>
    <t>CUST0017</t>
  </si>
  <si>
    <t>High</t>
  </si>
  <si>
    <t>CUST0018</t>
  </si>
  <si>
    <t>CUST0019</t>
  </si>
  <si>
    <t>CUST0020</t>
  </si>
  <si>
    <t>CUST0021</t>
  </si>
  <si>
    <t>CUST0022</t>
  </si>
  <si>
    <t>CUST0023</t>
  </si>
  <si>
    <t>CUST0024</t>
  </si>
  <si>
    <t>CUST0025</t>
  </si>
  <si>
    <t>CUST0026</t>
  </si>
  <si>
    <t>CUST0027</t>
  </si>
  <si>
    <t>CUST0028</t>
  </si>
  <si>
    <t>CUST0029</t>
  </si>
  <si>
    <t>CUST0030</t>
  </si>
  <si>
    <t>CUST0031</t>
  </si>
  <si>
    <t>CUST0032</t>
  </si>
  <si>
    <t>CUST0033</t>
  </si>
  <si>
    <t>CUST0034</t>
  </si>
  <si>
    <t>CUST0035</t>
  </si>
  <si>
    <t>CUST0036</t>
  </si>
  <si>
    <t>CUST0037</t>
  </si>
  <si>
    <t>CUST0038</t>
  </si>
  <si>
    <t>CUST0039</t>
  </si>
  <si>
    <t>CUST0040</t>
  </si>
  <si>
    <t>CUST0041</t>
  </si>
  <si>
    <t>CUST0042</t>
  </si>
  <si>
    <t>CUST0043</t>
  </si>
  <si>
    <t>CUST0044</t>
  </si>
  <si>
    <t>CUST0045</t>
  </si>
  <si>
    <t>CUST0046</t>
  </si>
  <si>
    <t>CUST0047</t>
  </si>
  <si>
    <t>CUST0048</t>
  </si>
  <si>
    <t>CUST0049</t>
  </si>
  <si>
    <t>CUST0050</t>
  </si>
  <si>
    <t>CUST0051</t>
  </si>
  <si>
    <t>CUST0052</t>
  </si>
  <si>
    <t>CUST0053</t>
  </si>
  <si>
    <t>CUST0054</t>
  </si>
  <si>
    <t>CUST0055</t>
  </si>
  <si>
    <t>CUST0056</t>
  </si>
  <si>
    <t>CUST0057</t>
  </si>
  <si>
    <t>CUST0058</t>
  </si>
  <si>
    <t>CUST0059</t>
  </si>
  <si>
    <t>CUST0060</t>
  </si>
  <si>
    <t>CUST0061</t>
  </si>
  <si>
    <t>CUST0062</t>
  </si>
  <si>
    <t>CUST0063</t>
  </si>
  <si>
    <t>CUST0064</t>
  </si>
  <si>
    <t>CUST0065</t>
  </si>
  <si>
    <t>CUST0066</t>
  </si>
  <si>
    <t>CUST0067</t>
  </si>
  <si>
    <t>CUST0068</t>
  </si>
  <si>
    <t>CUST0069</t>
  </si>
  <si>
    <t>CUST0070</t>
  </si>
  <si>
    <t>CUST0071</t>
  </si>
  <si>
    <t>CUST0072</t>
  </si>
  <si>
    <t>CUST0073</t>
  </si>
  <si>
    <t>CUST0074</t>
  </si>
  <si>
    <t>CUST0075</t>
  </si>
  <si>
    <t>CUST0076</t>
  </si>
  <si>
    <t>CUST0077</t>
  </si>
  <si>
    <t>CUST0078</t>
  </si>
  <si>
    <t>CUST0079</t>
  </si>
  <si>
    <t>CUST0080</t>
  </si>
  <si>
    <t>CUST0081</t>
  </si>
  <si>
    <t>CUST0082</t>
  </si>
  <si>
    <t>CUST0083</t>
  </si>
  <si>
    <t>CUST0084</t>
  </si>
  <si>
    <t>CUST0085</t>
  </si>
  <si>
    <t>CUST0086</t>
  </si>
  <si>
    <t>CUST0087</t>
  </si>
  <si>
    <t>CUST0088</t>
  </si>
  <si>
    <t>CUST0089</t>
  </si>
  <si>
    <t>CUST0090</t>
  </si>
  <si>
    <t>CUST0091</t>
  </si>
  <si>
    <t>CUST0092</t>
  </si>
  <si>
    <t>CUST0093</t>
  </si>
  <si>
    <t>CUST0094</t>
  </si>
  <si>
    <t>CUST0095</t>
  </si>
  <si>
    <t>CUST0096</t>
  </si>
  <si>
    <t>CUST0097</t>
  </si>
  <si>
    <t>CUST0098</t>
  </si>
  <si>
    <t>CUST0099</t>
  </si>
  <si>
    <t>CUST0100</t>
  </si>
  <si>
    <t>CUST0101</t>
  </si>
  <si>
    <t>CUST0102</t>
  </si>
  <si>
    <t>CUST0103</t>
  </si>
  <si>
    <t>CUST0104</t>
  </si>
  <si>
    <t>CUST0105</t>
  </si>
  <si>
    <t>CUST0106</t>
  </si>
  <si>
    <t>CUST0107</t>
  </si>
  <si>
    <t>CUST0108</t>
  </si>
  <si>
    <t>CUST0109</t>
  </si>
  <si>
    <t>CUST0110</t>
  </si>
  <si>
    <t>CUST0111</t>
  </si>
  <si>
    <t>CUST0112</t>
  </si>
  <si>
    <t>CUST0113</t>
  </si>
  <si>
    <t>CUST0114</t>
  </si>
  <si>
    <t>CUST0115</t>
  </si>
  <si>
    <t>CUST0116</t>
  </si>
  <si>
    <t>CUST0117</t>
  </si>
  <si>
    <t>CUST0118</t>
  </si>
  <si>
    <t>CUST0119</t>
  </si>
  <si>
    <t>CUST0120</t>
  </si>
  <si>
    <t>CUST0121</t>
  </si>
  <si>
    <t>CUST0122</t>
  </si>
  <si>
    <t>CUST0123</t>
  </si>
  <si>
    <t>CUST0124</t>
  </si>
  <si>
    <t>CUST0125</t>
  </si>
  <si>
    <t>CUST0126</t>
  </si>
  <si>
    <t>CUST0127</t>
  </si>
  <si>
    <t>CUST0128</t>
  </si>
  <si>
    <t>CUST0129</t>
  </si>
  <si>
    <t>CUST0130</t>
  </si>
  <si>
    <t>CUST0131</t>
  </si>
  <si>
    <t>CUST0132</t>
  </si>
  <si>
    <t>CUST0133</t>
  </si>
  <si>
    <t>CUST0134</t>
  </si>
  <si>
    <t>CUST0135</t>
  </si>
  <si>
    <t>CUST0136</t>
  </si>
  <si>
    <t>CUST0137</t>
  </si>
  <si>
    <t>CUST0138</t>
  </si>
  <si>
    <t>CUST0139</t>
  </si>
  <si>
    <t>CUST0140</t>
  </si>
  <si>
    <t>CUST0141</t>
  </si>
  <si>
    <t>CUST0142</t>
  </si>
  <si>
    <t>CUST0143</t>
  </si>
  <si>
    <t>CUST0144</t>
  </si>
  <si>
    <t>CUST0145</t>
  </si>
  <si>
    <t>CUST0146</t>
  </si>
  <si>
    <t>CUST0147</t>
  </si>
  <si>
    <t>CUST0148</t>
  </si>
  <si>
    <t>CUST0149</t>
  </si>
  <si>
    <t>CUST0150</t>
  </si>
  <si>
    <t>CUST0151</t>
  </si>
  <si>
    <t>CUST0152</t>
  </si>
  <si>
    <t>CUST0153</t>
  </si>
  <si>
    <t>CUST0154</t>
  </si>
  <si>
    <t>CUST0155</t>
  </si>
  <si>
    <t>CUST0156</t>
  </si>
  <si>
    <t>CUST0157</t>
  </si>
  <si>
    <t>CUST0158</t>
  </si>
  <si>
    <t>CUST0159</t>
  </si>
  <si>
    <t>CUST0160</t>
  </si>
  <si>
    <t>CUST0161</t>
  </si>
  <si>
    <t>CUST0162</t>
  </si>
  <si>
    <t>CUST0163</t>
  </si>
  <si>
    <t>CUST0164</t>
  </si>
  <si>
    <t>CUST0165</t>
  </si>
  <si>
    <t>CUST0166</t>
  </si>
  <si>
    <t>CUST0167</t>
  </si>
  <si>
    <t>CUST0168</t>
  </si>
  <si>
    <t>CUST0169</t>
  </si>
  <si>
    <t>CUST0170</t>
  </si>
  <si>
    <t>CUST0171</t>
  </si>
  <si>
    <t>CUST0172</t>
  </si>
  <si>
    <t>CUST0173</t>
  </si>
  <si>
    <t>CUST0174</t>
  </si>
  <si>
    <t>CUST0175</t>
  </si>
  <si>
    <t>CUST0176</t>
  </si>
  <si>
    <t>CUST0177</t>
  </si>
  <si>
    <t>CUST0178</t>
  </si>
  <si>
    <t>CUST0179</t>
  </si>
  <si>
    <t>CUST0180</t>
  </si>
  <si>
    <t>CUST0181</t>
  </si>
  <si>
    <t>CUST0182</t>
  </si>
  <si>
    <t>CUST0183</t>
  </si>
  <si>
    <t>CUST0184</t>
  </si>
  <si>
    <t>CUST0185</t>
  </si>
  <si>
    <t>CUST0186</t>
  </si>
  <si>
    <t>CUST0187</t>
  </si>
  <si>
    <t>CUST0188</t>
  </si>
  <si>
    <t>CUST0189</t>
  </si>
  <si>
    <t>CUST0190</t>
  </si>
  <si>
    <t>CUST0191</t>
  </si>
  <si>
    <t>CUST0192</t>
  </si>
  <si>
    <t>CUST0193</t>
  </si>
  <si>
    <t>CUST0194</t>
  </si>
  <si>
    <t>CUST0195</t>
  </si>
  <si>
    <t>CUST0196</t>
  </si>
  <si>
    <t>CUST0197</t>
  </si>
  <si>
    <t>CUST0198</t>
  </si>
  <si>
    <t>CUST0199</t>
  </si>
  <si>
    <t>CUST0200</t>
  </si>
  <si>
    <t>CUST0201</t>
  </si>
  <si>
    <t>CUST0202</t>
  </si>
  <si>
    <t>CUST0203</t>
  </si>
  <si>
    <t>CUST0204</t>
  </si>
  <si>
    <t>CUST0205</t>
  </si>
  <si>
    <t>CUST0206</t>
  </si>
  <si>
    <t>CUST0207</t>
  </si>
  <si>
    <t>CUST0208</t>
  </si>
  <si>
    <t>CUST0209</t>
  </si>
  <si>
    <t>CUST0210</t>
  </si>
  <si>
    <t>CUST0211</t>
  </si>
  <si>
    <t>CUST0212</t>
  </si>
  <si>
    <t>CUST0213</t>
  </si>
  <si>
    <t>CUST0214</t>
  </si>
  <si>
    <t>CUST0215</t>
  </si>
  <si>
    <t>CUST0216</t>
  </si>
  <si>
    <t>CUST0217</t>
  </si>
  <si>
    <t>CUST0218</t>
  </si>
  <si>
    <t>CUST0219</t>
  </si>
  <si>
    <t>CUST0220</t>
  </si>
  <si>
    <t>CUST0221</t>
  </si>
  <si>
    <t>CUST0222</t>
  </si>
  <si>
    <t>CUST0223</t>
  </si>
  <si>
    <t>CUST0224</t>
  </si>
  <si>
    <t>CUST0225</t>
  </si>
  <si>
    <t>CUST0226</t>
  </si>
  <si>
    <t>CUST0227</t>
  </si>
  <si>
    <t>CUST0228</t>
  </si>
  <si>
    <t>CUST0229</t>
  </si>
  <si>
    <t>CUST0230</t>
  </si>
  <si>
    <t>CUST0231</t>
  </si>
  <si>
    <t>CUST0232</t>
  </si>
  <si>
    <t>CUST0233</t>
  </si>
  <si>
    <t>CUST0234</t>
  </si>
  <si>
    <t>CUST0235</t>
  </si>
  <si>
    <t>CUST0236</t>
  </si>
  <si>
    <t>CUST0237</t>
  </si>
  <si>
    <t>CUST0238</t>
  </si>
  <si>
    <t>CUST0239</t>
  </si>
  <si>
    <t>CUST0240</t>
  </si>
  <si>
    <t>CUST0241</t>
  </si>
  <si>
    <t>CUST0242</t>
  </si>
  <si>
    <t>CUST0243</t>
  </si>
  <si>
    <t>CUST0244</t>
  </si>
  <si>
    <t>CUST0245</t>
  </si>
  <si>
    <t>CUST0246</t>
  </si>
  <si>
    <t>CUST0247</t>
  </si>
  <si>
    <t>CUST0248</t>
  </si>
  <si>
    <t>CUST0249</t>
  </si>
  <si>
    <t>CUST0250</t>
  </si>
  <si>
    <t>CUST0251</t>
  </si>
  <si>
    <t>CUST0252</t>
  </si>
  <si>
    <t>CUST0253</t>
  </si>
  <si>
    <t>CUST0254</t>
  </si>
  <si>
    <t>CUST0255</t>
  </si>
  <si>
    <t>CUST0256</t>
  </si>
  <si>
    <t>CUST0257</t>
  </si>
  <si>
    <t>CUST0258</t>
  </si>
  <si>
    <t>CUST0259</t>
  </si>
  <si>
    <t>CUST0260</t>
  </si>
  <si>
    <t>CUST0261</t>
  </si>
  <si>
    <t>CUST0262</t>
  </si>
  <si>
    <t>CUST0263</t>
  </si>
  <si>
    <t>CUST0264</t>
  </si>
  <si>
    <t>CUST0265</t>
  </si>
  <si>
    <t>CUST0266</t>
  </si>
  <si>
    <t>CUST0267</t>
  </si>
  <si>
    <t>CUST0268</t>
  </si>
  <si>
    <t>CUST0269</t>
  </si>
  <si>
    <t>CUST0270</t>
  </si>
  <si>
    <t>CUST0271</t>
  </si>
  <si>
    <t>CUST0272</t>
  </si>
  <si>
    <t>CUST0273</t>
  </si>
  <si>
    <t>CUST0274</t>
  </si>
  <si>
    <t>CUST0275</t>
  </si>
  <si>
    <t>CUST0276</t>
  </si>
  <si>
    <t>CUST0277</t>
  </si>
  <si>
    <t>CUST0278</t>
  </si>
  <si>
    <t>CUST0279</t>
  </si>
  <si>
    <t>CUST0280</t>
  </si>
  <si>
    <t>CUST0281</t>
  </si>
  <si>
    <t>CUST0282</t>
  </si>
  <si>
    <t>CUST0283</t>
  </si>
  <si>
    <t>CUST0284</t>
  </si>
  <si>
    <t>CUST0285</t>
  </si>
  <si>
    <t>CUST0286</t>
  </si>
  <si>
    <t>CUST0287</t>
  </si>
  <si>
    <t>CUST0288</t>
  </si>
  <si>
    <t>CUST0289</t>
  </si>
  <si>
    <t>CUST0290</t>
  </si>
  <si>
    <t>CUST0291</t>
  </si>
  <si>
    <t>CUST0292</t>
  </si>
  <si>
    <t>CUST0293</t>
  </si>
  <si>
    <t>CUST0294</t>
  </si>
  <si>
    <t>CUST0295</t>
  </si>
  <si>
    <t>CUST0296</t>
  </si>
  <si>
    <t>CUST0297</t>
  </si>
  <si>
    <t>CUST0298</t>
  </si>
  <si>
    <t>CUST0299</t>
  </si>
  <si>
    <t>CUST0300</t>
  </si>
  <si>
    <t>Sum of Leads_Generated</t>
  </si>
  <si>
    <t>Sum of TotalProjects</t>
  </si>
  <si>
    <t>Confidence Interval</t>
  </si>
  <si>
    <t>Variable</t>
  </si>
  <si>
    <t>Sample Size</t>
  </si>
  <si>
    <t>Sample Mean</t>
  </si>
  <si>
    <t>Sample Standard Deviation</t>
  </si>
  <si>
    <t>Confidence Level</t>
  </si>
  <si>
    <t>Alpha</t>
  </si>
  <si>
    <t>Error</t>
  </si>
  <si>
    <t>Lower end</t>
  </si>
  <si>
    <t>Upper End</t>
  </si>
  <si>
    <t>Question</t>
  </si>
  <si>
    <t xml:space="preserve">Is mean quantity &gt; 30 units? </t>
  </si>
  <si>
    <t xml:space="preserve"> Null Hypothesis (H₀)  </t>
  </si>
  <si>
    <t xml:space="preserve"> μ = 30 </t>
  </si>
  <si>
    <t xml:space="preserve"> Alternative Hypothesis (H₁)</t>
  </si>
  <si>
    <t xml:space="preserve"> μ &gt; 30</t>
  </si>
  <si>
    <t xml:space="preserve">Test Type           </t>
  </si>
  <si>
    <t>One-sided (upper-tail)</t>
  </si>
  <si>
    <t>Significance Level (α)</t>
  </si>
  <si>
    <t xml:space="preserve">Hypothesised Mean (μ₀)  </t>
  </si>
  <si>
    <t xml:space="preserve"> Sample Size (n)  </t>
  </si>
  <si>
    <t xml:space="preserve">Sample Mean (x̄)   </t>
  </si>
  <si>
    <t>Sample Std Dev (s)</t>
  </si>
  <si>
    <t>Z-statistic</t>
  </si>
  <si>
    <t>p-value</t>
  </si>
  <si>
    <t>Decision/Answer</t>
  </si>
  <si>
    <t>Variables</t>
  </si>
  <si>
    <t>Pquantity vs Price</t>
  </si>
  <si>
    <t>Correlation Coefficient (R)</t>
  </si>
  <si>
    <t>R-squared (r²)</t>
  </si>
  <si>
    <t>Interpretation</t>
  </si>
  <si>
    <t>SUMMARY OUTPUT</t>
  </si>
  <si>
    <t>Regression Statistics</t>
  </si>
  <si>
    <t>Multiple R</t>
  </si>
  <si>
    <t>R Square</t>
  </si>
  <si>
    <t>Adjusted R Square</t>
  </si>
  <si>
    <t>Observations</t>
  </si>
  <si>
    <t>ANOVA</t>
  </si>
  <si>
    <t>Regression</t>
  </si>
  <si>
    <t>Residual</t>
  </si>
  <si>
    <t>Total</t>
  </si>
  <si>
    <t>Intercept</t>
  </si>
  <si>
    <t>df</t>
  </si>
  <si>
    <t>SS</t>
  </si>
  <si>
    <t>MS</t>
  </si>
  <si>
    <t>F</t>
  </si>
  <si>
    <t>Significance F</t>
  </si>
  <si>
    <t>Coefficients</t>
  </si>
  <si>
    <t>t Stat</t>
  </si>
  <si>
    <t>P-value</t>
  </si>
  <si>
    <t>Lower 95%</t>
  </si>
  <si>
    <t>Upper 95%</t>
  </si>
  <si>
    <t>Lower 95.0%</t>
  </si>
  <si>
    <t>Upper 95.0%</t>
  </si>
  <si>
    <t>RESIDUAL OUTPUT</t>
  </si>
  <si>
    <t>Observation</t>
  </si>
  <si>
    <t>Predicted ProductQuantity</t>
  </si>
  <si>
    <t>Residuals</t>
  </si>
  <si>
    <t>Q1</t>
  </si>
  <si>
    <t>Q3</t>
  </si>
  <si>
    <t>IQR</t>
  </si>
  <si>
    <t>Quantiity</t>
  </si>
  <si>
    <t>Price</t>
  </si>
  <si>
    <t>N/A</t>
  </si>
  <si>
    <t>Inter Quartile Range (IQR)</t>
  </si>
  <si>
    <t>The lower and upper outlier thresholds as -28.50 and 55.5. Per the IQR rule, any data points in our data set that fall outside the range of -28.5 to 55.5 will be outliers</t>
  </si>
  <si>
    <t>The lower and upper outlier thresholds as 0.48 and 1.57. Per the IQR rule, any data points in our data set that fall outside the range of 0.48 to 1.57 will be outliers</t>
  </si>
  <si>
    <t>Outlier Pquantity?</t>
  </si>
  <si>
    <t>Outlier Price?</t>
  </si>
  <si>
    <t>Revised Quantity C</t>
  </si>
  <si>
    <t>s</t>
  </si>
  <si>
    <t>high product quantitiy &gt; 11.2</t>
  </si>
  <si>
    <t>low product quantitiy &lt;= 11.2</t>
  </si>
  <si>
    <t>High price &gt; 0.99</t>
  </si>
  <si>
    <t>low price &lt;= 0.99</t>
  </si>
  <si>
    <t>Bootstrapped Means</t>
  </si>
  <si>
    <t>Bootstrap_Sample Quantity C</t>
  </si>
  <si>
    <t>Bootstrap_Sample Price E</t>
  </si>
  <si>
    <t>Average Bootstrap Sample C</t>
  </si>
  <si>
    <t>Average Bootstrap Sample E</t>
  </si>
  <si>
    <t>Statistics</t>
  </si>
  <si>
    <t>SD</t>
  </si>
  <si>
    <t>Bootstrap Sample:</t>
  </si>
  <si>
    <t>Requency Distribution</t>
  </si>
  <si>
    <t>Norm_PricePerUnit</t>
  </si>
  <si>
    <t>Eigenvalue 1 - Large</t>
  </si>
  <si>
    <t>%Variance 1</t>
  </si>
  <si>
    <t>%Variance2</t>
  </si>
  <si>
    <t>Data Analysis &gt; Descriptive Statistics</t>
  </si>
  <si>
    <t>Bin</t>
  </si>
  <si>
    <t>More</t>
  </si>
  <si>
    <t>Frequency</t>
  </si>
  <si>
    <t>(blank)</t>
  </si>
  <si>
    <t>Confidence Interval 2</t>
  </si>
  <si>
    <t>Hypothesis Test 1</t>
  </si>
  <si>
    <t>Hypothesis Test 2</t>
  </si>
  <si>
    <t xml:space="preserve">Is mean 1 &gt; 1.5 ? </t>
  </si>
  <si>
    <t xml:space="preserve"> μ = 1.5</t>
  </si>
  <si>
    <t xml:space="preserve"> μ &gt; 1.5</t>
  </si>
  <si>
    <t xml:space="preserve">Is mean quantity &gt; 10 units? </t>
  </si>
  <si>
    <t xml:space="preserve"> μ = 10</t>
  </si>
  <si>
    <t xml:space="preserve"> μ &gt; 10</t>
  </si>
  <si>
    <t xml:space="preserve">Is mean &gt; 1 ? </t>
  </si>
  <si>
    <t xml:space="preserve"> μ = 1</t>
  </si>
  <si>
    <t xml:space="preserve"> μ &gt; 1</t>
  </si>
  <si>
    <t>Bootstrapped Means Leads</t>
  </si>
  <si>
    <t>Bootstrapped Means Tprojects</t>
  </si>
  <si>
    <t>Lower Q</t>
  </si>
  <si>
    <t>Upper Q</t>
  </si>
  <si>
    <t>Lower P</t>
  </si>
  <si>
    <t>Upper P</t>
  </si>
  <si>
    <t>Product Quantity</t>
  </si>
  <si>
    <t>R²</t>
  </si>
  <si>
    <t>(8.5% Variance)</t>
  </si>
  <si>
    <t>F-Statistic</t>
  </si>
  <si>
    <t>&gt;Significant</t>
  </si>
  <si>
    <t>&gt; Significant</t>
  </si>
  <si>
    <t>Slope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</si>
</sst>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Red]\-&quot;£&quot;#,##0"/>
    <numFmt numFmtId="8" formatCode="&quot;£&quot;#,##0.00;[Red]\-&quot;£&quot;#,##0.00"/>
    <numFmt numFmtId="43" formatCode="_-* #,##0.00_-;\-* #,##0.00_-;_-* &quot;-&quot;??_-;_-@_-"/>
    <numFmt numFmtId="164" formatCode="_-[$$-409]* #,##0.00_ ;_-[$$-409]* \-#,##0.00\ ;_-[$$-409]* &quot;-&quot;??_ ;_-@_ "/>
    <numFmt numFmtId="165" formatCode="#,##0.00_ ;\-#,##0.00\ "/>
  </numFmts>
  <fonts count="19"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i/>
      <sz val="11"/>
      <color theme="1"/>
      <name val="Aptos Narrow"/>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bgColor theme="8"/>
      </patternFill>
    </fill>
    <fill>
      <patternFill patternType="solid">
        <fgColor theme="8" tint="0.79998168889431442"/>
        <bgColor theme="8" tint="0.79998168889431442"/>
      </patternFill>
    </fill>
    <fill>
      <patternFill patternType="solid">
        <fgColor rgb="FFFFFF00"/>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8" tint="0.39997558519241921"/>
      </top>
      <bottom style="thin">
        <color theme="8" tint="0.39997558519241921"/>
      </bottom>
      <diagonal/>
    </border>
    <border>
      <left/>
      <right/>
      <top/>
      <bottom style="medium">
        <color indexed="64"/>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theme="8" tint="0.39997558519241921"/>
      </right>
      <top style="thin">
        <color theme="8" tint="0.39997558519241921"/>
      </top>
      <bottom style="thin">
        <color theme="8" tint="0.3999755851924192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40">
    <xf numFmtId="0" fontId="0" fillId="0" borderId="0" xfId="0"/>
    <xf numFmtId="22" fontId="0" fillId="0" borderId="0" xfId="0" applyNumberFormat="1"/>
    <xf numFmtId="8" fontId="0" fillId="0" borderId="0" xfId="0" applyNumberFormat="1"/>
    <xf numFmtId="15" fontId="0" fillId="0" borderId="0" xfId="0" applyNumberFormat="1"/>
    <xf numFmtId="6" fontId="0" fillId="0" borderId="0" xfId="0" applyNumberFormat="1"/>
    <xf numFmtId="0" fontId="0" fillId="0" borderId="0" xfId="0" applyAlignment="1">
      <alignment horizontal="right"/>
    </xf>
    <xf numFmtId="22" fontId="0" fillId="0" borderId="0" xfId="0" applyNumberFormat="1" applyAlignment="1">
      <alignment horizontal="right"/>
    </xf>
    <xf numFmtId="0" fontId="0" fillId="0" borderId="0" xfId="0" applyAlignment="1">
      <alignment horizontal="left"/>
    </xf>
    <xf numFmtId="164" fontId="0" fillId="0" borderId="0" xfId="0" applyNumberFormat="1" applyAlignment="1">
      <alignment horizontal="right"/>
    </xf>
    <xf numFmtId="164" fontId="0" fillId="0" borderId="0" xfId="0" applyNumberFormat="1"/>
    <xf numFmtId="14" fontId="0" fillId="0" borderId="0" xfId="0" applyNumberFormat="1" applyAlignment="1">
      <alignment horizontal="right"/>
    </xf>
    <xf numFmtId="0" fontId="0" fillId="35" borderId="0" xfId="0" applyFill="1" applyAlignment="1">
      <alignment horizontal="right"/>
    </xf>
    <xf numFmtId="164" fontId="0" fillId="35" borderId="0" xfId="0" applyNumberFormat="1" applyFill="1" applyAlignment="1">
      <alignment horizontal="right"/>
    </xf>
    <xf numFmtId="0" fontId="16" fillId="0" borderId="0" xfId="0" applyFont="1" applyAlignment="1">
      <alignment horizontal="right"/>
    </xf>
    <xf numFmtId="2" fontId="0" fillId="0" borderId="0" xfId="0" applyNumberFormat="1" applyAlignment="1">
      <alignment horizontal="right"/>
    </xf>
    <xf numFmtId="165" fontId="0" fillId="0" borderId="0" xfId="0" applyNumberFormat="1" applyAlignment="1">
      <alignment horizontal="right"/>
    </xf>
    <xf numFmtId="0" fontId="16" fillId="0" borderId="0" xfId="0" applyFont="1"/>
    <xf numFmtId="0" fontId="0" fillId="0" borderId="0" xfId="0" pivotButton="1"/>
    <xf numFmtId="14" fontId="0" fillId="0" borderId="0" xfId="0" applyNumberFormat="1"/>
    <xf numFmtId="0" fontId="0" fillId="0" borderId="13" xfId="0" applyBorder="1" applyAlignment="1">
      <alignment horizontal="right"/>
    </xf>
    <xf numFmtId="0" fontId="0" fillId="0" borderId="13" xfId="0" applyBorder="1"/>
    <xf numFmtId="164" fontId="0" fillId="0" borderId="13" xfId="0" applyNumberFormat="1" applyBorder="1"/>
    <xf numFmtId="43" fontId="0" fillId="0" borderId="13" xfId="42" applyFont="1" applyBorder="1" applyAlignment="1">
      <alignment horizontal="right"/>
    </xf>
    <xf numFmtId="43" fontId="0" fillId="0" borderId="13" xfId="42" applyFont="1" applyBorder="1"/>
    <xf numFmtId="0" fontId="13" fillId="33" borderId="10" xfId="0" applyFont="1" applyFill="1" applyBorder="1"/>
    <xf numFmtId="0" fontId="0" fillId="34" borderId="10" xfId="0" applyFill="1" applyBorder="1" applyAlignment="1">
      <alignment horizontal="right"/>
    </xf>
    <xf numFmtId="0" fontId="0" fillId="0" borderId="10" xfId="0" applyBorder="1" applyAlignment="1">
      <alignment horizontal="right"/>
    </xf>
    <xf numFmtId="0" fontId="0" fillId="0" borderId="11" xfId="0" applyBorder="1"/>
    <xf numFmtId="0" fontId="18" fillId="0" borderId="12" xfId="0" applyFont="1" applyBorder="1" applyAlignment="1">
      <alignment horizontal="center"/>
    </xf>
    <xf numFmtId="0" fontId="16" fillId="0" borderId="13" xfId="0" applyFont="1" applyBorder="1"/>
    <xf numFmtId="0" fontId="16" fillId="0" borderId="13" xfId="0" applyFont="1" applyBorder="1" applyAlignment="1">
      <alignment horizontal="right"/>
    </xf>
    <xf numFmtId="164" fontId="0" fillId="0" borderId="13" xfId="0" applyNumberFormat="1" applyBorder="1" applyAlignment="1">
      <alignment horizontal="right"/>
    </xf>
    <xf numFmtId="2" fontId="0" fillId="0" borderId="13" xfId="0" applyNumberFormat="1" applyBorder="1" applyAlignment="1">
      <alignment horizontal="right"/>
    </xf>
    <xf numFmtId="165" fontId="0" fillId="0" borderId="13" xfId="0" applyNumberFormat="1" applyBorder="1" applyAlignment="1">
      <alignment horizontal="right"/>
    </xf>
    <xf numFmtId="0" fontId="16" fillId="0" borderId="13" xfId="0" applyFont="1" applyBorder="1" applyAlignment="1">
      <alignment horizontal="left"/>
    </xf>
    <xf numFmtId="0" fontId="0" fillId="0" borderId="13" xfId="0" applyBorder="1" applyAlignment="1">
      <alignment horizontal="left"/>
    </xf>
    <xf numFmtId="0" fontId="18" fillId="0" borderId="12" xfId="0" applyFont="1" applyBorder="1" applyAlignment="1">
      <alignment horizontal="centerContinuous"/>
    </xf>
    <xf numFmtId="0" fontId="13" fillId="33" borderId="14" xfId="0" applyFont="1" applyFill="1" applyBorder="1" applyAlignment="1">
      <alignment horizontal="left"/>
    </xf>
    <xf numFmtId="0" fontId="0" fillId="34" borderId="14" xfId="0" applyFill="1" applyBorder="1" applyAlignment="1">
      <alignment horizontal="right"/>
    </xf>
    <xf numFmtId="0" fontId="0" fillId="0" borderId="14" xfId="0" applyBorder="1" applyAlignment="1">
      <alignment horizontal="right"/>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79">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164" formatCode="_-[$$-409]* #,##0.00_ ;_-[$$-409]* \-#,##0.00\ ;_-[$$-409]* &quot;-&quot;??_ ;_-@_ "/>
      <alignment horizontal="right" vertical="bottom" textRotation="0" wrapText="0" indent="0" justifyLastLine="0" shrinkToFit="0" readingOrder="0"/>
    </dxf>
    <dxf>
      <numFmt numFmtId="164" formatCode="_-[$$-409]* #,##0.00_ ;_-[$$-409]* \-#,##0.00\ ;_-[$$-409]* &quot;-&quot;??_ ;_-@_ "/>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fill>
        <patternFill patternType="none">
          <fgColor indexed="64"/>
          <bgColor auto="1"/>
        </patternFill>
      </fill>
      <alignment horizontal="right" vertical="bottom" textRotation="0" wrapText="0" indent="0" justifyLastLine="0" shrinkToFit="0" readingOrder="0"/>
    </dxf>
    <dxf>
      <numFmt numFmtId="164" formatCode="_-[$$-409]* #,##0.00_ ;_-[$$-409]* \-#,##0.00\ ;_-[$$-409]* &quot;-&quot;??_ ;_-@_ "/>
      <alignment horizontal="right" vertical="bottom" textRotation="0" wrapText="0" indent="0" justifyLastLine="0" shrinkToFit="0" readingOrder="0"/>
    </dxf>
    <dxf>
      <numFmt numFmtId="27" formatCode="dd/mm/yyyy\ hh:mm"/>
      <alignment horizontal="right" vertical="bottom" textRotation="0" wrapText="0" indent="0" justifyLastLine="0" shrinkToFit="0" readingOrder="0"/>
    </dxf>
    <dxf>
      <alignment horizontal="right" vertical="bottom" textRotation="0" wrapText="0" indent="0" justifyLastLine="0" shrinkToFit="0" readingOrder="0"/>
    </dxf>
    <dxf>
      <fill>
        <patternFill patternType="none">
          <fgColor indexed="64"/>
          <bgColor auto="1"/>
        </patternFill>
      </fill>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164" formatCode="_-[$$-409]* #,##0.00_ ;_-[$$-409]* \-#,##0.00\ ;_-[$$-409]* &quot;-&quot;??_ ;_-@_ "/>
      <alignment horizontal="right" vertical="bottom" textRotation="0" wrapText="0" indent="0" justifyLastLine="0" shrinkToFit="0" readingOrder="0"/>
    </dxf>
    <dxf>
      <numFmt numFmtId="164" formatCode="_-[$$-409]* #,##0.00_ ;_-[$$-409]* \-#,##0.00\ ;_-[$$-409]* &quot;-&quot;??_ ;_-@_ "/>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fill>
        <patternFill patternType="none">
          <fgColor indexed="64"/>
          <bgColor auto="1"/>
        </patternFill>
      </fill>
      <alignment horizontal="right" vertical="bottom" textRotation="0" wrapText="0" indent="0" justifyLastLine="0" shrinkToFit="0" readingOrder="0"/>
    </dxf>
    <dxf>
      <numFmt numFmtId="164" formatCode="_-[$$-409]* #,##0.00_ ;_-[$$-409]* \-#,##0.00\ ;_-[$$-409]* &quot;-&quot;??_ ;_-@_ "/>
      <alignment horizontal="right" vertical="bottom" textRotation="0" wrapText="0" indent="0" justifyLastLine="0" shrinkToFit="0" readingOrder="0"/>
    </dxf>
    <dxf>
      <numFmt numFmtId="27" formatCode="dd/mm/yyyy\ hh:mm"/>
      <alignment horizontal="right" vertical="bottom" textRotation="0" wrapText="0" indent="0" justifyLastLine="0" shrinkToFit="0" readingOrder="0"/>
    </dxf>
    <dxf>
      <alignment horizontal="right" vertical="bottom" textRotation="0" wrapText="0" indent="0" justifyLastLine="0" shrinkToFit="0" readingOrder="0"/>
    </dxf>
    <dxf>
      <fill>
        <patternFill patternType="none">
          <fgColor indexed="64"/>
          <bgColor auto="1"/>
        </patternFill>
      </fill>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164" formatCode="_-[$$-409]* #,##0.00_ ;_-[$$-409]* \-#,##0.00\ ;_-[$$-409]* &quot;-&quot;??_ ;_-@_ "/>
      <alignment horizontal="right" vertical="bottom" textRotation="0" wrapText="0" indent="0" justifyLastLine="0" shrinkToFit="0" readingOrder="0"/>
    </dxf>
    <dxf>
      <numFmt numFmtId="164" formatCode="_-[$$-409]* #,##0.00_ ;_-[$$-409]* \-#,##0.00\ ;_-[$$-409]* &quot;-&quot;??_ ;_-@_ "/>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fill>
        <patternFill patternType="none">
          <fgColor indexed="64"/>
          <bgColor auto="1"/>
        </patternFill>
      </fill>
      <alignment horizontal="right" vertical="bottom" textRotation="0" wrapText="0" indent="0" justifyLastLine="0" shrinkToFit="0" readingOrder="0"/>
    </dxf>
    <dxf>
      <numFmt numFmtId="164" formatCode="_-[$$-409]* #,##0.00_ ;_-[$$-409]* \-#,##0.00\ ;_-[$$-409]* &quot;-&quot;??_ ;_-@_ "/>
      <alignment horizontal="right" vertical="bottom" textRotation="0" wrapText="0" indent="0" justifyLastLine="0" shrinkToFit="0" readingOrder="0"/>
    </dxf>
    <dxf>
      <numFmt numFmtId="27" formatCode="dd/mm/yyyy\ hh:mm"/>
      <alignment horizontal="right" vertical="bottom" textRotation="0" wrapText="0" indent="0" justifyLastLine="0" shrinkToFit="0" readingOrder="0"/>
    </dxf>
    <dxf>
      <alignment horizontal="right" vertical="bottom" textRotation="0" wrapText="0" indent="0" justifyLastLine="0" shrinkToFit="0" readingOrder="0"/>
    </dxf>
    <dxf>
      <fill>
        <patternFill patternType="none">
          <fgColor indexed="64"/>
          <bgColor auto="1"/>
        </patternFill>
      </fill>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164" formatCode="_-[$$-409]* #,##0.00_ ;_-[$$-409]* \-#,##0.00\ ;_-[$$-409]* &quot;-&quot;??_ ;_-@_ "/>
      <alignment horizontal="right" vertical="bottom" textRotation="0" wrapText="0" indent="0" justifyLastLine="0" shrinkToFit="0" readingOrder="0"/>
    </dxf>
    <dxf>
      <numFmt numFmtId="164" formatCode="_-[$$-409]* #,##0.00_ ;_-[$$-409]* \-#,##0.00\ ;_-[$$-409]* &quot;-&quot;??_ ;_-@_ "/>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fill>
        <patternFill patternType="none">
          <fgColor indexed="64"/>
          <bgColor auto="1"/>
        </patternFill>
      </fill>
      <alignment horizontal="right" vertical="bottom" textRotation="0" wrapText="0" indent="0" justifyLastLine="0" shrinkToFit="0" readingOrder="0"/>
    </dxf>
    <dxf>
      <numFmt numFmtId="164" formatCode="_-[$$-409]* #,##0.00_ ;_-[$$-409]* \-#,##0.00\ ;_-[$$-409]* &quot;-&quot;??_ ;_-@_ "/>
      <alignment horizontal="right" vertical="bottom" textRotation="0" wrapText="0" indent="0" justifyLastLine="0" shrinkToFit="0" readingOrder="0"/>
    </dxf>
    <dxf>
      <numFmt numFmtId="27" formatCode="dd/mm/yyyy\ hh:mm"/>
      <alignment horizontal="right" vertical="bottom" textRotation="0" wrapText="0" indent="0" justifyLastLine="0" shrinkToFit="0" readingOrder="0"/>
    </dxf>
    <dxf>
      <alignment horizontal="right" vertical="bottom" textRotation="0" wrapText="0" indent="0" justifyLastLine="0" shrinkToFit="0" readingOrder="0"/>
    </dxf>
    <dxf>
      <fill>
        <patternFill patternType="none">
          <fgColor indexed="64"/>
          <bgColor auto="1"/>
        </patternFill>
      </fill>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numFmt numFmtId="164" formatCode="_-[$$-409]* #,##0.00_ ;_-[$$-409]* \-#,##0.00\ ;_-[$$-409]* &quot;-&quot;??_ ;_-@_ "/>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164" formatCode="_-[$$-409]* #,##0.00_ ;_-[$$-409]* \-#,##0.00\ ;_-[$$-409]* &quot;-&quot;??_ ;_-@_ "/>
      <alignment horizontal="right" vertical="bottom" textRotation="0" wrapText="0" indent="0" justifyLastLine="0" shrinkToFit="0" readingOrder="0"/>
    </dxf>
    <dxf>
      <numFmt numFmtId="164" formatCode="_-[$$-409]* #,##0.00_ ;_-[$$-409]* \-#,##0.00\ ;_-[$$-409]* &quot;-&quot;??_ ;_-@_ "/>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fill>
        <patternFill patternType="none">
          <fgColor indexed="64"/>
          <bgColor auto="1"/>
        </patternFill>
      </fill>
      <alignment horizontal="right" vertical="bottom" textRotation="0" wrapText="0" indent="0" justifyLastLine="0" shrinkToFit="0" readingOrder="0"/>
    </dxf>
    <dxf>
      <fill>
        <patternFill patternType="none">
          <fgColor indexed="64"/>
          <bgColor auto="1"/>
        </patternFill>
      </fill>
      <alignment horizontal="right" vertical="bottom" textRotation="0" wrapText="0" indent="0" justifyLastLine="0" shrinkToFit="0" readingOrder="0"/>
    </dxf>
    <dxf>
      <numFmt numFmtId="164" formatCode="_-[$$-409]* #,##0.00_ ;_-[$$-409]* \-#,##0.00\ ;_-[$$-409]* &quot;-&quot;??_ ;_-@_ "/>
      <alignment horizontal="right" vertical="bottom" textRotation="0" wrapText="0" indent="0" justifyLastLine="0" shrinkToFit="0" readingOrder="0"/>
    </dxf>
    <dxf>
      <numFmt numFmtId="27" formatCode="dd/mm/yyyy\ hh:mm"/>
      <alignment horizontal="right" vertical="bottom" textRotation="0" wrapText="0" indent="0" justifyLastLine="0" shrinkToFit="0" readingOrder="0"/>
    </dxf>
    <dxf>
      <alignment horizontal="right" vertical="bottom" textRotation="0" wrapText="0" indent="0" justifyLastLine="0" shrinkToFit="0" readingOrder="0"/>
    </dxf>
    <dxf>
      <fill>
        <patternFill patternType="none">
          <fgColor indexed="64"/>
          <bgColor auto="1"/>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164" formatCode="_-[$$-409]* #,##0.00_ ;_-[$$-409]* \-#,##0.00\ ;_-[$$-409]* &quot;-&quot;??_ ;_-@_ "/>
      <alignment horizontal="right" vertical="bottom" textRotation="0" wrapText="0" indent="0" justifyLastLine="0" shrinkToFit="0" readingOrder="0"/>
    </dxf>
    <dxf>
      <numFmt numFmtId="164" formatCode="_-[$$-409]* #,##0.00_ ;_-[$$-409]* \-#,##0.00\ ;_-[$$-409]* &quot;-&quot;??_ ;_-@_ "/>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fill>
        <patternFill patternType="none">
          <fgColor indexed="64"/>
          <bgColor auto="1"/>
        </patternFill>
      </fill>
      <alignment horizontal="right" vertical="bottom" textRotation="0" wrapText="0" indent="0" justifyLastLine="0" shrinkToFit="0" readingOrder="0"/>
    </dxf>
    <dxf>
      <fill>
        <patternFill patternType="none">
          <fgColor indexed="64"/>
          <bgColor auto="1"/>
        </patternFill>
      </fill>
      <alignment horizontal="right" vertical="bottom" textRotation="0" wrapText="0" indent="0" justifyLastLine="0" shrinkToFit="0" readingOrder="0"/>
    </dxf>
    <dxf>
      <numFmt numFmtId="164" formatCode="_-[$$-409]* #,##0.00_ ;_-[$$-409]* \-#,##0.00\ ;_-[$$-409]* &quot;-&quot;??_ ;_-@_ "/>
      <alignment horizontal="right" vertical="bottom" textRotation="0" wrapText="0" indent="0" justifyLastLine="0" shrinkToFit="0" readingOrder="0"/>
    </dxf>
    <dxf>
      <numFmt numFmtId="27" formatCode="dd/mm/yyyy\ hh:mm"/>
      <alignment horizontal="right" vertical="bottom" textRotation="0" wrapText="0" indent="0" justifyLastLine="0" shrinkToFit="0" readingOrder="0"/>
    </dxf>
    <dxf>
      <alignment horizontal="right" vertical="bottom" textRotation="0" wrapText="0" indent="0" justifyLastLine="0" shrinkToFit="0" readingOrder="0"/>
    </dxf>
    <dxf>
      <fill>
        <patternFill patternType="none">
          <fgColor indexed="64"/>
          <bgColor auto="1"/>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right" vertical="bottom" textRotation="0" wrapText="0" indent="0" justifyLastLine="0" shrinkToFit="0" readingOrder="0"/>
    </dxf>
    <dxf>
      <numFmt numFmtId="164" formatCode="_-[$$-409]* #,##0.00_ ;_-[$$-409]* \-#,##0.00\ ;_-[$$-409]* &quot;-&quot;??_ ;_-@_ "/>
      <alignment horizontal="right" vertical="bottom" textRotation="0" wrapText="0" indent="0" justifyLastLine="0" shrinkToFit="0" readingOrder="0"/>
    </dxf>
    <dxf>
      <numFmt numFmtId="164" formatCode="_-[$$-409]* #,##0.00_ ;_-[$$-409]* \-#,##0.00\ ;_-[$$-409]* &quot;-&quot;??_ ;_-@_ "/>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fill>
        <patternFill patternType="none">
          <fgColor indexed="64"/>
          <bgColor auto="1"/>
        </patternFill>
      </fill>
      <alignment horizontal="right" vertical="bottom" textRotation="0" wrapText="0" indent="0" justifyLastLine="0" shrinkToFit="0" readingOrder="0"/>
    </dxf>
    <dxf>
      <fill>
        <patternFill patternType="none">
          <fgColor indexed="64"/>
          <bgColor auto="1"/>
        </patternFill>
      </fill>
      <alignment horizontal="right" vertical="bottom" textRotation="0" wrapText="0" indent="0" justifyLastLine="0" shrinkToFit="0" readingOrder="0"/>
    </dxf>
    <dxf>
      <numFmt numFmtId="164" formatCode="_-[$$-409]* #,##0.00_ ;_-[$$-409]* \-#,##0.00\ ;_-[$$-409]* &quot;-&quot;??_ ;_-@_ "/>
      <alignment horizontal="right" vertical="bottom" textRotation="0" wrapText="0" indent="0" justifyLastLine="0" shrinkToFit="0" readingOrder="0"/>
    </dxf>
    <dxf>
      <numFmt numFmtId="27" formatCode="dd/mm/yyyy\ hh:mm"/>
      <alignment horizontal="right" vertical="bottom" textRotation="0" wrapText="0" indent="0" justifyLastLine="0" shrinkToFit="0" readingOrder="0"/>
    </dxf>
    <dxf>
      <alignment horizontal="right" vertical="bottom" textRotation="0" wrapText="0" indent="0" justifyLastLine="0" shrinkToFit="0" readingOrder="0"/>
    </dxf>
    <dxf>
      <fill>
        <patternFill patternType="none">
          <fgColor indexed="64"/>
          <bgColor auto="1"/>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fill>
        <patternFill patternType="none">
          <fgColor indexed="64"/>
          <bgColor auto="1"/>
        </patternFill>
      </fill>
      <alignment horizontal="right" vertical="bottom" textRotation="0" wrapText="0" indent="0" justifyLastLine="0" shrinkToFit="0" readingOrder="0"/>
    </dxf>
    <dxf>
      <fill>
        <patternFill patternType="none">
          <fgColor indexed="64"/>
          <bgColor auto="1"/>
        </patternFill>
      </fill>
      <alignment horizontal="right" vertical="bottom" textRotation="0" wrapText="0" indent="0" justifyLastLine="0" shrinkToFit="0" readingOrder="0"/>
    </dxf>
    <dxf>
      <numFmt numFmtId="164" formatCode="_-[$$-409]* #,##0.00_ ;_-[$$-409]* \-#,##0.00\ ;_-[$$-409]* &quot;-&quot;??_ ;_-@_ "/>
      <alignment horizontal="right" vertical="bottom" textRotation="0" wrapText="0" indent="0" justifyLastLine="0" shrinkToFit="0" readingOrder="0"/>
    </dxf>
    <dxf>
      <numFmt numFmtId="27" formatCode="dd/mm/yyyy\ hh:mm"/>
      <alignment horizontal="right" vertical="bottom" textRotation="0" wrapText="0" indent="0" justifyLastLine="0" shrinkToFit="0" readingOrder="0"/>
    </dxf>
    <dxf>
      <alignment horizontal="right" vertical="bottom" textRotation="0" wrapText="0" indent="0" justifyLastLine="0" shrinkToFit="0" readingOrder="0"/>
    </dxf>
    <dxf>
      <fill>
        <patternFill patternType="none">
          <fgColor indexed="64"/>
          <bgColor auto="1"/>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fill>
        <patternFill patternType="none">
          <fgColor indexed="64"/>
          <bgColor auto="1"/>
        </patternFill>
      </fill>
      <alignment horizontal="right" vertical="bottom" textRotation="0" wrapText="0" indent="0" justifyLastLine="0" shrinkToFit="0" readingOrder="0"/>
    </dxf>
    <dxf>
      <fill>
        <patternFill patternType="none">
          <fgColor indexed="64"/>
          <bgColor auto="1"/>
        </patternFill>
      </fill>
      <alignment horizontal="right" vertical="bottom" textRotation="0" wrapText="0" indent="0" justifyLastLine="0" shrinkToFit="0" readingOrder="0"/>
    </dxf>
    <dxf>
      <numFmt numFmtId="164" formatCode="_-[$$-409]* #,##0.00_ ;_-[$$-409]* \-#,##0.00\ ;_-[$$-409]* &quot;-&quot;??_ ;_-@_ "/>
      <alignment horizontal="right" vertical="bottom" textRotation="0" wrapText="0" indent="0" justifyLastLine="0" shrinkToFit="0" readingOrder="0"/>
    </dxf>
    <dxf>
      <numFmt numFmtId="27" formatCode="dd/mm/yyyy\ hh:mm"/>
      <alignment horizontal="right" vertical="bottom" textRotation="0" wrapText="0" indent="0" justifyLastLine="0" shrinkToFit="0" readingOrder="0"/>
    </dxf>
    <dxf>
      <alignment horizontal="right" vertical="bottom" textRotation="0" wrapText="0" indent="0" justifyLastLine="0" shrinkToFit="0" readingOrder="0"/>
    </dxf>
    <dxf>
      <fill>
        <patternFill patternType="none">
          <fgColor indexed="64"/>
          <bgColor auto="1"/>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164" formatCode="_-[$$-409]* #,##0.00_ ;_-[$$-409]* \-#,##0.00\ ;_-[$$-409]* &quot;-&quot;??_ ;_-@_ "/>
      <alignment horizontal="right" vertical="bottom" textRotation="0" wrapText="0" indent="0" justifyLastLine="0" shrinkToFit="0" readingOrder="0"/>
    </dxf>
    <dxf>
      <numFmt numFmtId="27" formatCode="dd/mm/yyyy\ hh:mm"/>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Sampling Distribution of Bootstrap Sample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Bootstrap_Sample1!$AC$7:$AC$21</c:f>
              <c:numCache>
                <c:formatCode>General</c:formatCode>
                <c:ptCount val="15"/>
                <c:pt idx="0">
                  <c:v>0</c:v>
                </c:pt>
                <c:pt idx="1">
                  <c:v>0</c:v>
                </c:pt>
                <c:pt idx="2">
                  <c:v>0</c:v>
                </c:pt>
                <c:pt idx="3">
                  <c:v>0</c:v>
                </c:pt>
                <c:pt idx="4">
                  <c:v>0</c:v>
                </c:pt>
                <c:pt idx="5">
                  <c:v>6</c:v>
                </c:pt>
                <c:pt idx="6">
                  <c:v>47</c:v>
                </c:pt>
                <c:pt idx="7">
                  <c:v>119</c:v>
                </c:pt>
                <c:pt idx="8">
                  <c:v>94</c:v>
                </c:pt>
                <c:pt idx="9">
                  <c:v>32</c:v>
                </c:pt>
                <c:pt idx="10">
                  <c:v>1</c:v>
                </c:pt>
                <c:pt idx="11">
                  <c:v>0</c:v>
                </c:pt>
                <c:pt idx="12">
                  <c:v>0</c:v>
                </c:pt>
                <c:pt idx="13">
                  <c:v>0</c:v>
                </c:pt>
                <c:pt idx="14">
                  <c:v>0</c:v>
                </c:pt>
              </c:numCache>
            </c:numRef>
          </c:val>
          <c:extLst>
            <c:ext xmlns:c16="http://schemas.microsoft.com/office/drawing/2014/chart" uri="{C3380CC4-5D6E-409C-BE32-E72D297353CC}">
              <c16:uniqueId val="{00000000-3D1C-49E8-8D99-D89FF18862D6}"/>
            </c:ext>
          </c:extLst>
        </c:ser>
        <c:dLbls>
          <c:dLblPos val="outEnd"/>
          <c:showLegendKey val="0"/>
          <c:showVal val="1"/>
          <c:showCatName val="0"/>
          <c:showSerName val="0"/>
          <c:showPercent val="0"/>
          <c:showBubbleSize val="0"/>
        </c:dLbls>
        <c:gapWidth val="219"/>
        <c:overlap val="-27"/>
        <c:axId val="1457344847"/>
        <c:axId val="1457345807"/>
      </c:barChart>
      <c:catAx>
        <c:axId val="145734484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7345807"/>
        <c:crosses val="autoZero"/>
        <c:auto val="1"/>
        <c:lblAlgn val="ctr"/>
        <c:lblOffset val="100"/>
        <c:noMultiLvlLbl val="0"/>
      </c:catAx>
      <c:valAx>
        <c:axId val="14573458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73448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Sampling Distribution of Bootstrap Sample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Bootstrap_Sample2!$AB$7:$AB$17</c:f>
              <c:numCache>
                <c:formatCode>General</c:formatCode>
                <c:ptCount val="11"/>
                <c:pt idx="0">
                  <c:v>1</c:v>
                </c:pt>
                <c:pt idx="1">
                  <c:v>2</c:v>
                </c:pt>
                <c:pt idx="2">
                  <c:v>3</c:v>
                </c:pt>
                <c:pt idx="3">
                  <c:v>4</c:v>
                </c:pt>
                <c:pt idx="4">
                  <c:v>5</c:v>
                </c:pt>
                <c:pt idx="5">
                  <c:v>6</c:v>
                </c:pt>
                <c:pt idx="6">
                  <c:v>7</c:v>
                </c:pt>
                <c:pt idx="7">
                  <c:v>8</c:v>
                </c:pt>
                <c:pt idx="8">
                  <c:v>9</c:v>
                </c:pt>
                <c:pt idx="9">
                  <c:v>10</c:v>
                </c:pt>
              </c:numCache>
            </c:numRef>
          </c:xVal>
          <c:yVal>
            <c:numRef>
              <c:f>Bootstrap_Sample2!$AC$7:$AC$17</c:f>
              <c:numCache>
                <c:formatCode>General</c:formatCode>
                <c:ptCount val="11"/>
                <c:pt idx="0">
                  <c:v>0</c:v>
                </c:pt>
                <c:pt idx="1">
                  <c:v>0</c:v>
                </c:pt>
                <c:pt idx="2">
                  <c:v>10</c:v>
                </c:pt>
                <c:pt idx="3">
                  <c:v>165</c:v>
                </c:pt>
                <c:pt idx="4">
                  <c:v>121</c:v>
                </c:pt>
                <c:pt idx="5">
                  <c:v>3</c:v>
                </c:pt>
                <c:pt idx="6">
                  <c:v>0</c:v>
                </c:pt>
                <c:pt idx="7">
                  <c:v>0</c:v>
                </c:pt>
                <c:pt idx="8">
                  <c:v>0</c:v>
                </c:pt>
                <c:pt idx="9">
                  <c:v>0</c:v>
                </c:pt>
                <c:pt idx="10">
                  <c:v>0</c:v>
                </c:pt>
              </c:numCache>
            </c:numRef>
          </c:yVal>
          <c:smooth val="0"/>
          <c:extLst>
            <c:ext xmlns:c16="http://schemas.microsoft.com/office/drawing/2014/chart" uri="{C3380CC4-5D6E-409C-BE32-E72D297353CC}">
              <c16:uniqueId val="{00000000-9487-42BA-8121-8DD0849BC6E3}"/>
            </c:ext>
          </c:extLst>
        </c:ser>
        <c:dLbls>
          <c:dLblPos val="t"/>
          <c:showLegendKey val="0"/>
          <c:showVal val="1"/>
          <c:showCatName val="0"/>
          <c:showSerName val="0"/>
          <c:showPercent val="0"/>
          <c:showBubbleSize val="0"/>
        </c:dLbls>
        <c:axId val="542713647"/>
        <c:axId val="542708847"/>
      </c:scatterChart>
      <c:valAx>
        <c:axId val="54271364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708847"/>
        <c:crosses val="autoZero"/>
        <c:crossBetween val="midCat"/>
      </c:valAx>
      <c:valAx>
        <c:axId val="5427088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713647"/>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Histogram Product Quantity</a:t>
            </a:r>
          </a:p>
        </c:rich>
      </c:tx>
      <c:overlay val="0"/>
    </c:title>
    <c:autoTitleDeleted val="0"/>
    <c:plotArea>
      <c:layout/>
      <c:barChart>
        <c:barDir val="col"/>
        <c:grouping val="clustered"/>
        <c:varyColors val="0"/>
        <c:ser>
          <c:idx val="0"/>
          <c:order val="0"/>
          <c:tx>
            <c:v>Frequency</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DataVisualisation!$V$5:$V$16</c:f>
              <c:strCache>
                <c:ptCount val="12"/>
                <c:pt idx="0">
                  <c:v>1</c:v>
                </c:pt>
                <c:pt idx="1">
                  <c:v>5.272727273</c:v>
                </c:pt>
                <c:pt idx="2">
                  <c:v>9.545454545</c:v>
                </c:pt>
                <c:pt idx="3">
                  <c:v>13.81818182</c:v>
                </c:pt>
                <c:pt idx="4">
                  <c:v>18.09090909</c:v>
                </c:pt>
                <c:pt idx="5">
                  <c:v>22.36363636</c:v>
                </c:pt>
                <c:pt idx="6">
                  <c:v>26.63636364</c:v>
                </c:pt>
                <c:pt idx="7">
                  <c:v>30.90909091</c:v>
                </c:pt>
                <c:pt idx="8">
                  <c:v>35.18181818</c:v>
                </c:pt>
                <c:pt idx="9">
                  <c:v>39.45454545</c:v>
                </c:pt>
                <c:pt idx="10">
                  <c:v>43.72727273</c:v>
                </c:pt>
                <c:pt idx="11">
                  <c:v>More</c:v>
                </c:pt>
              </c:strCache>
            </c:strRef>
          </c:cat>
          <c:val>
            <c:numRef>
              <c:f>DataVisualisation!$W$5:$W$16</c:f>
              <c:numCache>
                <c:formatCode>General</c:formatCode>
                <c:ptCount val="12"/>
                <c:pt idx="0">
                  <c:v>27</c:v>
                </c:pt>
                <c:pt idx="1">
                  <c:v>27</c:v>
                </c:pt>
                <c:pt idx="2">
                  <c:v>6</c:v>
                </c:pt>
                <c:pt idx="3">
                  <c:v>32</c:v>
                </c:pt>
                <c:pt idx="4">
                  <c:v>3</c:v>
                </c:pt>
                <c:pt idx="5">
                  <c:v>13</c:v>
                </c:pt>
                <c:pt idx="6">
                  <c:v>12</c:v>
                </c:pt>
                <c:pt idx="7">
                  <c:v>0</c:v>
                </c:pt>
                <c:pt idx="8">
                  <c:v>0</c:v>
                </c:pt>
                <c:pt idx="9">
                  <c:v>2</c:v>
                </c:pt>
                <c:pt idx="10">
                  <c:v>1</c:v>
                </c:pt>
                <c:pt idx="11">
                  <c:v>4</c:v>
                </c:pt>
              </c:numCache>
            </c:numRef>
          </c:val>
          <c:extLst>
            <c:ext xmlns:c16="http://schemas.microsoft.com/office/drawing/2014/chart" uri="{C3380CC4-5D6E-409C-BE32-E72D297353CC}">
              <c16:uniqueId val="{00000001-1DCD-4135-B525-CA0522D08521}"/>
            </c:ext>
          </c:extLst>
        </c:ser>
        <c:dLbls>
          <c:dLblPos val="outEnd"/>
          <c:showLegendKey val="0"/>
          <c:showVal val="1"/>
          <c:showCatName val="0"/>
          <c:showSerName val="0"/>
          <c:showPercent val="0"/>
          <c:showBubbleSize val="0"/>
        </c:dLbls>
        <c:gapWidth val="150"/>
        <c:axId val="1125628255"/>
        <c:axId val="1125625375"/>
      </c:barChart>
      <c:catAx>
        <c:axId val="1125628255"/>
        <c:scaling>
          <c:orientation val="minMax"/>
        </c:scaling>
        <c:delete val="0"/>
        <c:axPos val="b"/>
        <c:title>
          <c:tx>
            <c:rich>
              <a:bodyPr/>
              <a:lstStyle/>
              <a:p>
                <a:pPr>
                  <a:defRPr/>
                </a:pPr>
                <a:r>
                  <a:rPr lang="en-GB"/>
                  <a:t>Bin</a:t>
                </a:r>
              </a:p>
            </c:rich>
          </c:tx>
          <c:overlay val="0"/>
        </c:title>
        <c:numFmt formatCode="General" sourceLinked="1"/>
        <c:majorTickMark val="out"/>
        <c:minorTickMark val="none"/>
        <c:tickLblPos val="nextTo"/>
        <c:crossAx val="1125625375"/>
        <c:crosses val="autoZero"/>
        <c:auto val="1"/>
        <c:lblAlgn val="ctr"/>
        <c:lblOffset val="100"/>
        <c:noMultiLvlLbl val="0"/>
      </c:catAx>
      <c:valAx>
        <c:axId val="1125625375"/>
        <c:scaling>
          <c:orientation val="minMax"/>
        </c:scaling>
        <c:delete val="0"/>
        <c:axPos val="l"/>
        <c:title>
          <c:tx>
            <c:rich>
              <a:bodyPr/>
              <a:lstStyle/>
              <a:p>
                <a:pPr>
                  <a:defRPr/>
                </a:pPr>
                <a:r>
                  <a:rPr lang="en-GB"/>
                  <a:t>Frequency</a:t>
                </a:r>
              </a:p>
            </c:rich>
          </c:tx>
          <c:overlay val="0"/>
        </c:title>
        <c:numFmt formatCode="General" sourceLinked="1"/>
        <c:majorTickMark val="out"/>
        <c:minorTickMark val="none"/>
        <c:tickLblPos val="nextTo"/>
        <c:crossAx val="112562825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Distribution of Product Quantity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DataVisualisation!$W$4</c:f>
              <c:strCache>
                <c:ptCount val="1"/>
                <c:pt idx="0">
                  <c:v>Frequency</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DataVisualisation!$V$5:$V$16</c:f>
              <c:strCache>
                <c:ptCount val="12"/>
                <c:pt idx="0">
                  <c:v>1</c:v>
                </c:pt>
                <c:pt idx="1">
                  <c:v>5.272727273</c:v>
                </c:pt>
                <c:pt idx="2">
                  <c:v>9.545454545</c:v>
                </c:pt>
                <c:pt idx="3">
                  <c:v>13.81818182</c:v>
                </c:pt>
                <c:pt idx="4">
                  <c:v>18.09090909</c:v>
                </c:pt>
                <c:pt idx="5">
                  <c:v>22.36363636</c:v>
                </c:pt>
                <c:pt idx="6">
                  <c:v>26.63636364</c:v>
                </c:pt>
                <c:pt idx="7">
                  <c:v>30.90909091</c:v>
                </c:pt>
                <c:pt idx="8">
                  <c:v>35.18181818</c:v>
                </c:pt>
                <c:pt idx="9">
                  <c:v>39.45454545</c:v>
                </c:pt>
                <c:pt idx="10">
                  <c:v>43.72727273</c:v>
                </c:pt>
                <c:pt idx="11">
                  <c:v>More</c:v>
                </c:pt>
              </c:strCache>
            </c:strRef>
          </c:cat>
          <c:val>
            <c:numRef>
              <c:f>DataVisualisation!$W$5:$W$16</c:f>
              <c:numCache>
                <c:formatCode>General</c:formatCode>
                <c:ptCount val="12"/>
                <c:pt idx="0">
                  <c:v>27</c:v>
                </c:pt>
                <c:pt idx="1">
                  <c:v>27</c:v>
                </c:pt>
                <c:pt idx="2">
                  <c:v>6</c:v>
                </c:pt>
                <c:pt idx="3">
                  <c:v>32</c:v>
                </c:pt>
                <c:pt idx="4">
                  <c:v>3</c:v>
                </c:pt>
                <c:pt idx="5">
                  <c:v>13</c:v>
                </c:pt>
                <c:pt idx="6">
                  <c:v>12</c:v>
                </c:pt>
                <c:pt idx="7">
                  <c:v>0</c:v>
                </c:pt>
                <c:pt idx="8">
                  <c:v>0</c:v>
                </c:pt>
                <c:pt idx="9">
                  <c:v>2</c:v>
                </c:pt>
                <c:pt idx="10">
                  <c:v>1</c:v>
                </c:pt>
                <c:pt idx="11">
                  <c:v>4</c:v>
                </c:pt>
              </c:numCache>
            </c:numRef>
          </c:val>
          <c:extLst>
            <c:ext xmlns:c16="http://schemas.microsoft.com/office/drawing/2014/chart" uri="{C3380CC4-5D6E-409C-BE32-E72D297353CC}">
              <c16:uniqueId val="{00000000-4C8E-4E02-9164-763C22C7A718}"/>
            </c:ext>
          </c:extLst>
        </c:ser>
        <c:dLbls>
          <c:dLblPos val="outEnd"/>
          <c:showLegendKey val="0"/>
          <c:showVal val="1"/>
          <c:showCatName val="0"/>
          <c:showSerName val="0"/>
          <c:showPercent val="0"/>
          <c:showBubbleSize val="0"/>
        </c:dLbls>
        <c:gapWidth val="182"/>
        <c:axId val="935729663"/>
        <c:axId val="1832969999"/>
      </c:barChart>
      <c:catAx>
        <c:axId val="935729663"/>
        <c:scaling>
          <c:orientation val="minMax"/>
        </c:scaling>
        <c:delete val="0"/>
        <c:axPos val="l"/>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969999"/>
        <c:crosses val="autoZero"/>
        <c:auto val="1"/>
        <c:lblAlgn val="ctr"/>
        <c:lblOffset val="100"/>
        <c:noMultiLvlLbl val="0"/>
      </c:catAx>
      <c:valAx>
        <c:axId val="18329699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7296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[COMP1887_Coursework_ExcelFile.xlsm]DataVisualisation!PivotTable28</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Product</a:t>
            </a:r>
            <a:r>
              <a:rPr lang="en-US" baseline="0"/>
              <a:t> Quantity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DataVisualisation!$W$44</c:f>
              <c:strCache>
                <c:ptCount val="1"/>
                <c:pt idx="0">
                  <c:v>Total</c:v>
                </c:pt>
              </c:strCache>
            </c:strRef>
          </c:tx>
          <c:spPr>
            <a:solidFill>
              <a:schemeClr val="accent1"/>
            </a:solidFill>
            <a:ln>
              <a:noFill/>
            </a:ln>
            <a:effectLst/>
          </c:spPr>
          <c:invertIfNegative val="0"/>
          <c:cat>
            <c:strRef>
              <c:f>DataVisualisation!$V$45:$V$52</c:f>
              <c:strCache>
                <c:ptCount val="7"/>
                <c:pt idx="0">
                  <c:v>France</c:v>
                </c:pt>
                <c:pt idx="1">
                  <c:v>Germany</c:v>
                </c:pt>
                <c:pt idx="2">
                  <c:v>N/A</c:v>
                </c:pt>
                <c:pt idx="3">
                  <c:v>Sweden</c:v>
                </c:pt>
                <c:pt idx="4">
                  <c:v>Switzerland</c:v>
                </c:pt>
                <c:pt idx="5">
                  <c:v>United Kingdom</c:v>
                </c:pt>
                <c:pt idx="6">
                  <c:v>(blank)</c:v>
                </c:pt>
              </c:strCache>
            </c:strRef>
          </c:cat>
          <c:val>
            <c:numRef>
              <c:f>DataVisualisation!$W$45:$W$52</c:f>
              <c:numCache>
                <c:formatCode>General</c:formatCode>
                <c:ptCount val="7"/>
                <c:pt idx="0">
                  <c:v>48</c:v>
                </c:pt>
                <c:pt idx="1">
                  <c:v>120</c:v>
                </c:pt>
                <c:pt idx="2">
                  <c:v>46</c:v>
                </c:pt>
                <c:pt idx="3">
                  <c:v>12</c:v>
                </c:pt>
                <c:pt idx="4">
                  <c:v>20</c:v>
                </c:pt>
                <c:pt idx="5">
                  <c:v>1187</c:v>
                </c:pt>
              </c:numCache>
            </c:numRef>
          </c:val>
          <c:extLst>
            <c:ext xmlns:c16="http://schemas.microsoft.com/office/drawing/2014/chart" uri="{C3380CC4-5D6E-409C-BE32-E72D297353CC}">
              <c16:uniqueId val="{00000000-824F-498D-A8F9-C67D770693C7}"/>
            </c:ext>
          </c:extLst>
        </c:ser>
        <c:dLbls>
          <c:showLegendKey val="0"/>
          <c:showVal val="0"/>
          <c:showCatName val="0"/>
          <c:showSerName val="0"/>
          <c:showPercent val="0"/>
          <c:showBubbleSize val="0"/>
        </c:dLbls>
        <c:gapWidth val="182"/>
        <c:axId val="2088998368"/>
        <c:axId val="2089002688"/>
      </c:barChart>
      <c:catAx>
        <c:axId val="20889983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9002688"/>
        <c:crosses val="autoZero"/>
        <c:auto val="1"/>
        <c:lblAlgn val="ctr"/>
        <c:lblOffset val="100"/>
        <c:noMultiLvlLbl val="0"/>
      </c:catAx>
      <c:valAx>
        <c:axId val="20890026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9983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[COMP1887_Coursework_ExcelFile.xlsm]DataVisualisation!PivotTable30</c:name>
    <c:fmtId val="2"/>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Generated Leads by Country</a:t>
            </a:r>
          </a:p>
        </c:rich>
      </c:tx>
      <c:layout>
        <c:manualLayout>
          <c:xMode val="edge"/>
          <c:yMode val="edge"/>
          <c:x val="0.29634250401532464"/>
          <c:y val="3.1251684309735274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layout>
            <c:manualLayout>
              <c:x val="-4.1905104071845917E-2"/>
              <c:y val="-2.553265659241403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layout>
            <c:manualLayout>
              <c:x val="-2.8258586961257218E-2"/>
              <c:y val="-4.427381680789146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layout>
            <c:manualLayout>
              <c:x val="-2.4477366511038309E-2"/>
              <c:y val="-6.345544567038931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layout>
            <c:manualLayout>
              <c:x val="1.8064606789566144E-4"/>
              <c:y val="-5.936943151845027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layout>
            <c:manualLayout>
              <c:x val="2.5076926590547104E-2"/>
              <c:y val="3.9907258291468233E-4"/>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9B864A9D-E9E3-479F-8971-829D0D2992B9}" type="PERCENTAGE">
                  <a:rPr lang="en-US">
                    <a:solidFill>
                      <a:schemeClr val="tx1"/>
                    </a:solidFill>
                  </a:rPr>
                  <a:pPr>
                    <a:defRPr/>
                  </a:pPr>
                  <a:t>[PERCENTAGE]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1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s>
    <c:view3D>
      <c:rotX val="50"/>
      <c:rotY val="0"/>
      <c:depthPercent val="10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DataVisualisation!$W$62</c:f>
              <c:strCache>
                <c:ptCount val="1"/>
                <c:pt idx="0">
                  <c:v>Total</c:v>
                </c:pt>
              </c:strCache>
            </c:strRef>
          </c:tx>
          <c:dPt>
            <c:idx val="0"/>
            <c:bubble3D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1-DF60-429E-A168-5785F923E5D1}"/>
              </c:ext>
            </c:extLst>
          </c:dPt>
          <c:dPt>
            <c:idx val="1"/>
            <c:bubble3D val="0"/>
            <c:spPr>
              <a:solidFill>
                <a:schemeClr val="accent2"/>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3-DF60-429E-A168-5785F923E5D1}"/>
              </c:ext>
            </c:extLst>
          </c:dPt>
          <c:dPt>
            <c:idx val="2"/>
            <c:bubble3D val="0"/>
            <c:spPr>
              <a:solidFill>
                <a:schemeClr val="accent3"/>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5-DF60-429E-A168-5785F923E5D1}"/>
              </c:ext>
            </c:extLst>
          </c:dPt>
          <c:dPt>
            <c:idx val="3"/>
            <c:bubble3D val="0"/>
            <c:spPr>
              <a:solidFill>
                <a:schemeClr val="accent4"/>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7-DF60-429E-A168-5785F923E5D1}"/>
              </c:ext>
            </c:extLst>
          </c:dPt>
          <c:dPt>
            <c:idx val="4"/>
            <c:bubble3D val="0"/>
            <c:spPr>
              <a:solidFill>
                <a:schemeClr val="accent5"/>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9-DF60-429E-A168-5785F923E5D1}"/>
              </c:ext>
            </c:extLst>
          </c:dPt>
          <c:dPt>
            <c:idx val="5"/>
            <c:bubble3D val="0"/>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B-DF60-429E-A168-5785F923E5D1}"/>
              </c:ext>
            </c:extLst>
          </c:dPt>
          <c:dPt>
            <c:idx val="6"/>
            <c:bubble3D val="0"/>
            <c:spPr>
              <a:solidFill>
                <a:schemeClr val="accent1">
                  <a:lumMod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D-DF60-429E-A168-5785F923E5D1}"/>
              </c:ext>
            </c:extLst>
          </c:dPt>
          <c:dLbls>
            <c:dLbl>
              <c:idx val="0"/>
              <c:layout>
                <c:manualLayout>
                  <c:x val="-4.1905104071845917E-2"/>
                  <c:y val="-2.553265659241403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DF60-429E-A168-5785F923E5D1}"/>
                </c:ext>
              </c:extLst>
            </c:dLbl>
            <c:dLbl>
              <c:idx val="1"/>
              <c:layout>
                <c:manualLayout>
                  <c:x val="-2.8258586961257218E-2"/>
                  <c:y val="-4.427381680789146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DF60-429E-A168-5785F923E5D1}"/>
                </c:ext>
              </c:extLst>
            </c:dLbl>
            <c:dLbl>
              <c:idx val="2"/>
              <c:layout>
                <c:manualLayout>
                  <c:x val="-2.4477366511038309E-2"/>
                  <c:y val="-6.345544567038931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DF60-429E-A168-5785F923E5D1}"/>
                </c:ext>
              </c:extLst>
            </c:dLbl>
            <c:dLbl>
              <c:idx val="3"/>
              <c:layout>
                <c:manualLayout>
                  <c:x val="1.8064606789566144E-4"/>
                  <c:y val="-5.936943151845027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DF60-429E-A168-5785F923E5D1}"/>
                </c:ext>
              </c:extLst>
            </c:dLbl>
            <c:dLbl>
              <c:idx val="4"/>
              <c:layout>
                <c:manualLayout>
                  <c:x val="2.5076926590547104E-2"/>
                  <c:y val="3.9907258291468233E-4"/>
                </c:manualLayout>
              </c:layout>
              <c:tx>
                <c:rich>
                  <a:bodyPr/>
                  <a:lstStyle/>
                  <a:p>
                    <a:fld id="{9B864A9D-E9E3-479F-8971-829D0D2992B9}" type="PERCENTAGE">
                      <a:rPr lang="en-US">
                        <a:solidFill>
                          <a:schemeClr val="tx1"/>
                        </a:solidFill>
                      </a:rPr>
                      <a:pPr/>
                      <a:t>[PERCENTAGE]</a:t>
                    </a:fld>
                    <a:endParaRPr lang="en-GB"/>
                  </a:p>
                </c:rich>
              </c:tx>
              <c:dLblPos val="bestFit"/>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9-DF60-429E-A168-5785F923E5D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DataVisualisation!$V$63:$V$70</c:f>
              <c:strCache>
                <c:ptCount val="7"/>
                <c:pt idx="0">
                  <c:v>France</c:v>
                </c:pt>
                <c:pt idx="1">
                  <c:v>Germany</c:v>
                </c:pt>
                <c:pt idx="2">
                  <c:v>N/A</c:v>
                </c:pt>
                <c:pt idx="3">
                  <c:v>Sweden</c:v>
                </c:pt>
                <c:pt idx="4">
                  <c:v>Switzerland</c:v>
                </c:pt>
                <c:pt idx="5">
                  <c:v>United Kingdom</c:v>
                </c:pt>
                <c:pt idx="6">
                  <c:v>(blank)</c:v>
                </c:pt>
              </c:strCache>
            </c:strRef>
          </c:cat>
          <c:val>
            <c:numRef>
              <c:f>DataVisualisation!$W$63:$W$70</c:f>
              <c:numCache>
                <c:formatCode>General</c:formatCode>
                <c:ptCount val="7"/>
                <c:pt idx="0">
                  <c:v>12</c:v>
                </c:pt>
                <c:pt idx="1">
                  <c:v>39</c:v>
                </c:pt>
                <c:pt idx="2">
                  <c:v>26</c:v>
                </c:pt>
                <c:pt idx="3">
                  <c:v>9</c:v>
                </c:pt>
                <c:pt idx="4">
                  <c:v>9</c:v>
                </c:pt>
                <c:pt idx="5">
                  <c:v>944</c:v>
                </c:pt>
              </c:numCache>
            </c:numRef>
          </c:val>
          <c:extLst>
            <c:ext xmlns:c16="http://schemas.microsoft.com/office/drawing/2014/chart" uri="{C3380CC4-5D6E-409C-BE32-E72D297353CC}">
              <c16:uniqueId val="{00000000-7CDD-470C-A5BC-AC7E434ED282}"/>
            </c:ext>
          </c:extLst>
        </c:ser>
        <c:dLbls>
          <c:dLblPos val="inEnd"/>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PricePerUnit by Quantity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DataVisualisation!$F$1</c:f>
              <c:strCache>
                <c:ptCount val="1"/>
                <c:pt idx="0">
                  <c:v> PricePerUnit </c:v>
                </c:pt>
              </c:strCache>
            </c:strRef>
          </c:tx>
          <c:spPr>
            <a:ln w="19050"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xVal>
            <c:numRef>
              <c:f>DataVisualisation!$D$2:$D$138</c:f>
              <c:numCache>
                <c:formatCode>General</c:formatCode>
                <c:ptCount val="13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2</c:v>
                </c:pt>
                <c:pt idx="28">
                  <c:v>2</c:v>
                </c:pt>
                <c:pt idx="29">
                  <c:v>2</c:v>
                </c:pt>
                <c:pt idx="30">
                  <c:v>2</c:v>
                </c:pt>
                <c:pt idx="31">
                  <c:v>2</c:v>
                </c:pt>
                <c:pt idx="32">
                  <c:v>2</c:v>
                </c:pt>
                <c:pt idx="33">
                  <c:v>2</c:v>
                </c:pt>
                <c:pt idx="34">
                  <c:v>2</c:v>
                </c:pt>
                <c:pt idx="35">
                  <c:v>3</c:v>
                </c:pt>
                <c:pt idx="36">
                  <c:v>3</c:v>
                </c:pt>
                <c:pt idx="37">
                  <c:v>3</c:v>
                </c:pt>
                <c:pt idx="38">
                  <c:v>3</c:v>
                </c:pt>
                <c:pt idx="39">
                  <c:v>3</c:v>
                </c:pt>
                <c:pt idx="40">
                  <c:v>3</c:v>
                </c:pt>
                <c:pt idx="41">
                  <c:v>3</c:v>
                </c:pt>
                <c:pt idx="42">
                  <c:v>3</c:v>
                </c:pt>
                <c:pt idx="43">
                  <c:v>4</c:v>
                </c:pt>
                <c:pt idx="44">
                  <c:v>4</c:v>
                </c:pt>
                <c:pt idx="45">
                  <c:v>4</c:v>
                </c:pt>
                <c:pt idx="46">
                  <c:v>4</c:v>
                </c:pt>
                <c:pt idx="47">
                  <c:v>5</c:v>
                </c:pt>
                <c:pt idx="48">
                  <c:v>5</c:v>
                </c:pt>
                <c:pt idx="49">
                  <c:v>5</c:v>
                </c:pt>
                <c:pt idx="50">
                  <c:v>5</c:v>
                </c:pt>
                <c:pt idx="51">
                  <c:v>5</c:v>
                </c:pt>
                <c:pt idx="52">
                  <c:v>5</c:v>
                </c:pt>
                <c:pt idx="53">
                  <c:v>5</c:v>
                </c:pt>
                <c:pt idx="54">
                  <c:v>6</c:v>
                </c:pt>
                <c:pt idx="55">
                  <c:v>6</c:v>
                </c:pt>
                <c:pt idx="56">
                  <c:v>6</c:v>
                </c:pt>
                <c:pt idx="57">
                  <c:v>6</c:v>
                </c:pt>
                <c:pt idx="58">
                  <c:v>7</c:v>
                </c:pt>
                <c:pt idx="59">
                  <c:v>7</c:v>
                </c:pt>
                <c:pt idx="60">
                  <c:v>10</c:v>
                </c:pt>
                <c:pt idx="61">
                  <c:v>10</c:v>
                </c:pt>
                <c:pt idx="62">
                  <c:v>10</c:v>
                </c:pt>
                <c:pt idx="63">
                  <c:v>10</c:v>
                </c:pt>
                <c:pt idx="64">
                  <c:v>10</c:v>
                </c:pt>
                <c:pt idx="65">
                  <c:v>11</c:v>
                </c:pt>
                <c:pt idx="66">
                  <c:v>11</c:v>
                </c:pt>
                <c:pt idx="67">
                  <c:v>12</c:v>
                </c:pt>
                <c:pt idx="68">
                  <c:v>12</c:v>
                </c:pt>
                <c:pt idx="69">
                  <c:v>12</c:v>
                </c:pt>
                <c:pt idx="70">
                  <c:v>12</c:v>
                </c:pt>
                <c:pt idx="71">
                  <c:v>12</c:v>
                </c:pt>
                <c:pt idx="72">
                  <c:v>12</c:v>
                </c:pt>
                <c:pt idx="73">
                  <c:v>12</c:v>
                </c:pt>
                <c:pt idx="74">
                  <c:v>12</c:v>
                </c:pt>
                <c:pt idx="75">
                  <c:v>12</c:v>
                </c:pt>
                <c:pt idx="76">
                  <c:v>12</c:v>
                </c:pt>
                <c:pt idx="77">
                  <c:v>12</c:v>
                </c:pt>
                <c:pt idx="78">
                  <c:v>12</c:v>
                </c:pt>
                <c:pt idx="79">
                  <c:v>12</c:v>
                </c:pt>
                <c:pt idx="80">
                  <c:v>12</c:v>
                </c:pt>
                <c:pt idx="81">
                  <c:v>12</c:v>
                </c:pt>
                <c:pt idx="82">
                  <c:v>12</c:v>
                </c:pt>
                <c:pt idx="83">
                  <c:v>12</c:v>
                </c:pt>
                <c:pt idx="84">
                  <c:v>12</c:v>
                </c:pt>
                <c:pt idx="85">
                  <c:v>12</c:v>
                </c:pt>
                <c:pt idx="86">
                  <c:v>12</c:v>
                </c:pt>
                <c:pt idx="87">
                  <c:v>12</c:v>
                </c:pt>
                <c:pt idx="88">
                  <c:v>12</c:v>
                </c:pt>
                <c:pt idx="89">
                  <c:v>12</c:v>
                </c:pt>
                <c:pt idx="90">
                  <c:v>12</c:v>
                </c:pt>
                <c:pt idx="91">
                  <c:v>12</c:v>
                </c:pt>
                <c:pt idx="92">
                  <c:v>15</c:v>
                </c:pt>
                <c:pt idx="93">
                  <c:v>17</c:v>
                </c:pt>
                <c:pt idx="94">
                  <c:v>17</c:v>
                </c:pt>
                <c:pt idx="95">
                  <c:v>20</c:v>
                </c:pt>
                <c:pt idx="96">
                  <c:v>20</c:v>
                </c:pt>
                <c:pt idx="97">
                  <c:v>20</c:v>
                </c:pt>
                <c:pt idx="98">
                  <c:v>20</c:v>
                </c:pt>
                <c:pt idx="99">
                  <c:v>20</c:v>
                </c:pt>
                <c:pt idx="100">
                  <c:v>20</c:v>
                </c:pt>
                <c:pt idx="101">
                  <c:v>20</c:v>
                </c:pt>
                <c:pt idx="102">
                  <c:v>20</c:v>
                </c:pt>
                <c:pt idx="103">
                  <c:v>20</c:v>
                </c:pt>
                <c:pt idx="104">
                  <c:v>20</c:v>
                </c:pt>
                <c:pt idx="105">
                  <c:v>20</c:v>
                </c:pt>
                <c:pt idx="106">
                  <c:v>22</c:v>
                </c:pt>
                <c:pt idx="107">
                  <c:v>22</c:v>
                </c:pt>
                <c:pt idx="108">
                  <c:v>24</c:v>
                </c:pt>
                <c:pt idx="109">
                  <c:v>24</c:v>
                </c:pt>
                <c:pt idx="110">
                  <c:v>24</c:v>
                </c:pt>
                <c:pt idx="111">
                  <c:v>24</c:v>
                </c:pt>
                <c:pt idx="112">
                  <c:v>24</c:v>
                </c:pt>
                <c:pt idx="113">
                  <c:v>24</c:v>
                </c:pt>
                <c:pt idx="114">
                  <c:v>24</c:v>
                </c:pt>
                <c:pt idx="115">
                  <c:v>24</c:v>
                </c:pt>
                <c:pt idx="116">
                  <c:v>24</c:v>
                </c:pt>
                <c:pt idx="117">
                  <c:v>24</c:v>
                </c:pt>
                <c:pt idx="118">
                  <c:v>24</c:v>
                </c:pt>
                <c:pt idx="119">
                  <c:v>24</c:v>
                </c:pt>
                <c:pt idx="120">
                  <c:v>36</c:v>
                </c:pt>
                <c:pt idx="121">
                  <c:v>36</c:v>
                </c:pt>
                <c:pt idx="122">
                  <c:v>40</c:v>
                </c:pt>
                <c:pt idx="123">
                  <c:v>48</c:v>
                </c:pt>
                <c:pt idx="124">
                  <c:v>48</c:v>
                </c:pt>
                <c:pt idx="125">
                  <c:v>48</c:v>
                </c:pt>
                <c:pt idx="126">
                  <c:v>48</c:v>
                </c:pt>
              </c:numCache>
            </c:numRef>
          </c:xVal>
          <c:yVal>
            <c:numRef>
              <c:f>DataVisualisation!$F$2:$F$138</c:f>
              <c:numCache>
                <c:formatCode>_-[$$-409]* #,##0.00_ ;_-[$$-409]* \-#,##0.00\ ;_-[$$-409]* "-"??_ ;_-@_ </c:formatCode>
                <c:ptCount val="137"/>
                <c:pt idx="0">
                  <c:v>1.66</c:v>
                </c:pt>
                <c:pt idx="1">
                  <c:v>1.66</c:v>
                </c:pt>
                <c:pt idx="2">
                  <c:v>1.63</c:v>
                </c:pt>
                <c:pt idx="3">
                  <c:v>1.63</c:v>
                </c:pt>
                <c:pt idx="4">
                  <c:v>1.63</c:v>
                </c:pt>
                <c:pt idx="5">
                  <c:v>1.63</c:v>
                </c:pt>
                <c:pt idx="6">
                  <c:v>1.63</c:v>
                </c:pt>
                <c:pt idx="7">
                  <c:v>1.63</c:v>
                </c:pt>
                <c:pt idx="8">
                  <c:v>0.85</c:v>
                </c:pt>
                <c:pt idx="9">
                  <c:v>0.85</c:v>
                </c:pt>
                <c:pt idx="10">
                  <c:v>0.85</c:v>
                </c:pt>
                <c:pt idx="11">
                  <c:v>0.85</c:v>
                </c:pt>
                <c:pt idx="12">
                  <c:v>0.85</c:v>
                </c:pt>
                <c:pt idx="13">
                  <c:v>0.85</c:v>
                </c:pt>
                <c:pt idx="14">
                  <c:v>0.85</c:v>
                </c:pt>
                <c:pt idx="15">
                  <c:v>0.85</c:v>
                </c:pt>
                <c:pt idx="16">
                  <c:v>0.85</c:v>
                </c:pt>
                <c:pt idx="17">
                  <c:v>0.85</c:v>
                </c:pt>
                <c:pt idx="18">
                  <c:v>0.85</c:v>
                </c:pt>
                <c:pt idx="19">
                  <c:v>0.85</c:v>
                </c:pt>
                <c:pt idx="20">
                  <c:v>0.85</c:v>
                </c:pt>
                <c:pt idx="21">
                  <c:v>0.83</c:v>
                </c:pt>
                <c:pt idx="22">
                  <c:v>0.81</c:v>
                </c:pt>
                <c:pt idx="23">
                  <c:v>0.81</c:v>
                </c:pt>
                <c:pt idx="24">
                  <c:v>0.81</c:v>
                </c:pt>
                <c:pt idx="25">
                  <c:v>0.81</c:v>
                </c:pt>
                <c:pt idx="26">
                  <c:v>0.81</c:v>
                </c:pt>
                <c:pt idx="27">
                  <c:v>1.66</c:v>
                </c:pt>
                <c:pt idx="28">
                  <c:v>1.63</c:v>
                </c:pt>
                <c:pt idx="29">
                  <c:v>1.63</c:v>
                </c:pt>
                <c:pt idx="30">
                  <c:v>1.63</c:v>
                </c:pt>
                <c:pt idx="31">
                  <c:v>0.85</c:v>
                </c:pt>
                <c:pt idx="32">
                  <c:v>0.85</c:v>
                </c:pt>
                <c:pt idx="33">
                  <c:v>0.85</c:v>
                </c:pt>
                <c:pt idx="34">
                  <c:v>0.85</c:v>
                </c:pt>
                <c:pt idx="35">
                  <c:v>1.63</c:v>
                </c:pt>
                <c:pt idx="36">
                  <c:v>0.85</c:v>
                </c:pt>
                <c:pt idx="37">
                  <c:v>0.85</c:v>
                </c:pt>
                <c:pt idx="38">
                  <c:v>0.85</c:v>
                </c:pt>
                <c:pt idx="39">
                  <c:v>0.85</c:v>
                </c:pt>
                <c:pt idx="40">
                  <c:v>0.83</c:v>
                </c:pt>
                <c:pt idx="41">
                  <c:v>0.81</c:v>
                </c:pt>
                <c:pt idx="42">
                  <c:v>0.81</c:v>
                </c:pt>
                <c:pt idx="43">
                  <c:v>1.63</c:v>
                </c:pt>
                <c:pt idx="44">
                  <c:v>1.63</c:v>
                </c:pt>
                <c:pt idx="45">
                  <c:v>1.63</c:v>
                </c:pt>
                <c:pt idx="46">
                  <c:v>0.79</c:v>
                </c:pt>
                <c:pt idx="47">
                  <c:v>1.66</c:v>
                </c:pt>
                <c:pt idx="48">
                  <c:v>1.63</c:v>
                </c:pt>
                <c:pt idx="49">
                  <c:v>0.85</c:v>
                </c:pt>
                <c:pt idx="50">
                  <c:v>0.85</c:v>
                </c:pt>
                <c:pt idx="51">
                  <c:v>0.85</c:v>
                </c:pt>
                <c:pt idx="52">
                  <c:v>0.85</c:v>
                </c:pt>
                <c:pt idx="53">
                  <c:v>0.81</c:v>
                </c:pt>
                <c:pt idx="54">
                  <c:v>1.63</c:v>
                </c:pt>
                <c:pt idx="55">
                  <c:v>1.63</c:v>
                </c:pt>
                <c:pt idx="56">
                  <c:v>0.81</c:v>
                </c:pt>
                <c:pt idx="57">
                  <c:v>0.81</c:v>
                </c:pt>
                <c:pt idx="58">
                  <c:v>0.85</c:v>
                </c:pt>
                <c:pt idx="59">
                  <c:v>0.81</c:v>
                </c:pt>
                <c:pt idx="60">
                  <c:v>0.85</c:v>
                </c:pt>
                <c:pt idx="61">
                  <c:v>0.85</c:v>
                </c:pt>
                <c:pt idx="62">
                  <c:v>0.85</c:v>
                </c:pt>
                <c:pt idx="63">
                  <c:v>0.85</c:v>
                </c:pt>
                <c:pt idx="64">
                  <c:v>0.85</c:v>
                </c:pt>
                <c:pt idx="65">
                  <c:v>1.66</c:v>
                </c:pt>
                <c:pt idx="66">
                  <c:v>1.63</c:v>
                </c:pt>
                <c:pt idx="67">
                  <c:v>0.83</c:v>
                </c:pt>
                <c:pt idx="68">
                  <c:v>0.75</c:v>
                </c:pt>
                <c:pt idx="69">
                  <c:v>1.63</c:v>
                </c:pt>
                <c:pt idx="70">
                  <c:v>1.63</c:v>
                </c:pt>
                <c:pt idx="71">
                  <c:v>0.85</c:v>
                </c:pt>
                <c:pt idx="72">
                  <c:v>0.85</c:v>
                </c:pt>
                <c:pt idx="73">
                  <c:v>0.83</c:v>
                </c:pt>
                <c:pt idx="74">
                  <c:v>0.83</c:v>
                </c:pt>
                <c:pt idx="75">
                  <c:v>0.83</c:v>
                </c:pt>
                <c:pt idx="76">
                  <c:v>0.83</c:v>
                </c:pt>
                <c:pt idx="77">
                  <c:v>0.83</c:v>
                </c:pt>
                <c:pt idx="78">
                  <c:v>0.83</c:v>
                </c:pt>
                <c:pt idx="79">
                  <c:v>0.83</c:v>
                </c:pt>
                <c:pt idx="80">
                  <c:v>0.83</c:v>
                </c:pt>
                <c:pt idx="81">
                  <c:v>0.83</c:v>
                </c:pt>
                <c:pt idx="82">
                  <c:v>0.83</c:v>
                </c:pt>
                <c:pt idx="83">
                  <c:v>0.83</c:v>
                </c:pt>
                <c:pt idx="84">
                  <c:v>0.79</c:v>
                </c:pt>
                <c:pt idx="85">
                  <c:v>0.75</c:v>
                </c:pt>
                <c:pt idx="86">
                  <c:v>0.75</c:v>
                </c:pt>
                <c:pt idx="87">
                  <c:v>0.75</c:v>
                </c:pt>
                <c:pt idx="88">
                  <c:v>0.75</c:v>
                </c:pt>
                <c:pt idx="89">
                  <c:v>0.75</c:v>
                </c:pt>
                <c:pt idx="90">
                  <c:v>0.75</c:v>
                </c:pt>
                <c:pt idx="91">
                  <c:v>0.75</c:v>
                </c:pt>
                <c:pt idx="92">
                  <c:v>0.83</c:v>
                </c:pt>
                <c:pt idx="93">
                  <c:v>1.63</c:v>
                </c:pt>
                <c:pt idx="94">
                  <c:v>0.99</c:v>
                </c:pt>
                <c:pt idx="95">
                  <c:v>0.85</c:v>
                </c:pt>
                <c:pt idx="96">
                  <c:v>0.85</c:v>
                </c:pt>
                <c:pt idx="97">
                  <c:v>0.85</c:v>
                </c:pt>
                <c:pt idx="98">
                  <c:v>0.85</c:v>
                </c:pt>
                <c:pt idx="99">
                  <c:v>0.85</c:v>
                </c:pt>
                <c:pt idx="100">
                  <c:v>0.85</c:v>
                </c:pt>
                <c:pt idx="101">
                  <c:v>0.85</c:v>
                </c:pt>
                <c:pt idx="102">
                  <c:v>0.85</c:v>
                </c:pt>
                <c:pt idx="103">
                  <c:v>0.85</c:v>
                </c:pt>
                <c:pt idx="104">
                  <c:v>0.85</c:v>
                </c:pt>
                <c:pt idx="105">
                  <c:v>0.85</c:v>
                </c:pt>
                <c:pt idx="106">
                  <c:v>1.63</c:v>
                </c:pt>
                <c:pt idx="107">
                  <c:v>0.79</c:v>
                </c:pt>
                <c:pt idx="108">
                  <c:v>0.75</c:v>
                </c:pt>
                <c:pt idx="109">
                  <c:v>0.83</c:v>
                </c:pt>
                <c:pt idx="110">
                  <c:v>0.85</c:v>
                </c:pt>
                <c:pt idx="111">
                  <c:v>0.83</c:v>
                </c:pt>
                <c:pt idx="112">
                  <c:v>0.83</c:v>
                </c:pt>
                <c:pt idx="113">
                  <c:v>0.83</c:v>
                </c:pt>
                <c:pt idx="114">
                  <c:v>0.83</c:v>
                </c:pt>
                <c:pt idx="115">
                  <c:v>0.83</c:v>
                </c:pt>
                <c:pt idx="116">
                  <c:v>0.83</c:v>
                </c:pt>
                <c:pt idx="117">
                  <c:v>0.75</c:v>
                </c:pt>
                <c:pt idx="118">
                  <c:v>0.75</c:v>
                </c:pt>
                <c:pt idx="119">
                  <c:v>0.75</c:v>
                </c:pt>
                <c:pt idx="120">
                  <c:v>0.75</c:v>
                </c:pt>
                <c:pt idx="121">
                  <c:v>0.83</c:v>
                </c:pt>
                <c:pt idx="122">
                  <c:v>0.85</c:v>
                </c:pt>
                <c:pt idx="123">
                  <c:v>0.85</c:v>
                </c:pt>
                <c:pt idx="124">
                  <c:v>0.83</c:v>
                </c:pt>
                <c:pt idx="125">
                  <c:v>0.83</c:v>
                </c:pt>
                <c:pt idx="126">
                  <c:v>0.75</c:v>
                </c:pt>
              </c:numCache>
            </c:numRef>
          </c:yVal>
          <c:smooth val="1"/>
          <c:extLst>
            <c:ext xmlns:c16="http://schemas.microsoft.com/office/drawing/2014/chart" uri="{C3380CC4-5D6E-409C-BE32-E72D297353CC}">
              <c16:uniqueId val="{00000000-592C-40E6-89B9-6060F69F72A8}"/>
            </c:ext>
          </c:extLst>
        </c:ser>
        <c:dLbls>
          <c:showLegendKey val="0"/>
          <c:showVal val="0"/>
          <c:showCatName val="0"/>
          <c:showSerName val="0"/>
          <c:showPercent val="0"/>
          <c:showBubbleSize val="0"/>
        </c:dLbls>
        <c:axId val="1125609535"/>
        <c:axId val="1125619135"/>
      </c:scatterChart>
      <c:valAx>
        <c:axId val="11256095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Product</a:t>
                </a:r>
                <a:r>
                  <a:rPr lang="en-GB" baseline="0"/>
                  <a:t> Quantity (units)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5619135"/>
        <c:crosses val="autoZero"/>
        <c:crossBetween val="midCat"/>
      </c:valAx>
      <c:valAx>
        <c:axId val="11256191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Price per Unit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409]* #,##0.00_ ;_-[$$-409]* \-#,##0.00\ ;_-[$$-409]* &quot;-&quot;??_ ;_-@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56095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[COMP1887_Coursework_ExcelFile.xlsm]DataVisualisation!PivotTable37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Projects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DataVisualisation!$W$99</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DataVisualisation!$V$100:$V$107</c:f>
              <c:strCache>
                <c:ptCount val="7"/>
                <c:pt idx="0">
                  <c:v>France</c:v>
                </c:pt>
                <c:pt idx="1">
                  <c:v>Germany</c:v>
                </c:pt>
                <c:pt idx="2">
                  <c:v>N/A</c:v>
                </c:pt>
                <c:pt idx="3">
                  <c:v>Sweden</c:v>
                </c:pt>
                <c:pt idx="4">
                  <c:v>Switzerland</c:v>
                </c:pt>
                <c:pt idx="5">
                  <c:v>United Kingdom</c:v>
                </c:pt>
                <c:pt idx="6">
                  <c:v>(blank)</c:v>
                </c:pt>
              </c:strCache>
            </c:strRef>
          </c:cat>
          <c:val>
            <c:numRef>
              <c:f>DataVisualisation!$W$100:$W$107</c:f>
              <c:numCache>
                <c:formatCode>General</c:formatCode>
                <c:ptCount val="7"/>
                <c:pt idx="0">
                  <c:v>4</c:v>
                </c:pt>
                <c:pt idx="1">
                  <c:v>22</c:v>
                </c:pt>
                <c:pt idx="2">
                  <c:v>7</c:v>
                </c:pt>
                <c:pt idx="3">
                  <c:v>7</c:v>
                </c:pt>
                <c:pt idx="4">
                  <c:v>1</c:v>
                </c:pt>
                <c:pt idx="5">
                  <c:v>446</c:v>
                </c:pt>
              </c:numCache>
            </c:numRef>
          </c:val>
          <c:smooth val="0"/>
          <c:extLst>
            <c:ext xmlns:c16="http://schemas.microsoft.com/office/drawing/2014/chart" uri="{C3380CC4-5D6E-409C-BE32-E72D297353CC}">
              <c16:uniqueId val="{00000000-2A5C-414A-87D1-85AE192DE02D}"/>
            </c:ext>
          </c:extLst>
        </c:ser>
        <c:dLbls>
          <c:dLblPos val="t"/>
          <c:showLegendKey val="0"/>
          <c:showVal val="1"/>
          <c:showCatName val="0"/>
          <c:showSerName val="0"/>
          <c:showPercent val="0"/>
          <c:showBubbleSize val="0"/>
        </c:dLbls>
        <c:smooth val="0"/>
        <c:axId val="1114498719"/>
        <c:axId val="1114492479"/>
      </c:lineChart>
      <c:catAx>
        <c:axId val="11144987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4492479"/>
        <c:crosses val="autoZero"/>
        <c:auto val="1"/>
        <c:lblAlgn val="ctr"/>
        <c:lblOffset val="100"/>
        <c:noMultiLvlLbl val="0"/>
      </c:catAx>
      <c:valAx>
        <c:axId val="11144924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44987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[COMP1887_Coursework_ExcelFile.xlsm]DataVisualisation!PivotTable1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DataVisualisation!$S$64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DataVisualisation!$R$65:$R$74</c:f>
              <c:strCache>
                <c:ptCount val="9"/>
                <c:pt idx="0">
                  <c:v>2</c:v>
                </c:pt>
                <c:pt idx="1">
                  <c:v>3</c:v>
                </c:pt>
                <c:pt idx="2">
                  <c:v>4</c:v>
                </c:pt>
                <c:pt idx="3">
                  <c:v>8</c:v>
                </c:pt>
                <c:pt idx="4">
                  <c:v>9</c:v>
                </c:pt>
                <c:pt idx="5">
                  <c:v>10</c:v>
                </c:pt>
                <c:pt idx="6">
                  <c:v>11</c:v>
                </c:pt>
                <c:pt idx="7">
                  <c:v>12</c:v>
                </c:pt>
                <c:pt idx="8">
                  <c:v>13</c:v>
                </c:pt>
              </c:strCache>
            </c:strRef>
          </c:cat>
          <c:val>
            <c:numRef>
              <c:f>DataVisualisation!$S$65:$S$74</c:f>
              <c:numCache>
                <c:formatCode>General</c:formatCode>
                <c:ptCount val="9"/>
                <c:pt idx="0">
                  <c:v>5</c:v>
                </c:pt>
                <c:pt idx="1">
                  <c:v>5</c:v>
                </c:pt>
                <c:pt idx="2">
                  <c:v>85</c:v>
                </c:pt>
                <c:pt idx="3">
                  <c:v>3</c:v>
                </c:pt>
                <c:pt idx="4">
                  <c:v>167</c:v>
                </c:pt>
                <c:pt idx="5">
                  <c:v>127</c:v>
                </c:pt>
                <c:pt idx="6">
                  <c:v>4</c:v>
                </c:pt>
                <c:pt idx="7">
                  <c:v>101</c:v>
                </c:pt>
                <c:pt idx="8">
                  <c:v>2</c:v>
                </c:pt>
              </c:numCache>
            </c:numRef>
          </c:val>
          <c:extLst>
            <c:ext xmlns:c16="http://schemas.microsoft.com/office/drawing/2014/chart" uri="{C3380CC4-5D6E-409C-BE32-E72D297353CC}">
              <c16:uniqueId val="{00000000-A59A-49AE-9770-D70DFC837EEE}"/>
            </c:ext>
          </c:extLst>
        </c:ser>
        <c:dLbls>
          <c:dLblPos val="outEnd"/>
          <c:showLegendKey val="0"/>
          <c:showVal val="1"/>
          <c:showCatName val="0"/>
          <c:showSerName val="0"/>
          <c:showPercent val="0"/>
          <c:showBubbleSize val="0"/>
        </c:dLbls>
        <c:gapWidth val="182"/>
        <c:axId val="273669775"/>
        <c:axId val="273664495"/>
      </c:barChart>
      <c:catAx>
        <c:axId val="273669775"/>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Total</a:t>
                </a:r>
                <a:r>
                  <a:rPr lang="en-GB" baseline="0"/>
                  <a:t> Projects</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3664495"/>
        <c:crosses val="autoZero"/>
        <c:auto val="1"/>
        <c:lblAlgn val="ctr"/>
        <c:lblOffset val="100"/>
        <c:noMultiLvlLbl val="0"/>
      </c:catAx>
      <c:valAx>
        <c:axId val="27366449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Leads generated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36697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PricePerUnit  Residual Plot</a:t>
            </a:r>
          </a:p>
        </c:rich>
      </c:tx>
      <c:overlay val="0"/>
    </c:title>
    <c:autoTitleDeleted val="0"/>
    <c:plotArea>
      <c:layout/>
      <c:scatterChart>
        <c:scatterStyle val="lineMarker"/>
        <c:varyColors val="0"/>
        <c:ser>
          <c:idx val="0"/>
          <c:order val="0"/>
          <c:spPr>
            <a:ln w="38100">
              <a:noFill/>
            </a:ln>
          </c:spPr>
          <c:trendline>
            <c:trendlineType val="linear"/>
            <c:dispRSqr val="0"/>
            <c:dispEq val="0"/>
          </c:trendline>
          <c:xVal>
            <c:numRef>
              <c:f>Regressio_Data!$F$2:$F$128</c:f>
              <c:numCache>
                <c:formatCode>_-[$$-409]* #,##0.00_ ;_-[$$-409]* \-#,##0.00\ ;_-[$$-409]* "-"??_ ;_-@_ </c:formatCode>
                <c:ptCount val="127"/>
                <c:pt idx="0">
                  <c:v>0.85</c:v>
                </c:pt>
                <c:pt idx="1">
                  <c:v>0.85</c:v>
                </c:pt>
                <c:pt idx="2">
                  <c:v>0.85</c:v>
                </c:pt>
                <c:pt idx="3">
                  <c:v>0.85</c:v>
                </c:pt>
                <c:pt idx="4">
                  <c:v>0.85</c:v>
                </c:pt>
                <c:pt idx="5">
                  <c:v>1.66</c:v>
                </c:pt>
                <c:pt idx="6">
                  <c:v>1.66</c:v>
                </c:pt>
                <c:pt idx="7">
                  <c:v>1.66</c:v>
                </c:pt>
                <c:pt idx="8">
                  <c:v>0.85</c:v>
                </c:pt>
                <c:pt idx="9">
                  <c:v>0.85</c:v>
                </c:pt>
                <c:pt idx="10">
                  <c:v>0.85</c:v>
                </c:pt>
                <c:pt idx="11">
                  <c:v>0.85</c:v>
                </c:pt>
                <c:pt idx="12">
                  <c:v>0.85</c:v>
                </c:pt>
                <c:pt idx="13">
                  <c:v>1.66</c:v>
                </c:pt>
                <c:pt idx="14">
                  <c:v>0.85</c:v>
                </c:pt>
                <c:pt idx="15">
                  <c:v>1.66</c:v>
                </c:pt>
                <c:pt idx="16">
                  <c:v>0.85</c:v>
                </c:pt>
                <c:pt idx="17">
                  <c:v>0.85</c:v>
                </c:pt>
                <c:pt idx="18">
                  <c:v>0.85</c:v>
                </c:pt>
                <c:pt idx="19">
                  <c:v>0.85</c:v>
                </c:pt>
                <c:pt idx="20">
                  <c:v>0.85</c:v>
                </c:pt>
                <c:pt idx="21">
                  <c:v>0.81</c:v>
                </c:pt>
                <c:pt idx="22">
                  <c:v>0.81</c:v>
                </c:pt>
                <c:pt idx="23">
                  <c:v>0.81</c:v>
                </c:pt>
                <c:pt idx="24">
                  <c:v>0.81</c:v>
                </c:pt>
                <c:pt idx="25">
                  <c:v>0.81</c:v>
                </c:pt>
                <c:pt idx="26">
                  <c:v>0.81</c:v>
                </c:pt>
                <c:pt idx="27">
                  <c:v>0.81</c:v>
                </c:pt>
                <c:pt idx="28">
                  <c:v>0.81</c:v>
                </c:pt>
                <c:pt idx="29">
                  <c:v>0.81</c:v>
                </c:pt>
                <c:pt idx="30">
                  <c:v>0.81</c:v>
                </c:pt>
                <c:pt idx="31">
                  <c:v>0.81</c:v>
                </c:pt>
                <c:pt idx="32">
                  <c:v>0.79</c:v>
                </c:pt>
                <c:pt idx="33">
                  <c:v>0.79</c:v>
                </c:pt>
                <c:pt idx="34">
                  <c:v>0.79</c:v>
                </c:pt>
                <c:pt idx="35">
                  <c:v>0.85</c:v>
                </c:pt>
                <c:pt idx="36">
                  <c:v>0.75</c:v>
                </c:pt>
                <c:pt idx="37">
                  <c:v>0.75</c:v>
                </c:pt>
                <c:pt idx="38">
                  <c:v>0.75</c:v>
                </c:pt>
                <c:pt idx="39">
                  <c:v>0.75</c:v>
                </c:pt>
                <c:pt idx="40">
                  <c:v>0.75</c:v>
                </c:pt>
                <c:pt idx="41">
                  <c:v>1.63</c:v>
                </c:pt>
                <c:pt idx="42">
                  <c:v>1.63</c:v>
                </c:pt>
                <c:pt idx="43">
                  <c:v>1.63</c:v>
                </c:pt>
                <c:pt idx="44">
                  <c:v>0.99</c:v>
                </c:pt>
                <c:pt idx="45">
                  <c:v>0.75</c:v>
                </c:pt>
                <c:pt idx="46">
                  <c:v>0.75</c:v>
                </c:pt>
                <c:pt idx="47">
                  <c:v>0.75</c:v>
                </c:pt>
                <c:pt idx="48">
                  <c:v>0.75</c:v>
                </c:pt>
                <c:pt idx="49">
                  <c:v>1.63</c:v>
                </c:pt>
                <c:pt idx="50">
                  <c:v>1.63</c:v>
                </c:pt>
                <c:pt idx="51">
                  <c:v>1.63</c:v>
                </c:pt>
                <c:pt idx="52">
                  <c:v>1.63</c:v>
                </c:pt>
                <c:pt idx="53">
                  <c:v>0.75</c:v>
                </c:pt>
                <c:pt idx="54">
                  <c:v>0.75</c:v>
                </c:pt>
                <c:pt idx="55">
                  <c:v>0.75</c:v>
                </c:pt>
                <c:pt idx="56">
                  <c:v>1.63</c:v>
                </c:pt>
                <c:pt idx="57">
                  <c:v>0.83</c:v>
                </c:pt>
                <c:pt idx="58">
                  <c:v>1.63</c:v>
                </c:pt>
                <c:pt idx="59">
                  <c:v>0.83</c:v>
                </c:pt>
                <c:pt idx="60">
                  <c:v>1.63</c:v>
                </c:pt>
                <c:pt idx="61">
                  <c:v>0.75</c:v>
                </c:pt>
                <c:pt idx="62">
                  <c:v>0.75</c:v>
                </c:pt>
                <c:pt idx="63">
                  <c:v>0.83</c:v>
                </c:pt>
                <c:pt idx="64">
                  <c:v>1.63</c:v>
                </c:pt>
                <c:pt idx="65">
                  <c:v>1.63</c:v>
                </c:pt>
                <c:pt idx="66">
                  <c:v>0.83</c:v>
                </c:pt>
                <c:pt idx="67">
                  <c:v>0.83</c:v>
                </c:pt>
                <c:pt idx="68">
                  <c:v>0.83</c:v>
                </c:pt>
                <c:pt idx="69">
                  <c:v>0.83</c:v>
                </c:pt>
                <c:pt idx="70">
                  <c:v>0.83</c:v>
                </c:pt>
                <c:pt idx="71">
                  <c:v>0.83</c:v>
                </c:pt>
                <c:pt idx="72">
                  <c:v>0.83</c:v>
                </c:pt>
                <c:pt idx="73">
                  <c:v>0.83</c:v>
                </c:pt>
                <c:pt idx="74">
                  <c:v>0.83</c:v>
                </c:pt>
                <c:pt idx="75">
                  <c:v>0.83</c:v>
                </c:pt>
                <c:pt idx="76">
                  <c:v>0.85</c:v>
                </c:pt>
                <c:pt idx="77">
                  <c:v>1.63</c:v>
                </c:pt>
                <c:pt idx="78">
                  <c:v>0.83</c:v>
                </c:pt>
                <c:pt idx="79">
                  <c:v>1.63</c:v>
                </c:pt>
                <c:pt idx="80">
                  <c:v>1.63</c:v>
                </c:pt>
                <c:pt idx="81">
                  <c:v>1.63</c:v>
                </c:pt>
                <c:pt idx="82">
                  <c:v>0.83</c:v>
                </c:pt>
                <c:pt idx="83">
                  <c:v>0.83</c:v>
                </c:pt>
                <c:pt idx="84">
                  <c:v>0.83</c:v>
                </c:pt>
                <c:pt idx="85">
                  <c:v>0.83</c:v>
                </c:pt>
                <c:pt idx="86">
                  <c:v>1.63</c:v>
                </c:pt>
                <c:pt idx="87">
                  <c:v>1.63</c:v>
                </c:pt>
                <c:pt idx="88">
                  <c:v>0.83</c:v>
                </c:pt>
                <c:pt idx="89">
                  <c:v>0.83</c:v>
                </c:pt>
                <c:pt idx="90">
                  <c:v>0.83</c:v>
                </c:pt>
                <c:pt idx="91">
                  <c:v>0.83</c:v>
                </c:pt>
                <c:pt idx="92">
                  <c:v>0.83</c:v>
                </c:pt>
                <c:pt idx="93">
                  <c:v>0.83</c:v>
                </c:pt>
                <c:pt idx="94">
                  <c:v>0.83</c:v>
                </c:pt>
                <c:pt idx="95">
                  <c:v>0.85</c:v>
                </c:pt>
                <c:pt idx="96">
                  <c:v>0.85</c:v>
                </c:pt>
                <c:pt idx="97">
                  <c:v>0.85</c:v>
                </c:pt>
                <c:pt idx="98">
                  <c:v>0.85</c:v>
                </c:pt>
                <c:pt idx="99">
                  <c:v>0.85</c:v>
                </c:pt>
                <c:pt idx="100">
                  <c:v>0.85</c:v>
                </c:pt>
                <c:pt idx="101">
                  <c:v>0.85</c:v>
                </c:pt>
                <c:pt idx="102">
                  <c:v>0.85</c:v>
                </c:pt>
                <c:pt idx="103">
                  <c:v>1.63</c:v>
                </c:pt>
                <c:pt idx="104">
                  <c:v>0.85</c:v>
                </c:pt>
                <c:pt idx="105">
                  <c:v>0.85</c:v>
                </c:pt>
                <c:pt idx="106">
                  <c:v>0.85</c:v>
                </c:pt>
                <c:pt idx="107">
                  <c:v>0.85</c:v>
                </c:pt>
                <c:pt idx="108">
                  <c:v>1.63</c:v>
                </c:pt>
                <c:pt idx="109">
                  <c:v>0.85</c:v>
                </c:pt>
                <c:pt idx="110">
                  <c:v>0.85</c:v>
                </c:pt>
                <c:pt idx="111">
                  <c:v>0.85</c:v>
                </c:pt>
                <c:pt idx="112">
                  <c:v>0.85</c:v>
                </c:pt>
                <c:pt idx="113">
                  <c:v>0.85</c:v>
                </c:pt>
                <c:pt idx="114">
                  <c:v>0.85</c:v>
                </c:pt>
                <c:pt idx="115">
                  <c:v>0.85</c:v>
                </c:pt>
                <c:pt idx="116">
                  <c:v>0.85</c:v>
                </c:pt>
                <c:pt idx="117">
                  <c:v>0.85</c:v>
                </c:pt>
                <c:pt idx="118">
                  <c:v>0.85</c:v>
                </c:pt>
                <c:pt idx="119">
                  <c:v>0.85</c:v>
                </c:pt>
                <c:pt idx="120">
                  <c:v>0.85</c:v>
                </c:pt>
                <c:pt idx="121">
                  <c:v>0.85</c:v>
                </c:pt>
                <c:pt idx="122">
                  <c:v>1.63</c:v>
                </c:pt>
                <c:pt idx="123">
                  <c:v>0.85</c:v>
                </c:pt>
                <c:pt idx="124">
                  <c:v>0.85</c:v>
                </c:pt>
                <c:pt idx="125">
                  <c:v>0.85</c:v>
                </c:pt>
                <c:pt idx="126">
                  <c:v>0.85</c:v>
                </c:pt>
              </c:numCache>
            </c:numRef>
          </c:xVal>
          <c:yVal>
            <c:numRef>
              <c:f>Regression_Output!$C$25:$C$151</c:f>
              <c:numCache>
                <c:formatCode>General</c:formatCode>
                <c:ptCount val="127"/>
                <c:pt idx="0">
                  <c:v>35.329627087736156</c:v>
                </c:pt>
                <c:pt idx="1">
                  <c:v>-0.67037291226384355</c:v>
                </c:pt>
                <c:pt idx="2">
                  <c:v>-7.6703729122638435</c:v>
                </c:pt>
                <c:pt idx="3">
                  <c:v>-11.670372912263844</c:v>
                </c:pt>
                <c:pt idx="4">
                  <c:v>-11.670372912263844</c:v>
                </c:pt>
                <c:pt idx="5">
                  <c:v>6.2338521007324736</c:v>
                </c:pt>
                <c:pt idx="6">
                  <c:v>-2.7661478992675264</c:v>
                </c:pt>
                <c:pt idx="7">
                  <c:v>-3.7661478992675264</c:v>
                </c:pt>
                <c:pt idx="8">
                  <c:v>-2.6703729122638435</c:v>
                </c:pt>
                <c:pt idx="9">
                  <c:v>-11.670372912263844</c:v>
                </c:pt>
                <c:pt idx="10">
                  <c:v>-11.670372912263844</c:v>
                </c:pt>
                <c:pt idx="11">
                  <c:v>-9.6703729122638435</c:v>
                </c:pt>
                <c:pt idx="12">
                  <c:v>11.329627087736156</c:v>
                </c:pt>
                <c:pt idx="13">
                  <c:v>-3.7661478992675264</c:v>
                </c:pt>
                <c:pt idx="14">
                  <c:v>-10.670372912263844</c:v>
                </c:pt>
                <c:pt idx="15">
                  <c:v>0.23385210073247364</c:v>
                </c:pt>
                <c:pt idx="16">
                  <c:v>-10.670372912263844</c:v>
                </c:pt>
                <c:pt idx="17">
                  <c:v>-2.6703729122638435</c:v>
                </c:pt>
                <c:pt idx="18">
                  <c:v>-2.6703729122638435</c:v>
                </c:pt>
                <c:pt idx="19">
                  <c:v>-2.6703729122638435</c:v>
                </c:pt>
                <c:pt idx="20">
                  <c:v>-2.6703729122638435</c:v>
                </c:pt>
                <c:pt idx="21">
                  <c:v>-7.0607050116710681</c:v>
                </c:pt>
                <c:pt idx="22">
                  <c:v>-12.060705011671068</c:v>
                </c:pt>
                <c:pt idx="23">
                  <c:v>-12.060705011671068</c:v>
                </c:pt>
                <c:pt idx="24">
                  <c:v>-12.060705011671068</c:v>
                </c:pt>
                <c:pt idx="25">
                  <c:v>-8.0607050116710681</c:v>
                </c:pt>
                <c:pt idx="26">
                  <c:v>-10.060705011671068</c:v>
                </c:pt>
                <c:pt idx="27">
                  <c:v>-12.060705011671068</c:v>
                </c:pt>
                <c:pt idx="28">
                  <c:v>-7.0607050116710681</c:v>
                </c:pt>
                <c:pt idx="29">
                  <c:v>-10.060705011671068</c:v>
                </c:pt>
                <c:pt idx="30">
                  <c:v>-6.0607050116710681</c:v>
                </c:pt>
                <c:pt idx="31">
                  <c:v>-12.060705011671068</c:v>
                </c:pt>
                <c:pt idx="32">
                  <c:v>-9.2558710613746804</c:v>
                </c:pt>
                <c:pt idx="33">
                  <c:v>8.7441289386253196</c:v>
                </c:pt>
                <c:pt idx="34">
                  <c:v>-1.2558710613746804</c:v>
                </c:pt>
                <c:pt idx="35">
                  <c:v>-10.670372912263844</c:v>
                </c:pt>
                <c:pt idx="36">
                  <c:v>-1.6462031607819068</c:v>
                </c:pt>
                <c:pt idx="37">
                  <c:v>-1.6462031607819068</c:v>
                </c:pt>
                <c:pt idx="38">
                  <c:v>-1.6462031607819068</c:v>
                </c:pt>
                <c:pt idx="39">
                  <c:v>10.353796839218093</c:v>
                </c:pt>
                <c:pt idx="40">
                  <c:v>-1.6462031607819068</c:v>
                </c:pt>
                <c:pt idx="41">
                  <c:v>-4.0588969738229466</c:v>
                </c:pt>
                <c:pt idx="42">
                  <c:v>6.9411030261770534</c:v>
                </c:pt>
                <c:pt idx="43">
                  <c:v>-1.0588969738229466</c:v>
                </c:pt>
                <c:pt idx="44">
                  <c:v>5.695789435661446</c:v>
                </c:pt>
                <c:pt idx="45">
                  <c:v>-1.6462031607819068</c:v>
                </c:pt>
                <c:pt idx="46">
                  <c:v>-1.6462031607819068</c:v>
                </c:pt>
                <c:pt idx="47">
                  <c:v>10.353796839218093</c:v>
                </c:pt>
                <c:pt idx="48">
                  <c:v>10.353796839218093</c:v>
                </c:pt>
                <c:pt idx="49">
                  <c:v>5.9411030261770534</c:v>
                </c:pt>
                <c:pt idx="50">
                  <c:v>6.9411030261770534</c:v>
                </c:pt>
                <c:pt idx="51">
                  <c:v>16.941103026177053</c:v>
                </c:pt>
                <c:pt idx="52">
                  <c:v>0.94110302617705344</c:v>
                </c:pt>
                <c:pt idx="53">
                  <c:v>-1.6462031607819068</c:v>
                </c:pt>
                <c:pt idx="54">
                  <c:v>-1.6462031607819068</c:v>
                </c:pt>
                <c:pt idx="55">
                  <c:v>10.353796839218093</c:v>
                </c:pt>
                <c:pt idx="56">
                  <c:v>-1.0588969738229466</c:v>
                </c:pt>
                <c:pt idx="57">
                  <c:v>-0.86553896196745583</c:v>
                </c:pt>
                <c:pt idx="58">
                  <c:v>-4.0588969738229466</c:v>
                </c:pt>
                <c:pt idx="59">
                  <c:v>-0.86553896196745583</c:v>
                </c:pt>
                <c:pt idx="60">
                  <c:v>0.94110302617705344</c:v>
                </c:pt>
                <c:pt idx="61">
                  <c:v>34.353796839218091</c:v>
                </c:pt>
                <c:pt idx="62">
                  <c:v>22.353796839218091</c:v>
                </c:pt>
                <c:pt idx="63">
                  <c:v>23.134461038032544</c:v>
                </c:pt>
                <c:pt idx="64">
                  <c:v>-4.0588969738229466</c:v>
                </c:pt>
                <c:pt idx="65">
                  <c:v>11.941103026177053</c:v>
                </c:pt>
                <c:pt idx="66">
                  <c:v>-9.8655389619674558</c:v>
                </c:pt>
                <c:pt idx="67">
                  <c:v>-0.86553896196745583</c:v>
                </c:pt>
                <c:pt idx="68">
                  <c:v>-0.86553896196745583</c:v>
                </c:pt>
                <c:pt idx="69">
                  <c:v>-0.86553896196745583</c:v>
                </c:pt>
                <c:pt idx="70">
                  <c:v>-0.86553896196745583</c:v>
                </c:pt>
                <c:pt idx="71">
                  <c:v>11.134461038032544</c:v>
                </c:pt>
                <c:pt idx="72">
                  <c:v>-0.86553896196745583</c:v>
                </c:pt>
                <c:pt idx="73">
                  <c:v>11.134461038032544</c:v>
                </c:pt>
                <c:pt idx="74">
                  <c:v>35.134461038032541</c:v>
                </c:pt>
                <c:pt idx="75">
                  <c:v>35.134461038032541</c:v>
                </c:pt>
                <c:pt idx="76">
                  <c:v>-11.670372912263844</c:v>
                </c:pt>
                <c:pt idx="77">
                  <c:v>-3.0588969738229466</c:v>
                </c:pt>
                <c:pt idx="78">
                  <c:v>-0.86553896196745583</c:v>
                </c:pt>
                <c:pt idx="79">
                  <c:v>-1.0588969738229466</c:v>
                </c:pt>
                <c:pt idx="80">
                  <c:v>-2.0588969738229466</c:v>
                </c:pt>
                <c:pt idx="81">
                  <c:v>-3.0588969738229466</c:v>
                </c:pt>
                <c:pt idx="82">
                  <c:v>11.134461038032544</c:v>
                </c:pt>
                <c:pt idx="83">
                  <c:v>11.134461038032544</c:v>
                </c:pt>
                <c:pt idx="84">
                  <c:v>11.134461038032544</c:v>
                </c:pt>
                <c:pt idx="85">
                  <c:v>11.134461038032544</c:v>
                </c:pt>
                <c:pt idx="86">
                  <c:v>-5.8896973822946563E-2</c:v>
                </c:pt>
                <c:pt idx="87">
                  <c:v>-4.0588969738229466</c:v>
                </c:pt>
                <c:pt idx="88">
                  <c:v>-0.86553896196745583</c:v>
                </c:pt>
                <c:pt idx="89">
                  <c:v>-0.86553896196745583</c:v>
                </c:pt>
                <c:pt idx="90">
                  <c:v>-0.86553896196745583</c:v>
                </c:pt>
                <c:pt idx="91">
                  <c:v>-0.86553896196745583</c:v>
                </c:pt>
                <c:pt idx="92">
                  <c:v>-11.865538961967456</c:v>
                </c:pt>
                <c:pt idx="93">
                  <c:v>2.1344610380325442</c:v>
                </c:pt>
                <c:pt idx="94">
                  <c:v>11.134461038032544</c:v>
                </c:pt>
                <c:pt idx="95">
                  <c:v>-11.670372912263844</c:v>
                </c:pt>
                <c:pt idx="96">
                  <c:v>-11.670372912263844</c:v>
                </c:pt>
                <c:pt idx="97">
                  <c:v>-11.670372912263844</c:v>
                </c:pt>
                <c:pt idx="98">
                  <c:v>-9.6703729122638435</c:v>
                </c:pt>
                <c:pt idx="99">
                  <c:v>-11.670372912263844</c:v>
                </c:pt>
                <c:pt idx="100">
                  <c:v>-11.670372912263844</c:v>
                </c:pt>
                <c:pt idx="101">
                  <c:v>-11.670372912263844</c:v>
                </c:pt>
                <c:pt idx="102">
                  <c:v>-0.67037291226384355</c:v>
                </c:pt>
                <c:pt idx="103">
                  <c:v>-3.0588969738229466</c:v>
                </c:pt>
                <c:pt idx="104">
                  <c:v>-11.670372912263844</c:v>
                </c:pt>
                <c:pt idx="105">
                  <c:v>-9.6703729122638435</c:v>
                </c:pt>
                <c:pt idx="106">
                  <c:v>-11.670372912263844</c:v>
                </c:pt>
                <c:pt idx="107">
                  <c:v>7.3296270877361565</c:v>
                </c:pt>
                <c:pt idx="108">
                  <c:v>-4.0588969738229466</c:v>
                </c:pt>
                <c:pt idx="109">
                  <c:v>-7.6703729122638435</c:v>
                </c:pt>
                <c:pt idx="110">
                  <c:v>7.3296270877361565</c:v>
                </c:pt>
                <c:pt idx="111">
                  <c:v>-7.6703729122638435</c:v>
                </c:pt>
                <c:pt idx="112">
                  <c:v>7.3296270877361565</c:v>
                </c:pt>
                <c:pt idx="113">
                  <c:v>27.329627087736156</c:v>
                </c:pt>
                <c:pt idx="114">
                  <c:v>7.3296270877361565</c:v>
                </c:pt>
                <c:pt idx="115">
                  <c:v>-7.6703729122638435</c:v>
                </c:pt>
                <c:pt idx="116">
                  <c:v>7.3296270877361565</c:v>
                </c:pt>
                <c:pt idx="117">
                  <c:v>7.3296270877361565</c:v>
                </c:pt>
                <c:pt idx="118">
                  <c:v>7.3296270877361565</c:v>
                </c:pt>
                <c:pt idx="119">
                  <c:v>7.3296270877361565</c:v>
                </c:pt>
                <c:pt idx="120">
                  <c:v>-5.6703729122638435</c:v>
                </c:pt>
                <c:pt idx="121">
                  <c:v>-9.6703729122638435</c:v>
                </c:pt>
                <c:pt idx="122">
                  <c:v>-4.0588969738229466</c:v>
                </c:pt>
                <c:pt idx="123">
                  <c:v>7.3296270877361565</c:v>
                </c:pt>
                <c:pt idx="124">
                  <c:v>7.3296270877361565</c:v>
                </c:pt>
                <c:pt idx="125">
                  <c:v>-10.670372912263844</c:v>
                </c:pt>
                <c:pt idx="126">
                  <c:v>7.3296270877361565</c:v>
                </c:pt>
              </c:numCache>
            </c:numRef>
          </c:yVal>
          <c:smooth val="0"/>
          <c:extLst>
            <c:ext xmlns:c16="http://schemas.microsoft.com/office/drawing/2014/chart" uri="{C3380CC4-5D6E-409C-BE32-E72D297353CC}">
              <c16:uniqueId val="{00000003-2C0E-4A71-92C5-D76E004EEE6A}"/>
            </c:ext>
          </c:extLst>
        </c:ser>
        <c:dLbls>
          <c:showLegendKey val="0"/>
          <c:showVal val="0"/>
          <c:showCatName val="0"/>
          <c:showSerName val="0"/>
          <c:showPercent val="0"/>
          <c:showBubbleSize val="0"/>
        </c:dLbls>
        <c:axId val="2089006048"/>
        <c:axId val="2089011328"/>
      </c:scatterChart>
      <c:valAx>
        <c:axId val="2089006048"/>
        <c:scaling>
          <c:orientation val="minMax"/>
        </c:scaling>
        <c:delete val="0"/>
        <c:axPos val="b"/>
        <c:title>
          <c:tx>
            <c:rich>
              <a:bodyPr/>
              <a:lstStyle/>
              <a:p>
                <a:pPr>
                  <a:defRPr/>
                </a:pPr>
                <a:r>
                  <a:rPr lang="en-GB"/>
                  <a:t>PricePerUnit</a:t>
                </a:r>
              </a:p>
            </c:rich>
          </c:tx>
          <c:overlay val="0"/>
        </c:title>
        <c:numFmt formatCode="_-[$$-409]* #,##0.00_ ;_-[$$-409]* \-#,##0.00\ ;_-[$$-409]* &quot;-&quot;??_ ;_-@_ " sourceLinked="1"/>
        <c:majorTickMark val="out"/>
        <c:minorTickMark val="none"/>
        <c:tickLblPos val="nextTo"/>
        <c:crossAx val="2089011328"/>
        <c:crosses val="autoZero"/>
        <c:crossBetween val="midCat"/>
      </c:valAx>
      <c:valAx>
        <c:axId val="2089011328"/>
        <c:scaling>
          <c:orientation val="minMax"/>
        </c:scaling>
        <c:delete val="0"/>
        <c:axPos val="l"/>
        <c:title>
          <c:tx>
            <c:rich>
              <a:bodyPr/>
              <a:lstStyle/>
              <a:p>
                <a:pPr>
                  <a:defRPr/>
                </a:pPr>
                <a:r>
                  <a:rPr lang="en-GB"/>
                  <a:t>Residuals</a:t>
                </a:r>
              </a:p>
            </c:rich>
          </c:tx>
          <c:overlay val="0"/>
        </c:title>
        <c:numFmt formatCode="General" sourceLinked="1"/>
        <c:majorTickMark val="out"/>
        <c:minorTickMark val="none"/>
        <c:tickLblPos val="nextTo"/>
        <c:crossAx val="2089006048"/>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PricePerUnit Line Fit  Plot</a:t>
            </a:r>
          </a:p>
        </c:rich>
      </c:tx>
      <c:overlay val="0"/>
    </c:title>
    <c:autoTitleDeleted val="0"/>
    <c:plotArea>
      <c:layout/>
      <c:scatterChart>
        <c:scatterStyle val="lineMarker"/>
        <c:varyColors val="0"/>
        <c:ser>
          <c:idx val="0"/>
          <c:order val="0"/>
          <c:tx>
            <c:v>ProductQuantity</c:v>
          </c:tx>
          <c:spPr>
            <a:ln w="38100">
              <a:noFill/>
            </a:ln>
          </c:spPr>
          <c:xVal>
            <c:numRef>
              <c:f>Regressio_Data!$F$2:$F$128</c:f>
              <c:numCache>
                <c:formatCode>_-[$$-409]* #,##0.00_ ;_-[$$-409]* \-#,##0.00\ ;_-[$$-409]* "-"??_ ;_-@_ </c:formatCode>
                <c:ptCount val="127"/>
                <c:pt idx="0">
                  <c:v>0.85</c:v>
                </c:pt>
                <c:pt idx="1">
                  <c:v>0.85</c:v>
                </c:pt>
                <c:pt idx="2">
                  <c:v>0.85</c:v>
                </c:pt>
                <c:pt idx="3">
                  <c:v>0.85</c:v>
                </c:pt>
                <c:pt idx="4">
                  <c:v>0.85</c:v>
                </c:pt>
                <c:pt idx="5">
                  <c:v>1.66</c:v>
                </c:pt>
                <c:pt idx="6">
                  <c:v>1.66</c:v>
                </c:pt>
                <c:pt idx="7">
                  <c:v>1.66</c:v>
                </c:pt>
                <c:pt idx="8">
                  <c:v>0.85</c:v>
                </c:pt>
                <c:pt idx="9">
                  <c:v>0.85</c:v>
                </c:pt>
                <c:pt idx="10">
                  <c:v>0.85</c:v>
                </c:pt>
                <c:pt idx="11">
                  <c:v>0.85</c:v>
                </c:pt>
                <c:pt idx="12">
                  <c:v>0.85</c:v>
                </c:pt>
                <c:pt idx="13">
                  <c:v>1.66</c:v>
                </c:pt>
                <c:pt idx="14">
                  <c:v>0.85</c:v>
                </c:pt>
                <c:pt idx="15">
                  <c:v>1.66</c:v>
                </c:pt>
                <c:pt idx="16">
                  <c:v>0.85</c:v>
                </c:pt>
                <c:pt idx="17">
                  <c:v>0.85</c:v>
                </c:pt>
                <c:pt idx="18">
                  <c:v>0.85</c:v>
                </c:pt>
                <c:pt idx="19">
                  <c:v>0.85</c:v>
                </c:pt>
                <c:pt idx="20">
                  <c:v>0.85</c:v>
                </c:pt>
                <c:pt idx="21">
                  <c:v>0.81</c:v>
                </c:pt>
                <c:pt idx="22">
                  <c:v>0.81</c:v>
                </c:pt>
                <c:pt idx="23">
                  <c:v>0.81</c:v>
                </c:pt>
                <c:pt idx="24">
                  <c:v>0.81</c:v>
                </c:pt>
                <c:pt idx="25">
                  <c:v>0.81</c:v>
                </c:pt>
                <c:pt idx="26">
                  <c:v>0.81</c:v>
                </c:pt>
                <c:pt idx="27">
                  <c:v>0.81</c:v>
                </c:pt>
                <c:pt idx="28">
                  <c:v>0.81</c:v>
                </c:pt>
                <c:pt idx="29">
                  <c:v>0.81</c:v>
                </c:pt>
                <c:pt idx="30">
                  <c:v>0.81</c:v>
                </c:pt>
                <c:pt idx="31">
                  <c:v>0.81</c:v>
                </c:pt>
                <c:pt idx="32">
                  <c:v>0.79</c:v>
                </c:pt>
                <c:pt idx="33">
                  <c:v>0.79</c:v>
                </c:pt>
                <c:pt idx="34">
                  <c:v>0.79</c:v>
                </c:pt>
                <c:pt idx="35">
                  <c:v>0.85</c:v>
                </c:pt>
                <c:pt idx="36">
                  <c:v>0.75</c:v>
                </c:pt>
                <c:pt idx="37">
                  <c:v>0.75</c:v>
                </c:pt>
                <c:pt idx="38">
                  <c:v>0.75</c:v>
                </c:pt>
                <c:pt idx="39">
                  <c:v>0.75</c:v>
                </c:pt>
                <c:pt idx="40">
                  <c:v>0.75</c:v>
                </c:pt>
                <c:pt idx="41">
                  <c:v>1.63</c:v>
                </c:pt>
                <c:pt idx="42">
                  <c:v>1.63</c:v>
                </c:pt>
                <c:pt idx="43">
                  <c:v>1.63</c:v>
                </c:pt>
                <c:pt idx="44">
                  <c:v>0.99</c:v>
                </c:pt>
                <c:pt idx="45">
                  <c:v>0.75</c:v>
                </c:pt>
                <c:pt idx="46">
                  <c:v>0.75</c:v>
                </c:pt>
                <c:pt idx="47">
                  <c:v>0.75</c:v>
                </c:pt>
                <c:pt idx="48">
                  <c:v>0.75</c:v>
                </c:pt>
                <c:pt idx="49">
                  <c:v>1.63</c:v>
                </c:pt>
                <c:pt idx="50">
                  <c:v>1.63</c:v>
                </c:pt>
                <c:pt idx="51">
                  <c:v>1.63</c:v>
                </c:pt>
                <c:pt idx="52">
                  <c:v>1.63</c:v>
                </c:pt>
                <c:pt idx="53">
                  <c:v>0.75</c:v>
                </c:pt>
                <c:pt idx="54">
                  <c:v>0.75</c:v>
                </c:pt>
                <c:pt idx="55">
                  <c:v>0.75</c:v>
                </c:pt>
                <c:pt idx="56">
                  <c:v>1.63</c:v>
                </c:pt>
                <c:pt idx="57">
                  <c:v>0.83</c:v>
                </c:pt>
                <c:pt idx="58">
                  <c:v>1.63</c:v>
                </c:pt>
                <c:pt idx="59">
                  <c:v>0.83</c:v>
                </c:pt>
                <c:pt idx="60">
                  <c:v>1.63</c:v>
                </c:pt>
                <c:pt idx="61">
                  <c:v>0.75</c:v>
                </c:pt>
                <c:pt idx="62">
                  <c:v>0.75</c:v>
                </c:pt>
                <c:pt idx="63">
                  <c:v>0.83</c:v>
                </c:pt>
                <c:pt idx="64">
                  <c:v>1.63</c:v>
                </c:pt>
                <c:pt idx="65">
                  <c:v>1.63</c:v>
                </c:pt>
                <c:pt idx="66">
                  <c:v>0.83</c:v>
                </c:pt>
                <c:pt idx="67">
                  <c:v>0.83</c:v>
                </c:pt>
                <c:pt idx="68">
                  <c:v>0.83</c:v>
                </c:pt>
                <c:pt idx="69">
                  <c:v>0.83</c:v>
                </c:pt>
                <c:pt idx="70">
                  <c:v>0.83</c:v>
                </c:pt>
                <c:pt idx="71">
                  <c:v>0.83</c:v>
                </c:pt>
                <c:pt idx="72">
                  <c:v>0.83</c:v>
                </c:pt>
                <c:pt idx="73">
                  <c:v>0.83</c:v>
                </c:pt>
                <c:pt idx="74">
                  <c:v>0.83</c:v>
                </c:pt>
                <c:pt idx="75">
                  <c:v>0.83</c:v>
                </c:pt>
                <c:pt idx="76">
                  <c:v>0.85</c:v>
                </c:pt>
                <c:pt idx="77">
                  <c:v>1.63</c:v>
                </c:pt>
                <c:pt idx="78">
                  <c:v>0.83</c:v>
                </c:pt>
                <c:pt idx="79">
                  <c:v>1.63</c:v>
                </c:pt>
                <c:pt idx="80">
                  <c:v>1.63</c:v>
                </c:pt>
                <c:pt idx="81">
                  <c:v>1.63</c:v>
                </c:pt>
                <c:pt idx="82">
                  <c:v>0.83</c:v>
                </c:pt>
                <c:pt idx="83">
                  <c:v>0.83</c:v>
                </c:pt>
                <c:pt idx="84">
                  <c:v>0.83</c:v>
                </c:pt>
                <c:pt idx="85">
                  <c:v>0.83</c:v>
                </c:pt>
                <c:pt idx="86">
                  <c:v>1.63</c:v>
                </c:pt>
                <c:pt idx="87">
                  <c:v>1.63</c:v>
                </c:pt>
                <c:pt idx="88">
                  <c:v>0.83</c:v>
                </c:pt>
                <c:pt idx="89">
                  <c:v>0.83</c:v>
                </c:pt>
                <c:pt idx="90">
                  <c:v>0.83</c:v>
                </c:pt>
                <c:pt idx="91">
                  <c:v>0.83</c:v>
                </c:pt>
                <c:pt idx="92">
                  <c:v>0.83</c:v>
                </c:pt>
                <c:pt idx="93">
                  <c:v>0.83</c:v>
                </c:pt>
                <c:pt idx="94">
                  <c:v>0.83</c:v>
                </c:pt>
                <c:pt idx="95">
                  <c:v>0.85</c:v>
                </c:pt>
                <c:pt idx="96">
                  <c:v>0.85</c:v>
                </c:pt>
                <c:pt idx="97">
                  <c:v>0.85</c:v>
                </c:pt>
                <c:pt idx="98">
                  <c:v>0.85</c:v>
                </c:pt>
                <c:pt idx="99">
                  <c:v>0.85</c:v>
                </c:pt>
                <c:pt idx="100">
                  <c:v>0.85</c:v>
                </c:pt>
                <c:pt idx="101">
                  <c:v>0.85</c:v>
                </c:pt>
                <c:pt idx="102">
                  <c:v>0.85</c:v>
                </c:pt>
                <c:pt idx="103">
                  <c:v>1.63</c:v>
                </c:pt>
                <c:pt idx="104">
                  <c:v>0.85</c:v>
                </c:pt>
                <c:pt idx="105">
                  <c:v>0.85</c:v>
                </c:pt>
                <c:pt idx="106">
                  <c:v>0.85</c:v>
                </c:pt>
                <c:pt idx="107">
                  <c:v>0.85</c:v>
                </c:pt>
                <c:pt idx="108">
                  <c:v>1.63</c:v>
                </c:pt>
                <c:pt idx="109">
                  <c:v>0.85</c:v>
                </c:pt>
                <c:pt idx="110">
                  <c:v>0.85</c:v>
                </c:pt>
                <c:pt idx="111">
                  <c:v>0.85</c:v>
                </c:pt>
                <c:pt idx="112">
                  <c:v>0.85</c:v>
                </c:pt>
                <c:pt idx="113">
                  <c:v>0.85</c:v>
                </c:pt>
                <c:pt idx="114">
                  <c:v>0.85</c:v>
                </c:pt>
                <c:pt idx="115">
                  <c:v>0.85</c:v>
                </c:pt>
                <c:pt idx="116">
                  <c:v>0.85</c:v>
                </c:pt>
                <c:pt idx="117">
                  <c:v>0.85</c:v>
                </c:pt>
                <c:pt idx="118">
                  <c:v>0.85</c:v>
                </c:pt>
                <c:pt idx="119">
                  <c:v>0.85</c:v>
                </c:pt>
                <c:pt idx="120">
                  <c:v>0.85</c:v>
                </c:pt>
                <c:pt idx="121">
                  <c:v>0.85</c:v>
                </c:pt>
                <c:pt idx="122">
                  <c:v>1.63</c:v>
                </c:pt>
                <c:pt idx="123">
                  <c:v>0.85</c:v>
                </c:pt>
                <c:pt idx="124">
                  <c:v>0.85</c:v>
                </c:pt>
                <c:pt idx="125">
                  <c:v>0.85</c:v>
                </c:pt>
                <c:pt idx="126">
                  <c:v>0.85</c:v>
                </c:pt>
              </c:numCache>
            </c:numRef>
          </c:xVal>
          <c:yVal>
            <c:numRef>
              <c:f>Regressio_Data!$D$2:$D$128</c:f>
              <c:numCache>
                <c:formatCode>General</c:formatCode>
                <c:ptCount val="127"/>
                <c:pt idx="0">
                  <c:v>48</c:v>
                </c:pt>
                <c:pt idx="1">
                  <c:v>12</c:v>
                </c:pt>
                <c:pt idx="2">
                  <c:v>5</c:v>
                </c:pt>
                <c:pt idx="3">
                  <c:v>1</c:v>
                </c:pt>
                <c:pt idx="4">
                  <c:v>1</c:v>
                </c:pt>
                <c:pt idx="5">
                  <c:v>11</c:v>
                </c:pt>
                <c:pt idx="6">
                  <c:v>2</c:v>
                </c:pt>
                <c:pt idx="7">
                  <c:v>1</c:v>
                </c:pt>
                <c:pt idx="8">
                  <c:v>10</c:v>
                </c:pt>
                <c:pt idx="9">
                  <c:v>1</c:v>
                </c:pt>
                <c:pt idx="10">
                  <c:v>1</c:v>
                </c:pt>
                <c:pt idx="11">
                  <c:v>3</c:v>
                </c:pt>
                <c:pt idx="12">
                  <c:v>24</c:v>
                </c:pt>
                <c:pt idx="13">
                  <c:v>1</c:v>
                </c:pt>
                <c:pt idx="14">
                  <c:v>2</c:v>
                </c:pt>
                <c:pt idx="15">
                  <c:v>5</c:v>
                </c:pt>
                <c:pt idx="16">
                  <c:v>2</c:v>
                </c:pt>
                <c:pt idx="17">
                  <c:v>10</c:v>
                </c:pt>
                <c:pt idx="18">
                  <c:v>10</c:v>
                </c:pt>
                <c:pt idx="19">
                  <c:v>10</c:v>
                </c:pt>
                <c:pt idx="20">
                  <c:v>10</c:v>
                </c:pt>
                <c:pt idx="21">
                  <c:v>6</c:v>
                </c:pt>
                <c:pt idx="22">
                  <c:v>1</c:v>
                </c:pt>
                <c:pt idx="23">
                  <c:v>1</c:v>
                </c:pt>
                <c:pt idx="24">
                  <c:v>1</c:v>
                </c:pt>
                <c:pt idx="25">
                  <c:v>5</c:v>
                </c:pt>
                <c:pt idx="26">
                  <c:v>3</c:v>
                </c:pt>
                <c:pt idx="27">
                  <c:v>1</c:v>
                </c:pt>
                <c:pt idx="28">
                  <c:v>6</c:v>
                </c:pt>
                <c:pt idx="29">
                  <c:v>3</c:v>
                </c:pt>
                <c:pt idx="30">
                  <c:v>7</c:v>
                </c:pt>
                <c:pt idx="31">
                  <c:v>1</c:v>
                </c:pt>
                <c:pt idx="32">
                  <c:v>4</c:v>
                </c:pt>
                <c:pt idx="33">
                  <c:v>22</c:v>
                </c:pt>
                <c:pt idx="34">
                  <c:v>12</c:v>
                </c:pt>
                <c:pt idx="35">
                  <c:v>2</c:v>
                </c:pt>
                <c:pt idx="36">
                  <c:v>12</c:v>
                </c:pt>
                <c:pt idx="37">
                  <c:v>12</c:v>
                </c:pt>
                <c:pt idx="38">
                  <c:v>12</c:v>
                </c:pt>
                <c:pt idx="39">
                  <c:v>24</c:v>
                </c:pt>
                <c:pt idx="40">
                  <c:v>12</c:v>
                </c:pt>
                <c:pt idx="41">
                  <c:v>1</c:v>
                </c:pt>
                <c:pt idx="42">
                  <c:v>12</c:v>
                </c:pt>
                <c:pt idx="43">
                  <c:v>4</c:v>
                </c:pt>
                <c:pt idx="44">
                  <c:v>17</c:v>
                </c:pt>
                <c:pt idx="45">
                  <c:v>12</c:v>
                </c:pt>
                <c:pt idx="46">
                  <c:v>12</c:v>
                </c:pt>
                <c:pt idx="47">
                  <c:v>24</c:v>
                </c:pt>
                <c:pt idx="48">
                  <c:v>24</c:v>
                </c:pt>
                <c:pt idx="49">
                  <c:v>11</c:v>
                </c:pt>
                <c:pt idx="50">
                  <c:v>12</c:v>
                </c:pt>
                <c:pt idx="51">
                  <c:v>22</c:v>
                </c:pt>
                <c:pt idx="52">
                  <c:v>6</c:v>
                </c:pt>
                <c:pt idx="53">
                  <c:v>12</c:v>
                </c:pt>
                <c:pt idx="54">
                  <c:v>12</c:v>
                </c:pt>
                <c:pt idx="55">
                  <c:v>24</c:v>
                </c:pt>
                <c:pt idx="56">
                  <c:v>4</c:v>
                </c:pt>
                <c:pt idx="57">
                  <c:v>12</c:v>
                </c:pt>
                <c:pt idx="58">
                  <c:v>1</c:v>
                </c:pt>
                <c:pt idx="59">
                  <c:v>12</c:v>
                </c:pt>
                <c:pt idx="60">
                  <c:v>6</c:v>
                </c:pt>
                <c:pt idx="61">
                  <c:v>48</c:v>
                </c:pt>
                <c:pt idx="62">
                  <c:v>36</c:v>
                </c:pt>
                <c:pt idx="63">
                  <c:v>36</c:v>
                </c:pt>
                <c:pt idx="64">
                  <c:v>1</c:v>
                </c:pt>
                <c:pt idx="65">
                  <c:v>17</c:v>
                </c:pt>
                <c:pt idx="66">
                  <c:v>3</c:v>
                </c:pt>
                <c:pt idx="67">
                  <c:v>12</c:v>
                </c:pt>
                <c:pt idx="68">
                  <c:v>12</c:v>
                </c:pt>
                <c:pt idx="69">
                  <c:v>12</c:v>
                </c:pt>
                <c:pt idx="70">
                  <c:v>12</c:v>
                </c:pt>
                <c:pt idx="71">
                  <c:v>24</c:v>
                </c:pt>
                <c:pt idx="72">
                  <c:v>12</c:v>
                </c:pt>
                <c:pt idx="73">
                  <c:v>24</c:v>
                </c:pt>
                <c:pt idx="74">
                  <c:v>48</c:v>
                </c:pt>
                <c:pt idx="75">
                  <c:v>48</c:v>
                </c:pt>
                <c:pt idx="76">
                  <c:v>1</c:v>
                </c:pt>
                <c:pt idx="77">
                  <c:v>2</c:v>
                </c:pt>
                <c:pt idx="78">
                  <c:v>12</c:v>
                </c:pt>
                <c:pt idx="79">
                  <c:v>4</c:v>
                </c:pt>
                <c:pt idx="80">
                  <c:v>3</c:v>
                </c:pt>
                <c:pt idx="81">
                  <c:v>2</c:v>
                </c:pt>
                <c:pt idx="82">
                  <c:v>24</c:v>
                </c:pt>
                <c:pt idx="83">
                  <c:v>24</c:v>
                </c:pt>
                <c:pt idx="84">
                  <c:v>24</c:v>
                </c:pt>
                <c:pt idx="85">
                  <c:v>24</c:v>
                </c:pt>
                <c:pt idx="86">
                  <c:v>5</c:v>
                </c:pt>
                <c:pt idx="87">
                  <c:v>1</c:v>
                </c:pt>
                <c:pt idx="88">
                  <c:v>12</c:v>
                </c:pt>
                <c:pt idx="89">
                  <c:v>12</c:v>
                </c:pt>
                <c:pt idx="90">
                  <c:v>12</c:v>
                </c:pt>
                <c:pt idx="91">
                  <c:v>12</c:v>
                </c:pt>
                <c:pt idx="92">
                  <c:v>1</c:v>
                </c:pt>
                <c:pt idx="93">
                  <c:v>15</c:v>
                </c:pt>
                <c:pt idx="94">
                  <c:v>24</c:v>
                </c:pt>
                <c:pt idx="95">
                  <c:v>1</c:v>
                </c:pt>
                <c:pt idx="96">
                  <c:v>1</c:v>
                </c:pt>
                <c:pt idx="97">
                  <c:v>1</c:v>
                </c:pt>
                <c:pt idx="98">
                  <c:v>3</c:v>
                </c:pt>
                <c:pt idx="99">
                  <c:v>1</c:v>
                </c:pt>
                <c:pt idx="100">
                  <c:v>1</c:v>
                </c:pt>
                <c:pt idx="101">
                  <c:v>1</c:v>
                </c:pt>
                <c:pt idx="102">
                  <c:v>12</c:v>
                </c:pt>
                <c:pt idx="103">
                  <c:v>2</c:v>
                </c:pt>
                <c:pt idx="104">
                  <c:v>1</c:v>
                </c:pt>
                <c:pt idx="105">
                  <c:v>3</c:v>
                </c:pt>
                <c:pt idx="106">
                  <c:v>1</c:v>
                </c:pt>
                <c:pt idx="107">
                  <c:v>20</c:v>
                </c:pt>
                <c:pt idx="108">
                  <c:v>1</c:v>
                </c:pt>
                <c:pt idx="109">
                  <c:v>5</c:v>
                </c:pt>
                <c:pt idx="110">
                  <c:v>20</c:v>
                </c:pt>
                <c:pt idx="111">
                  <c:v>5</c:v>
                </c:pt>
                <c:pt idx="112">
                  <c:v>20</c:v>
                </c:pt>
                <c:pt idx="113">
                  <c:v>40</c:v>
                </c:pt>
                <c:pt idx="114">
                  <c:v>20</c:v>
                </c:pt>
                <c:pt idx="115">
                  <c:v>5</c:v>
                </c:pt>
                <c:pt idx="116">
                  <c:v>20</c:v>
                </c:pt>
                <c:pt idx="117">
                  <c:v>20</c:v>
                </c:pt>
                <c:pt idx="118">
                  <c:v>20</c:v>
                </c:pt>
                <c:pt idx="119">
                  <c:v>20</c:v>
                </c:pt>
                <c:pt idx="120">
                  <c:v>7</c:v>
                </c:pt>
                <c:pt idx="121">
                  <c:v>3</c:v>
                </c:pt>
                <c:pt idx="122">
                  <c:v>1</c:v>
                </c:pt>
                <c:pt idx="123">
                  <c:v>20</c:v>
                </c:pt>
                <c:pt idx="124">
                  <c:v>20</c:v>
                </c:pt>
                <c:pt idx="125">
                  <c:v>2</c:v>
                </c:pt>
                <c:pt idx="126">
                  <c:v>20</c:v>
                </c:pt>
              </c:numCache>
            </c:numRef>
          </c:yVal>
          <c:smooth val="0"/>
          <c:extLst>
            <c:ext xmlns:c16="http://schemas.microsoft.com/office/drawing/2014/chart" uri="{C3380CC4-5D6E-409C-BE32-E72D297353CC}">
              <c16:uniqueId val="{00000003-2F55-4978-88C0-C31428FF8076}"/>
            </c:ext>
          </c:extLst>
        </c:ser>
        <c:ser>
          <c:idx val="1"/>
          <c:order val="1"/>
          <c:tx>
            <c:v>Predicted ProductQuantity</c:v>
          </c:tx>
          <c:spPr>
            <a:ln w="38100">
              <a:noFill/>
            </a:ln>
          </c:spPr>
          <c:xVal>
            <c:numRef>
              <c:f>Regressio_Data!$F$2:$F$128</c:f>
              <c:numCache>
                <c:formatCode>_-[$$-409]* #,##0.00_ ;_-[$$-409]* \-#,##0.00\ ;_-[$$-409]* "-"??_ ;_-@_ </c:formatCode>
                <c:ptCount val="127"/>
                <c:pt idx="0">
                  <c:v>0.85</c:v>
                </c:pt>
                <c:pt idx="1">
                  <c:v>0.85</c:v>
                </c:pt>
                <c:pt idx="2">
                  <c:v>0.85</c:v>
                </c:pt>
                <c:pt idx="3">
                  <c:v>0.85</c:v>
                </c:pt>
                <c:pt idx="4">
                  <c:v>0.85</c:v>
                </c:pt>
                <c:pt idx="5">
                  <c:v>1.66</c:v>
                </c:pt>
                <c:pt idx="6">
                  <c:v>1.66</c:v>
                </c:pt>
                <c:pt idx="7">
                  <c:v>1.66</c:v>
                </c:pt>
                <c:pt idx="8">
                  <c:v>0.85</c:v>
                </c:pt>
                <c:pt idx="9">
                  <c:v>0.85</c:v>
                </c:pt>
                <c:pt idx="10">
                  <c:v>0.85</c:v>
                </c:pt>
                <c:pt idx="11">
                  <c:v>0.85</c:v>
                </c:pt>
                <c:pt idx="12">
                  <c:v>0.85</c:v>
                </c:pt>
                <c:pt idx="13">
                  <c:v>1.66</c:v>
                </c:pt>
                <c:pt idx="14">
                  <c:v>0.85</c:v>
                </c:pt>
                <c:pt idx="15">
                  <c:v>1.66</c:v>
                </c:pt>
                <c:pt idx="16">
                  <c:v>0.85</c:v>
                </c:pt>
                <c:pt idx="17">
                  <c:v>0.85</c:v>
                </c:pt>
                <c:pt idx="18">
                  <c:v>0.85</c:v>
                </c:pt>
                <c:pt idx="19">
                  <c:v>0.85</c:v>
                </c:pt>
                <c:pt idx="20">
                  <c:v>0.85</c:v>
                </c:pt>
                <c:pt idx="21">
                  <c:v>0.81</c:v>
                </c:pt>
                <c:pt idx="22">
                  <c:v>0.81</c:v>
                </c:pt>
                <c:pt idx="23">
                  <c:v>0.81</c:v>
                </c:pt>
                <c:pt idx="24">
                  <c:v>0.81</c:v>
                </c:pt>
                <c:pt idx="25">
                  <c:v>0.81</c:v>
                </c:pt>
                <c:pt idx="26">
                  <c:v>0.81</c:v>
                </c:pt>
                <c:pt idx="27">
                  <c:v>0.81</c:v>
                </c:pt>
                <c:pt idx="28">
                  <c:v>0.81</c:v>
                </c:pt>
                <c:pt idx="29">
                  <c:v>0.81</c:v>
                </c:pt>
                <c:pt idx="30">
                  <c:v>0.81</c:v>
                </c:pt>
                <c:pt idx="31">
                  <c:v>0.81</c:v>
                </c:pt>
                <c:pt idx="32">
                  <c:v>0.79</c:v>
                </c:pt>
                <c:pt idx="33">
                  <c:v>0.79</c:v>
                </c:pt>
                <c:pt idx="34">
                  <c:v>0.79</c:v>
                </c:pt>
                <c:pt idx="35">
                  <c:v>0.85</c:v>
                </c:pt>
                <c:pt idx="36">
                  <c:v>0.75</c:v>
                </c:pt>
                <c:pt idx="37">
                  <c:v>0.75</c:v>
                </c:pt>
                <c:pt idx="38">
                  <c:v>0.75</c:v>
                </c:pt>
                <c:pt idx="39">
                  <c:v>0.75</c:v>
                </c:pt>
                <c:pt idx="40">
                  <c:v>0.75</c:v>
                </c:pt>
                <c:pt idx="41">
                  <c:v>1.63</c:v>
                </c:pt>
                <c:pt idx="42">
                  <c:v>1.63</c:v>
                </c:pt>
                <c:pt idx="43">
                  <c:v>1.63</c:v>
                </c:pt>
                <c:pt idx="44">
                  <c:v>0.99</c:v>
                </c:pt>
                <c:pt idx="45">
                  <c:v>0.75</c:v>
                </c:pt>
                <c:pt idx="46">
                  <c:v>0.75</c:v>
                </c:pt>
                <c:pt idx="47">
                  <c:v>0.75</c:v>
                </c:pt>
                <c:pt idx="48">
                  <c:v>0.75</c:v>
                </c:pt>
                <c:pt idx="49">
                  <c:v>1.63</c:v>
                </c:pt>
                <c:pt idx="50">
                  <c:v>1.63</c:v>
                </c:pt>
                <c:pt idx="51">
                  <c:v>1.63</c:v>
                </c:pt>
                <c:pt idx="52">
                  <c:v>1.63</c:v>
                </c:pt>
                <c:pt idx="53">
                  <c:v>0.75</c:v>
                </c:pt>
                <c:pt idx="54">
                  <c:v>0.75</c:v>
                </c:pt>
                <c:pt idx="55">
                  <c:v>0.75</c:v>
                </c:pt>
                <c:pt idx="56">
                  <c:v>1.63</c:v>
                </c:pt>
                <c:pt idx="57">
                  <c:v>0.83</c:v>
                </c:pt>
                <c:pt idx="58">
                  <c:v>1.63</c:v>
                </c:pt>
                <c:pt idx="59">
                  <c:v>0.83</c:v>
                </c:pt>
                <c:pt idx="60">
                  <c:v>1.63</c:v>
                </c:pt>
                <c:pt idx="61">
                  <c:v>0.75</c:v>
                </c:pt>
                <c:pt idx="62">
                  <c:v>0.75</c:v>
                </c:pt>
                <c:pt idx="63">
                  <c:v>0.83</c:v>
                </c:pt>
                <c:pt idx="64">
                  <c:v>1.63</c:v>
                </c:pt>
                <c:pt idx="65">
                  <c:v>1.63</c:v>
                </c:pt>
                <c:pt idx="66">
                  <c:v>0.83</c:v>
                </c:pt>
                <c:pt idx="67">
                  <c:v>0.83</c:v>
                </c:pt>
                <c:pt idx="68">
                  <c:v>0.83</c:v>
                </c:pt>
                <c:pt idx="69">
                  <c:v>0.83</c:v>
                </c:pt>
                <c:pt idx="70">
                  <c:v>0.83</c:v>
                </c:pt>
                <c:pt idx="71">
                  <c:v>0.83</c:v>
                </c:pt>
                <c:pt idx="72">
                  <c:v>0.83</c:v>
                </c:pt>
                <c:pt idx="73">
                  <c:v>0.83</c:v>
                </c:pt>
                <c:pt idx="74">
                  <c:v>0.83</c:v>
                </c:pt>
                <c:pt idx="75">
                  <c:v>0.83</c:v>
                </c:pt>
                <c:pt idx="76">
                  <c:v>0.85</c:v>
                </c:pt>
                <c:pt idx="77">
                  <c:v>1.63</c:v>
                </c:pt>
                <c:pt idx="78">
                  <c:v>0.83</c:v>
                </c:pt>
                <c:pt idx="79">
                  <c:v>1.63</c:v>
                </c:pt>
                <c:pt idx="80">
                  <c:v>1.63</c:v>
                </c:pt>
                <c:pt idx="81">
                  <c:v>1.63</c:v>
                </c:pt>
                <c:pt idx="82">
                  <c:v>0.83</c:v>
                </c:pt>
                <c:pt idx="83">
                  <c:v>0.83</c:v>
                </c:pt>
                <c:pt idx="84">
                  <c:v>0.83</c:v>
                </c:pt>
                <c:pt idx="85">
                  <c:v>0.83</c:v>
                </c:pt>
                <c:pt idx="86">
                  <c:v>1.63</c:v>
                </c:pt>
                <c:pt idx="87">
                  <c:v>1.63</c:v>
                </c:pt>
                <c:pt idx="88">
                  <c:v>0.83</c:v>
                </c:pt>
                <c:pt idx="89">
                  <c:v>0.83</c:v>
                </c:pt>
                <c:pt idx="90">
                  <c:v>0.83</c:v>
                </c:pt>
                <c:pt idx="91">
                  <c:v>0.83</c:v>
                </c:pt>
                <c:pt idx="92">
                  <c:v>0.83</c:v>
                </c:pt>
                <c:pt idx="93">
                  <c:v>0.83</c:v>
                </c:pt>
                <c:pt idx="94">
                  <c:v>0.83</c:v>
                </c:pt>
                <c:pt idx="95">
                  <c:v>0.85</c:v>
                </c:pt>
                <c:pt idx="96">
                  <c:v>0.85</c:v>
                </c:pt>
                <c:pt idx="97">
                  <c:v>0.85</c:v>
                </c:pt>
                <c:pt idx="98">
                  <c:v>0.85</c:v>
                </c:pt>
                <c:pt idx="99">
                  <c:v>0.85</c:v>
                </c:pt>
                <c:pt idx="100">
                  <c:v>0.85</c:v>
                </c:pt>
                <c:pt idx="101">
                  <c:v>0.85</c:v>
                </c:pt>
                <c:pt idx="102">
                  <c:v>0.85</c:v>
                </c:pt>
                <c:pt idx="103">
                  <c:v>1.63</c:v>
                </c:pt>
                <c:pt idx="104">
                  <c:v>0.85</c:v>
                </c:pt>
                <c:pt idx="105">
                  <c:v>0.85</c:v>
                </c:pt>
                <c:pt idx="106">
                  <c:v>0.85</c:v>
                </c:pt>
                <c:pt idx="107">
                  <c:v>0.85</c:v>
                </c:pt>
                <c:pt idx="108">
                  <c:v>1.63</c:v>
                </c:pt>
                <c:pt idx="109">
                  <c:v>0.85</c:v>
                </c:pt>
                <c:pt idx="110">
                  <c:v>0.85</c:v>
                </c:pt>
                <c:pt idx="111">
                  <c:v>0.85</c:v>
                </c:pt>
                <c:pt idx="112">
                  <c:v>0.85</c:v>
                </c:pt>
                <c:pt idx="113">
                  <c:v>0.85</c:v>
                </c:pt>
                <c:pt idx="114">
                  <c:v>0.85</c:v>
                </c:pt>
                <c:pt idx="115">
                  <c:v>0.85</c:v>
                </c:pt>
                <c:pt idx="116">
                  <c:v>0.85</c:v>
                </c:pt>
                <c:pt idx="117">
                  <c:v>0.85</c:v>
                </c:pt>
                <c:pt idx="118">
                  <c:v>0.85</c:v>
                </c:pt>
                <c:pt idx="119">
                  <c:v>0.85</c:v>
                </c:pt>
                <c:pt idx="120">
                  <c:v>0.85</c:v>
                </c:pt>
                <c:pt idx="121">
                  <c:v>0.85</c:v>
                </c:pt>
                <c:pt idx="122">
                  <c:v>1.63</c:v>
                </c:pt>
                <c:pt idx="123">
                  <c:v>0.85</c:v>
                </c:pt>
                <c:pt idx="124">
                  <c:v>0.85</c:v>
                </c:pt>
                <c:pt idx="125">
                  <c:v>0.85</c:v>
                </c:pt>
                <c:pt idx="126">
                  <c:v>0.85</c:v>
                </c:pt>
              </c:numCache>
            </c:numRef>
          </c:xVal>
          <c:yVal>
            <c:numRef>
              <c:f>Regression_Output!$B$25:$B$151</c:f>
              <c:numCache>
                <c:formatCode>General</c:formatCode>
                <c:ptCount val="127"/>
                <c:pt idx="0">
                  <c:v>12.670372912263844</c:v>
                </c:pt>
                <c:pt idx="1">
                  <c:v>12.670372912263844</c:v>
                </c:pt>
                <c:pt idx="2">
                  <c:v>12.670372912263844</c:v>
                </c:pt>
                <c:pt idx="3">
                  <c:v>12.670372912263844</c:v>
                </c:pt>
                <c:pt idx="4">
                  <c:v>12.670372912263844</c:v>
                </c:pt>
                <c:pt idx="5">
                  <c:v>4.7661478992675264</c:v>
                </c:pt>
                <c:pt idx="6">
                  <c:v>4.7661478992675264</c:v>
                </c:pt>
                <c:pt idx="7">
                  <c:v>4.7661478992675264</c:v>
                </c:pt>
                <c:pt idx="8">
                  <c:v>12.670372912263844</c:v>
                </c:pt>
                <c:pt idx="9">
                  <c:v>12.670372912263844</c:v>
                </c:pt>
                <c:pt idx="10">
                  <c:v>12.670372912263844</c:v>
                </c:pt>
                <c:pt idx="11">
                  <c:v>12.670372912263844</c:v>
                </c:pt>
                <c:pt idx="12">
                  <c:v>12.670372912263844</c:v>
                </c:pt>
                <c:pt idx="13">
                  <c:v>4.7661478992675264</c:v>
                </c:pt>
                <c:pt idx="14">
                  <c:v>12.670372912263844</c:v>
                </c:pt>
                <c:pt idx="15">
                  <c:v>4.7661478992675264</c:v>
                </c:pt>
                <c:pt idx="16">
                  <c:v>12.670372912263844</c:v>
                </c:pt>
                <c:pt idx="17">
                  <c:v>12.670372912263844</c:v>
                </c:pt>
                <c:pt idx="18">
                  <c:v>12.670372912263844</c:v>
                </c:pt>
                <c:pt idx="19">
                  <c:v>12.670372912263844</c:v>
                </c:pt>
                <c:pt idx="20">
                  <c:v>12.670372912263844</c:v>
                </c:pt>
                <c:pt idx="21">
                  <c:v>13.060705011671068</c:v>
                </c:pt>
                <c:pt idx="22">
                  <c:v>13.060705011671068</c:v>
                </c:pt>
                <c:pt idx="23">
                  <c:v>13.060705011671068</c:v>
                </c:pt>
                <c:pt idx="24">
                  <c:v>13.060705011671068</c:v>
                </c:pt>
                <c:pt idx="25">
                  <c:v>13.060705011671068</c:v>
                </c:pt>
                <c:pt idx="26">
                  <c:v>13.060705011671068</c:v>
                </c:pt>
                <c:pt idx="27">
                  <c:v>13.060705011671068</c:v>
                </c:pt>
                <c:pt idx="28">
                  <c:v>13.060705011671068</c:v>
                </c:pt>
                <c:pt idx="29">
                  <c:v>13.060705011671068</c:v>
                </c:pt>
                <c:pt idx="30">
                  <c:v>13.060705011671068</c:v>
                </c:pt>
                <c:pt idx="31">
                  <c:v>13.060705011671068</c:v>
                </c:pt>
                <c:pt idx="32">
                  <c:v>13.25587106137468</c:v>
                </c:pt>
                <c:pt idx="33">
                  <c:v>13.25587106137468</c:v>
                </c:pt>
                <c:pt idx="34">
                  <c:v>13.25587106137468</c:v>
                </c:pt>
                <c:pt idx="35">
                  <c:v>12.670372912263844</c:v>
                </c:pt>
                <c:pt idx="36">
                  <c:v>13.646203160781907</c:v>
                </c:pt>
                <c:pt idx="37">
                  <c:v>13.646203160781907</c:v>
                </c:pt>
                <c:pt idx="38">
                  <c:v>13.646203160781907</c:v>
                </c:pt>
                <c:pt idx="39">
                  <c:v>13.646203160781907</c:v>
                </c:pt>
                <c:pt idx="40">
                  <c:v>13.646203160781907</c:v>
                </c:pt>
                <c:pt idx="41">
                  <c:v>5.0588969738229466</c:v>
                </c:pt>
                <c:pt idx="42">
                  <c:v>5.0588969738229466</c:v>
                </c:pt>
                <c:pt idx="43">
                  <c:v>5.0588969738229466</c:v>
                </c:pt>
                <c:pt idx="44">
                  <c:v>11.304210564338554</c:v>
                </c:pt>
                <c:pt idx="45">
                  <c:v>13.646203160781907</c:v>
                </c:pt>
                <c:pt idx="46">
                  <c:v>13.646203160781907</c:v>
                </c:pt>
                <c:pt idx="47">
                  <c:v>13.646203160781907</c:v>
                </c:pt>
                <c:pt idx="48">
                  <c:v>13.646203160781907</c:v>
                </c:pt>
                <c:pt idx="49">
                  <c:v>5.0588969738229466</c:v>
                </c:pt>
                <c:pt idx="50">
                  <c:v>5.0588969738229466</c:v>
                </c:pt>
                <c:pt idx="51">
                  <c:v>5.0588969738229466</c:v>
                </c:pt>
                <c:pt idx="52">
                  <c:v>5.0588969738229466</c:v>
                </c:pt>
                <c:pt idx="53">
                  <c:v>13.646203160781907</c:v>
                </c:pt>
                <c:pt idx="54">
                  <c:v>13.646203160781907</c:v>
                </c:pt>
                <c:pt idx="55">
                  <c:v>13.646203160781907</c:v>
                </c:pt>
                <c:pt idx="56">
                  <c:v>5.0588969738229466</c:v>
                </c:pt>
                <c:pt idx="57">
                  <c:v>12.865538961967456</c:v>
                </c:pt>
                <c:pt idx="58">
                  <c:v>5.0588969738229466</c:v>
                </c:pt>
                <c:pt idx="59">
                  <c:v>12.865538961967456</c:v>
                </c:pt>
                <c:pt idx="60">
                  <c:v>5.0588969738229466</c:v>
                </c:pt>
                <c:pt idx="61">
                  <c:v>13.646203160781907</c:v>
                </c:pt>
                <c:pt idx="62">
                  <c:v>13.646203160781907</c:v>
                </c:pt>
                <c:pt idx="63">
                  <c:v>12.865538961967456</c:v>
                </c:pt>
                <c:pt idx="64">
                  <c:v>5.0588969738229466</c:v>
                </c:pt>
                <c:pt idx="65">
                  <c:v>5.0588969738229466</c:v>
                </c:pt>
                <c:pt idx="66">
                  <c:v>12.865538961967456</c:v>
                </c:pt>
                <c:pt idx="67">
                  <c:v>12.865538961967456</c:v>
                </c:pt>
                <c:pt idx="68">
                  <c:v>12.865538961967456</c:v>
                </c:pt>
                <c:pt idx="69">
                  <c:v>12.865538961967456</c:v>
                </c:pt>
                <c:pt idx="70">
                  <c:v>12.865538961967456</c:v>
                </c:pt>
                <c:pt idx="71">
                  <c:v>12.865538961967456</c:v>
                </c:pt>
                <c:pt idx="72">
                  <c:v>12.865538961967456</c:v>
                </c:pt>
                <c:pt idx="73">
                  <c:v>12.865538961967456</c:v>
                </c:pt>
                <c:pt idx="74">
                  <c:v>12.865538961967456</c:v>
                </c:pt>
                <c:pt idx="75">
                  <c:v>12.865538961967456</c:v>
                </c:pt>
                <c:pt idx="76">
                  <c:v>12.670372912263844</c:v>
                </c:pt>
                <c:pt idx="77">
                  <c:v>5.0588969738229466</c:v>
                </c:pt>
                <c:pt idx="78">
                  <c:v>12.865538961967456</c:v>
                </c:pt>
                <c:pt idx="79">
                  <c:v>5.0588969738229466</c:v>
                </c:pt>
                <c:pt idx="80">
                  <c:v>5.0588969738229466</c:v>
                </c:pt>
                <c:pt idx="81">
                  <c:v>5.0588969738229466</c:v>
                </c:pt>
                <c:pt idx="82">
                  <c:v>12.865538961967456</c:v>
                </c:pt>
                <c:pt idx="83">
                  <c:v>12.865538961967456</c:v>
                </c:pt>
                <c:pt idx="84">
                  <c:v>12.865538961967456</c:v>
                </c:pt>
                <c:pt idx="85">
                  <c:v>12.865538961967456</c:v>
                </c:pt>
                <c:pt idx="86">
                  <c:v>5.0588969738229466</c:v>
                </c:pt>
                <c:pt idx="87">
                  <c:v>5.0588969738229466</c:v>
                </c:pt>
                <c:pt idx="88">
                  <c:v>12.865538961967456</c:v>
                </c:pt>
                <c:pt idx="89">
                  <c:v>12.865538961967456</c:v>
                </c:pt>
                <c:pt idx="90">
                  <c:v>12.865538961967456</c:v>
                </c:pt>
                <c:pt idx="91">
                  <c:v>12.865538961967456</c:v>
                </c:pt>
                <c:pt idx="92">
                  <c:v>12.865538961967456</c:v>
                </c:pt>
                <c:pt idx="93">
                  <c:v>12.865538961967456</c:v>
                </c:pt>
                <c:pt idx="94">
                  <c:v>12.865538961967456</c:v>
                </c:pt>
                <c:pt idx="95">
                  <c:v>12.670372912263844</c:v>
                </c:pt>
                <c:pt idx="96">
                  <c:v>12.670372912263844</c:v>
                </c:pt>
                <c:pt idx="97">
                  <c:v>12.670372912263844</c:v>
                </c:pt>
                <c:pt idx="98">
                  <c:v>12.670372912263844</c:v>
                </c:pt>
                <c:pt idx="99">
                  <c:v>12.670372912263844</c:v>
                </c:pt>
                <c:pt idx="100">
                  <c:v>12.670372912263844</c:v>
                </c:pt>
                <c:pt idx="101">
                  <c:v>12.670372912263844</c:v>
                </c:pt>
                <c:pt idx="102">
                  <c:v>12.670372912263844</c:v>
                </c:pt>
                <c:pt idx="103">
                  <c:v>5.0588969738229466</c:v>
                </c:pt>
                <c:pt idx="104">
                  <c:v>12.670372912263844</c:v>
                </c:pt>
                <c:pt idx="105">
                  <c:v>12.670372912263844</c:v>
                </c:pt>
                <c:pt idx="106">
                  <c:v>12.670372912263844</c:v>
                </c:pt>
                <c:pt idx="107">
                  <c:v>12.670372912263844</c:v>
                </c:pt>
                <c:pt idx="108">
                  <c:v>5.0588969738229466</c:v>
                </c:pt>
                <c:pt idx="109">
                  <c:v>12.670372912263844</c:v>
                </c:pt>
                <c:pt idx="110">
                  <c:v>12.670372912263844</c:v>
                </c:pt>
                <c:pt idx="111">
                  <c:v>12.670372912263844</c:v>
                </c:pt>
                <c:pt idx="112">
                  <c:v>12.670372912263844</c:v>
                </c:pt>
                <c:pt idx="113">
                  <c:v>12.670372912263844</c:v>
                </c:pt>
                <c:pt idx="114">
                  <c:v>12.670372912263844</c:v>
                </c:pt>
                <c:pt idx="115">
                  <c:v>12.670372912263844</c:v>
                </c:pt>
                <c:pt idx="116">
                  <c:v>12.670372912263844</c:v>
                </c:pt>
                <c:pt idx="117">
                  <c:v>12.670372912263844</c:v>
                </c:pt>
                <c:pt idx="118">
                  <c:v>12.670372912263844</c:v>
                </c:pt>
                <c:pt idx="119">
                  <c:v>12.670372912263844</c:v>
                </c:pt>
                <c:pt idx="120">
                  <c:v>12.670372912263844</c:v>
                </c:pt>
                <c:pt idx="121">
                  <c:v>12.670372912263844</c:v>
                </c:pt>
                <c:pt idx="122">
                  <c:v>5.0588969738229466</c:v>
                </c:pt>
                <c:pt idx="123">
                  <c:v>12.670372912263844</c:v>
                </c:pt>
                <c:pt idx="124">
                  <c:v>12.670372912263844</c:v>
                </c:pt>
                <c:pt idx="125">
                  <c:v>12.670372912263844</c:v>
                </c:pt>
                <c:pt idx="126">
                  <c:v>12.670372912263844</c:v>
                </c:pt>
              </c:numCache>
            </c:numRef>
          </c:yVal>
          <c:smooth val="0"/>
          <c:extLst>
            <c:ext xmlns:c16="http://schemas.microsoft.com/office/drawing/2014/chart" uri="{C3380CC4-5D6E-409C-BE32-E72D297353CC}">
              <c16:uniqueId val="{00000004-2F55-4978-88C0-C31428FF8076}"/>
            </c:ext>
          </c:extLst>
        </c:ser>
        <c:dLbls>
          <c:showLegendKey val="0"/>
          <c:showVal val="0"/>
          <c:showCatName val="0"/>
          <c:showSerName val="0"/>
          <c:showPercent val="0"/>
          <c:showBubbleSize val="0"/>
        </c:dLbls>
        <c:axId val="2089002208"/>
        <c:axId val="2089004608"/>
      </c:scatterChart>
      <c:valAx>
        <c:axId val="2089002208"/>
        <c:scaling>
          <c:orientation val="minMax"/>
        </c:scaling>
        <c:delete val="0"/>
        <c:axPos val="b"/>
        <c:title>
          <c:tx>
            <c:rich>
              <a:bodyPr/>
              <a:lstStyle/>
              <a:p>
                <a:pPr>
                  <a:defRPr/>
                </a:pPr>
                <a:r>
                  <a:rPr lang="en-GB"/>
                  <a:t>PricePerUnit</a:t>
                </a:r>
              </a:p>
            </c:rich>
          </c:tx>
          <c:overlay val="0"/>
        </c:title>
        <c:numFmt formatCode="_-[$$-409]* #,##0.00_ ;_-[$$-409]* \-#,##0.00\ ;_-[$$-409]* &quot;-&quot;??_ ;_-@_ " sourceLinked="1"/>
        <c:majorTickMark val="out"/>
        <c:minorTickMark val="none"/>
        <c:tickLblPos val="nextTo"/>
        <c:crossAx val="2089004608"/>
        <c:crosses val="autoZero"/>
        <c:crossBetween val="midCat"/>
      </c:valAx>
      <c:valAx>
        <c:axId val="2089004608"/>
        <c:scaling>
          <c:orientation val="minMax"/>
        </c:scaling>
        <c:delete val="0"/>
        <c:axPos val="l"/>
        <c:title>
          <c:tx>
            <c:rich>
              <a:bodyPr/>
              <a:lstStyle/>
              <a:p>
                <a:pPr>
                  <a:defRPr/>
                </a:pPr>
                <a:r>
                  <a:rPr lang="en-GB"/>
                  <a:t>ProductQuantity</a:t>
                </a:r>
              </a:p>
            </c:rich>
          </c:tx>
          <c:overlay val="0"/>
        </c:title>
        <c:numFmt formatCode="General" sourceLinked="1"/>
        <c:majorTickMark val="out"/>
        <c:minorTickMark val="none"/>
        <c:tickLblPos val="nextTo"/>
        <c:crossAx val="2089002208"/>
        <c:crosses val="autoZero"/>
        <c:crossBetween val="midCat"/>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30</xdr:col>
      <xdr:colOff>530225</xdr:colOff>
      <xdr:row>8</xdr:row>
      <xdr:rowOff>82550</xdr:rowOff>
    </xdr:from>
    <xdr:to>
      <xdr:col>38</xdr:col>
      <xdr:colOff>225425</xdr:colOff>
      <xdr:row>23</xdr:row>
      <xdr:rowOff>63500</xdr:rowOff>
    </xdr:to>
    <xdr:graphicFrame macro="">
      <xdr:nvGraphicFramePr>
        <xdr:cNvPr id="2" name="Chart 1">
          <a:extLst>
            <a:ext uri="{FF2B5EF4-FFF2-40B4-BE49-F238E27FC236}">
              <a16:creationId xmlns:a16="http://schemas.microsoft.com/office/drawing/2014/main" id="{D98E3459-E89C-C438-69B1-F43D49D3A2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29</xdr:col>
      <xdr:colOff>523875</xdr:colOff>
      <xdr:row>3</xdr:row>
      <xdr:rowOff>88900</xdr:rowOff>
    </xdr:from>
    <xdr:to>
      <xdr:col>37</xdr:col>
      <xdr:colOff>219075</xdr:colOff>
      <xdr:row>18</xdr:row>
      <xdr:rowOff>69850</xdr:rowOff>
    </xdr:to>
    <xdr:graphicFrame macro="">
      <xdr:nvGraphicFramePr>
        <xdr:cNvPr id="2" name="Chart 1">
          <a:extLst>
            <a:ext uri="{FF2B5EF4-FFF2-40B4-BE49-F238E27FC236}">
              <a16:creationId xmlns:a16="http://schemas.microsoft.com/office/drawing/2014/main" id="{AE6CB2A3-6506-4C66-29D1-D214A06147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23</xdr:col>
      <xdr:colOff>503390</xdr:colOff>
      <xdr:row>19</xdr:row>
      <xdr:rowOff>108209</xdr:rowOff>
    </xdr:from>
    <xdr:to>
      <xdr:col>31</xdr:col>
      <xdr:colOff>226164</xdr:colOff>
      <xdr:row>34</xdr:row>
      <xdr:rowOff>165274</xdr:rowOff>
    </xdr:to>
    <xdr:graphicFrame macro="">
      <xdr:nvGraphicFramePr>
        <xdr:cNvPr id="2" name="Chart 1">
          <a:extLst>
            <a:ext uri="{FF2B5EF4-FFF2-40B4-BE49-F238E27FC236}">
              <a16:creationId xmlns:a16="http://schemas.microsoft.com/office/drawing/2014/main" id="{4757A603-CB9C-EEEF-D30F-6A86DF2269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441325</xdr:colOff>
      <xdr:row>2</xdr:row>
      <xdr:rowOff>127000</xdr:rowOff>
    </xdr:from>
    <xdr:to>
      <xdr:col>31</xdr:col>
      <xdr:colOff>136525</xdr:colOff>
      <xdr:row>17</xdr:row>
      <xdr:rowOff>95250</xdr:rowOff>
    </xdr:to>
    <xdr:graphicFrame macro="">
      <xdr:nvGraphicFramePr>
        <xdr:cNvPr id="3" name="Chart 2">
          <a:extLst>
            <a:ext uri="{FF2B5EF4-FFF2-40B4-BE49-F238E27FC236}">
              <a16:creationId xmlns:a16="http://schemas.microsoft.com/office/drawing/2014/main" id="{5D9BBD30-25AD-47D4-E8B7-B2A3075F99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514959</xdr:colOff>
      <xdr:row>38</xdr:row>
      <xdr:rowOff>2784</xdr:rowOff>
    </xdr:from>
    <xdr:to>
      <xdr:col>31</xdr:col>
      <xdr:colOff>215726</xdr:colOff>
      <xdr:row>53</xdr:row>
      <xdr:rowOff>5915</xdr:rowOff>
    </xdr:to>
    <xdr:graphicFrame macro="">
      <xdr:nvGraphicFramePr>
        <xdr:cNvPr id="5" name="Chart 4">
          <a:extLst>
            <a:ext uri="{FF2B5EF4-FFF2-40B4-BE49-F238E27FC236}">
              <a16:creationId xmlns:a16="http://schemas.microsoft.com/office/drawing/2014/main" id="{09D82473-80D1-1E3F-0790-C6D8D0406B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358384</xdr:colOff>
      <xdr:row>55</xdr:row>
      <xdr:rowOff>159359</xdr:rowOff>
    </xdr:from>
    <xdr:to>
      <xdr:col>31</xdr:col>
      <xdr:colOff>59151</xdr:colOff>
      <xdr:row>70</xdr:row>
      <xdr:rowOff>162490</xdr:rowOff>
    </xdr:to>
    <xdr:graphicFrame macro="">
      <xdr:nvGraphicFramePr>
        <xdr:cNvPr id="6" name="Chart 5">
          <a:extLst>
            <a:ext uri="{FF2B5EF4-FFF2-40B4-BE49-F238E27FC236}">
              <a16:creationId xmlns:a16="http://schemas.microsoft.com/office/drawing/2014/main" id="{933AD037-5899-7EF4-9534-95A559CE22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792896</xdr:colOff>
      <xdr:row>75</xdr:row>
      <xdr:rowOff>6420</xdr:rowOff>
    </xdr:from>
    <xdr:to>
      <xdr:col>29</xdr:col>
      <xdr:colOff>167409</xdr:colOff>
      <xdr:row>90</xdr:row>
      <xdr:rowOff>144318</xdr:rowOff>
    </xdr:to>
    <xdr:graphicFrame macro="">
      <xdr:nvGraphicFramePr>
        <xdr:cNvPr id="9" name="Chart 8">
          <a:extLst>
            <a:ext uri="{FF2B5EF4-FFF2-40B4-BE49-F238E27FC236}">
              <a16:creationId xmlns:a16="http://schemas.microsoft.com/office/drawing/2014/main" id="{6F11CBB0-373B-4B0D-5D9E-C295D06139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492803</xdr:colOff>
      <xdr:row>94</xdr:row>
      <xdr:rowOff>112780</xdr:rowOff>
    </xdr:from>
    <xdr:to>
      <xdr:col>30</xdr:col>
      <xdr:colOff>169333</xdr:colOff>
      <xdr:row>109</xdr:row>
      <xdr:rowOff>88032</xdr:rowOff>
    </xdr:to>
    <xdr:graphicFrame macro="">
      <xdr:nvGraphicFramePr>
        <xdr:cNvPr id="4" name="Chart 3">
          <a:extLst>
            <a:ext uri="{FF2B5EF4-FFF2-40B4-BE49-F238E27FC236}">
              <a16:creationId xmlns:a16="http://schemas.microsoft.com/office/drawing/2014/main" id="{081F01C7-6EB4-3E7B-FF47-34B725EEE4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392907</xdr:colOff>
      <xdr:row>76</xdr:row>
      <xdr:rowOff>146446</xdr:rowOff>
    </xdr:from>
    <xdr:to>
      <xdr:col>20</xdr:col>
      <xdr:colOff>242094</xdr:colOff>
      <xdr:row>91</xdr:row>
      <xdr:rowOff>61912</xdr:rowOff>
    </xdr:to>
    <xdr:graphicFrame macro="">
      <xdr:nvGraphicFramePr>
        <xdr:cNvPr id="7" name="Chart 6">
          <a:extLst>
            <a:ext uri="{FF2B5EF4-FFF2-40B4-BE49-F238E27FC236}">
              <a16:creationId xmlns:a16="http://schemas.microsoft.com/office/drawing/2014/main" id="{5067C9FC-6C06-51AD-F4A5-DB69454C57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247650</xdr:colOff>
      <xdr:row>0</xdr:row>
      <xdr:rowOff>177800</xdr:rowOff>
    </xdr:from>
    <xdr:to>
      <xdr:col>19</xdr:col>
      <xdr:colOff>119945</xdr:colOff>
      <xdr:row>12</xdr:row>
      <xdr:rowOff>0</xdr:rowOff>
    </xdr:to>
    <xdr:graphicFrame macro="">
      <xdr:nvGraphicFramePr>
        <xdr:cNvPr id="2" name="Chart 1">
          <a:extLst>
            <a:ext uri="{FF2B5EF4-FFF2-40B4-BE49-F238E27FC236}">
              <a16:creationId xmlns:a16="http://schemas.microsoft.com/office/drawing/2014/main" id="{9116E1BC-834B-6A2C-DF30-9AB150EB5C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292100</xdr:colOff>
      <xdr:row>12</xdr:row>
      <xdr:rowOff>139700</xdr:rowOff>
    </xdr:from>
    <xdr:to>
      <xdr:col>18</xdr:col>
      <xdr:colOff>527050</xdr:colOff>
      <xdr:row>24</xdr:row>
      <xdr:rowOff>171450</xdr:rowOff>
    </xdr:to>
    <xdr:graphicFrame macro="">
      <xdr:nvGraphicFramePr>
        <xdr:cNvPr id="3" name="Chart 2">
          <a:extLst>
            <a:ext uri="{FF2B5EF4-FFF2-40B4-BE49-F238E27FC236}">
              <a16:creationId xmlns:a16="http://schemas.microsoft.com/office/drawing/2014/main" id="{E6486955-FE08-5E15-CC02-13177FE460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lia 2000" refreshedDate="45994.504259374997" createdVersion="8" refreshedVersion="8" minRefreshableVersion="3" recordCount="138" xr:uid="{42879D57-FCA4-406B-8CF5-233DF42019D7}">
  <cacheSource type="worksheet">
    <worksheetSource ref="A1:O1048576" sheet="DataVisualisation"/>
  </cacheSource>
  <cacheFields count="15">
    <cacheField name="Country" numFmtId="0">
      <sharedItems containsBlank="1" count="7">
        <s v="France"/>
        <s v="United Kingdom"/>
        <s v="N/A"/>
        <s v="Sweden"/>
        <s v="Germany"/>
        <s v="Switzerland"/>
        <m/>
      </sharedItems>
    </cacheField>
    <cacheField name="TransactionID" numFmtId="0">
      <sharedItems containsString="0" containsBlank="1" containsNumber="1" containsInteger="1" minValue="536370" maxValue="581494"/>
    </cacheField>
    <cacheField name="ProductCode" numFmtId="0">
      <sharedItems containsBlank="1" containsMixedTypes="1" containsNumber="1" containsInteger="1" minValue="10002" maxValue="15036"/>
    </cacheField>
    <cacheField name="ProductQuantity" numFmtId="0">
      <sharedItems containsString="0" containsBlank="1" containsNumber="1" containsInteger="1" minValue="1" maxValue="48"/>
    </cacheField>
    <cacheField name="TransactionTimestamp" numFmtId="0">
      <sharedItems containsNonDate="0" containsDate="1" containsString="0" containsBlank="1" minDate="2010-12-01T08:45:00" maxDate="2011-12-09T10:13:00"/>
    </cacheField>
    <cacheField name="PricePerUnit" numFmtId="0">
      <sharedItems containsString="0" containsBlank="1" containsNumber="1" minValue="0.75" maxValue="1.66"/>
    </cacheField>
    <cacheField name="ConsumerID" numFmtId="0">
      <sharedItems containsBlank="1" containsMixedTypes="1" containsNumber="1" containsInteger="1" minValue="12473" maxValue="18245"/>
    </cacheField>
    <cacheField name="Quantity_MinMax C" numFmtId="0">
      <sharedItems containsString="0" containsBlank="1" containsNumber="1" minValue="0" maxValue="1"/>
    </cacheField>
    <cacheField name="Quantity_Zscore C" numFmtId="0">
      <sharedItems containsString="0" containsBlank="1" containsNumber="1" minValue="-0.93394825253809688" maxValue="3.3346100318416125"/>
    </cacheField>
    <cacheField name="Quantity_Bin C" numFmtId="0">
      <sharedItems containsBlank="1"/>
    </cacheField>
    <cacheField name="Price_MinMax E" numFmtId="0">
      <sharedItems containsString="0" containsBlank="1" containsNumber="1" minValue="0" maxValue="1"/>
    </cacheField>
    <cacheField name="Price_Zscore E" numFmtId="0">
      <sharedItems containsString="0" containsBlank="1" containsNumber="1" minValue="-0.73456878016154581" maxValue="2.0262154124651373"/>
    </cacheField>
    <cacheField name="Price_Bin E" numFmtId="0">
      <sharedItems containsBlank="1"/>
    </cacheField>
    <cacheField name="Leads_Generated" numFmtId="0">
      <sharedItems containsString="0" containsBlank="1" containsNumber="1" containsInteger="1" minValue="2" maxValue="13"/>
    </cacheField>
    <cacheField name="TotalProjects" numFmtId="0">
      <sharedItems containsString="0" containsBlank="1" containsNumber="1" containsInteger="1" minValue="1" maxValue="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lia 2000" refreshedDate="45994.573139236112" createdVersion="8" refreshedVersion="8" minRefreshableVersion="3" recordCount="127" xr:uid="{708AEFFC-D6AF-4334-BAE7-E58548DC3A27}">
  <cacheSource type="worksheet">
    <worksheetSource name="Table1394041424344454645"/>
  </cacheSource>
  <cacheFields count="15">
    <cacheField name="Country" numFmtId="0">
      <sharedItems/>
    </cacheField>
    <cacheField name="TransactionID" numFmtId="0">
      <sharedItems containsSemiMixedTypes="0" containsString="0" containsNumber="1" containsInteger="1" minValue="536370" maxValue="581494"/>
    </cacheField>
    <cacheField name="ProductCode" numFmtId="0">
      <sharedItems containsMixedTypes="1" containsNumber="1" containsInteger="1" minValue="10002" maxValue="15036"/>
    </cacheField>
    <cacheField name="ProductQuantity" numFmtId="0">
      <sharedItems containsSemiMixedTypes="0" containsString="0" containsNumber="1" containsInteger="1" minValue="1" maxValue="48"/>
    </cacheField>
    <cacheField name="TransactionTimestamp" numFmtId="0">
      <sharedItems containsSemiMixedTypes="0" containsNonDate="0" containsDate="1" containsString="0" minDate="2010-12-01T08:45:00" maxDate="2011-12-09T10:13:00"/>
    </cacheField>
    <cacheField name="PricePerUnit" numFmtId="164">
      <sharedItems containsSemiMixedTypes="0" containsString="0" containsNumber="1" minValue="0.75" maxValue="1.66"/>
    </cacheField>
    <cacheField name="ConsumerID" numFmtId="0">
      <sharedItems containsMixedTypes="1" containsNumber="1" containsInteger="1" minValue="12473" maxValue="18245"/>
    </cacheField>
    <cacheField name="Quantity_MinMax C" numFmtId="0">
      <sharedItems containsSemiMixedTypes="0" containsString="0" containsNumber="1" minValue="0" maxValue="1"/>
    </cacheField>
    <cacheField name="Quantity_Zscore C" numFmtId="0">
      <sharedItems containsSemiMixedTypes="0" containsString="0" containsNumber="1" minValue="-0.93394825253809688" maxValue="3.3346100318416125"/>
    </cacheField>
    <cacheField name="Quantity_Bin C" numFmtId="0">
      <sharedItems/>
    </cacheField>
    <cacheField name="Price_MinMax E" numFmtId="164">
      <sharedItems containsSemiMixedTypes="0" containsString="0" containsNumber="1" minValue="0" maxValue="1"/>
    </cacheField>
    <cacheField name="Price_Zscore E" numFmtId="164">
      <sharedItems containsSemiMixedTypes="0" containsString="0" containsNumber="1" minValue="-0.73456878016155625" maxValue="2.0262154124651568"/>
    </cacheField>
    <cacheField name="Price_Bin E" numFmtId="0">
      <sharedItems/>
    </cacheField>
    <cacheField name="Leads_Generated" numFmtId="0">
      <sharedItems containsSemiMixedTypes="0" containsString="0" containsNumber="1" containsInteger="1" minValue="2" maxValue="13" count="9">
        <n v="9"/>
        <n v="12"/>
        <n v="10"/>
        <n v="4"/>
        <n v="13"/>
        <n v="8"/>
        <n v="3"/>
        <n v="11"/>
        <n v="2"/>
      </sharedItems>
    </cacheField>
    <cacheField name="TotalProjects" numFmtId="0">
      <sharedItems containsSemiMixedTypes="0" containsString="0" containsNumber="1" containsInteger="1" minValue="1" maxValue="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8">
  <r>
    <x v="0"/>
    <n v="536370"/>
    <n v="10002"/>
    <n v="48"/>
    <d v="2010-12-01T08:45:00"/>
    <n v="0.85"/>
    <n v="12583"/>
    <n v="1"/>
    <n v="3.3346100318416125"/>
    <s v="HIGH"/>
    <n v="0.10989010989010987"/>
    <n v="-0.43118590185092137"/>
    <s v="LOW"/>
    <n v="12"/>
    <n v="4"/>
  </r>
  <r>
    <x v="1"/>
    <n v="536382"/>
    <n v="10002"/>
    <n v="12"/>
    <d v="2010-12-01T09:45:00"/>
    <n v="0.85"/>
    <n v="16098"/>
    <n v="0.23404255319148937"/>
    <n v="6.5076026784813848E-2"/>
    <s v="HIGH"/>
    <n v="0.10989010989010987"/>
    <n v="-0.43118590185092137"/>
    <s v="LOW"/>
    <n v="4"/>
    <n v="1"/>
  </r>
  <r>
    <x v="1"/>
    <n v="536446"/>
    <n v="10133"/>
    <n v="5"/>
    <d v="2010-12-01T12:15:00"/>
    <n v="0.85"/>
    <n v="15983"/>
    <n v="8.5106382978723402E-2"/>
    <n v="-0.5706666964206748"/>
    <s v="LOW"/>
    <n v="0.10989010989010987"/>
    <n v="-0.43118590185092137"/>
    <s v="LOW"/>
    <n v="11"/>
    <n v="3"/>
  </r>
  <r>
    <x v="1"/>
    <n v="536756"/>
    <n v="10002"/>
    <n v="1"/>
    <d v="2010-12-02T14:23:00"/>
    <n v="0.85"/>
    <s v="N/A"/>
    <n v="0"/>
    <n v="-0.93394825253809688"/>
    <s v="LOW"/>
    <n v="0.10989010989010987"/>
    <n v="-0.43118590185092137"/>
    <s v="LOW"/>
    <n v="9"/>
    <n v="5"/>
  </r>
  <r>
    <x v="1"/>
    <n v="536863"/>
    <n v="10002"/>
    <n v="1"/>
    <d v="2010-12-03T11:19:00"/>
    <n v="0.85"/>
    <n v="17967"/>
    <n v="0"/>
    <n v="-0.93394825253809688"/>
    <s v="LOW"/>
    <n v="0.10989010989010987"/>
    <n v="-0.43118590185092137"/>
    <s v="LOW"/>
    <n v="9"/>
    <n v="1"/>
  </r>
  <r>
    <x v="1"/>
    <n v="536865"/>
    <n v="10002"/>
    <n v="11"/>
    <d v="2010-12-03T11:28:00"/>
    <n v="1.66"/>
    <s v="N/A"/>
    <n v="0.21276595744680851"/>
    <n v="-2.5744362244541675E-2"/>
    <s v="LOW"/>
    <n v="1"/>
    <n v="2.0262154124651373"/>
    <s v="HIGH"/>
    <n v="11"/>
    <n v="4"/>
  </r>
  <r>
    <x v="1"/>
    <n v="536876"/>
    <n v="10002"/>
    <n v="2"/>
    <d v="2010-12-03T11:36:00"/>
    <n v="1.66"/>
    <s v="N/A"/>
    <n v="2.1276595744680851E-2"/>
    <n v="-0.84312786350874136"/>
    <s v="LOW"/>
    <n v="1"/>
    <n v="2.0262154124651373"/>
    <s v="HIGH"/>
    <n v="8"/>
    <n v="3"/>
  </r>
  <r>
    <x v="1"/>
    <n v="536876"/>
    <n v="10133"/>
    <n v="1"/>
    <d v="2010-12-03T11:36:00"/>
    <n v="1.66"/>
    <s v="N/A"/>
    <n v="0"/>
    <n v="-0.93394825253809688"/>
    <s v="LOW"/>
    <n v="1"/>
    <n v="2.0262154124651373"/>
    <s v="HIGH"/>
    <n v="8"/>
    <n v="1"/>
  </r>
  <r>
    <x v="1"/>
    <n v="537225"/>
    <n v="10133"/>
    <n v="10"/>
    <d v="2010-12-05T00:00:00"/>
    <n v="0.85"/>
    <n v="12748"/>
    <n v="0.19148936170212766"/>
    <n v="-0.11656475127389719"/>
    <s v="LOW"/>
    <n v="0.10989010989010987"/>
    <n v="-0.43118590185092137"/>
    <s v="LOW"/>
    <n v="9"/>
    <n v="4"/>
  </r>
  <r>
    <x v="1"/>
    <n v="537047"/>
    <n v="10002"/>
    <n v="1"/>
    <d v="2010-12-05T11:02:00"/>
    <n v="0.85"/>
    <n v="13069"/>
    <n v="0"/>
    <n v="-0.93394825253809688"/>
    <s v="LOW"/>
    <n v="0.10989010989010987"/>
    <n v="-0.43118590185092137"/>
    <s v="LOW"/>
    <n v="4"/>
    <n v="5"/>
  </r>
  <r>
    <x v="1"/>
    <n v="537126"/>
    <n v="10133"/>
    <n v="1"/>
    <d v="2010-12-05T12:13:00"/>
    <n v="0.85"/>
    <n v="18118"/>
    <n v="0"/>
    <n v="-0.93394825253809688"/>
    <s v="LOW"/>
    <n v="0.10989010989010987"/>
    <n v="-0.43118590185092137"/>
    <s v="LOW"/>
    <n v="9"/>
    <n v="1"/>
  </r>
  <r>
    <x v="1"/>
    <n v="537155"/>
    <n v="10133"/>
    <n v="3"/>
    <d v="2010-12-05T13:05:00"/>
    <n v="0.85"/>
    <n v="12748"/>
    <n v="4.2553191489361701E-2"/>
    <n v="-0.75230747447938584"/>
    <s v="LOW"/>
    <n v="0.10989010989010987"/>
    <n v="-0.43118590185092137"/>
    <s v="LOW"/>
    <n v="11"/>
    <n v="5"/>
  </r>
  <r>
    <x v="1"/>
    <n v="537227"/>
    <n v="10002"/>
    <n v="24"/>
    <d v="2010-12-06T08:42:00"/>
    <n v="0.85"/>
    <n v="17677"/>
    <n v="0.48936170212765956"/>
    <n v="1.1549206951370801"/>
    <s v="HIGH"/>
    <n v="0.10989010989010987"/>
    <n v="-0.43118590185092137"/>
    <s v="LOW"/>
    <n v="2"/>
    <n v="5"/>
  </r>
  <r>
    <x v="1"/>
    <n v="537240"/>
    <n v="10002"/>
    <n v="1"/>
    <d v="2010-12-06T10:08:00"/>
    <n v="1.66"/>
    <s v="N/A"/>
    <n v="0"/>
    <n v="-0.93394825253809688"/>
    <s v="LOW"/>
    <n v="1"/>
    <n v="2.0262154124651373"/>
    <s v="HIGH"/>
    <n v="12"/>
    <n v="7"/>
  </r>
  <r>
    <x v="1"/>
    <n v="537374"/>
    <n v="10133"/>
    <n v="2"/>
    <d v="2010-12-06T12:55:00"/>
    <n v="0.85"/>
    <n v="17259"/>
    <n v="2.1276595744680851E-2"/>
    <n v="-0.84312786350874136"/>
    <s v="LOW"/>
    <n v="0.10989010989010987"/>
    <n v="-0.43118590185092137"/>
    <s v="LOW"/>
    <n v="11"/>
    <n v="7"/>
  </r>
  <r>
    <x v="1"/>
    <n v="537638"/>
    <n v="10002"/>
    <n v="5"/>
    <d v="2010-12-07T15:28:00"/>
    <n v="1.66"/>
    <s v="N/A"/>
    <n v="8.5106382978723402E-2"/>
    <n v="-0.5706666964206748"/>
    <s v="LOW"/>
    <n v="1"/>
    <n v="2.0262154124651373"/>
    <s v="HIGH"/>
    <n v="3"/>
    <n v="5"/>
  </r>
  <r>
    <x v="1"/>
    <n v="538064"/>
    <n v="10133"/>
    <n v="2"/>
    <d v="2010-12-09T13:47:00"/>
    <n v="0.85"/>
    <n v="15271"/>
    <n v="2.1276595744680851E-2"/>
    <n v="-0.84312786350874136"/>
    <s v="LOW"/>
    <n v="0.10989010989010987"/>
    <n v="-0.43118590185092137"/>
    <s v="LOW"/>
    <n v="2"/>
    <n v="5"/>
  </r>
  <r>
    <x v="1"/>
    <n v="538070"/>
    <n v="10133"/>
    <n v="10"/>
    <d v="2010-12-09T14:08:00"/>
    <n v="0.85"/>
    <n v="16519"/>
    <n v="0.19148936170212766"/>
    <n v="-0.11656475127389719"/>
    <s v="LOW"/>
    <n v="0.10989010989010987"/>
    <n v="-0.43118590185092137"/>
    <s v="LOW"/>
    <n v="11"/>
    <n v="1"/>
  </r>
  <r>
    <x v="2"/>
    <n v="539222"/>
    <n v="10133"/>
    <n v="10"/>
    <d v="2010-12-16T13:00:00"/>
    <n v="0.85"/>
    <n v="14621"/>
    <n v="0.19148936170212766"/>
    <n v="-0.11656475127389719"/>
    <s v="LOW"/>
    <n v="0.10989010989010987"/>
    <n v="-0.43118590185092137"/>
    <s v="LOW"/>
    <n v="2"/>
    <n v="5"/>
  </r>
  <r>
    <x v="1"/>
    <n v="539477"/>
    <n v="10133"/>
    <n v="10"/>
    <d v="2010-12-19T14:58:00"/>
    <n v="0.85"/>
    <n v="18245"/>
    <n v="0.19148936170212766"/>
    <n v="-0.11656475127389719"/>
    <s v="LOW"/>
    <n v="0.10989010989010987"/>
    <n v="-0.43118590185092137"/>
    <s v="LOW"/>
    <n v="9"/>
    <n v="5"/>
  </r>
  <r>
    <x v="1"/>
    <n v="539933"/>
    <n v="10133"/>
    <n v="10"/>
    <d v="2010-12-23T11:24:00"/>
    <n v="0.85"/>
    <n v="15235"/>
    <n v="0.19148936170212766"/>
    <n v="-0.11656475127389719"/>
    <s v="LOW"/>
    <n v="0.10989010989010987"/>
    <n v="-0.43118590185092137"/>
    <s v="LOW"/>
    <n v="11"/>
    <n v="5"/>
  </r>
  <r>
    <x v="1"/>
    <n v="539958"/>
    <n v="10133"/>
    <n v="6"/>
    <d v="2010-12-23T13:26:00"/>
    <n v="0.81"/>
    <s v="N/A"/>
    <n v="0.10638297872340426"/>
    <n v="-0.47984630739131928"/>
    <s v="LOW"/>
    <n v="6.5934065934066005E-2"/>
    <n v="-0.55253905317517094"/>
    <s v="LOW"/>
    <n v="12"/>
    <n v="4"/>
  </r>
  <r>
    <x v="1"/>
    <n v="540026"/>
    <n v="10133"/>
    <n v="1"/>
    <d v="2011-01-04T13:25:00"/>
    <n v="0.81"/>
    <s v="N/A"/>
    <n v="0"/>
    <n v="-0.93394825253809688"/>
    <s v="LOW"/>
    <n v="6.5934065934066005E-2"/>
    <n v="-0.55253905317517094"/>
    <s v="LOW"/>
    <n v="9"/>
    <n v="5"/>
  </r>
  <r>
    <x v="1"/>
    <n v="540154"/>
    <n v="10133"/>
    <n v="1"/>
    <d v="2011-01-05T11:30:00"/>
    <n v="0.81"/>
    <s v="N/A"/>
    <n v="0"/>
    <n v="-0.93394825253809688"/>
    <s v="LOW"/>
    <n v="6.5934065934066005E-2"/>
    <n v="-0.55253905317517094"/>
    <s v="LOW"/>
    <n v="11"/>
    <n v="1"/>
  </r>
  <r>
    <x v="1"/>
    <n v="540352"/>
    <n v="10133"/>
    <n v="1"/>
    <d v="2011-01-06T14:27:00"/>
    <n v="0.81"/>
    <s v="N/A"/>
    <n v="0"/>
    <n v="-0.93394825253809688"/>
    <s v="LOW"/>
    <n v="6.5934065934066005E-2"/>
    <n v="-0.55253905317517094"/>
    <s v="LOW"/>
    <n v="4"/>
    <n v="4"/>
  </r>
  <r>
    <x v="1"/>
    <n v="540468"/>
    <n v="10133"/>
    <n v="5"/>
    <d v="2011-01-07T00:00:00"/>
    <n v="0.81"/>
    <s v="N/A"/>
    <n v="8.5106382978723402E-2"/>
    <n v="-0.5706666964206748"/>
    <s v="LOW"/>
    <n v="6.5934065934066005E-2"/>
    <n v="-0.55253905317517094"/>
    <s v="LOW"/>
    <n v="4"/>
    <n v="5"/>
  </r>
  <r>
    <x v="1"/>
    <n v="540418"/>
    <n v="10133"/>
    <n v="3"/>
    <d v="2011-01-07T11:04:00"/>
    <n v="0.81"/>
    <s v="N/A"/>
    <n v="4.2553191489361701E-2"/>
    <n v="-0.75230747447938584"/>
    <s v="LOW"/>
    <n v="6.5934065934066005E-2"/>
    <n v="-0.55253905317517094"/>
    <s v="LOW"/>
    <n v="4"/>
    <n v="4"/>
  </r>
  <r>
    <x v="1"/>
    <n v="540551"/>
    <n v="10133"/>
    <n v="1"/>
    <d v="2011-01-10T09:43:00"/>
    <n v="0.81"/>
    <s v="N/A"/>
    <n v="0"/>
    <n v="-0.93394825253809688"/>
    <s v="LOW"/>
    <n v="6.5934065934066005E-2"/>
    <n v="-0.55253905317517094"/>
    <s v="LOW"/>
    <n v="8"/>
    <n v="4"/>
  </r>
  <r>
    <x v="1"/>
    <n v="540646"/>
    <n v="10133"/>
    <n v="6"/>
    <d v="2011-01-10T14:32:00"/>
    <n v="0.81"/>
    <s v="N/A"/>
    <n v="0.10638297872340426"/>
    <n v="-0.47984630739131928"/>
    <s v="LOW"/>
    <n v="6.5934065934066005E-2"/>
    <n v="-0.55253905317517094"/>
    <s v="LOW"/>
    <n v="12"/>
    <n v="1"/>
  </r>
  <r>
    <x v="1"/>
    <n v="540821"/>
    <n v="10133"/>
    <n v="3"/>
    <d v="2011-01-11T13:16:00"/>
    <n v="0.81"/>
    <s v="N/A"/>
    <n v="4.2553191489361701E-2"/>
    <n v="-0.75230747447938584"/>
    <s v="LOW"/>
    <n v="6.5934065934066005E-2"/>
    <n v="-0.55253905317517094"/>
    <s v="LOW"/>
    <n v="8"/>
    <n v="1"/>
  </r>
  <r>
    <x v="1"/>
    <n v="540848"/>
    <n v="10133"/>
    <n v="7"/>
    <d v="2011-01-12T09:26:00"/>
    <n v="0.81"/>
    <s v="N/A"/>
    <n v="0.1276595744680851"/>
    <n v="-0.38902591836196376"/>
    <s v="LOW"/>
    <n v="6.5934065934066005E-2"/>
    <n v="-0.55253905317517094"/>
    <s v="LOW"/>
    <n v="12"/>
    <n v="4"/>
  </r>
  <r>
    <x v="1"/>
    <n v="540977"/>
    <n v="10133"/>
    <n v="1"/>
    <d v="2011-01-12T15:01:00"/>
    <n v="0.81"/>
    <s v="N/A"/>
    <n v="0"/>
    <n v="-0.93394825253809688"/>
    <s v="LOW"/>
    <n v="6.5934065934066005E-2"/>
    <n v="-0.55253905317517094"/>
    <s v="LOW"/>
    <n v="11"/>
    <n v="3"/>
  </r>
  <r>
    <x v="1"/>
    <n v="541104"/>
    <n v="10133"/>
    <n v="4"/>
    <d v="2011-01-13T14:29:00"/>
    <n v="0.79"/>
    <s v="N/A"/>
    <n v="6.3829787234042548E-2"/>
    <n v="-0.66148708545003032"/>
    <s v="LOW"/>
    <n v="4.3956043956044001E-2"/>
    <n v="-0.61321562883729586"/>
    <s v="LOW"/>
    <n v="12"/>
    <n v="7"/>
  </r>
  <r>
    <x v="1"/>
    <n v="541219"/>
    <n v="10133"/>
    <n v="22"/>
    <d v="2011-01-14T14:06:00"/>
    <n v="0.79"/>
    <s v="N/A"/>
    <n v="0.44680851063829785"/>
    <n v="0.97327991707836903"/>
    <s v="HIGH"/>
    <n v="4.3956043956044001E-2"/>
    <n v="-0.61321562883729586"/>
    <s v="LOW"/>
    <n v="2"/>
    <n v="5"/>
  </r>
  <r>
    <x v="1"/>
    <n v="541422"/>
    <n v="10133"/>
    <n v="12"/>
    <d v="2011-01-17T17:48:00"/>
    <n v="0.79"/>
    <s v="N/A"/>
    <n v="0.23404255319148937"/>
    <n v="6.5076026784813848E-2"/>
    <s v="HIGH"/>
    <n v="4.3956043956044001E-2"/>
    <n v="-0.61321562883729586"/>
    <s v="LOW"/>
    <n v="4"/>
    <n v="1"/>
  </r>
  <r>
    <x v="1"/>
    <n v="545060"/>
    <n v="10080"/>
    <n v="2"/>
    <d v="2011-02-27T13:47:00"/>
    <n v="0.85"/>
    <n v="15547"/>
    <n v="2.1276595744680851E-2"/>
    <n v="-0.84312786350874136"/>
    <s v="LOW"/>
    <n v="0.10989010989010987"/>
    <n v="-0.43118590185092137"/>
    <s v="LOW"/>
    <n v="4"/>
    <n v="3"/>
  </r>
  <r>
    <x v="1"/>
    <n v="546429"/>
    <n v="15036"/>
    <n v="12"/>
    <d v="2011-03-13T15:25:00"/>
    <n v="0.75"/>
    <n v="17611"/>
    <n v="0.23404255319148937"/>
    <n v="6.5076026784813848E-2"/>
    <s v="HIGH"/>
    <n v="0"/>
    <n v="-0.73456878016154581"/>
    <s v="LOW"/>
    <n v="4"/>
    <n v="5"/>
  </r>
  <r>
    <x v="3"/>
    <n v="546530"/>
    <n v="15036"/>
    <n v="12"/>
    <d v="2011-03-14T13:25:00"/>
    <n v="0.75"/>
    <n v="17404"/>
    <n v="0.23404255319148937"/>
    <n v="6.5076026784813848E-2"/>
    <s v="HIGH"/>
    <n v="0"/>
    <n v="-0.73456878016154581"/>
    <s v="LOW"/>
    <n v="9"/>
    <n v="7"/>
  </r>
  <r>
    <x v="1"/>
    <n v="546731"/>
    <n v="15036"/>
    <n v="12"/>
    <d v="2011-03-16T11:39:00"/>
    <n v="0.75"/>
    <n v="13089"/>
    <n v="0.23404255319148937"/>
    <n v="6.5076026784813848E-2"/>
    <s v="HIGH"/>
    <n v="0"/>
    <n v="-0.73456878016154581"/>
    <s v="LOW"/>
    <n v="11"/>
    <n v="3"/>
  </r>
  <r>
    <x v="1"/>
    <n v="546731"/>
    <n v="15036"/>
    <n v="24"/>
    <d v="2011-03-16T11:39:00"/>
    <n v="0.75"/>
    <n v="13089"/>
    <n v="0.48936170212765956"/>
    <n v="1.1549206951370801"/>
    <s v="HIGH"/>
    <n v="0"/>
    <n v="-0.73456878016154581"/>
    <s v="LOW"/>
    <n v="9"/>
    <n v="1"/>
  </r>
  <r>
    <x v="1"/>
    <n v="546774"/>
    <n v="15036"/>
    <n v="12"/>
    <d v="2011-03-16T15:45:00"/>
    <n v="0.75"/>
    <n v="14505"/>
    <n v="0.23404255319148937"/>
    <n v="6.5076026784813848E-2"/>
    <s v="HIGH"/>
    <n v="0"/>
    <n v="-0.73456878016154581"/>
    <s v="LOW"/>
    <n v="9"/>
    <n v="1"/>
  </r>
  <r>
    <x v="1"/>
    <n v="546884"/>
    <n v="15036"/>
    <n v="1"/>
    <d v="2011-03-17T18:08:00"/>
    <n v="1.63"/>
    <s v="N/A"/>
    <n v="0"/>
    <n v="-0.93394825253809688"/>
    <s v="LOW"/>
    <n v="0.96703296703296704"/>
    <n v="1.9352005489719497"/>
    <s v="HIGH"/>
    <n v="12"/>
    <n v="5"/>
  </r>
  <r>
    <x v="1"/>
    <n v="546891"/>
    <n v="15036"/>
    <n v="12"/>
    <d v="2011-03-17T18:18:00"/>
    <n v="1.63"/>
    <s v="N/A"/>
    <n v="0.23404255319148937"/>
    <n v="6.5076026784813848E-2"/>
    <s v="HIGH"/>
    <n v="0.96703296703296704"/>
    <n v="1.9352005489719497"/>
    <s v="HIGH"/>
    <n v="4"/>
    <n v="1"/>
  </r>
  <r>
    <x v="1"/>
    <n v="546892"/>
    <n v="15036"/>
    <n v="4"/>
    <d v="2011-03-17T18:20:00"/>
    <n v="1.63"/>
    <s v="N/A"/>
    <n v="6.3829787234042548E-2"/>
    <n v="-0.66148708545003032"/>
    <s v="LOW"/>
    <n v="0.96703296703296704"/>
    <n v="1.9352005489719497"/>
    <s v="HIGH"/>
    <n v="9"/>
    <n v="1"/>
  </r>
  <r>
    <x v="1"/>
    <n v="546896"/>
    <n v="15036"/>
    <n v="17"/>
    <d v="2011-03-17T18:24:00"/>
    <n v="0.99"/>
    <s v="N/A"/>
    <n v="0.34042553191489361"/>
    <n v="0.51917797193159143"/>
    <s v="HIGH"/>
    <n v="0.26373626373626374"/>
    <n v="-6.4498722160469908E-3"/>
    <s v="LOW"/>
    <n v="9"/>
    <n v="3"/>
  </r>
  <r>
    <x v="1"/>
    <n v="547000"/>
    <n v="15036"/>
    <n v="12"/>
    <d v="2011-03-18T13:51:00"/>
    <n v="0.75"/>
    <n v="14282"/>
    <n v="0.23404255319148937"/>
    <n v="6.5076026784813848E-2"/>
    <s v="HIGH"/>
    <n v="0"/>
    <n v="-0.73456878016154581"/>
    <s v="LOW"/>
    <n v="11"/>
    <n v="1"/>
  </r>
  <r>
    <x v="1"/>
    <n v="547062"/>
    <n v="15036"/>
    <n v="12"/>
    <d v="2011-03-20T13:28:00"/>
    <n v="0.75"/>
    <n v="16728"/>
    <n v="0.23404255319148937"/>
    <n v="6.5076026784813848E-2"/>
    <s v="HIGH"/>
    <n v="0"/>
    <n v="-0.73456878016154581"/>
    <s v="LOW"/>
    <n v="4"/>
    <n v="7"/>
  </r>
  <r>
    <x v="1"/>
    <n v="547078"/>
    <n v="15036"/>
    <n v="24"/>
    <d v="2011-03-20T14:41:00"/>
    <n v="0.75"/>
    <n v="14408"/>
    <n v="0.48936170212765956"/>
    <n v="1.1549206951370801"/>
    <s v="HIGH"/>
    <n v="0"/>
    <n v="-0.73456878016154581"/>
    <s v="LOW"/>
    <n v="4"/>
    <n v="3"/>
  </r>
  <r>
    <x v="1"/>
    <n v="547200"/>
    <n v="15036"/>
    <n v="24"/>
    <d v="2011-03-21T13:01:00"/>
    <n v="0.75"/>
    <n v="16036"/>
    <n v="0.48936170212765956"/>
    <n v="1.1549206951370801"/>
    <s v="HIGH"/>
    <n v="0"/>
    <n v="-0.73456878016154581"/>
    <s v="LOW"/>
    <n v="11"/>
    <n v="1"/>
  </r>
  <r>
    <x v="1"/>
    <n v="547248"/>
    <n v="15036"/>
    <n v="11"/>
    <d v="2011-03-22T09:23:00"/>
    <n v="1.63"/>
    <s v="N/A"/>
    <n v="0.21276595744680851"/>
    <n v="-2.5744362244541675E-2"/>
    <s v="LOW"/>
    <n v="0.96703296703296704"/>
    <n v="1.9352005489719497"/>
    <s v="HIGH"/>
    <n v="11"/>
    <n v="4"/>
  </r>
  <r>
    <x v="1"/>
    <n v="547249"/>
    <n v="15036"/>
    <n v="12"/>
    <d v="2011-03-22T09:27:00"/>
    <n v="1.63"/>
    <s v="N/A"/>
    <n v="0.23404255319148937"/>
    <n v="6.5076026784813848E-2"/>
    <s v="HIGH"/>
    <n v="0.96703296703296704"/>
    <n v="1.9352005489719497"/>
    <s v="HIGH"/>
    <n v="11"/>
    <n v="1"/>
  </r>
  <r>
    <x v="1"/>
    <n v="547385"/>
    <n v="15036"/>
    <n v="22"/>
    <d v="2011-03-22T15:48:00"/>
    <n v="1.63"/>
    <s v="N/A"/>
    <n v="0.44680851063829785"/>
    <n v="0.97327991707836903"/>
    <s v="HIGH"/>
    <n v="0.96703296703296704"/>
    <n v="1.9352005489719497"/>
    <s v="HIGH"/>
    <n v="11"/>
    <n v="1"/>
  </r>
  <r>
    <x v="1"/>
    <n v="547386"/>
    <n v="15036"/>
    <n v="6"/>
    <d v="2011-03-22T15:52:00"/>
    <n v="1.63"/>
    <s v="N/A"/>
    <n v="0.10638297872340426"/>
    <n v="-0.47984630739131928"/>
    <s v="LOW"/>
    <n v="0.96703296703296704"/>
    <n v="1.9352005489719497"/>
    <s v="HIGH"/>
    <n v="8"/>
    <n v="5"/>
  </r>
  <r>
    <x v="1"/>
    <n v="547862"/>
    <s v="N/A"/>
    <n v="12"/>
    <d v="2011-03-27T12:54:00"/>
    <n v="0.75"/>
    <n v="12841"/>
    <n v="0.23404255319148937"/>
    <n v="6.5076026784813848E-2"/>
    <s v="HIGH"/>
    <n v="0"/>
    <n v="-0.73456878016154581"/>
    <s v="LOW"/>
    <n v="9"/>
    <n v="1"/>
  </r>
  <r>
    <x v="1"/>
    <n v="547879"/>
    <n v="15036"/>
    <n v="12"/>
    <d v="2011-03-27T16:03:00"/>
    <n v="0.75"/>
    <n v="12877"/>
    <n v="0.23404255319148937"/>
    <n v="6.5076026784813848E-2"/>
    <s v="HIGH"/>
    <n v="0"/>
    <n v="-0.73456878016154581"/>
    <s v="LOW"/>
    <n v="4"/>
    <n v="4"/>
  </r>
  <r>
    <x v="4"/>
    <n v="547925"/>
    <n v="15036"/>
    <n v="24"/>
    <d v="2011-03-28T13:57:00"/>
    <n v="0.75"/>
    <n v="12481"/>
    <n v="0.48936170212765956"/>
    <n v="1.1549206951370801"/>
    <s v="HIGH"/>
    <n v="0"/>
    <n v="-0.73456878016154581"/>
    <s v="LOW"/>
    <n v="4"/>
    <n v="4"/>
  </r>
  <r>
    <x v="1"/>
    <n v="547967"/>
    <n v="15036"/>
    <n v="4"/>
    <d v="2011-03-28T15:49:00"/>
    <n v="1.63"/>
    <s v="N/A"/>
    <n v="6.3829787234042548E-2"/>
    <n v="-0.66148708545003032"/>
    <s v="LOW"/>
    <n v="0.96703296703296704"/>
    <n v="1.9352005489719497"/>
    <s v="HIGH"/>
    <n v="4"/>
    <n v="5"/>
  </r>
  <r>
    <x v="1"/>
    <n v="548310"/>
    <n v="15036"/>
    <n v="12"/>
    <d v="2011-03-30T12:04:00"/>
    <n v="0.83"/>
    <s v="N/A"/>
    <n v="0.23404255319148937"/>
    <n v="6.5076026784813848E-2"/>
    <s v="HIGH"/>
    <n v="8.7912087912087877E-2"/>
    <n v="-0.49186247751304629"/>
    <s v="LOW"/>
    <n v="9"/>
    <n v="5"/>
  </r>
  <r>
    <x v="1"/>
    <n v="548522"/>
    <n v="15036"/>
    <n v="1"/>
    <d v="2011-03-31T16:43:00"/>
    <n v="1.63"/>
    <s v="N/A"/>
    <n v="0"/>
    <n v="-0.93394825253809688"/>
    <s v="LOW"/>
    <n v="0.96703296703296704"/>
    <n v="1.9352005489719497"/>
    <s v="HIGH"/>
    <n v="12"/>
    <n v="5"/>
  </r>
  <r>
    <x v="1"/>
    <n v="548617"/>
    <n v="15036"/>
    <n v="12"/>
    <d v="2011-04-01T11:50:00"/>
    <n v="0.83"/>
    <n v="16592"/>
    <n v="0.23404255319148937"/>
    <n v="6.5076026784813848E-2"/>
    <s v="HIGH"/>
    <n v="8.7912087912087877E-2"/>
    <n v="-0.49186247751304629"/>
    <s v="LOW"/>
    <n v="9"/>
    <n v="5"/>
  </r>
  <r>
    <x v="1"/>
    <n v="548893"/>
    <n v="15036"/>
    <n v="6"/>
    <d v="2011-04-04T15:54:00"/>
    <n v="1.63"/>
    <s v="N/A"/>
    <n v="0.10638297872340426"/>
    <n v="-0.47984630739131928"/>
    <s v="LOW"/>
    <n v="0.96703296703296704"/>
    <n v="1.9352005489719497"/>
    <s v="HIGH"/>
    <n v="9"/>
    <n v="5"/>
  </r>
  <r>
    <x v="1"/>
    <n v="549259"/>
    <n v="15036"/>
    <n v="48"/>
    <d v="2011-04-07T12:33:00"/>
    <n v="0.75"/>
    <n v="13712"/>
    <n v="1"/>
    <n v="3.3346100318416125"/>
    <s v="HIGH"/>
    <n v="0"/>
    <n v="-0.73456878016154581"/>
    <s v="LOW"/>
    <n v="2"/>
    <n v="1"/>
  </r>
  <r>
    <x v="4"/>
    <n v="549316"/>
    <n v="15036"/>
    <n v="36"/>
    <d v="2011-04-08T09:54:00"/>
    <n v="0.75"/>
    <n v="12705"/>
    <n v="0.74468085106382975"/>
    <n v="2.2447653634893463"/>
    <s v="HIGH"/>
    <n v="0"/>
    <n v="-0.73456878016154581"/>
    <s v="LOW"/>
    <n v="12"/>
    <n v="5"/>
  </r>
  <r>
    <x v="1"/>
    <n v="549431"/>
    <n v="15036"/>
    <n v="36"/>
    <d v="2011-04-08T12:17:00"/>
    <n v="0.83"/>
    <n v="15874"/>
    <n v="0.74468085106382975"/>
    <n v="2.2447653634893463"/>
    <s v="HIGH"/>
    <n v="8.7912087912087877E-2"/>
    <n v="-0.49186247751304629"/>
    <s v="LOW"/>
    <n v="4"/>
    <n v="5"/>
  </r>
  <r>
    <x v="1"/>
    <n v="549524"/>
    <n v="15036"/>
    <n v="1"/>
    <d v="2011-04-08T15:41:00"/>
    <n v="1.63"/>
    <s v="N/A"/>
    <n v="0"/>
    <n v="-0.93394825253809688"/>
    <s v="LOW"/>
    <n v="0.96703296703296704"/>
    <n v="1.9352005489719497"/>
    <s v="HIGH"/>
    <n v="2"/>
    <n v="5"/>
  </r>
  <r>
    <x v="1"/>
    <n v="549525"/>
    <n v="15036"/>
    <n v="17"/>
    <d v="2011-04-08T15:44:00"/>
    <n v="1.63"/>
    <s v="N/A"/>
    <n v="0.34042553191489361"/>
    <n v="0.51917797193159143"/>
    <s v="HIGH"/>
    <n v="0.96703296703296704"/>
    <n v="1.9352005489719497"/>
    <s v="HIGH"/>
    <n v="9"/>
    <n v="3"/>
  </r>
  <r>
    <x v="1"/>
    <n v="549538"/>
    <n v="15036"/>
    <n v="3"/>
    <d v="2011-04-08T17:25:00"/>
    <n v="0.83"/>
    <n v="17961"/>
    <n v="4.2553191489361701E-2"/>
    <n v="-0.75230747447938584"/>
    <s v="LOW"/>
    <n v="8.7912087912087877E-2"/>
    <n v="-0.49186247751304629"/>
    <s v="LOW"/>
    <n v="11"/>
    <n v="5"/>
  </r>
  <r>
    <x v="1"/>
    <n v="549711"/>
    <n v="15036"/>
    <n v="12"/>
    <d v="2011-04-11T14:07:00"/>
    <n v="0.83"/>
    <n v="13654"/>
    <n v="0.23404255319148937"/>
    <n v="6.5076026784813848E-2"/>
    <s v="HIGH"/>
    <n v="8.7912087912087877E-2"/>
    <n v="-0.49186247751304629"/>
    <s v="LOW"/>
    <n v="9"/>
    <n v="5"/>
  </r>
  <r>
    <x v="1"/>
    <n v="549743"/>
    <n v="15036"/>
    <n v="12"/>
    <d v="2011-04-12T10:05:00"/>
    <n v="0.83"/>
    <n v="16186"/>
    <n v="0.23404255319148937"/>
    <n v="6.5076026784813848E-2"/>
    <s v="HIGH"/>
    <n v="8.7912087912087877E-2"/>
    <n v="-0.49186247751304629"/>
    <s v="LOW"/>
    <n v="2"/>
    <n v="3"/>
  </r>
  <r>
    <x v="1"/>
    <n v="549964"/>
    <n v="15036"/>
    <n v="12"/>
    <d v="2011-04-13T14:12:00"/>
    <n v="0.83"/>
    <n v="13122"/>
    <n v="0.23404255319148937"/>
    <n v="6.5076026784813848E-2"/>
    <s v="HIGH"/>
    <n v="8.7912087912087877E-2"/>
    <n v="-0.49186247751304629"/>
    <s v="LOW"/>
    <n v="4"/>
    <n v="4"/>
  </r>
  <r>
    <x v="1"/>
    <n v="549975"/>
    <n v="15036"/>
    <n v="12"/>
    <d v="2011-04-13T14:38:00"/>
    <n v="0.83"/>
    <n v="16175"/>
    <n v="0.23404255319148937"/>
    <n v="6.5076026784813848E-2"/>
    <s v="HIGH"/>
    <n v="8.7912087912087877E-2"/>
    <n v="-0.49186247751304629"/>
    <s v="LOW"/>
    <n v="8"/>
    <n v="4"/>
  </r>
  <r>
    <x v="1"/>
    <n v="550138"/>
    <n v="15036"/>
    <n v="24"/>
    <d v="2011-04-14T14:02:00"/>
    <n v="0.83"/>
    <n v="12841"/>
    <n v="0.48936170212765956"/>
    <n v="1.1549206951370801"/>
    <s v="HIGH"/>
    <n v="8.7912087912087877E-2"/>
    <n v="-0.49186247751304629"/>
    <s v="LOW"/>
    <n v="4"/>
    <n v="4"/>
  </r>
  <r>
    <x v="2"/>
    <n v="550218"/>
    <n v="15036"/>
    <n v="12"/>
    <d v="2011-04-15T11:15:00"/>
    <n v="0.83"/>
    <n v="14408"/>
    <n v="0.23404255319148937"/>
    <n v="6.5076026784813848E-2"/>
    <s v="HIGH"/>
    <n v="8.7912087912087877E-2"/>
    <n v="-0.49186247751304629"/>
    <s v="LOW"/>
    <n v="12"/>
    <n v="1"/>
  </r>
  <r>
    <x v="2"/>
    <n v="550315"/>
    <n v="15036"/>
    <n v="24"/>
    <d v="2011-04-17T11:44:00"/>
    <n v="0.83"/>
    <n v="17990"/>
    <n v="0.48936170212765956"/>
    <n v="1.1549206951370801"/>
    <s v="HIGH"/>
    <n v="8.7912087912087877E-2"/>
    <n v="-0.49186247751304629"/>
    <s v="LOW"/>
    <n v="12"/>
    <n v="1"/>
  </r>
  <r>
    <x v="1"/>
    <n v="550323"/>
    <n v="15036"/>
    <n v="48"/>
    <d v="2011-04-17T12:57:00"/>
    <n v="0.83"/>
    <n v="13692"/>
    <n v="1"/>
    <n v="3.3346100318416125"/>
    <s v="HIGH"/>
    <n v="8.7912087912087877E-2"/>
    <n v="-0.49186247751304629"/>
    <s v="LOW"/>
    <n v="8"/>
    <n v="5"/>
  </r>
  <r>
    <x v="1"/>
    <n v="550336"/>
    <n v="15036"/>
    <n v="48"/>
    <d v="2011-04-17T14:55:00"/>
    <n v="0.83"/>
    <n v="13089"/>
    <n v="1"/>
    <n v="3.3346100318416125"/>
    <s v="HIGH"/>
    <n v="8.7912087912087877E-2"/>
    <n v="-0.49186247751304629"/>
    <s v="LOW"/>
    <n v="11"/>
    <n v="7"/>
  </r>
  <r>
    <x v="1"/>
    <n v="550452"/>
    <n v="10002"/>
    <n v="1"/>
    <d v="2011-04-18T12:56:00"/>
    <n v="0.85"/>
    <n v="14525"/>
    <n v="0"/>
    <n v="-0.93394825253809688"/>
    <s v="LOW"/>
    <n v="0.10989010989010987"/>
    <n v="-0.43118590185092137"/>
    <s v="LOW"/>
    <n v="9"/>
    <n v="1"/>
  </r>
  <r>
    <x v="1"/>
    <n v="550458"/>
    <n v="15036"/>
    <n v="2"/>
    <d v="2011-04-18T13:13:00"/>
    <n v="1.63"/>
    <s v="N/A"/>
    <n v="2.1276595744680851E-2"/>
    <n v="-0.84312786350874136"/>
    <s v="LOW"/>
    <n v="0.96703296703296704"/>
    <n v="1.9352005489719497"/>
    <s v="HIGH"/>
    <n v="12"/>
    <n v="4"/>
  </r>
  <r>
    <x v="1"/>
    <n v="550468"/>
    <n v="15036"/>
    <n v="12"/>
    <d v="2011-04-18T13:43:00"/>
    <n v="0.83"/>
    <n v="16700"/>
    <n v="0.23404255319148937"/>
    <n v="6.5076026784813848E-2"/>
    <s v="HIGH"/>
    <n v="8.7912087912087877E-2"/>
    <n v="-0.49186247751304629"/>
    <s v="LOW"/>
    <n v="9"/>
    <n v="7"/>
  </r>
  <r>
    <x v="1"/>
    <n v="550470"/>
    <n v="15036"/>
    <n v="4"/>
    <d v="2011-04-18T13:49:00"/>
    <n v="1.63"/>
    <s v="N/A"/>
    <n v="6.3829787234042548E-2"/>
    <n v="-0.66148708545003032"/>
    <s v="LOW"/>
    <n v="0.96703296703296704"/>
    <n v="1.9352005489719497"/>
    <s v="HIGH"/>
    <n v="11"/>
    <n v="5"/>
  </r>
  <r>
    <x v="1"/>
    <n v="550471"/>
    <n v="15036"/>
    <n v="3"/>
    <d v="2011-04-18T13:52:00"/>
    <n v="1.63"/>
    <s v="N/A"/>
    <n v="4.2553191489361701E-2"/>
    <n v="-0.75230747447938584"/>
    <s v="LOW"/>
    <n v="0.96703296703296704"/>
    <n v="1.9352005489719497"/>
    <s v="HIGH"/>
    <n v="11"/>
    <n v="4"/>
  </r>
  <r>
    <x v="1"/>
    <n v="550474"/>
    <n v="15036"/>
    <n v="2"/>
    <d v="2011-04-18T13:58:00"/>
    <n v="1.63"/>
    <s v="N/A"/>
    <n v="2.1276595744680851E-2"/>
    <n v="-0.84312786350874136"/>
    <s v="LOW"/>
    <n v="0.96703296703296704"/>
    <n v="1.9352005489719497"/>
    <s v="HIGH"/>
    <n v="8"/>
    <n v="5"/>
  </r>
  <r>
    <x v="1"/>
    <n v="550479"/>
    <n v="15036"/>
    <n v="24"/>
    <d v="2011-04-18T14:01:00"/>
    <n v="0.83"/>
    <n v="15625"/>
    <n v="0.48936170212765956"/>
    <n v="1.1549206951370801"/>
    <s v="HIGH"/>
    <n v="8.7912087912087877E-2"/>
    <n v="-0.49186247751304629"/>
    <s v="LOW"/>
    <n v="9"/>
    <n v="5"/>
  </r>
  <r>
    <x v="1"/>
    <n v="550517"/>
    <n v="15036"/>
    <n v="24"/>
    <d v="2011-04-19T08:17:00"/>
    <n v="0.83"/>
    <n v="14352"/>
    <n v="0.48936170212765956"/>
    <n v="1.1549206951370801"/>
    <s v="HIGH"/>
    <n v="8.7912087912087877E-2"/>
    <n v="-0.49186247751304629"/>
    <s v="LOW"/>
    <n v="11"/>
    <n v="5"/>
  </r>
  <r>
    <x v="1"/>
    <n v="550519"/>
    <n v="15036"/>
    <n v="24"/>
    <d v="2011-04-19T09:31:00"/>
    <n v="0.83"/>
    <n v="13141"/>
    <n v="0.48936170212765956"/>
    <n v="1.1549206951370801"/>
    <s v="HIGH"/>
    <n v="8.7912087912087877E-2"/>
    <n v="-0.49186247751304629"/>
    <s v="LOW"/>
    <n v="4"/>
    <n v="7"/>
  </r>
  <r>
    <x v="1"/>
    <n v="550521"/>
    <n v="15036"/>
    <n v="24"/>
    <d v="2011-04-19T09:49:00"/>
    <n v="0.83"/>
    <n v="13647"/>
    <n v="0.48936170212765956"/>
    <n v="1.1549206951370801"/>
    <s v="HIGH"/>
    <n v="8.7912087912087877E-2"/>
    <n v="-0.49186247751304629"/>
    <s v="LOW"/>
    <n v="4"/>
    <n v="1"/>
  </r>
  <r>
    <x v="1"/>
    <n v="550542"/>
    <n v="15036"/>
    <n v="5"/>
    <d v="2011-04-19T11:37:00"/>
    <n v="1.63"/>
    <s v="N/A"/>
    <n v="8.5106382978723402E-2"/>
    <n v="-0.5706666964206748"/>
    <s v="LOW"/>
    <n v="0.96703296703296704"/>
    <n v="1.9352005489719497"/>
    <s v="HIGH"/>
    <n v="12"/>
    <n v="1"/>
  </r>
  <r>
    <x v="1"/>
    <n v="550636"/>
    <n v="15036"/>
    <n v="1"/>
    <d v="2011-04-19T15:37:00"/>
    <n v="1.63"/>
    <s v="N/A"/>
    <n v="0"/>
    <n v="-0.93394825253809688"/>
    <s v="LOW"/>
    <n v="0.96703296703296704"/>
    <n v="1.9352005489719497"/>
    <s v="HIGH"/>
    <n v="11"/>
    <n v="4"/>
  </r>
  <r>
    <x v="1"/>
    <n v="550659"/>
    <n v="15036"/>
    <n v="12"/>
    <d v="2011-04-20T09:02:00"/>
    <n v="0.83"/>
    <n v="17730"/>
    <n v="0.23404255319148937"/>
    <n v="6.5076026784813848E-2"/>
    <s v="HIGH"/>
    <n v="8.7912087912087877E-2"/>
    <n v="-0.49186247751304629"/>
    <s v="LOW"/>
    <n v="4"/>
    <n v="5"/>
  </r>
  <r>
    <x v="1"/>
    <n v="550775"/>
    <n v="15036"/>
    <n v="12"/>
    <d v="2011-04-20T13:18:00"/>
    <n v="0.83"/>
    <n v="15805"/>
    <n v="0.23404255319148937"/>
    <n v="6.5076026784813848E-2"/>
    <s v="HIGH"/>
    <n v="8.7912087912087877E-2"/>
    <n v="-0.49186247751304629"/>
    <s v="LOW"/>
    <n v="2"/>
    <n v="5"/>
  </r>
  <r>
    <x v="1"/>
    <n v="550785"/>
    <n v="15036"/>
    <n v="12"/>
    <d v="2011-04-20T14:02:00"/>
    <n v="0.83"/>
    <n v="15517"/>
    <n v="0.23404255319148937"/>
    <n v="6.5076026784813848E-2"/>
    <s v="HIGH"/>
    <n v="8.7912087912087877E-2"/>
    <n v="-0.49186247751304629"/>
    <s v="LOW"/>
    <n v="4"/>
    <n v="3"/>
  </r>
  <r>
    <x v="1"/>
    <n v="550802"/>
    <n v="15036"/>
    <n v="12"/>
    <d v="2011-04-20T15:21:00"/>
    <n v="0.83"/>
    <n v="17120"/>
    <n v="0.23404255319148937"/>
    <n v="6.5076026784813848E-2"/>
    <s v="HIGH"/>
    <n v="8.7912087912087877E-2"/>
    <n v="-0.49186247751304629"/>
    <s v="LOW"/>
    <n v="9"/>
    <n v="4"/>
  </r>
  <r>
    <x v="1"/>
    <n v="550972"/>
    <n v="15036"/>
    <n v="1"/>
    <d v="2011-04-21T17:05:00"/>
    <n v="0.83"/>
    <n v="14031"/>
    <n v="0"/>
    <n v="-0.93394825253809688"/>
    <s v="LOW"/>
    <n v="8.7912087912087877E-2"/>
    <n v="-0.49186247751304629"/>
    <s v="LOW"/>
    <n v="11"/>
    <n v="5"/>
  </r>
  <r>
    <x v="1"/>
    <n v="551174"/>
    <n v="15036"/>
    <n v="15"/>
    <d v="2011-04-26T17:02:00"/>
    <n v="0.83"/>
    <s v="N/A"/>
    <n v="0.2978723404255319"/>
    <n v="0.33753719387288039"/>
    <s v="HIGH"/>
    <n v="8.7912087912087877E-2"/>
    <n v="-0.49186247751304629"/>
    <s v="LOW"/>
    <n v="2"/>
    <n v="5"/>
  </r>
  <r>
    <x v="1"/>
    <n v="551182"/>
    <n v="15036"/>
    <n v="24"/>
    <d v="2011-04-27T08:43:00"/>
    <n v="0.83"/>
    <n v="14282"/>
    <n v="0.48936170212765956"/>
    <n v="1.1549206951370801"/>
    <s v="HIGH"/>
    <n v="8.7912087912087877E-2"/>
    <n v="-0.49186247751304629"/>
    <s v="LOW"/>
    <n v="9"/>
    <n v="4"/>
  </r>
  <r>
    <x v="1"/>
    <n v="551391"/>
    <n v="10125"/>
    <n v="1"/>
    <d v="2011-04-28T12:06:00"/>
    <n v="0.85"/>
    <n v="15514"/>
    <n v="0"/>
    <n v="-0.93394825253809688"/>
    <s v="LOW"/>
    <n v="0.10989010989010987"/>
    <n v="-0.43118590185092137"/>
    <s v="LOW"/>
    <n v="10"/>
    <n v="8"/>
  </r>
  <r>
    <x v="1"/>
    <n v="551616"/>
    <n v="10125"/>
    <n v="1"/>
    <d v="2011-05-03T11:40:00"/>
    <n v="0.85"/>
    <n v="15048"/>
    <n v="0"/>
    <n v="-0.93394825253809688"/>
    <s v="LOW"/>
    <n v="0.10989010989010987"/>
    <n v="-0.43118590185092137"/>
    <s v="LOW"/>
    <n v="13"/>
    <n v="2"/>
  </r>
  <r>
    <x v="1"/>
    <n v="552269"/>
    <n v="10125"/>
    <n v="1"/>
    <d v="2011-05-08T11:52:00"/>
    <n v="0.85"/>
    <n v="16121"/>
    <n v="0"/>
    <n v="-0.93394825253809688"/>
    <s v="LOW"/>
    <n v="0.10989010989010987"/>
    <n v="-0.43118590185092137"/>
    <s v="LOW"/>
    <n v="8"/>
    <n v="7"/>
  </r>
  <r>
    <x v="1"/>
    <n v="552310"/>
    <n v="10125"/>
    <n v="3"/>
    <d v="2011-05-08T15:22:00"/>
    <n v="0.85"/>
    <n v="17323"/>
    <n v="4.2553191489361701E-2"/>
    <n v="-0.75230747447938584"/>
    <s v="LOW"/>
    <n v="0.10989010989010987"/>
    <n v="-0.43118590185092137"/>
    <s v="LOW"/>
    <n v="11"/>
    <n v="3"/>
  </r>
  <r>
    <x v="1"/>
    <n v="553385"/>
    <n v="10125"/>
    <n v="1"/>
    <d v="2011-05-16T15:53:00"/>
    <n v="0.85"/>
    <n v="16710"/>
    <n v="0"/>
    <n v="-0.93394825253809688"/>
    <s v="LOW"/>
    <n v="0.10989010989010987"/>
    <n v="-0.43118590185092137"/>
    <s v="LOW"/>
    <n v="12"/>
    <n v="4"/>
  </r>
  <r>
    <x v="1"/>
    <n v="554117"/>
    <n v="10125"/>
    <n v="1"/>
    <d v="2011-05-22T15:12:00"/>
    <n v="0.85"/>
    <n v="13758"/>
    <n v="0"/>
    <n v="-0.93394825253809688"/>
    <s v="LOW"/>
    <n v="0.10989010989010987"/>
    <n v="-0.43118590185092137"/>
    <s v="LOW"/>
    <n v="4"/>
    <n v="4"/>
  </r>
  <r>
    <x v="1"/>
    <n v="555579"/>
    <n v="10125"/>
    <n v="1"/>
    <d v="2011-06-05T16:02:00"/>
    <n v="0.85"/>
    <n v="13983"/>
    <n v="0"/>
    <n v="-0.93394825253809688"/>
    <s v="LOW"/>
    <n v="0.10989010989010987"/>
    <n v="-0.43118590185092137"/>
    <s v="LOW"/>
    <n v="11"/>
    <n v="4"/>
  </r>
  <r>
    <x v="1"/>
    <n v="556222"/>
    <n v="10125"/>
    <n v="12"/>
    <d v="2011-06-09T14:23:00"/>
    <n v="0.85"/>
    <n v="17522"/>
    <n v="0.23404255319148937"/>
    <n v="6.5076026784813848E-2"/>
    <s v="HIGH"/>
    <n v="0.10989010989010987"/>
    <n v="-0.43118590185092137"/>
    <s v="LOW"/>
    <n v="12"/>
    <n v="3"/>
  </r>
  <r>
    <x v="1"/>
    <n v="557938"/>
    <n v="10125"/>
    <n v="2"/>
    <d v="2011-06-23T15:35:00"/>
    <n v="1.63"/>
    <s v="N/A"/>
    <n v="2.1276595744680851E-2"/>
    <n v="-0.84312786350874136"/>
    <s v="LOW"/>
    <n v="0.96703296703296704"/>
    <n v="1.9352005489719497"/>
    <s v="HIGH"/>
    <n v="9"/>
    <n v="4"/>
  </r>
  <r>
    <x v="1"/>
    <n v="558700"/>
    <n v="10125"/>
    <n v="1"/>
    <d v="2011-07-01T12:33:00"/>
    <n v="0.85"/>
    <n v="17920"/>
    <n v="0"/>
    <n v="-0.93394825253809688"/>
    <s v="LOW"/>
    <n v="0.10989010989010987"/>
    <n v="-0.43118590185092137"/>
    <s v="LOW"/>
    <n v="11"/>
    <n v="3"/>
  </r>
  <r>
    <x v="1"/>
    <n v="558700"/>
    <n v="10125"/>
    <n v="3"/>
    <d v="2011-07-01T12:33:00"/>
    <n v="0.85"/>
    <n v="17920"/>
    <n v="4.2553191489361701E-2"/>
    <n v="-0.75230747447938584"/>
    <s v="LOW"/>
    <n v="0.10989010989010987"/>
    <n v="-0.43118590185092137"/>
    <s v="LOW"/>
    <n v="11"/>
    <n v="1"/>
  </r>
  <r>
    <x v="1"/>
    <n v="558860"/>
    <n v="10125"/>
    <n v="1"/>
    <d v="2011-07-04T12:18:00"/>
    <n v="0.85"/>
    <n v="17975"/>
    <n v="0"/>
    <n v="-0.93394825253809688"/>
    <s v="LOW"/>
    <n v="0.10989010989010987"/>
    <n v="-0.43118590185092137"/>
    <s v="LOW"/>
    <n v="9"/>
    <n v="5"/>
  </r>
  <r>
    <x v="1"/>
    <n v="558868"/>
    <n v="10125"/>
    <n v="20"/>
    <d v="2011-07-04T12:47:00"/>
    <n v="0.85"/>
    <n v="13266"/>
    <n v="0.40425531914893614"/>
    <n v="0.79163913901965799"/>
    <s v="HIGH"/>
    <n v="0.10989010989010987"/>
    <n v="-0.43118590185092137"/>
    <s v="LOW"/>
    <n v="12"/>
    <n v="5"/>
  </r>
  <r>
    <x v="1"/>
    <n v="559337"/>
    <n v="10125"/>
    <n v="1"/>
    <d v="2011-07-07T16:27:00"/>
    <n v="1.63"/>
    <s v="N/A"/>
    <n v="0"/>
    <n v="-0.93394825253809688"/>
    <s v="LOW"/>
    <n v="0.96703296703296704"/>
    <n v="1.9352005489719497"/>
    <s v="HIGH"/>
    <n v="12"/>
    <n v="1"/>
  </r>
  <r>
    <x v="1"/>
    <n v="559536"/>
    <n v="10125"/>
    <n v="5"/>
    <d v="2011-07-10T12:17:00"/>
    <n v="0.85"/>
    <n v="16283"/>
    <n v="8.5106382978723402E-2"/>
    <n v="-0.5706666964206748"/>
    <s v="LOW"/>
    <n v="0.10989010989010987"/>
    <n v="-0.43118590185092137"/>
    <s v="LOW"/>
    <n v="9"/>
    <n v="5"/>
  </r>
  <r>
    <x v="1"/>
    <n v="559979"/>
    <n v="10125"/>
    <n v="20"/>
    <d v="2011-07-14T11:20:00"/>
    <n v="0.85"/>
    <n v="14862"/>
    <n v="0.40425531914893614"/>
    <n v="0.79163913901965799"/>
    <s v="HIGH"/>
    <n v="0.10989010989010987"/>
    <n v="-0.43118590185092137"/>
    <s v="LOW"/>
    <n v="12"/>
    <n v="5"/>
  </r>
  <r>
    <x v="1"/>
    <n v="559984"/>
    <n v="10125"/>
    <n v="5"/>
    <d v="2011-07-14T11:45:00"/>
    <n v="0.85"/>
    <n v="16657"/>
    <n v="8.5106382978723402E-2"/>
    <n v="-0.5706666964206748"/>
    <s v="LOW"/>
    <n v="0.10989010989010987"/>
    <n v="-0.43118590185092137"/>
    <s v="LOW"/>
    <n v="12"/>
    <n v="3"/>
  </r>
  <r>
    <x v="1"/>
    <n v="560366"/>
    <n v="10125"/>
    <n v="20"/>
    <d v="2011-07-18T12:19:00"/>
    <n v="0.85"/>
    <n v="16859"/>
    <n v="0.40425531914893614"/>
    <n v="0.79163913901965799"/>
    <s v="HIGH"/>
    <n v="0.10989010989010987"/>
    <n v="-0.43118590185092137"/>
    <s v="LOW"/>
    <n v="2"/>
    <n v="1"/>
  </r>
  <r>
    <x v="1"/>
    <n v="563034"/>
    <n v="10125"/>
    <n v="40"/>
    <d v="2011-08-11T14:53:00"/>
    <n v="0.85"/>
    <n v="17644"/>
    <n v="0.82978723404255317"/>
    <n v="2.6080469196067684"/>
    <s v="HIGH"/>
    <n v="0.10989010989010987"/>
    <n v="-0.43118590185092137"/>
    <s v="LOW"/>
    <n v="2"/>
    <n v="5"/>
  </r>
  <r>
    <x v="1"/>
    <n v="563744"/>
    <n v="10125"/>
    <n v="20"/>
    <d v="2011-08-19T09:35:00"/>
    <n v="0.85"/>
    <n v="13266"/>
    <n v="0.40425531914893614"/>
    <n v="0.79163913901965799"/>
    <s v="HIGH"/>
    <n v="0.10989010989010987"/>
    <n v="-0.43118590185092137"/>
    <s v="LOW"/>
    <n v="11"/>
    <n v="5"/>
  </r>
  <r>
    <x v="1"/>
    <n v="564300"/>
    <n v="10125"/>
    <n v="5"/>
    <d v="2011-08-24T11:31:00"/>
    <n v="0.85"/>
    <n v="16723"/>
    <n v="8.5106382978723402E-2"/>
    <n v="-0.5706666964206748"/>
    <s v="LOW"/>
    <n v="0.10989010989010987"/>
    <n v="-0.43118590185092137"/>
    <s v="LOW"/>
    <n v="9"/>
    <n v="5"/>
  </r>
  <r>
    <x v="4"/>
    <n v="564337"/>
    <n v="10125"/>
    <n v="20"/>
    <d v="2011-08-24T14:40:00"/>
    <n v="0.85"/>
    <n v="12649"/>
    <n v="0.40425531914893614"/>
    <n v="0.79163913901965799"/>
    <s v="HIGH"/>
    <n v="0.10989010989010987"/>
    <n v="-0.43118590185092137"/>
    <s v="LOW"/>
    <n v="4"/>
    <n v="5"/>
  </r>
  <r>
    <x v="1"/>
    <n v="565585"/>
    <n v="10125"/>
    <n v="20"/>
    <d v="2011-09-05T13:22:00"/>
    <n v="0.85"/>
    <n v="16172"/>
    <n v="0.40425531914893614"/>
    <n v="0.79163913901965799"/>
    <s v="HIGH"/>
    <n v="0.10989010989010987"/>
    <n v="-0.43118590185092137"/>
    <s v="LOW"/>
    <n v="11"/>
    <n v="5"/>
  </r>
  <r>
    <x v="1"/>
    <n v="568568"/>
    <n v="10125"/>
    <n v="20"/>
    <d v="2011-09-28T08:48:00"/>
    <n v="0.85"/>
    <n v="14412"/>
    <n v="0.40425531914893614"/>
    <n v="0.79163913901965799"/>
    <s v="HIGH"/>
    <n v="0.10989010989010987"/>
    <n v="-0.43118590185092137"/>
    <s v="LOW"/>
    <n v="11"/>
    <n v="5"/>
  </r>
  <r>
    <x v="5"/>
    <n v="568650"/>
    <n v="10125"/>
    <n v="20"/>
    <d v="2011-09-28T11:56:00"/>
    <n v="0.85"/>
    <n v="13505"/>
    <n v="0.40425531914893614"/>
    <n v="0.79163913901965799"/>
    <s v="HIGH"/>
    <n v="0.10989010989010987"/>
    <n v="-0.43118590185092137"/>
    <s v="LOW"/>
    <n v="9"/>
    <n v="1"/>
  </r>
  <r>
    <x v="1"/>
    <n v="569223"/>
    <n v="10125"/>
    <n v="7"/>
    <d v="2011-10-02T13:49:00"/>
    <n v="0.85"/>
    <n v="16283"/>
    <n v="0.1276595744680851"/>
    <n v="-0.38902591836196376"/>
    <s v="LOW"/>
    <n v="0.10989010989010987"/>
    <n v="-0.43118590185092137"/>
    <s v="LOW"/>
    <n v="2"/>
    <n v="4"/>
  </r>
  <r>
    <x v="1"/>
    <n v="569897"/>
    <n v="10125"/>
    <n v="3"/>
    <d v="2011-10-06T16:01:00"/>
    <n v="0.85"/>
    <n v="17813"/>
    <n v="4.2553191489361701E-2"/>
    <n v="-0.75230747447938584"/>
    <s v="LOW"/>
    <n v="0.10989010989010987"/>
    <n v="-0.43118590185092137"/>
    <s v="LOW"/>
    <n v="2"/>
    <n v="5"/>
  </r>
  <r>
    <x v="1"/>
    <n v="570187"/>
    <n v="10125"/>
    <n v="1"/>
    <d v="2011-10-07T15:09:00"/>
    <n v="1.63"/>
    <s v="N/A"/>
    <n v="0"/>
    <n v="-0.93394825253809688"/>
    <s v="LOW"/>
    <n v="0.96703296703296704"/>
    <n v="1.9352005489719497"/>
    <s v="HIGH"/>
    <n v="2"/>
    <n v="3"/>
  </r>
  <r>
    <x v="4"/>
    <n v="571328"/>
    <n v="10125"/>
    <n v="20"/>
    <d v="2011-10-17T11:27:00"/>
    <n v="0.85"/>
    <n v="12473"/>
    <n v="0.40425531914893614"/>
    <n v="0.79163913901965799"/>
    <s v="HIGH"/>
    <n v="0.10989010989010987"/>
    <n v="-0.43118590185092137"/>
    <s v="LOW"/>
    <n v="8"/>
    <n v="5"/>
  </r>
  <r>
    <x v="1"/>
    <n v="572558"/>
    <n v="10125"/>
    <n v="20"/>
    <d v="2011-10-25T08:26:00"/>
    <n v="0.85"/>
    <n v="14286"/>
    <n v="0.40425531914893614"/>
    <n v="0.79163913901965799"/>
    <s v="HIGH"/>
    <n v="0.10989010989010987"/>
    <n v="-0.43118590185092137"/>
    <s v="LOW"/>
    <n v="12"/>
    <n v="5"/>
  </r>
  <r>
    <x v="1"/>
    <n v="574530"/>
    <n v="10125"/>
    <n v="2"/>
    <d v="2011-11-04T14:07:00"/>
    <n v="0.85"/>
    <n v="16887"/>
    <n v="2.1276595744680851E-2"/>
    <n v="-0.84312786350874136"/>
    <s v="LOW"/>
    <n v="0.10989010989010987"/>
    <n v="-0.43118590185092137"/>
    <s v="LOW"/>
    <n v="11"/>
    <n v="7"/>
  </r>
  <r>
    <x v="4"/>
    <n v="581494"/>
    <n v="10125"/>
    <n v="20"/>
    <d v="2011-12-09T10:13:00"/>
    <n v="0.85"/>
    <n v="12518"/>
    <n v="0.40425531914893614"/>
    <n v="0.79163913901965799"/>
    <s v="HIGH"/>
    <n v="0.10989010989010987"/>
    <n v="-0.43118590185092137"/>
    <s v="LOW"/>
    <n v="11"/>
    <n v="3"/>
  </r>
  <r>
    <x v="6"/>
    <m/>
    <m/>
    <m/>
    <m/>
    <m/>
    <m/>
    <m/>
    <m/>
    <m/>
    <m/>
    <m/>
    <m/>
    <m/>
    <m/>
  </r>
  <r>
    <x v="6"/>
    <m/>
    <m/>
    <m/>
    <m/>
    <m/>
    <m/>
    <m/>
    <m/>
    <m/>
    <m/>
    <m/>
    <m/>
    <m/>
    <m/>
  </r>
  <r>
    <x v="6"/>
    <m/>
    <m/>
    <m/>
    <m/>
    <m/>
    <m/>
    <m/>
    <m/>
    <m/>
    <m/>
    <m/>
    <m/>
    <m/>
    <m/>
  </r>
  <r>
    <x v="6"/>
    <m/>
    <m/>
    <m/>
    <m/>
    <m/>
    <m/>
    <m/>
    <m/>
    <m/>
    <m/>
    <m/>
    <m/>
    <m/>
    <m/>
  </r>
  <r>
    <x v="6"/>
    <m/>
    <m/>
    <m/>
    <m/>
    <m/>
    <m/>
    <m/>
    <m/>
    <m/>
    <m/>
    <m/>
    <m/>
    <m/>
    <m/>
  </r>
  <r>
    <x v="6"/>
    <m/>
    <m/>
    <m/>
    <m/>
    <m/>
    <m/>
    <m/>
    <m/>
    <m/>
    <m/>
    <m/>
    <m/>
    <m/>
    <m/>
  </r>
  <r>
    <x v="6"/>
    <m/>
    <m/>
    <m/>
    <m/>
    <m/>
    <m/>
    <m/>
    <m/>
    <m/>
    <m/>
    <m/>
    <m/>
    <m/>
    <m/>
  </r>
  <r>
    <x v="6"/>
    <m/>
    <m/>
    <m/>
    <m/>
    <m/>
    <m/>
    <m/>
    <m/>
    <m/>
    <m/>
    <m/>
    <m/>
    <m/>
    <m/>
  </r>
  <r>
    <x v="6"/>
    <m/>
    <m/>
    <m/>
    <m/>
    <m/>
    <m/>
    <m/>
    <m/>
    <m/>
    <m/>
    <m/>
    <m/>
    <m/>
    <m/>
  </r>
  <r>
    <x v="6"/>
    <m/>
    <m/>
    <m/>
    <m/>
    <m/>
    <m/>
    <m/>
    <m/>
    <m/>
    <m/>
    <m/>
    <m/>
    <m/>
    <m/>
  </r>
  <r>
    <x v="6"/>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7">
  <r>
    <s v="United Kingdom"/>
    <n v="536876"/>
    <n v="10133"/>
    <n v="1"/>
    <d v="2010-12-03T11:36:00"/>
    <n v="1.66"/>
    <s v="N/A"/>
    <n v="0"/>
    <n v="-0.93394825253809688"/>
    <s v="LOW"/>
    <n v="1"/>
    <n v="2.0262154124651568"/>
    <s v="HIGH"/>
    <x v="0"/>
    <n v="1"/>
  </r>
  <r>
    <s v="United Kingdom"/>
    <n v="537240"/>
    <n v="10002"/>
    <n v="1"/>
    <d v="2010-12-06T10:08:00"/>
    <n v="1.66"/>
    <s v="N/A"/>
    <n v="0"/>
    <n v="-0.93394825253809688"/>
    <s v="LOW"/>
    <n v="1"/>
    <n v="2.0262154124651568"/>
    <s v="HIGH"/>
    <x v="1"/>
    <n v="7"/>
  </r>
  <r>
    <s v="United Kingdom"/>
    <n v="546884"/>
    <n v="15036"/>
    <n v="1"/>
    <d v="2011-03-17T18:08:00"/>
    <n v="1.63"/>
    <s v="N/A"/>
    <n v="0"/>
    <n v="-0.93394825253809688"/>
    <s v="LOW"/>
    <n v="0.96703296703296704"/>
    <n v="1.9352005489719684"/>
    <s v="HIGH"/>
    <x v="1"/>
    <n v="7"/>
  </r>
  <r>
    <s v="United Kingdom"/>
    <n v="548522"/>
    <n v="15036"/>
    <n v="1"/>
    <d v="2011-03-31T16:43:00"/>
    <n v="1.63"/>
    <s v="N/A"/>
    <n v="0"/>
    <n v="-0.93394825253809688"/>
    <s v="LOW"/>
    <n v="0.96703296703296704"/>
    <n v="1.9352005489719684"/>
    <s v="HIGH"/>
    <x v="0"/>
    <n v="1"/>
  </r>
  <r>
    <s v="United Kingdom"/>
    <n v="549524"/>
    <n v="15036"/>
    <n v="1"/>
    <d v="2011-04-08T15:41:00"/>
    <n v="1.63"/>
    <s v="N/A"/>
    <n v="0"/>
    <n v="-0.93394825253809688"/>
    <s v="LOW"/>
    <n v="0.96703296703296704"/>
    <n v="1.9352005489719684"/>
    <s v="HIGH"/>
    <x v="2"/>
    <n v="1"/>
  </r>
  <r>
    <s v="United Kingdom"/>
    <n v="550636"/>
    <n v="15036"/>
    <n v="1"/>
    <d v="2011-04-19T15:37:00"/>
    <n v="1.63"/>
    <s v="N/A"/>
    <n v="0"/>
    <n v="-0.93394825253809688"/>
    <s v="LOW"/>
    <n v="0.96703296703296704"/>
    <n v="1.9352005489719684"/>
    <s v="HIGH"/>
    <x v="0"/>
    <n v="7"/>
  </r>
  <r>
    <s v="United Kingdom"/>
    <n v="559337"/>
    <n v="10125"/>
    <n v="1"/>
    <d v="2011-07-07T16:27:00"/>
    <n v="1.63"/>
    <s v="N/A"/>
    <n v="0"/>
    <n v="-0.93394825253809688"/>
    <s v="LOW"/>
    <n v="0.96703296703296704"/>
    <n v="1.9352005489719684"/>
    <s v="HIGH"/>
    <x v="3"/>
    <n v="1"/>
  </r>
  <r>
    <s v="United Kingdom"/>
    <n v="570187"/>
    <n v="10125"/>
    <n v="1"/>
    <d v="2011-10-07T15:09:00"/>
    <n v="1.63"/>
    <s v="N/A"/>
    <n v="0"/>
    <n v="-0.93394825253809688"/>
    <s v="LOW"/>
    <n v="0.96703296703296704"/>
    <n v="1.9352005489719684"/>
    <s v="HIGH"/>
    <x v="0"/>
    <n v="1"/>
  </r>
  <r>
    <s v="United Kingdom"/>
    <n v="536756"/>
    <n v="10002"/>
    <n v="1"/>
    <d v="2010-12-02T14:23:00"/>
    <n v="0.85"/>
    <s v="N/A"/>
    <n v="0"/>
    <n v="-0.93394825253809688"/>
    <s v="LOW"/>
    <n v="0.10989010989010987"/>
    <n v="-0.43118590185092842"/>
    <s v="LOW"/>
    <x v="0"/>
    <n v="5"/>
  </r>
  <r>
    <s v="United Kingdom"/>
    <n v="536863"/>
    <n v="10002"/>
    <n v="1"/>
    <d v="2010-12-03T11:19:00"/>
    <n v="0.85"/>
    <n v="17967"/>
    <n v="0"/>
    <n v="-0.93394825253809688"/>
    <s v="LOW"/>
    <n v="0.10989010989010987"/>
    <n v="-0.43118590185092842"/>
    <s v="LOW"/>
    <x v="0"/>
    <n v="1"/>
  </r>
  <r>
    <s v="United Kingdom"/>
    <n v="537047"/>
    <n v="10002"/>
    <n v="1"/>
    <d v="2010-12-05T11:02:00"/>
    <n v="0.85"/>
    <n v="13069"/>
    <n v="0"/>
    <n v="-0.93394825253809688"/>
    <s v="LOW"/>
    <n v="0.10989010989010987"/>
    <n v="-0.43118590185092842"/>
    <s v="LOW"/>
    <x v="3"/>
    <n v="5"/>
  </r>
  <r>
    <s v="United Kingdom"/>
    <n v="537126"/>
    <n v="10133"/>
    <n v="1"/>
    <d v="2010-12-05T12:13:00"/>
    <n v="0.85"/>
    <n v="18118"/>
    <n v="0"/>
    <n v="-0.93394825253809688"/>
    <s v="LOW"/>
    <n v="0.10989010989010987"/>
    <n v="-0.43118590185092842"/>
    <s v="LOW"/>
    <x v="1"/>
    <n v="1"/>
  </r>
  <r>
    <s v="United Kingdom"/>
    <n v="550452"/>
    <n v="10002"/>
    <n v="1"/>
    <d v="2011-04-18T12:56:00"/>
    <n v="0.85"/>
    <n v="14525"/>
    <n v="0"/>
    <n v="-0.93394825253809688"/>
    <s v="LOW"/>
    <n v="0.10989010989010987"/>
    <n v="-0.43118590185092842"/>
    <s v="LOW"/>
    <x v="0"/>
    <n v="1"/>
  </r>
  <r>
    <s v="United Kingdom"/>
    <n v="551391"/>
    <n v="10125"/>
    <n v="1"/>
    <d v="2011-04-28T12:06:00"/>
    <n v="0.85"/>
    <n v="15514"/>
    <n v="0"/>
    <n v="-0.93394825253809688"/>
    <s v="LOW"/>
    <n v="0.10989010989010987"/>
    <n v="-0.43118590185092842"/>
    <s v="LOW"/>
    <x v="2"/>
    <n v="8"/>
  </r>
  <r>
    <s v="United Kingdom"/>
    <n v="551616"/>
    <n v="10125"/>
    <n v="1"/>
    <d v="2011-05-03T11:40:00"/>
    <n v="0.85"/>
    <n v="15048"/>
    <n v="0"/>
    <n v="-0.93394825253809688"/>
    <s v="LOW"/>
    <n v="0.10989010989010987"/>
    <n v="-0.43118590185092842"/>
    <s v="LOW"/>
    <x v="4"/>
    <n v="2"/>
  </r>
  <r>
    <s v="United Kingdom"/>
    <n v="552269"/>
    <n v="10125"/>
    <n v="1"/>
    <d v="2011-05-08T11:52:00"/>
    <n v="0.85"/>
    <n v="16121"/>
    <n v="0"/>
    <n v="-0.93394825253809688"/>
    <s v="LOW"/>
    <n v="0.10989010989010987"/>
    <n v="-0.43118590185092842"/>
    <s v="LOW"/>
    <x v="0"/>
    <n v="7"/>
  </r>
  <r>
    <s v="United Kingdom"/>
    <n v="553385"/>
    <n v="10125"/>
    <n v="1"/>
    <d v="2011-05-16T15:53:00"/>
    <n v="0.85"/>
    <n v="16710"/>
    <n v="0"/>
    <n v="-0.93394825253809688"/>
    <s v="LOW"/>
    <n v="0.10989010989010987"/>
    <n v="-0.43118590185092842"/>
    <s v="LOW"/>
    <x v="0"/>
    <n v="1"/>
  </r>
  <r>
    <s v="United Kingdom"/>
    <n v="554117"/>
    <n v="10125"/>
    <n v="1"/>
    <d v="2011-05-22T15:12:00"/>
    <n v="0.85"/>
    <n v="13758"/>
    <n v="0"/>
    <n v="-0.93394825253809688"/>
    <s v="LOW"/>
    <n v="0.10989010989010987"/>
    <n v="-0.43118590185092842"/>
    <s v="LOW"/>
    <x v="0"/>
    <n v="7"/>
  </r>
  <r>
    <s v="United Kingdom"/>
    <n v="555579"/>
    <n v="10125"/>
    <n v="1"/>
    <d v="2011-06-05T16:02:00"/>
    <n v="0.85"/>
    <n v="13983"/>
    <n v="0"/>
    <n v="-0.93394825253809688"/>
    <s v="LOW"/>
    <n v="0.10989010989010987"/>
    <n v="-0.43118590185092842"/>
    <s v="LOW"/>
    <x v="3"/>
    <n v="1"/>
  </r>
  <r>
    <s v="United Kingdom"/>
    <n v="558700"/>
    <n v="10125"/>
    <n v="1"/>
    <d v="2011-07-01T12:33:00"/>
    <n v="0.85"/>
    <n v="17920"/>
    <n v="0"/>
    <n v="-0.93394825253809688"/>
    <s v="LOW"/>
    <n v="0.10989010989010987"/>
    <n v="-0.43118590185092842"/>
    <s v="LOW"/>
    <x v="0"/>
    <n v="7"/>
  </r>
  <r>
    <s v="United Kingdom"/>
    <n v="558860"/>
    <n v="10125"/>
    <n v="1"/>
    <d v="2011-07-04T12:18:00"/>
    <n v="0.85"/>
    <n v="17975"/>
    <n v="0"/>
    <n v="-0.93394825253809688"/>
    <s v="LOW"/>
    <n v="0.10989010989010987"/>
    <n v="-0.43118590185092842"/>
    <s v="LOW"/>
    <x v="2"/>
    <n v="1"/>
  </r>
  <r>
    <s v="United Kingdom"/>
    <n v="550972"/>
    <n v="15036"/>
    <n v="1"/>
    <d v="2011-04-21T17:05:00"/>
    <n v="0.83"/>
    <n v="14031"/>
    <n v="0"/>
    <n v="-0.93394825253809688"/>
    <s v="LOW"/>
    <n v="8.7912087912087877E-2"/>
    <n v="-0.49186247751305406"/>
    <s v="LOW"/>
    <x v="2"/>
    <n v="5"/>
  </r>
  <r>
    <s v="United Kingdom"/>
    <n v="540026"/>
    <n v="10133"/>
    <n v="1"/>
    <d v="2011-01-04T13:25:00"/>
    <n v="0.81"/>
    <s v="N/A"/>
    <n v="0"/>
    <n v="-0.93394825253809688"/>
    <s v="LOW"/>
    <n v="6.5934065934066005E-2"/>
    <n v="-0.55253905317517937"/>
    <s v="LOW"/>
    <x v="0"/>
    <n v="5"/>
  </r>
  <r>
    <s v="United Kingdom"/>
    <n v="540154"/>
    <n v="10133"/>
    <n v="1"/>
    <d v="2011-01-05T11:30:00"/>
    <n v="0.81"/>
    <s v="N/A"/>
    <n v="0"/>
    <n v="-0.93394825253809688"/>
    <s v="LOW"/>
    <n v="6.5934065934066005E-2"/>
    <n v="-0.55253905317517937"/>
    <s v="LOW"/>
    <x v="0"/>
    <n v="1"/>
  </r>
  <r>
    <s v="United Kingdom"/>
    <n v="540352"/>
    <n v="10133"/>
    <n v="1"/>
    <d v="2011-01-06T14:27:00"/>
    <n v="0.81"/>
    <s v="N/A"/>
    <n v="0"/>
    <n v="-0.93394825253809688"/>
    <s v="LOW"/>
    <n v="6.5934065934066005E-2"/>
    <n v="-0.55253905317517937"/>
    <s v="LOW"/>
    <x v="3"/>
    <n v="8"/>
  </r>
  <r>
    <s v="United Kingdom"/>
    <n v="540551"/>
    <n v="10133"/>
    <n v="1"/>
    <d v="2011-01-10T09:43:00"/>
    <n v="0.81"/>
    <s v="N/A"/>
    <n v="0"/>
    <n v="-0.93394825253809688"/>
    <s v="LOW"/>
    <n v="6.5934065934066005E-2"/>
    <n v="-0.55253905317517937"/>
    <s v="LOW"/>
    <x v="2"/>
    <n v="5"/>
  </r>
  <r>
    <s v="United Kingdom"/>
    <n v="540977"/>
    <n v="10133"/>
    <n v="1"/>
    <d v="2011-01-12T15:01:00"/>
    <n v="0.81"/>
    <s v="N/A"/>
    <n v="0"/>
    <n v="-0.93394825253809688"/>
    <s v="LOW"/>
    <n v="6.5934065934066005E-2"/>
    <n v="-0.55253905317517937"/>
    <s v="LOW"/>
    <x v="1"/>
    <n v="1"/>
  </r>
  <r>
    <s v="United Kingdom"/>
    <n v="536876"/>
    <n v="10002"/>
    <n v="2"/>
    <d v="2010-12-03T11:36:00"/>
    <n v="1.66"/>
    <s v="N/A"/>
    <n v="2.1276595744680851E-2"/>
    <n v="-0.84312786350874136"/>
    <s v="LOW"/>
    <n v="1"/>
    <n v="2.0262154124651568"/>
    <s v="HIGH"/>
    <x v="5"/>
    <n v="3"/>
  </r>
  <r>
    <s v="United Kingdom"/>
    <n v="550458"/>
    <n v="15036"/>
    <n v="2"/>
    <d v="2011-04-18T13:13:00"/>
    <n v="1.63"/>
    <s v="N/A"/>
    <n v="2.1276595744680851E-2"/>
    <n v="-0.84312786350874136"/>
    <s v="LOW"/>
    <n v="0.96703296703296704"/>
    <n v="1.9352005489719684"/>
    <s v="HIGH"/>
    <x v="1"/>
    <n v="5"/>
  </r>
  <r>
    <s v="United Kingdom"/>
    <n v="550474"/>
    <n v="15036"/>
    <n v="2"/>
    <d v="2011-04-18T13:58:00"/>
    <n v="1.63"/>
    <s v="N/A"/>
    <n v="2.1276595744680851E-2"/>
    <n v="-0.84312786350874136"/>
    <s v="LOW"/>
    <n v="0.96703296703296704"/>
    <n v="1.9352005489719684"/>
    <s v="HIGH"/>
    <x v="0"/>
    <n v="8"/>
  </r>
  <r>
    <s v="United Kingdom"/>
    <n v="557938"/>
    <n v="10125"/>
    <n v="2"/>
    <d v="2011-06-23T15:35:00"/>
    <n v="1.63"/>
    <s v="N/A"/>
    <n v="2.1276595744680851E-2"/>
    <n v="-0.84312786350874136"/>
    <s v="LOW"/>
    <n v="0.96703296703296704"/>
    <n v="1.9352005489719684"/>
    <s v="HIGH"/>
    <x v="1"/>
    <n v="1"/>
  </r>
  <r>
    <s v="United Kingdom"/>
    <n v="537374"/>
    <n v="10133"/>
    <n v="2"/>
    <d v="2010-12-06T12:55:00"/>
    <n v="0.85"/>
    <n v="17259"/>
    <n v="2.1276595744680851E-2"/>
    <n v="-0.84312786350874136"/>
    <s v="LOW"/>
    <n v="0.10989010989010987"/>
    <n v="-0.43118590185092842"/>
    <s v="LOW"/>
    <x v="1"/>
    <n v="1"/>
  </r>
  <r>
    <s v="United Kingdom"/>
    <n v="538064"/>
    <n v="10133"/>
    <n v="2"/>
    <d v="2010-12-09T13:47:00"/>
    <n v="0.85"/>
    <n v="15271"/>
    <n v="2.1276595744680851E-2"/>
    <n v="-0.84312786350874136"/>
    <s v="LOW"/>
    <n v="0.10989010989010987"/>
    <n v="-0.43118590185092842"/>
    <s v="LOW"/>
    <x v="0"/>
    <n v="5"/>
  </r>
  <r>
    <s v="United Kingdom"/>
    <n v="545060"/>
    <n v="10080"/>
    <n v="2"/>
    <d v="2011-02-27T13:47:00"/>
    <n v="0.85"/>
    <n v="15547"/>
    <n v="2.1276595744680851E-2"/>
    <n v="-0.84312786350874136"/>
    <s v="LOW"/>
    <n v="0.10989010989010987"/>
    <n v="-0.43118590185092842"/>
    <s v="LOW"/>
    <x v="3"/>
    <n v="3"/>
  </r>
  <r>
    <s v="United Kingdom"/>
    <n v="574530"/>
    <n v="10125"/>
    <n v="2"/>
    <d v="2011-11-04T14:07:00"/>
    <n v="0.85"/>
    <n v="16887"/>
    <n v="2.1276595744680851E-2"/>
    <n v="-0.84312786350874136"/>
    <s v="LOW"/>
    <n v="0.10989010989010987"/>
    <n v="-0.43118590185092842"/>
    <s v="LOW"/>
    <x v="2"/>
    <n v="1"/>
  </r>
  <r>
    <s v="United Kingdom"/>
    <n v="550471"/>
    <n v="15036"/>
    <n v="3"/>
    <d v="2011-04-18T13:52:00"/>
    <n v="1.63"/>
    <s v="N/A"/>
    <n v="4.2553191489361701E-2"/>
    <n v="-0.75230747447938584"/>
    <s v="LOW"/>
    <n v="0.96703296703296704"/>
    <n v="1.9352005489719684"/>
    <s v="HIGH"/>
    <x v="3"/>
    <n v="1"/>
  </r>
  <r>
    <s v="United Kingdom"/>
    <n v="537155"/>
    <n v="10133"/>
    <n v="3"/>
    <d v="2010-12-05T13:05:00"/>
    <n v="0.85"/>
    <n v="12748"/>
    <n v="4.2553191489361701E-2"/>
    <n v="-0.75230747447938584"/>
    <s v="LOW"/>
    <n v="0.10989010989010987"/>
    <n v="-0.43118590185092842"/>
    <s v="LOW"/>
    <x v="0"/>
    <n v="5"/>
  </r>
  <r>
    <s v="United Kingdom"/>
    <n v="552310"/>
    <n v="10125"/>
    <n v="3"/>
    <d v="2011-05-08T15:22:00"/>
    <n v="0.85"/>
    <n v="17323"/>
    <n v="4.2553191489361701E-2"/>
    <n v="-0.75230747447938584"/>
    <s v="LOW"/>
    <n v="0.10989010989010987"/>
    <n v="-0.43118590185092842"/>
    <s v="LOW"/>
    <x v="2"/>
    <n v="5"/>
  </r>
  <r>
    <s v="United Kingdom"/>
    <n v="558700"/>
    <n v="10125"/>
    <n v="3"/>
    <d v="2011-07-01T12:33:00"/>
    <n v="0.85"/>
    <n v="17920"/>
    <n v="4.2553191489361701E-2"/>
    <n v="-0.75230747447938584"/>
    <s v="LOW"/>
    <n v="0.10989010989010987"/>
    <n v="-0.43118590185092842"/>
    <s v="LOW"/>
    <x v="0"/>
    <n v="5"/>
  </r>
  <r>
    <s v="United Kingdom"/>
    <n v="569897"/>
    <n v="10125"/>
    <n v="3"/>
    <d v="2011-10-06T16:01:00"/>
    <n v="0.85"/>
    <n v="17813"/>
    <n v="4.2553191489361701E-2"/>
    <n v="-0.75230747447938584"/>
    <s v="LOW"/>
    <n v="0.10989010989010987"/>
    <n v="-0.43118590185092842"/>
    <s v="LOW"/>
    <x v="3"/>
    <n v="7"/>
  </r>
  <r>
    <s v="United Kingdom"/>
    <n v="549538"/>
    <n v="15036"/>
    <n v="3"/>
    <d v="2011-04-08T17:25:00"/>
    <n v="0.83"/>
    <n v="17961"/>
    <n v="4.2553191489361701E-2"/>
    <n v="-0.75230747447938584"/>
    <s v="LOW"/>
    <n v="8.7912087912087877E-2"/>
    <n v="-0.49186247751305406"/>
    <s v="LOW"/>
    <x v="0"/>
    <n v="1"/>
  </r>
  <r>
    <s v="United Kingdom"/>
    <n v="540418"/>
    <n v="10133"/>
    <n v="3"/>
    <d v="2011-01-07T11:04:00"/>
    <n v="0.81"/>
    <s v="N/A"/>
    <n v="4.2553191489361701E-2"/>
    <n v="-0.75230747447938584"/>
    <s v="LOW"/>
    <n v="6.5934065934066005E-2"/>
    <n v="-0.55253905317517937"/>
    <s v="LOW"/>
    <x v="2"/>
    <n v="5"/>
  </r>
  <r>
    <s v="United Kingdom"/>
    <n v="540821"/>
    <n v="10133"/>
    <n v="3"/>
    <d v="2011-01-11T13:16:00"/>
    <n v="0.81"/>
    <s v="N/A"/>
    <n v="4.2553191489361701E-2"/>
    <n v="-0.75230747447938584"/>
    <s v="LOW"/>
    <n v="6.5934065934066005E-2"/>
    <n v="-0.55253905317517937"/>
    <s v="LOW"/>
    <x v="2"/>
    <n v="1"/>
  </r>
  <r>
    <s v="United Kingdom"/>
    <n v="546892"/>
    <n v="15036"/>
    <n v="4"/>
    <d v="2011-03-17T18:20:00"/>
    <n v="1.63"/>
    <s v="N/A"/>
    <n v="6.3829787234042548E-2"/>
    <n v="-0.66148708545003032"/>
    <s v="LOW"/>
    <n v="0.96703296703296704"/>
    <n v="1.9352005489719684"/>
    <s v="HIGH"/>
    <x v="2"/>
    <n v="5"/>
  </r>
  <r>
    <s v="United Kingdom"/>
    <n v="547967"/>
    <n v="15036"/>
    <n v="4"/>
    <d v="2011-03-28T15:49:00"/>
    <n v="1.63"/>
    <s v="N/A"/>
    <n v="6.3829787234042548E-2"/>
    <n v="-0.66148708545003032"/>
    <s v="LOW"/>
    <n v="0.96703296703296704"/>
    <n v="1.9352005489719684"/>
    <s v="HIGH"/>
    <x v="0"/>
    <n v="7"/>
  </r>
  <r>
    <s v="United Kingdom"/>
    <n v="550470"/>
    <n v="15036"/>
    <n v="4"/>
    <d v="2011-04-18T13:49:00"/>
    <n v="1.63"/>
    <s v="N/A"/>
    <n v="6.3829787234042548E-2"/>
    <n v="-0.66148708545003032"/>
    <s v="LOW"/>
    <n v="0.96703296703296704"/>
    <n v="1.9352005489719684"/>
    <s v="HIGH"/>
    <x v="2"/>
    <n v="7"/>
  </r>
  <r>
    <s v="United Kingdom"/>
    <n v="541104"/>
    <n v="10133"/>
    <n v="4"/>
    <d v="2011-01-13T14:29:00"/>
    <n v="0.79"/>
    <s v="N/A"/>
    <n v="6.3829787234042548E-2"/>
    <n v="-0.66148708545003032"/>
    <s v="LOW"/>
    <n v="4.3956043956044001E-2"/>
    <n v="-0.61321562883730496"/>
    <s v="LOW"/>
    <x v="0"/>
    <n v="1"/>
  </r>
  <r>
    <s v="United Kingdom"/>
    <n v="537638"/>
    <n v="10002"/>
    <n v="5"/>
    <d v="2010-12-07T15:28:00"/>
    <n v="1.66"/>
    <s v="N/A"/>
    <n v="8.5106382978723402E-2"/>
    <n v="-0.5706666964206748"/>
    <s v="LOW"/>
    <n v="1"/>
    <n v="2.0262154124651568"/>
    <s v="HIGH"/>
    <x v="6"/>
    <n v="5"/>
  </r>
  <r>
    <s v="United Kingdom"/>
    <n v="550542"/>
    <n v="15036"/>
    <n v="5"/>
    <d v="2011-04-19T11:37:00"/>
    <n v="1.63"/>
    <s v="N/A"/>
    <n v="8.5106382978723402E-2"/>
    <n v="-0.5706666964206748"/>
    <s v="LOW"/>
    <n v="0.96703296703296704"/>
    <n v="1.9352005489719684"/>
    <s v="HIGH"/>
    <x v="2"/>
    <n v="1"/>
  </r>
  <r>
    <s v="United Kingdom"/>
    <n v="536446"/>
    <n v="10133"/>
    <n v="5"/>
    <d v="2010-12-01T12:15:00"/>
    <n v="0.85"/>
    <n v="15983"/>
    <n v="8.5106382978723402E-2"/>
    <n v="-0.5706666964206748"/>
    <s v="LOW"/>
    <n v="0.10989010989010987"/>
    <n v="-0.43118590185092842"/>
    <s v="LOW"/>
    <x v="1"/>
    <n v="5"/>
  </r>
  <r>
    <s v="United Kingdom"/>
    <n v="559536"/>
    <n v="10125"/>
    <n v="5"/>
    <d v="2011-07-10T12:17:00"/>
    <n v="0.85"/>
    <n v="16283"/>
    <n v="8.5106382978723402E-2"/>
    <n v="-0.5706666964206748"/>
    <s v="LOW"/>
    <n v="0.10989010989010987"/>
    <n v="-0.43118590185092842"/>
    <s v="LOW"/>
    <x v="2"/>
    <n v="1"/>
  </r>
  <r>
    <s v="United Kingdom"/>
    <n v="559984"/>
    <n v="10125"/>
    <n v="5"/>
    <d v="2011-07-14T11:45:00"/>
    <n v="0.85"/>
    <n v="16657"/>
    <n v="8.5106382978723402E-2"/>
    <n v="-0.5706666964206748"/>
    <s v="LOW"/>
    <n v="0.10989010989010987"/>
    <n v="-0.43118590185092842"/>
    <s v="LOW"/>
    <x v="0"/>
    <n v="5"/>
  </r>
  <r>
    <s v="United Kingdom"/>
    <n v="564300"/>
    <n v="10125"/>
    <n v="5"/>
    <d v="2011-08-24T11:31:00"/>
    <n v="0.85"/>
    <n v="16723"/>
    <n v="8.5106382978723402E-2"/>
    <n v="-0.5706666964206748"/>
    <s v="LOW"/>
    <n v="0.10989010989010987"/>
    <n v="-0.43118590185092842"/>
    <s v="LOW"/>
    <x v="2"/>
    <n v="1"/>
  </r>
  <r>
    <s v="United Kingdom"/>
    <n v="540468"/>
    <n v="10133"/>
    <n v="5"/>
    <d v="2011-01-07T00:00:00"/>
    <n v="0.81"/>
    <s v="N/A"/>
    <n v="8.5106382978723402E-2"/>
    <n v="-0.5706666964206748"/>
    <s v="LOW"/>
    <n v="6.5934065934066005E-2"/>
    <n v="-0.55253905317517937"/>
    <s v="LOW"/>
    <x v="0"/>
    <n v="1"/>
  </r>
  <r>
    <s v="United Kingdom"/>
    <n v="547386"/>
    <n v="15036"/>
    <n v="6"/>
    <d v="2011-03-22T15:52:00"/>
    <n v="1.63"/>
    <s v="N/A"/>
    <n v="0.10638297872340426"/>
    <n v="-0.47984630739131928"/>
    <s v="LOW"/>
    <n v="0.96703296703296704"/>
    <n v="1.9352005489719684"/>
    <s v="HIGH"/>
    <x v="2"/>
    <n v="5"/>
  </r>
  <r>
    <s v="United Kingdom"/>
    <n v="548893"/>
    <n v="15036"/>
    <n v="6"/>
    <d v="2011-04-04T15:54:00"/>
    <n v="1.63"/>
    <s v="N/A"/>
    <n v="0.10638297872340426"/>
    <n v="-0.47984630739131928"/>
    <s v="LOW"/>
    <n v="0.96703296703296704"/>
    <n v="1.9352005489719684"/>
    <s v="HIGH"/>
    <x v="0"/>
    <n v="5"/>
  </r>
  <r>
    <s v="United Kingdom"/>
    <n v="539958"/>
    <n v="10133"/>
    <n v="6"/>
    <d v="2010-12-23T13:26:00"/>
    <n v="0.81"/>
    <s v="N/A"/>
    <n v="0.10638297872340426"/>
    <n v="-0.47984630739131928"/>
    <s v="LOW"/>
    <n v="6.5934065934066005E-2"/>
    <n v="-0.55253905317517937"/>
    <s v="LOW"/>
    <x v="0"/>
    <n v="7"/>
  </r>
  <r>
    <s v="United Kingdom"/>
    <n v="540646"/>
    <n v="10133"/>
    <n v="6"/>
    <d v="2011-01-10T14:32:00"/>
    <n v="0.81"/>
    <s v="N/A"/>
    <n v="0.10638297872340426"/>
    <n v="-0.47984630739131928"/>
    <s v="LOW"/>
    <n v="6.5934065934066005E-2"/>
    <n v="-0.55253905317517937"/>
    <s v="LOW"/>
    <x v="2"/>
    <n v="7"/>
  </r>
  <r>
    <s v="United Kingdom"/>
    <n v="569223"/>
    <n v="10125"/>
    <n v="7"/>
    <d v="2011-10-02T13:49:00"/>
    <n v="0.85"/>
    <n v="16283"/>
    <n v="0.1276595744680851"/>
    <n v="-0.38902591836196376"/>
    <s v="LOW"/>
    <n v="0.10989010989010987"/>
    <n v="-0.43118590185092842"/>
    <s v="LOW"/>
    <x v="1"/>
    <n v="5"/>
  </r>
  <r>
    <s v="United Kingdom"/>
    <n v="540848"/>
    <n v="10133"/>
    <n v="7"/>
    <d v="2011-01-12T09:26:00"/>
    <n v="0.81"/>
    <s v="N/A"/>
    <n v="0.1276595744680851"/>
    <n v="-0.38902591836196376"/>
    <s v="LOW"/>
    <n v="6.5934065934066005E-2"/>
    <n v="-0.55253905317517937"/>
    <s v="LOW"/>
    <x v="0"/>
    <n v="1"/>
  </r>
  <r>
    <s v="N/A"/>
    <n v="539222"/>
    <n v="10133"/>
    <n v="10"/>
    <d v="2010-12-16T13:00:00"/>
    <n v="0.85"/>
    <n v="14621"/>
    <n v="0.19148936170212766"/>
    <n v="-0.11656475127389719"/>
    <s v="LOW"/>
    <n v="0.10989010989010987"/>
    <n v="-0.43118590185092842"/>
    <s v="LOW"/>
    <x v="2"/>
    <n v="7"/>
  </r>
  <r>
    <s v="United Kingdom"/>
    <n v="537225"/>
    <n v="10133"/>
    <n v="10"/>
    <d v="2010-12-05T00:00:00"/>
    <n v="0.85"/>
    <n v="12748"/>
    <n v="0.19148936170212766"/>
    <n v="-0.11656475127389719"/>
    <s v="LOW"/>
    <n v="0.10989010989010987"/>
    <n v="-0.43118590185092842"/>
    <s v="LOW"/>
    <x v="1"/>
    <n v="7"/>
  </r>
  <r>
    <s v="United Kingdom"/>
    <n v="538070"/>
    <n v="10133"/>
    <n v="10"/>
    <d v="2010-12-09T14:08:00"/>
    <n v="0.85"/>
    <n v="16519"/>
    <n v="0.19148936170212766"/>
    <n v="-0.11656475127389719"/>
    <s v="LOW"/>
    <n v="0.10989010989010987"/>
    <n v="-0.43118590185092842"/>
    <s v="LOW"/>
    <x v="0"/>
    <n v="8"/>
  </r>
  <r>
    <s v="United Kingdom"/>
    <n v="539477"/>
    <n v="10133"/>
    <n v="10"/>
    <d v="2010-12-19T14:58:00"/>
    <n v="0.85"/>
    <n v="18245"/>
    <n v="0.19148936170212766"/>
    <n v="-0.11656475127389719"/>
    <s v="LOW"/>
    <n v="0.10989010989010987"/>
    <n v="-0.43118590185092842"/>
    <s v="LOW"/>
    <x v="0"/>
    <n v="5"/>
  </r>
  <r>
    <s v="United Kingdom"/>
    <n v="539933"/>
    <n v="10133"/>
    <n v="10"/>
    <d v="2010-12-23T11:24:00"/>
    <n v="0.85"/>
    <n v="15235"/>
    <n v="0.19148936170212766"/>
    <n v="-0.11656475127389719"/>
    <s v="LOW"/>
    <n v="0.10989010989010987"/>
    <n v="-0.43118590185092842"/>
    <s v="LOW"/>
    <x v="2"/>
    <n v="1"/>
  </r>
  <r>
    <s v="United Kingdom"/>
    <n v="536865"/>
    <n v="10002"/>
    <n v="11"/>
    <d v="2010-12-03T11:28:00"/>
    <n v="1.66"/>
    <s v="N/A"/>
    <n v="0.21276595744680851"/>
    <n v="-2.5744362244541675E-2"/>
    <s v="LOW"/>
    <n v="1"/>
    <n v="2.0262154124651568"/>
    <s v="HIGH"/>
    <x v="7"/>
    <n v="4"/>
  </r>
  <r>
    <s v="United Kingdom"/>
    <n v="547248"/>
    <n v="15036"/>
    <n v="11"/>
    <d v="2011-03-22T09:23:00"/>
    <n v="1.63"/>
    <s v="N/A"/>
    <n v="0.21276595744680851"/>
    <n v="-2.5744362244541675E-2"/>
    <s v="LOW"/>
    <n v="0.96703296703296704"/>
    <n v="1.9352005489719684"/>
    <s v="HIGH"/>
    <x v="1"/>
    <n v="7"/>
  </r>
  <r>
    <s v="N/A"/>
    <n v="550218"/>
    <n v="15036"/>
    <n v="12"/>
    <d v="2011-04-15T11:15:00"/>
    <n v="0.83"/>
    <n v="14408"/>
    <n v="0.23404255319148937"/>
    <n v="6.5076026784813848E-2"/>
    <s v="HIGH"/>
    <n v="8.7912087912087877E-2"/>
    <n v="-0.49186247751305406"/>
    <s v="LOW"/>
    <x v="0"/>
    <n v="5"/>
  </r>
  <r>
    <s v="Sweden"/>
    <n v="546530"/>
    <n v="15036"/>
    <n v="12"/>
    <d v="2011-03-14T13:25:00"/>
    <n v="0.75"/>
    <n v="17404"/>
    <n v="0.23404255319148937"/>
    <n v="6.5076026784813848E-2"/>
    <s v="HIGH"/>
    <n v="0"/>
    <n v="-0.73456878016155625"/>
    <s v="LOW"/>
    <x v="0"/>
    <n v="1"/>
  </r>
  <r>
    <s v="United Kingdom"/>
    <n v="546891"/>
    <n v="15036"/>
    <n v="12"/>
    <d v="2011-03-17T18:18:00"/>
    <n v="1.63"/>
    <s v="N/A"/>
    <n v="0.23404255319148937"/>
    <n v="6.5076026784813848E-2"/>
    <s v="HIGH"/>
    <n v="0.96703296703296704"/>
    <n v="1.9352005489719684"/>
    <s v="HIGH"/>
    <x v="0"/>
    <n v="1"/>
  </r>
  <r>
    <s v="United Kingdom"/>
    <n v="547249"/>
    <n v="15036"/>
    <n v="12"/>
    <d v="2011-03-22T09:27:00"/>
    <n v="1.63"/>
    <s v="N/A"/>
    <n v="0.23404255319148937"/>
    <n v="6.5076026784813848E-2"/>
    <s v="HIGH"/>
    <n v="0.96703296703296704"/>
    <n v="1.9352005489719684"/>
    <s v="HIGH"/>
    <x v="0"/>
    <n v="5"/>
  </r>
  <r>
    <s v="United Kingdom"/>
    <n v="536382"/>
    <n v="10002"/>
    <n v="12"/>
    <d v="2010-12-01T09:45:00"/>
    <n v="0.85"/>
    <n v="16098"/>
    <n v="0.23404255319148937"/>
    <n v="6.5076026784813848E-2"/>
    <s v="HIGH"/>
    <n v="0.10989010989010987"/>
    <n v="-0.43118590185092842"/>
    <s v="LOW"/>
    <x v="3"/>
    <n v="1"/>
  </r>
  <r>
    <s v="United Kingdom"/>
    <n v="556222"/>
    <n v="10125"/>
    <n v="12"/>
    <d v="2011-06-09T14:23:00"/>
    <n v="0.85"/>
    <n v="17522"/>
    <n v="0.23404255319148937"/>
    <n v="6.5076026784813848E-2"/>
    <s v="HIGH"/>
    <n v="0.10989010989010987"/>
    <n v="-0.43118590185092842"/>
    <s v="LOW"/>
    <x v="0"/>
    <n v="5"/>
  </r>
  <r>
    <s v="United Kingdom"/>
    <n v="548310"/>
    <n v="15036"/>
    <n v="12"/>
    <d v="2011-03-30T12:04:00"/>
    <n v="0.83"/>
    <s v="N/A"/>
    <n v="0.23404255319148937"/>
    <n v="6.5076026784813848E-2"/>
    <s v="HIGH"/>
    <n v="8.7912087912087877E-2"/>
    <n v="-0.49186247751305406"/>
    <s v="LOW"/>
    <x v="3"/>
    <n v="5"/>
  </r>
  <r>
    <s v="United Kingdom"/>
    <n v="548617"/>
    <n v="15036"/>
    <n v="12"/>
    <d v="2011-04-01T11:50:00"/>
    <n v="0.83"/>
    <n v="16592"/>
    <n v="0.23404255319148937"/>
    <n v="6.5076026784813848E-2"/>
    <s v="HIGH"/>
    <n v="8.7912087912087877E-2"/>
    <n v="-0.49186247751305406"/>
    <s v="LOW"/>
    <x v="2"/>
    <n v="5"/>
  </r>
  <r>
    <s v="United Kingdom"/>
    <n v="549711"/>
    <n v="15036"/>
    <n v="12"/>
    <d v="2011-04-11T14:07:00"/>
    <n v="0.83"/>
    <n v="13654"/>
    <n v="0.23404255319148937"/>
    <n v="6.5076026784813848E-2"/>
    <s v="HIGH"/>
    <n v="8.7912087912087877E-2"/>
    <n v="-0.49186247751305406"/>
    <s v="LOW"/>
    <x v="1"/>
    <n v="1"/>
  </r>
  <r>
    <s v="United Kingdom"/>
    <n v="549743"/>
    <n v="15036"/>
    <n v="12"/>
    <d v="2011-04-12T10:05:00"/>
    <n v="0.83"/>
    <n v="16186"/>
    <n v="0.23404255319148937"/>
    <n v="6.5076026784813848E-2"/>
    <s v="HIGH"/>
    <n v="8.7912087912087877E-2"/>
    <n v="-0.49186247751305406"/>
    <s v="LOW"/>
    <x v="3"/>
    <n v="1"/>
  </r>
  <r>
    <s v="United Kingdom"/>
    <n v="549964"/>
    <n v="15036"/>
    <n v="12"/>
    <d v="2011-04-13T14:12:00"/>
    <n v="0.83"/>
    <n v="13122"/>
    <n v="0.23404255319148937"/>
    <n v="6.5076026784813848E-2"/>
    <s v="HIGH"/>
    <n v="8.7912087912087877E-2"/>
    <n v="-0.49186247751305406"/>
    <s v="LOW"/>
    <x v="3"/>
    <n v="7"/>
  </r>
  <r>
    <s v="United Kingdom"/>
    <n v="549975"/>
    <n v="15036"/>
    <n v="12"/>
    <d v="2011-04-13T14:38:00"/>
    <n v="0.83"/>
    <n v="16175"/>
    <n v="0.23404255319148937"/>
    <n v="6.5076026784813848E-2"/>
    <s v="HIGH"/>
    <n v="8.7912087912087877E-2"/>
    <n v="-0.49186247751305406"/>
    <s v="LOW"/>
    <x v="2"/>
    <n v="1"/>
  </r>
  <r>
    <s v="United Kingdom"/>
    <n v="550468"/>
    <n v="15036"/>
    <n v="12"/>
    <d v="2011-04-18T13:43:00"/>
    <n v="0.83"/>
    <n v="16700"/>
    <n v="0.23404255319148937"/>
    <n v="6.5076026784813848E-2"/>
    <s v="HIGH"/>
    <n v="8.7912087912087877E-2"/>
    <n v="-0.49186247751305406"/>
    <s v="LOW"/>
    <x v="0"/>
    <n v="1"/>
  </r>
  <r>
    <s v="United Kingdom"/>
    <n v="550659"/>
    <n v="15036"/>
    <n v="12"/>
    <d v="2011-04-20T09:02:00"/>
    <n v="0.83"/>
    <n v="17730"/>
    <n v="0.23404255319148937"/>
    <n v="6.5076026784813848E-2"/>
    <s v="HIGH"/>
    <n v="8.7912087912087877E-2"/>
    <n v="-0.49186247751305406"/>
    <s v="LOW"/>
    <x v="3"/>
    <n v="1"/>
  </r>
  <r>
    <s v="United Kingdom"/>
    <n v="550775"/>
    <n v="15036"/>
    <n v="12"/>
    <d v="2011-04-20T13:18:00"/>
    <n v="0.83"/>
    <n v="15805"/>
    <n v="0.23404255319148937"/>
    <n v="6.5076026784813848E-2"/>
    <s v="HIGH"/>
    <n v="8.7912087912087877E-2"/>
    <n v="-0.49186247751305406"/>
    <s v="LOW"/>
    <x v="0"/>
    <n v="5"/>
  </r>
  <r>
    <s v="United Kingdom"/>
    <n v="550785"/>
    <n v="15036"/>
    <n v="12"/>
    <d v="2011-04-20T14:02:00"/>
    <n v="0.83"/>
    <n v="15517"/>
    <n v="0.23404255319148937"/>
    <n v="6.5076026784813848E-2"/>
    <s v="HIGH"/>
    <n v="8.7912087912087877E-2"/>
    <n v="-0.49186247751305406"/>
    <s v="LOW"/>
    <x v="0"/>
    <n v="5"/>
  </r>
  <r>
    <s v="United Kingdom"/>
    <n v="550802"/>
    <n v="15036"/>
    <n v="12"/>
    <d v="2011-04-20T15:21:00"/>
    <n v="0.83"/>
    <n v="17120"/>
    <n v="0.23404255319148937"/>
    <n v="6.5076026784813848E-2"/>
    <s v="HIGH"/>
    <n v="8.7912087912087877E-2"/>
    <n v="-0.49186247751305406"/>
    <s v="LOW"/>
    <x v="2"/>
    <n v="8"/>
  </r>
  <r>
    <s v="United Kingdom"/>
    <n v="541422"/>
    <n v="10133"/>
    <n v="12"/>
    <d v="2011-01-17T17:48:00"/>
    <n v="0.79"/>
    <s v="N/A"/>
    <n v="0.23404255319148937"/>
    <n v="6.5076026784813848E-2"/>
    <s v="HIGH"/>
    <n v="4.3956043956044001E-2"/>
    <n v="-0.61321562883730496"/>
    <s v="LOW"/>
    <x v="2"/>
    <n v="1"/>
  </r>
  <r>
    <s v="United Kingdom"/>
    <n v="546429"/>
    <n v="15036"/>
    <n v="12"/>
    <d v="2011-03-13T15:25:00"/>
    <n v="0.75"/>
    <n v="17611"/>
    <n v="0.23404255319148937"/>
    <n v="6.5076026784813848E-2"/>
    <s v="HIGH"/>
    <n v="0"/>
    <n v="-0.73456878016155625"/>
    <s v="LOW"/>
    <x v="1"/>
    <n v="7"/>
  </r>
  <r>
    <s v="United Kingdom"/>
    <n v="546731"/>
    <n v="15036"/>
    <n v="12"/>
    <d v="2011-03-16T11:39:00"/>
    <n v="0.75"/>
    <n v="13089"/>
    <n v="0.23404255319148937"/>
    <n v="6.5076026784813848E-2"/>
    <s v="HIGH"/>
    <n v="0"/>
    <n v="-0.73456878016155625"/>
    <s v="LOW"/>
    <x v="3"/>
    <n v="1"/>
  </r>
  <r>
    <s v="United Kingdom"/>
    <n v="546774"/>
    <n v="15036"/>
    <n v="12"/>
    <d v="2011-03-16T15:45:00"/>
    <n v="0.75"/>
    <n v="14505"/>
    <n v="0.23404255319148937"/>
    <n v="6.5076026784813848E-2"/>
    <s v="HIGH"/>
    <n v="0"/>
    <n v="-0.73456878016155625"/>
    <s v="LOW"/>
    <x v="3"/>
    <n v="5"/>
  </r>
  <r>
    <s v="United Kingdom"/>
    <n v="547000"/>
    <n v="15036"/>
    <n v="12"/>
    <d v="2011-03-18T13:51:00"/>
    <n v="0.75"/>
    <n v="14282"/>
    <n v="0.23404255319148937"/>
    <n v="6.5076026784813848E-2"/>
    <s v="HIGH"/>
    <n v="0"/>
    <n v="-0.73456878016155625"/>
    <s v="LOW"/>
    <x v="3"/>
    <n v="8"/>
  </r>
  <r>
    <s v="United Kingdom"/>
    <n v="547062"/>
    <n v="15036"/>
    <n v="12"/>
    <d v="2011-03-20T13:28:00"/>
    <n v="0.75"/>
    <n v="16728"/>
    <n v="0.23404255319148937"/>
    <n v="6.5076026784813848E-2"/>
    <s v="HIGH"/>
    <n v="0"/>
    <n v="-0.73456878016155625"/>
    <s v="LOW"/>
    <x v="2"/>
    <n v="1"/>
  </r>
  <r>
    <s v="United Kingdom"/>
    <n v="547862"/>
    <s v="N/A"/>
    <n v="12"/>
    <d v="2011-03-27T12:54:00"/>
    <n v="0.75"/>
    <n v="12841"/>
    <n v="0.23404255319148937"/>
    <n v="6.5076026784813848E-2"/>
    <s v="HIGH"/>
    <n v="0"/>
    <n v="-0.73456878016155625"/>
    <s v="LOW"/>
    <x v="0"/>
    <n v="1"/>
  </r>
  <r>
    <s v="United Kingdom"/>
    <n v="547879"/>
    <n v="15036"/>
    <n v="12"/>
    <d v="2011-03-27T16:03:00"/>
    <n v="0.75"/>
    <n v="12877"/>
    <n v="0.23404255319148937"/>
    <n v="6.5076026784813848E-2"/>
    <s v="HIGH"/>
    <n v="0"/>
    <n v="-0.73456878016155625"/>
    <s v="LOW"/>
    <x v="1"/>
    <n v="5"/>
  </r>
  <r>
    <s v="United Kingdom"/>
    <n v="551174"/>
    <n v="15036"/>
    <n v="15"/>
    <d v="2011-04-26T17:02:00"/>
    <n v="0.83"/>
    <s v="N/A"/>
    <n v="0.2978723404255319"/>
    <n v="0.33753719387288039"/>
    <s v="HIGH"/>
    <n v="8.7912087912087877E-2"/>
    <n v="-0.49186247751305406"/>
    <s v="LOW"/>
    <x v="0"/>
    <n v="1"/>
  </r>
  <r>
    <s v="United Kingdom"/>
    <n v="549525"/>
    <n v="15036"/>
    <n v="17"/>
    <d v="2011-04-08T15:44:00"/>
    <n v="1.63"/>
    <s v="N/A"/>
    <n v="0.34042553191489361"/>
    <n v="0.51917797193159143"/>
    <s v="HIGH"/>
    <n v="0.96703296703296704"/>
    <n v="1.9352005489719684"/>
    <s v="HIGH"/>
    <x v="2"/>
    <n v="8"/>
  </r>
  <r>
    <s v="United Kingdom"/>
    <n v="546896"/>
    <n v="15036"/>
    <n v="17"/>
    <d v="2011-03-17T18:24:00"/>
    <n v="0.99"/>
    <s v="N/A"/>
    <n v="0.34042553191489361"/>
    <n v="0.51917797193159143"/>
    <s v="HIGH"/>
    <n v="0.26373626373626374"/>
    <n v="-6.4498722160494185E-3"/>
    <s v="LOW"/>
    <x v="0"/>
    <n v="7"/>
  </r>
  <r>
    <s v="Germany"/>
    <n v="564337"/>
    <n v="10125"/>
    <n v="20"/>
    <d v="2011-08-24T14:40:00"/>
    <n v="0.85"/>
    <n v="12649"/>
    <n v="0.40425531914893614"/>
    <n v="0.79163913901965799"/>
    <s v="HIGH"/>
    <n v="0.10989010989010987"/>
    <n v="-0.43118590185092842"/>
    <s v="LOW"/>
    <x v="0"/>
    <n v="5"/>
  </r>
  <r>
    <s v="Germany"/>
    <n v="571328"/>
    <n v="10125"/>
    <n v="20"/>
    <d v="2011-10-17T11:27:00"/>
    <n v="0.85"/>
    <n v="12473"/>
    <n v="0.40425531914893614"/>
    <n v="0.79163913901965799"/>
    <s v="HIGH"/>
    <n v="0.10989010989010987"/>
    <n v="-0.43118590185092842"/>
    <s v="LOW"/>
    <x v="0"/>
    <n v="5"/>
  </r>
  <r>
    <s v="Germany"/>
    <n v="581494"/>
    <n v="10125"/>
    <n v="20"/>
    <d v="2011-12-09T10:13:00"/>
    <n v="0.85"/>
    <n v="12518"/>
    <n v="0.40425531914893614"/>
    <n v="0.79163913901965799"/>
    <s v="HIGH"/>
    <n v="0.10989010989010987"/>
    <n v="-0.43118590185092842"/>
    <s v="LOW"/>
    <x v="1"/>
    <n v="8"/>
  </r>
  <r>
    <s v="Switzerland"/>
    <n v="568650"/>
    <n v="10125"/>
    <n v="20"/>
    <d v="2011-09-28T11:56:00"/>
    <n v="0.85"/>
    <n v="13505"/>
    <n v="0.40425531914893614"/>
    <n v="0.79163913901965799"/>
    <s v="HIGH"/>
    <n v="0.10989010989010987"/>
    <n v="-0.43118590185092842"/>
    <s v="LOW"/>
    <x v="0"/>
    <n v="1"/>
  </r>
  <r>
    <s v="United Kingdom"/>
    <n v="558868"/>
    <n v="10125"/>
    <n v="20"/>
    <d v="2011-07-04T12:47:00"/>
    <n v="0.85"/>
    <n v="13266"/>
    <n v="0.40425531914893614"/>
    <n v="0.79163913901965799"/>
    <s v="HIGH"/>
    <n v="0.10989010989010987"/>
    <n v="-0.43118590185092842"/>
    <s v="LOW"/>
    <x v="1"/>
    <n v="7"/>
  </r>
  <r>
    <s v="United Kingdom"/>
    <n v="559979"/>
    <n v="10125"/>
    <n v="20"/>
    <d v="2011-07-14T11:20:00"/>
    <n v="0.85"/>
    <n v="14862"/>
    <n v="0.40425531914893614"/>
    <n v="0.79163913901965799"/>
    <s v="HIGH"/>
    <n v="0.10989010989010987"/>
    <n v="-0.43118590185092842"/>
    <s v="LOW"/>
    <x v="1"/>
    <n v="1"/>
  </r>
  <r>
    <s v="United Kingdom"/>
    <n v="560366"/>
    <n v="10125"/>
    <n v="20"/>
    <d v="2011-07-18T12:19:00"/>
    <n v="0.85"/>
    <n v="16859"/>
    <n v="0.40425531914893614"/>
    <n v="0.79163913901965799"/>
    <s v="HIGH"/>
    <n v="0.10989010989010987"/>
    <n v="-0.43118590185092842"/>
    <s v="LOW"/>
    <x v="1"/>
    <n v="1"/>
  </r>
  <r>
    <s v="United Kingdom"/>
    <n v="563744"/>
    <n v="10125"/>
    <n v="20"/>
    <d v="2011-08-19T09:35:00"/>
    <n v="0.85"/>
    <n v="13266"/>
    <n v="0.40425531914893614"/>
    <n v="0.79163913901965799"/>
    <s v="HIGH"/>
    <n v="0.10989010989010987"/>
    <n v="-0.43118590185092842"/>
    <s v="LOW"/>
    <x v="2"/>
    <n v="8"/>
  </r>
  <r>
    <s v="United Kingdom"/>
    <n v="565585"/>
    <n v="10125"/>
    <n v="20"/>
    <d v="2011-09-05T13:22:00"/>
    <n v="0.85"/>
    <n v="16172"/>
    <n v="0.40425531914893614"/>
    <n v="0.79163913901965799"/>
    <s v="HIGH"/>
    <n v="0.10989010989010987"/>
    <n v="-0.43118590185092842"/>
    <s v="LOW"/>
    <x v="0"/>
    <n v="1"/>
  </r>
  <r>
    <s v="United Kingdom"/>
    <n v="568568"/>
    <n v="10125"/>
    <n v="20"/>
    <d v="2011-09-28T08:48:00"/>
    <n v="0.85"/>
    <n v="14412"/>
    <n v="0.40425531914893614"/>
    <n v="0.79163913901965799"/>
    <s v="HIGH"/>
    <n v="0.10989010989010987"/>
    <n v="-0.43118590185092842"/>
    <s v="LOW"/>
    <x v="1"/>
    <n v="5"/>
  </r>
  <r>
    <s v="United Kingdom"/>
    <n v="572558"/>
    <n v="10125"/>
    <n v="20"/>
    <d v="2011-10-25T08:26:00"/>
    <n v="0.85"/>
    <n v="14286"/>
    <n v="0.40425531914893614"/>
    <n v="0.79163913901965799"/>
    <s v="HIGH"/>
    <n v="0.10989010989010987"/>
    <n v="-0.43118590185092842"/>
    <s v="LOW"/>
    <x v="3"/>
    <n v="5"/>
  </r>
  <r>
    <s v="United Kingdom"/>
    <n v="547385"/>
    <n v="15036"/>
    <n v="22"/>
    <d v="2011-03-22T15:48:00"/>
    <n v="1.63"/>
    <s v="N/A"/>
    <n v="0.44680851063829785"/>
    <n v="0.97327991707836903"/>
    <s v="HIGH"/>
    <n v="0.96703296703296704"/>
    <n v="1.9352005489719684"/>
    <s v="HIGH"/>
    <x v="3"/>
    <n v="8"/>
  </r>
  <r>
    <s v="United Kingdom"/>
    <n v="541219"/>
    <n v="10133"/>
    <n v="22"/>
    <d v="2011-01-14T14:06:00"/>
    <n v="0.79"/>
    <s v="N/A"/>
    <n v="0.44680851063829785"/>
    <n v="0.97327991707836903"/>
    <s v="HIGH"/>
    <n v="4.3956043956044001E-2"/>
    <n v="-0.61321562883730496"/>
    <s v="LOW"/>
    <x v="2"/>
    <n v="1"/>
  </r>
  <r>
    <s v="Germany"/>
    <n v="547925"/>
    <n v="15036"/>
    <n v="24"/>
    <d v="2011-03-28T13:57:00"/>
    <n v="0.75"/>
    <n v="12481"/>
    <n v="0.48936170212765956"/>
    <n v="1.1549206951370801"/>
    <s v="HIGH"/>
    <n v="0"/>
    <n v="-0.73456878016155625"/>
    <s v="LOW"/>
    <x v="1"/>
    <n v="1"/>
  </r>
  <r>
    <s v="N/A"/>
    <n v="550315"/>
    <n v="15036"/>
    <n v="24"/>
    <d v="2011-04-17T11:44:00"/>
    <n v="0.83"/>
    <n v="17990"/>
    <n v="0.48936170212765956"/>
    <n v="1.1549206951370801"/>
    <s v="HIGH"/>
    <n v="8.7912087912087877E-2"/>
    <n v="-0.49186247751305406"/>
    <s v="LOW"/>
    <x v="1"/>
    <n v="1"/>
  </r>
  <r>
    <s v="United Kingdom"/>
    <n v="537227"/>
    <n v="10002"/>
    <n v="24"/>
    <d v="2010-12-06T08:42:00"/>
    <n v="0.85"/>
    <n v="17677"/>
    <n v="0.48936170212765956"/>
    <n v="1.1549206951370801"/>
    <s v="HIGH"/>
    <n v="0.10989010989010987"/>
    <n v="-0.43118590185092842"/>
    <s v="LOW"/>
    <x v="8"/>
    <n v="5"/>
  </r>
  <r>
    <s v="United Kingdom"/>
    <n v="550138"/>
    <n v="15036"/>
    <n v="24"/>
    <d v="2011-04-14T14:02:00"/>
    <n v="0.83"/>
    <n v="12841"/>
    <n v="0.48936170212765956"/>
    <n v="1.1549206951370801"/>
    <s v="HIGH"/>
    <n v="8.7912087912087877E-2"/>
    <n v="-0.49186247751305406"/>
    <s v="LOW"/>
    <x v="2"/>
    <n v="7"/>
  </r>
  <r>
    <s v="United Kingdom"/>
    <n v="550479"/>
    <n v="15036"/>
    <n v="24"/>
    <d v="2011-04-18T14:01:00"/>
    <n v="0.83"/>
    <n v="15625"/>
    <n v="0.48936170212765956"/>
    <n v="1.1549206951370801"/>
    <s v="HIGH"/>
    <n v="8.7912087912087877E-2"/>
    <n v="-0.49186247751305406"/>
    <s v="LOW"/>
    <x v="0"/>
    <n v="7"/>
  </r>
  <r>
    <s v="United Kingdom"/>
    <n v="550517"/>
    <n v="15036"/>
    <n v="24"/>
    <d v="2011-04-19T08:17:00"/>
    <n v="0.83"/>
    <n v="14352"/>
    <n v="0.48936170212765956"/>
    <n v="1.1549206951370801"/>
    <s v="HIGH"/>
    <n v="8.7912087912087877E-2"/>
    <n v="-0.49186247751305406"/>
    <s v="LOW"/>
    <x v="1"/>
    <n v="5"/>
  </r>
  <r>
    <s v="United Kingdom"/>
    <n v="550519"/>
    <n v="15036"/>
    <n v="24"/>
    <d v="2011-04-19T09:31:00"/>
    <n v="0.83"/>
    <n v="13141"/>
    <n v="0.48936170212765956"/>
    <n v="1.1549206951370801"/>
    <s v="HIGH"/>
    <n v="8.7912087912087877E-2"/>
    <n v="-0.49186247751305406"/>
    <s v="LOW"/>
    <x v="0"/>
    <n v="1"/>
  </r>
  <r>
    <s v="United Kingdom"/>
    <n v="550521"/>
    <n v="15036"/>
    <n v="24"/>
    <d v="2011-04-19T09:49:00"/>
    <n v="0.83"/>
    <n v="13647"/>
    <n v="0.48936170212765956"/>
    <n v="1.1549206951370801"/>
    <s v="HIGH"/>
    <n v="8.7912087912087877E-2"/>
    <n v="-0.49186247751305406"/>
    <s v="LOW"/>
    <x v="1"/>
    <n v="7"/>
  </r>
  <r>
    <s v="United Kingdom"/>
    <n v="551182"/>
    <n v="15036"/>
    <n v="24"/>
    <d v="2011-04-27T08:43:00"/>
    <n v="0.83"/>
    <n v="14282"/>
    <n v="0.48936170212765956"/>
    <n v="1.1549206951370801"/>
    <s v="HIGH"/>
    <n v="8.7912087912087877E-2"/>
    <n v="-0.49186247751305406"/>
    <s v="LOW"/>
    <x v="2"/>
    <n v="1"/>
  </r>
  <r>
    <s v="United Kingdom"/>
    <n v="546731"/>
    <n v="15036"/>
    <n v="24"/>
    <d v="2011-03-16T11:39:00"/>
    <n v="0.75"/>
    <n v="13089"/>
    <n v="0.48936170212765956"/>
    <n v="1.1549206951370801"/>
    <s v="HIGH"/>
    <n v="0"/>
    <n v="-0.73456878016155625"/>
    <s v="LOW"/>
    <x v="2"/>
    <n v="5"/>
  </r>
  <r>
    <s v="United Kingdom"/>
    <n v="547078"/>
    <n v="15036"/>
    <n v="24"/>
    <d v="2011-03-20T14:41:00"/>
    <n v="0.75"/>
    <n v="14408"/>
    <n v="0.48936170212765956"/>
    <n v="1.1549206951370801"/>
    <s v="HIGH"/>
    <n v="0"/>
    <n v="-0.73456878016155625"/>
    <s v="LOW"/>
    <x v="0"/>
    <n v="1"/>
  </r>
  <r>
    <s v="United Kingdom"/>
    <n v="547200"/>
    <n v="15036"/>
    <n v="24"/>
    <d v="2011-03-21T13:01:00"/>
    <n v="0.75"/>
    <n v="16036"/>
    <n v="0.48936170212765956"/>
    <n v="1.1549206951370801"/>
    <s v="HIGH"/>
    <n v="0"/>
    <n v="-0.73456878016155625"/>
    <s v="LOW"/>
    <x v="2"/>
    <n v="1"/>
  </r>
  <r>
    <s v="Germany"/>
    <n v="549316"/>
    <n v="15036"/>
    <n v="36"/>
    <d v="2011-04-08T09:54:00"/>
    <n v="0.75"/>
    <n v="12705"/>
    <n v="0.74468085106382975"/>
    <n v="2.2447653634893463"/>
    <s v="HIGH"/>
    <n v="0"/>
    <n v="-0.73456878016155625"/>
    <s v="LOW"/>
    <x v="3"/>
    <n v="1"/>
  </r>
  <r>
    <s v="United Kingdom"/>
    <n v="549431"/>
    <n v="15036"/>
    <n v="36"/>
    <d v="2011-04-08T12:17:00"/>
    <n v="0.83"/>
    <n v="15874"/>
    <n v="0.74468085106382975"/>
    <n v="2.2447653634893463"/>
    <s v="HIGH"/>
    <n v="8.7912087912087877E-2"/>
    <n v="-0.49186247751305406"/>
    <s v="LOW"/>
    <x v="3"/>
    <n v="8"/>
  </r>
  <r>
    <s v="United Kingdom"/>
    <n v="563034"/>
    <n v="10125"/>
    <n v="40"/>
    <d v="2011-08-11T14:53:00"/>
    <n v="0.85"/>
    <n v="17644"/>
    <n v="0.82978723404255317"/>
    <n v="2.6080469196067684"/>
    <s v="HIGH"/>
    <n v="0.10989010989010987"/>
    <n v="-0.43118590185092842"/>
    <s v="LOW"/>
    <x v="2"/>
    <n v="8"/>
  </r>
  <r>
    <s v="France"/>
    <n v="536370"/>
    <n v="10002"/>
    <n v="48"/>
    <d v="2010-12-01T08:45:00"/>
    <n v="0.85"/>
    <n v="12583"/>
    <n v="1"/>
    <n v="3.3346100318416125"/>
    <s v="HIGH"/>
    <n v="0.10989010989010987"/>
    <n v="-0.43118590185092842"/>
    <s v="LOW"/>
    <x v="1"/>
    <n v="4"/>
  </r>
  <r>
    <s v="United Kingdom"/>
    <n v="550323"/>
    <n v="15036"/>
    <n v="48"/>
    <d v="2011-04-17T12:57:00"/>
    <n v="0.83"/>
    <n v="13692"/>
    <n v="1"/>
    <n v="3.3346100318416125"/>
    <s v="HIGH"/>
    <n v="8.7912087912087877E-2"/>
    <n v="-0.49186247751305406"/>
    <s v="LOW"/>
    <x v="2"/>
    <n v="5"/>
  </r>
  <r>
    <s v="United Kingdom"/>
    <n v="550336"/>
    <n v="15036"/>
    <n v="48"/>
    <d v="2011-04-17T14:55:00"/>
    <n v="0.83"/>
    <n v="13089"/>
    <n v="1"/>
    <n v="3.3346100318416125"/>
    <s v="HIGH"/>
    <n v="8.7912087912087877E-2"/>
    <n v="-0.49186247751305406"/>
    <s v="LOW"/>
    <x v="1"/>
    <n v="1"/>
  </r>
  <r>
    <s v="United Kingdom"/>
    <n v="549259"/>
    <n v="15036"/>
    <n v="48"/>
    <d v="2011-04-07T12:33:00"/>
    <n v="0.75"/>
    <n v="13712"/>
    <n v="1"/>
    <n v="3.3346100318416125"/>
    <s v="HIGH"/>
    <n v="0"/>
    <n v="-0.73456878016155625"/>
    <s v="LOW"/>
    <x v="3"/>
    <n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873A242-9259-4080-96D8-DCB6D029CBDE}" name="PivotTable3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V62:W70" firstHeaderRow="1" firstDataRow="1" firstDataCol="1"/>
  <pivotFields count="15">
    <pivotField axis="axisRow" showAll="0">
      <items count="8">
        <item x="0"/>
        <item x="4"/>
        <item x="2"/>
        <item x="3"/>
        <item x="5"/>
        <item x="1"/>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s>
  <rowFields count="1">
    <field x="0"/>
  </rowFields>
  <rowItems count="8">
    <i>
      <x/>
    </i>
    <i>
      <x v="1"/>
    </i>
    <i>
      <x v="2"/>
    </i>
    <i>
      <x v="3"/>
    </i>
    <i>
      <x v="4"/>
    </i>
    <i>
      <x v="5"/>
    </i>
    <i>
      <x v="6"/>
    </i>
    <i t="grand">
      <x/>
    </i>
  </rowItems>
  <colItems count="1">
    <i/>
  </colItems>
  <dataFields count="1">
    <dataField name="Sum of Leads_Generated" fld="13" baseField="0" baseItem="0"/>
  </dataFields>
  <chartFormats count="8">
    <chartFormat chart="2" format="0"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0" count="1" selected="0">
            <x v="0"/>
          </reference>
        </references>
      </pivotArea>
    </chartFormat>
    <chartFormat chart="2" format="9">
      <pivotArea type="data" outline="0" fieldPosition="0">
        <references count="2">
          <reference field="4294967294" count="1" selected="0">
            <x v="0"/>
          </reference>
          <reference field="0" count="1" selected="0">
            <x v="1"/>
          </reference>
        </references>
      </pivotArea>
    </chartFormat>
    <chartFormat chart="2" format="10">
      <pivotArea type="data" outline="0" fieldPosition="0">
        <references count="2">
          <reference field="4294967294" count="1" selected="0">
            <x v="0"/>
          </reference>
          <reference field="0" count="1" selected="0">
            <x v="2"/>
          </reference>
        </references>
      </pivotArea>
    </chartFormat>
    <chartFormat chart="2" format="11">
      <pivotArea type="data" outline="0" fieldPosition="0">
        <references count="2">
          <reference field="4294967294" count="1" selected="0">
            <x v="0"/>
          </reference>
          <reference field="0" count="1" selected="0">
            <x v="3"/>
          </reference>
        </references>
      </pivotArea>
    </chartFormat>
    <chartFormat chart="2" format="12">
      <pivotArea type="data" outline="0" fieldPosition="0">
        <references count="2">
          <reference field="4294967294" count="1" selected="0">
            <x v="0"/>
          </reference>
          <reference field="0" count="1" selected="0">
            <x v="4"/>
          </reference>
        </references>
      </pivotArea>
    </chartFormat>
    <chartFormat chart="2" format="13">
      <pivotArea type="data" outline="0" fieldPosition="0">
        <references count="2">
          <reference field="4294967294" count="1" selected="0">
            <x v="0"/>
          </reference>
          <reference field="0" count="1" selected="0">
            <x v="5"/>
          </reference>
        </references>
      </pivotArea>
    </chartFormat>
    <chartFormat chart="2" format="14">
      <pivotArea type="data" outline="0" fieldPosition="0">
        <references count="2">
          <reference field="4294967294" count="1" selected="0">
            <x v="0"/>
          </reference>
          <reference field="0"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9C00795-294E-4969-BD97-D8976599DE53}" name="PivotTable2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V44:W52" firstHeaderRow="1" firstDataRow="1" firstDataCol="1"/>
  <pivotFields count="15">
    <pivotField axis="axisRow" showAll="0">
      <items count="8">
        <item x="0"/>
        <item x="4"/>
        <item x="2"/>
        <item x="3"/>
        <item x="5"/>
        <item x="1"/>
        <item x="6"/>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8">
    <i>
      <x/>
    </i>
    <i>
      <x v="1"/>
    </i>
    <i>
      <x v="2"/>
    </i>
    <i>
      <x v="3"/>
    </i>
    <i>
      <x v="4"/>
    </i>
    <i>
      <x v="5"/>
    </i>
    <i>
      <x v="6"/>
    </i>
    <i t="grand">
      <x/>
    </i>
  </rowItems>
  <colItems count="1">
    <i/>
  </colItems>
  <dataFields count="1">
    <dataField name="Sum of ProductQuantity" fld="3"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6A1576B-05C5-4658-9C9F-BDDF43A7473C}"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R64:S74" firstHeaderRow="1" firstDataRow="1" firstDataCol="1"/>
  <pivotFields count="15">
    <pivotField showAll="0"/>
    <pivotField showAll="0"/>
    <pivotField showAll="0"/>
    <pivotField showAll="0"/>
    <pivotField showAll="0"/>
    <pivotField numFmtId="164" showAll="0"/>
    <pivotField showAll="0"/>
    <pivotField showAll="0"/>
    <pivotField showAll="0"/>
    <pivotField showAll="0"/>
    <pivotField numFmtId="164" showAll="0"/>
    <pivotField numFmtId="164" showAll="0"/>
    <pivotField showAll="0"/>
    <pivotField axis="axisRow" showAll="0">
      <items count="10">
        <item x="8"/>
        <item x="6"/>
        <item x="3"/>
        <item x="5"/>
        <item x="0"/>
        <item x="2"/>
        <item x="7"/>
        <item x="1"/>
        <item x="4"/>
        <item t="default"/>
      </items>
    </pivotField>
    <pivotField dataField="1" showAll="0"/>
  </pivotFields>
  <rowFields count="1">
    <field x="13"/>
  </rowFields>
  <rowItems count="10">
    <i>
      <x/>
    </i>
    <i>
      <x v="1"/>
    </i>
    <i>
      <x v="2"/>
    </i>
    <i>
      <x v="3"/>
    </i>
    <i>
      <x v="4"/>
    </i>
    <i>
      <x v="5"/>
    </i>
    <i>
      <x v="6"/>
    </i>
    <i>
      <x v="7"/>
    </i>
    <i>
      <x v="8"/>
    </i>
    <i t="grand">
      <x/>
    </i>
  </rowItems>
  <colItems count="1">
    <i/>
  </colItems>
  <dataFields count="1">
    <dataField name="Sum of TotalProjects" fld="14"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208B3BC-86CF-4FC7-BAD0-EF2107259835}" name="PivotTable3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V99:W107" firstHeaderRow="1" firstDataRow="1" firstDataCol="1"/>
  <pivotFields count="15">
    <pivotField axis="axisRow" showAll="0">
      <items count="8">
        <item x="0"/>
        <item x="4"/>
        <item x="2"/>
        <item x="3"/>
        <item x="5"/>
        <item x="1"/>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0"/>
  </rowFields>
  <rowItems count="8">
    <i>
      <x/>
    </i>
    <i>
      <x v="1"/>
    </i>
    <i>
      <x v="2"/>
    </i>
    <i>
      <x v="3"/>
    </i>
    <i>
      <x v="4"/>
    </i>
    <i>
      <x v="5"/>
    </i>
    <i>
      <x v="6"/>
    </i>
    <i t="grand">
      <x/>
    </i>
  </rowItems>
  <colItems count="1">
    <i/>
  </colItems>
  <dataFields count="1">
    <dataField name="Sum of TotalProjects" fld="14"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B67DE41-277B-485C-9BC5-24E54678862C}" name="Table13940" displayName="Table13940" ref="A1:I185" totalsRowShown="0" headerRowDxfId="178" dataDxfId="177">
  <autoFilter ref="A1:I185" xr:uid="{DB67DE41-277B-485C-9BC5-24E54678862C}"/>
  <sortState xmlns:xlrd2="http://schemas.microsoft.com/office/spreadsheetml/2017/richdata2" ref="A2:I185">
    <sortCondition ref="C1:C185"/>
  </sortState>
  <tableColumns count="9">
    <tableColumn id="1" xr3:uid="{37D5F9FF-E80D-4CCF-93E4-D4893E76711C}" name="TransactionID" dataDxfId="176"/>
    <tableColumn id="2" xr3:uid="{14D04F9C-5899-4CC6-A75F-5DF1A13A41EB}" name="ProductCode" dataDxfId="175"/>
    <tableColumn id="3" xr3:uid="{83A51350-8FD2-453C-BF66-A0FA184CD6C0}" name="ProductQuantity" dataDxfId="174"/>
    <tableColumn id="4" xr3:uid="{7B2AFD00-5923-4B8B-8114-8AA4D21C1234}" name="TransactionTimestamp" dataDxfId="173"/>
    <tableColumn id="5" xr3:uid="{CA69D92E-199A-41B9-8E7F-8A1E3CFD7D6F}" name="PricePerUnit" dataDxfId="172"/>
    <tableColumn id="6" xr3:uid="{3832DD71-DDCA-4A76-8B8D-C83A1098855E}" name="ConsumerID" dataDxfId="171"/>
    <tableColumn id="7" xr3:uid="{5BC4B8D2-94CC-476E-844D-4F676A19AF38}" name="Country" dataDxfId="170"/>
    <tableColumn id="8" xr3:uid="{1089B4BC-1D2B-408D-B300-9DE9631CF03A}" name="Revised Pquantity C" dataDxfId="169">
      <calculatedColumnFormula>IF(ISBLANK(C2), $M$2, C2)</calculatedColumnFormula>
    </tableColumn>
    <tableColumn id="9" xr3:uid="{C84FE266-52F6-4285-B141-12131B2704D2}" name="Revised Price E" dataDxfId="168">
      <calculatedColumnFormula>IF(ISBLANK(E2), $M$3, E2)</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AA7E8FC6-73C0-4060-9D93-F5963B8CE050}" name="Table139404142" displayName="Table139404142" ref="A1:K128" totalsRowShown="0" headerRowDxfId="167" dataDxfId="166">
  <autoFilter ref="A1:K128" xr:uid="{AA7E8FC6-73C0-4060-9D93-F5963B8CE050}"/>
  <sortState xmlns:xlrd2="http://schemas.microsoft.com/office/spreadsheetml/2017/richdata2" ref="A2:K128">
    <sortCondition ref="D1:D128"/>
  </sortState>
  <tableColumns count="11">
    <tableColumn id="1" xr3:uid="{5A18B304-CB17-49C7-B0AA-52377FD19184}" name="TransactionID" dataDxfId="165"/>
    <tableColumn id="2" xr3:uid="{7B9B4196-6712-4B6E-86D2-ACC62ABA72A5}" name="ProductCode" dataDxfId="164"/>
    <tableColumn id="3" xr3:uid="{3CCB91E2-EE11-47E7-A3DE-585760A8DD7B}" name="ProductQuantity" dataDxfId="163"/>
    <tableColumn id="4" xr3:uid="{2353C171-1526-48B8-8804-1E817E3D2377}" name="TransactionTimestamp" dataDxfId="162"/>
    <tableColumn id="5" xr3:uid="{46D012C7-B174-4C6E-9E5B-615B78C9C1A5}" name="PricePerUnit" dataDxfId="161"/>
    <tableColumn id="6" xr3:uid="{D9F8FDF1-C7D8-4913-840C-426757583789}" name="ConsumerID" dataDxfId="160"/>
    <tableColumn id="7" xr3:uid="{CAE468C8-186A-43F8-9916-32274A0D50B2}" name="Country" dataDxfId="159"/>
    <tableColumn id="10" xr3:uid="{81181405-56AB-432E-A153-8C9D4C91D452}" name="Outlier Pquantity?" dataDxfId="158">
      <calculatedColumnFormula>OR(C2&lt;-28.5, C2&gt;55.5)</calculatedColumnFormula>
    </tableColumn>
    <tableColumn id="11" xr3:uid="{8D281143-D900-4970-8516-381BA96A3A58}" name="Outlier Price?" dataDxfId="157">
      <calculatedColumnFormula>OR(E2&lt;0.6, E2&gt;1.75)</calculatedColumnFormula>
    </tableColumn>
    <tableColumn id="12" xr3:uid="{DC9EE7A3-AD6B-4ADB-A642-62B421994CFB}" name="Revised Quantity C" dataDxfId="156">
      <calculatedColumnFormula>IF(ISBLANK(C2), $O$6, C2)</calculatedColumnFormula>
    </tableColumn>
    <tableColumn id="13" xr3:uid="{D9B7AC20-FE8F-4D9C-9685-F0CD8571429D}" name="Revised Price E" dataDxfId="155">
      <calculatedColumnFormula>IF(ISBLANK(E2), $O$7, E2)</calculatedColumnFormula>
    </tableColumn>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F235171E-B8D2-464A-A939-4E2333C660D9}" name="Table13940414243" displayName="Table13940414243" ref="A1:K128" totalsRowShown="0" headerRowDxfId="154" dataDxfId="153">
  <autoFilter ref="A1:K128" xr:uid="{F235171E-B8D2-464A-A939-4E2333C660D9}"/>
  <sortState xmlns:xlrd2="http://schemas.microsoft.com/office/spreadsheetml/2017/richdata2" ref="A2:K128">
    <sortCondition ref="D1:D128"/>
  </sortState>
  <tableColumns count="11">
    <tableColumn id="1" xr3:uid="{63D07346-823D-4DA3-B2ED-2E99A22EF7FD}" name="TransactionID" dataDxfId="152"/>
    <tableColumn id="2" xr3:uid="{E771502C-6CA0-470E-9B08-A5B4626DA9DA}" name="ProductCode" dataDxfId="151"/>
    <tableColumn id="3" xr3:uid="{733DED8D-2F6B-4691-8099-4005A83BD35B}" name="ProductQuantity" dataDxfId="150"/>
    <tableColumn id="4" xr3:uid="{0D69AF62-A927-4DFF-B04F-0BF084CC3BAB}" name="TransactionTimestamp" dataDxfId="149"/>
    <tableColumn id="5" xr3:uid="{702FDAC1-A834-4B4C-8D7E-C4A562FD67D3}" name="PricePerUnit" dataDxfId="148"/>
    <tableColumn id="6" xr3:uid="{AB8C37B4-1BB3-4672-BE54-13AA3DF54D9F}" name="ConsumerID" dataDxfId="147"/>
    <tableColumn id="7" xr3:uid="{EE36CFA2-5B76-480F-AA36-89D4291650E2}" name="Country" dataDxfId="146"/>
    <tableColumn id="10" xr3:uid="{596C45CC-2126-4DDC-A3C3-5401DAE0AE95}" name="Outlier Pquantity?" dataDxfId="145">
      <calculatedColumnFormula>OR(C2&lt;-28.5, C2&gt;55.5)</calculatedColumnFormula>
    </tableColumn>
    <tableColumn id="11" xr3:uid="{0740BDDE-B329-47BA-AF92-E2CACCD58E9A}" name="Outlier Price?" dataDxfId="144">
      <calculatedColumnFormula>OR(E2&lt;0.6, E2&gt;1.75)</calculatedColumnFormula>
    </tableColumn>
    <tableColumn id="12" xr3:uid="{2D8C2573-2D37-46E4-82C9-61DAAB66E5B4}" name="Revised Quantity C" dataDxfId="143">
      <calculatedColumnFormula>IF(ISBLANK(C2), $O$6, C2)</calculatedColumnFormula>
    </tableColumn>
    <tableColumn id="13" xr3:uid="{30E80A7A-76FA-458A-847C-D550FF71E83F}" name="Revised Price E" dataDxfId="142">
      <calculatedColumnFormula>IF(ISBLANK(E2), $O$7, E2)</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8B7B086D-B3DD-4DF2-9156-98823A1ADBE4}" name="Table1394041424344" displayName="Table1394041424344" ref="A1:M128" totalsRowShown="0" headerRowDxfId="141" dataDxfId="140">
  <autoFilter ref="A1:M128" xr:uid="{8B7B086D-B3DD-4DF2-9156-98823A1ADBE4}"/>
  <sortState xmlns:xlrd2="http://schemas.microsoft.com/office/spreadsheetml/2017/richdata2" ref="A2:M128">
    <sortCondition ref="D1:D128"/>
  </sortState>
  <tableColumns count="13">
    <tableColumn id="1" xr3:uid="{19BA2E72-647B-4758-ACCD-19FCF81E1F02}" name="TransactionID" dataDxfId="139"/>
    <tableColumn id="2" xr3:uid="{529A9BB2-E6D2-43A3-AC65-A425AFD06A71}" name="ProductCode" dataDxfId="138"/>
    <tableColumn id="3" xr3:uid="{41D5BB2F-1EB9-41A5-B52D-C80AC7C19235}" name="ProductQuantity" dataDxfId="137"/>
    <tableColumn id="4" xr3:uid="{1ECBB095-878C-4EE1-92A8-1A9DC7E3432F}" name="TransactionTimestamp" dataDxfId="136"/>
    <tableColumn id="5" xr3:uid="{39480CF9-DA56-46AD-98D3-7EACBFAEA53D}" name="PricePerUnit" dataDxfId="135"/>
    <tableColumn id="6" xr3:uid="{CBC0B3E4-50E1-4519-9826-A05F5354364D}" name="ConsumerID" dataDxfId="134"/>
    <tableColumn id="7" xr3:uid="{B319500F-4714-4AB6-B0B5-1F1DCC412F57}" name="Country" dataDxfId="133"/>
    <tableColumn id="14" xr3:uid="{F6BFB753-2062-43A9-A5C3-C3787EA20918}" name="Quantity_MinMax C" dataDxfId="132">
      <calculatedColumnFormula>(C2-1)/(48-1)</calculatedColumnFormula>
    </tableColumn>
    <tableColumn id="15" xr3:uid="{053B1C33-0F82-4022-8D06-FC16A5CE32D5}" name="Quantity_Zscore C" dataDxfId="131">
      <calculatedColumnFormula>(C2-$P$21)/$P$44</calculatedColumnFormula>
    </tableColumn>
    <tableColumn id="16" xr3:uid="{B5842249-ADDF-4318-B532-EC25BA3C2578}" name="Quantity_Bin C" dataDxfId="130">
      <calculatedColumnFormula>IF(C2&gt;$P$6, "HIGH", "LOW")</calculatedColumnFormula>
    </tableColumn>
    <tableColumn id="17" xr3:uid="{B065DD0D-D5F7-492E-9EAC-0A75CEBBFE47}" name="Price_MinMax E" dataDxfId="129">
      <calculatedColumnFormula>(E2-0.75)/(1.66-0.75)</calculatedColumnFormula>
    </tableColumn>
    <tableColumn id="18" xr3:uid="{72F9AAA6-268A-49AD-858F-00ED6645F214}" name="Price_Zscore E" dataDxfId="128">
      <calculatedColumnFormula>(E2-$P$22)/$P$45</calculatedColumnFormula>
    </tableColumn>
    <tableColumn id="19" xr3:uid="{56E24B10-101D-4150-8C8E-386F680ABDFA}" name="Price_Bin E" dataDxfId="127">
      <calculatedColumnFormula>IF(E2&gt;$P$7, "HIGH", "LOW")</calculatedColumnFormula>
    </tableColumn>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4AC07BD4-A933-432F-B758-7449BC160DEF}" name="Table139404142434445" displayName="Table139404142434445" ref="A1:O128" totalsRowShown="0" headerRowDxfId="126" dataDxfId="125">
  <autoFilter ref="A1:O128" xr:uid="{4AC07BD4-A933-432F-B758-7449BC160DEF}"/>
  <sortState xmlns:xlrd2="http://schemas.microsoft.com/office/spreadsheetml/2017/richdata2" ref="A2:O128">
    <sortCondition ref="N1:N128"/>
  </sortState>
  <tableColumns count="15">
    <tableColumn id="1" xr3:uid="{E8ADE7E3-7949-4568-83C5-5CD5D428D76C}" name="TransactionID" dataDxfId="124"/>
    <tableColumn id="2" xr3:uid="{3F2942BC-5549-4442-98EC-CEC7A1362FD0}" name="ProductCode" dataDxfId="123"/>
    <tableColumn id="3" xr3:uid="{D68CBC23-736B-44BD-BA49-1FFE4F35AC84}" name="ProductQuantity" dataDxfId="122"/>
    <tableColumn id="4" xr3:uid="{DA5B48F9-C207-435F-802B-E7972FF031F9}" name="TransactionTimestamp" dataDxfId="121"/>
    <tableColumn id="5" xr3:uid="{3DD5A5C8-F12C-477B-8E43-C5AA50E1DFFA}" name="PricePerUnit" dataDxfId="120"/>
    <tableColumn id="6" xr3:uid="{FB4E9A42-5208-4161-A0F3-805C8AF5EC50}" name="ConsumerID" dataDxfId="119"/>
    <tableColumn id="7" xr3:uid="{87CC4B3D-17E7-4395-B811-F3FA16CD8BBA}" name="Country" dataDxfId="118"/>
    <tableColumn id="14" xr3:uid="{D3EAE6F9-DBB8-43AC-B8A9-826AADF43C5F}" name="Quantity_MinMax C" dataDxfId="117">
      <calculatedColumnFormula>(C2-1)/(48-1)</calculatedColumnFormula>
    </tableColumn>
    <tableColumn id="15" xr3:uid="{695901DA-BE6C-4368-9FEA-84D857C0E46C}" name="Quantity_Zscore C" dataDxfId="116">
      <calculatedColumnFormula>(C2-$S$21)/$S$44</calculatedColumnFormula>
    </tableColumn>
    <tableColumn id="16" xr3:uid="{07345BDA-C85A-4B99-876F-BAD50B0D21C1}" name="Quantity_Bin C" dataDxfId="115">
      <calculatedColumnFormula>IF(C2&gt;$S$6, "HIGH", "LOW")</calculatedColumnFormula>
    </tableColumn>
    <tableColumn id="17" xr3:uid="{6B9E605B-9362-48EE-B496-9F63E9167FD8}" name="Price_MinMax E" dataDxfId="114">
      <calculatedColumnFormula>(E2-0.75)/(1.66-0.75)</calculatedColumnFormula>
    </tableColumn>
    <tableColumn id="18" xr3:uid="{9513FA6F-2DB4-4F41-BC21-A008CDE135B7}" name="Price_Zscore E" dataDxfId="113">
      <calculatedColumnFormula>(E2-$S$22)/$S$45</calculatedColumnFormula>
    </tableColumn>
    <tableColumn id="19" xr3:uid="{91EB67AB-94FB-4936-B11B-06F3C2A184D5}" name="Price_Bin E" dataDxfId="112">
      <calculatedColumnFormula>IF(E2&gt;$S$7, "HIGH", "LOW")</calculatedColumnFormula>
    </tableColumn>
    <tableColumn id="20" xr3:uid="{1073215C-3EDE-4512-B8C8-742FB929B257}" name="Leads_Generated" dataDxfId="111"/>
    <tableColumn id="21" xr3:uid="{FCF78DB2-6869-4468-AD35-3979640F7E06}" name="TotalProjects" dataDxfId="110"/>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56455AE7-803C-463F-B28B-25C1397F5609}" name="Table13940414243444546" displayName="Table13940414243444546" ref="A1:S128" totalsRowShown="0" headerRowDxfId="109" dataDxfId="108">
  <autoFilter ref="A1:S128" xr:uid="{56455AE7-803C-463F-B28B-25C1397F5609}"/>
  <sortState xmlns:xlrd2="http://schemas.microsoft.com/office/spreadsheetml/2017/richdata2" ref="A2:S128">
    <sortCondition ref="D1:D128"/>
  </sortState>
  <tableColumns count="19">
    <tableColumn id="1" xr3:uid="{6A60AD5D-3498-4291-B131-574225E9C1EE}" name="TransactionID" dataDxfId="107"/>
    <tableColumn id="2" xr3:uid="{4B0279BD-5FA4-463B-9132-C758D0E8FC4F}" name="ProductCode" dataDxfId="106"/>
    <tableColumn id="3" xr3:uid="{7D8E4A3A-D7BB-456B-967F-8AED16ABEFAB}" name="ProductQuantity" dataDxfId="105"/>
    <tableColumn id="4" xr3:uid="{44F4DBF8-602D-41C6-8558-92A195DB4E09}" name="TransactionTimestamp" dataDxfId="104"/>
    <tableColumn id="5" xr3:uid="{4F3B0797-0406-4A50-B14E-0A15BFFDC5ED}" name="PricePerUnit" dataDxfId="103"/>
    <tableColumn id="6" xr3:uid="{7F4C0BA2-AF53-451C-A4EB-E3AA5E9AF0D7}" name="ConsumerID" dataDxfId="102"/>
    <tableColumn id="7" xr3:uid="{E292D513-FF1E-4419-A0E4-3C6342035EB2}" name="Country" dataDxfId="101"/>
    <tableColumn id="14" xr3:uid="{8441AD10-1E23-47BB-B10A-75A1324C4FFB}" name="Quantity_MinMax C" dataDxfId="100">
      <calculatedColumnFormula>(C2-1)/(48-1)</calculatedColumnFormula>
    </tableColumn>
    <tableColumn id="15" xr3:uid="{1E0CB0FC-FB23-4366-A0D2-D722C6A880D1}" name="Quantity_Zscore C" dataDxfId="99">
      <calculatedColumnFormula>(C2-$Y$21)/$Y$44</calculatedColumnFormula>
    </tableColumn>
    <tableColumn id="16" xr3:uid="{999C9EAE-223A-4B3A-829E-B5A9755D481C}" name="Quantity_Bin C" dataDxfId="98">
      <calculatedColumnFormula>IF(C2&gt;$Y$6, "HIGH", "LOW")</calculatedColumnFormula>
    </tableColumn>
    <tableColumn id="17" xr3:uid="{1D12D7A4-98FB-419F-916E-410D34263EED}" name="Price_MinMax E" dataDxfId="97">
      <calculatedColumnFormula>(E2-0.75)/(1.66-0.75)</calculatedColumnFormula>
    </tableColumn>
    <tableColumn id="18" xr3:uid="{16EFEA9C-E771-4462-92AF-4D2CD9B924C9}" name="Price_Zscore E" dataDxfId="96">
      <calculatedColumnFormula>(E2-$Y$22)/$Y$45</calculatedColumnFormula>
    </tableColumn>
    <tableColumn id="19" xr3:uid="{17AE86C2-9FC4-48FC-9559-E2ABBD9319BA}" name="Price_Bin E" dataDxfId="95">
      <calculatedColumnFormula>IF(E2&gt;$Y$7, "HIGH", "LOW")</calculatedColumnFormula>
    </tableColumn>
    <tableColumn id="20" xr3:uid="{20F5736D-843C-4238-B091-B05CB23BDCCC}" name="Leads_Generated" dataDxfId="94"/>
    <tableColumn id="21" xr3:uid="{04A3667F-01BD-4934-A309-2EDACD317F19}" name="TotalProjects" dataDxfId="93"/>
    <tableColumn id="8" xr3:uid="{19CB6384-BDE6-4FC3-B04F-5627DDD3F4F8}" name="Bootstrapped Means Leads" dataDxfId="92">
      <calculatedColumnFormula>AVERAGE(N:N)</calculatedColumnFormula>
    </tableColumn>
    <tableColumn id="22" xr3:uid="{02C3E893-156D-4F62-97E1-8AACB4397772}" name="Bootstrapped Means Tprojects" dataDxfId="91">
      <calculatedColumnFormula>AVERAGE(O:O)</calculatedColumnFormula>
    </tableColumn>
    <tableColumn id="23" xr3:uid="{61F9250D-5ECA-4045-BAFC-C0C50BE62FD6}" name="Bootstrap_Sample Quantity C" dataDxfId="90">
      <calculatedColumnFormula array="1">INDEX($C$2:$C$128, RANDBETWEEN(1,128))</calculatedColumnFormula>
    </tableColumn>
    <tableColumn id="24" xr3:uid="{4BAB4C67-7322-4293-93BC-1BE722B594B8}" name="Bootstrap_Sample Price E" dataDxfId="89">
      <calculatedColumnFormula array="1">INDEX($E$2:$E$129, RANDBETWEEN(1,129))</calculatedColumnFormula>
    </tableColumn>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4B2BAF4-5850-48F5-AAC2-80CBA09A94A0}" name="Table2" displayName="Table2" ref="A1:B128" totalsRowShown="0">
  <autoFilter ref="A1:B128" xr:uid="{B4B2BAF4-5850-48F5-AAC2-80CBA09A94A0}"/>
  <tableColumns count="2">
    <tableColumn id="1" xr3:uid="{BB3988DC-8959-4E86-BB63-4A52F16B8773}" name="ProductQuantity" dataDxfId="88"/>
    <tableColumn id="2" xr3:uid="{CAC93006-F64D-4018-8E91-27FA83FACF58}" name="PricePerUnit" dataDxfId="87"/>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5F9DBF1-868D-4D71-BD4B-890288191725}" name="Table139404142434445464" displayName="Table139404142434445464" ref="A1:R128" totalsRowShown="0" headerRowDxfId="86" dataDxfId="85">
  <autoFilter ref="A1:R128" xr:uid="{C5F9DBF1-868D-4D71-BD4B-890288191725}"/>
  <sortState xmlns:xlrd2="http://schemas.microsoft.com/office/spreadsheetml/2017/richdata2" ref="B2:R128">
    <sortCondition ref="E1:E128"/>
  </sortState>
  <tableColumns count="18">
    <tableColumn id="7" xr3:uid="{BE97CE06-772A-4C02-8515-137BD9666993}" name="Country" dataDxfId="84"/>
    <tableColumn id="1" xr3:uid="{14FFFD97-630F-4832-88AE-2305EDE965A0}" name="TransactionID" dataDxfId="83"/>
    <tableColumn id="2" xr3:uid="{DF952440-F385-4CBA-A712-B5E16B6CCD93}" name="ProductCode" dataDxfId="82"/>
    <tableColumn id="3" xr3:uid="{80204CCE-DEAE-4FA1-9A1B-4C2F02139992}" name="ProductQuantity" dataDxfId="81"/>
    <tableColumn id="4" xr3:uid="{F655E9AD-A2F5-4FFF-AA5C-5340AABDB73C}" name="TransactionTimestamp" dataDxfId="80"/>
    <tableColumn id="5" xr3:uid="{0BF25B04-3B99-4D87-A95C-32A93B336FDE}" name="PricePerUnit" dataDxfId="79"/>
    <tableColumn id="6" xr3:uid="{8D2C5B2B-F2DB-4200-9146-2917C26C33DD}" name="ConsumerID" dataDxfId="78"/>
    <tableColumn id="14" xr3:uid="{8FBB31C0-EC23-4045-BFC5-3AAA3FA1B61B}" name="Quantity_MinMax C" dataDxfId="77">
      <calculatedColumnFormula>(D2-1)/(48-1)</calculatedColumnFormula>
    </tableColumn>
    <tableColumn id="15" xr3:uid="{10C84D12-994B-4034-BF67-B9B8410F6D12}" name="Quantity_Zscore C" dataDxfId="76">
      <calculatedColumnFormula>(D2-$X$21)/$X$44</calculatedColumnFormula>
    </tableColumn>
    <tableColumn id="16" xr3:uid="{23EB2494-B773-4076-A1D5-054929BD45D8}" name="Quantity_Bin C" dataDxfId="75">
      <calculatedColumnFormula>IF(D2&gt;$X$6, "HIGH", "LOW")</calculatedColumnFormula>
    </tableColumn>
    <tableColumn id="17" xr3:uid="{EF300B02-E1C3-4CFB-A20A-5EA1E6295209}" name="Price_MinMax E" dataDxfId="74">
      <calculatedColumnFormula>(F2-0.75)/(1.66-0.75)</calculatedColumnFormula>
    </tableColumn>
    <tableColumn id="18" xr3:uid="{56C06282-9393-4505-BEBC-F25D30E2D9DF}" name="Price_Zscore E" dataDxfId="73">
      <calculatedColumnFormula>(F2-$X$22)/$X$45</calculatedColumnFormula>
    </tableColumn>
    <tableColumn id="19" xr3:uid="{A97EC644-0DAC-4052-8140-946798057C14}" name="Price_Bin E" dataDxfId="72">
      <calculatedColumnFormula>IF(F2&gt;$X$7, "HIGH", "LOW")</calculatedColumnFormula>
    </tableColumn>
    <tableColumn id="20" xr3:uid="{FC82F89C-FA04-40F7-96F2-206CD22B5B90}" name="Leads_Generated" dataDxfId="71"/>
    <tableColumn id="21" xr3:uid="{1A394CE7-8037-4520-9D9F-417DD03B6E5F}" name="TotalProjects" dataDxfId="70"/>
    <tableColumn id="22" xr3:uid="{27569854-2E6B-418B-9E6B-612742D20806}" name="Bootstrapped Means" dataDxfId="69">
      <calculatedColumnFormula>AVERAGE(B2:O2)</calculatedColumnFormula>
    </tableColumn>
    <tableColumn id="23" xr3:uid="{9E34F8C6-8489-4EFD-8AB2-1937A703D3C9}" name="Bootstrap_Sample Quantity C" dataDxfId="68">
      <calculatedColumnFormula array="1">INDEX($D$2:$D$129, RANDBETWEEN(1,128))</calculatedColumnFormula>
    </tableColumn>
    <tableColumn id="24" xr3:uid="{F4FFEFA9-C705-460F-9C57-CC8DCC335C57}" name="Bootstrap_Sample Price E" dataDxfId="67">
      <calculatedColumnFormula array="1">INDEX($F$2:$F$129, RANDBETWEEN(1,129))</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633E773-1BB2-4F94-9077-AF3E331EE649}" name="Table1394041424344454645" displayName="Table1394041424344454645" ref="A1:O128" totalsRowShown="0" headerRowDxfId="66" dataDxfId="65">
  <autoFilter ref="A1:O128" xr:uid="{B633E773-1BB2-4F94-9077-AF3E331EE649}"/>
  <sortState xmlns:xlrd2="http://schemas.microsoft.com/office/spreadsheetml/2017/richdata2" ref="A2:O128">
    <sortCondition ref="D1:D128"/>
  </sortState>
  <tableColumns count="15">
    <tableColumn id="7" xr3:uid="{C1E9882C-A8BB-42B8-AEE4-8BE51A36F8AD}" name="Country" dataDxfId="64"/>
    <tableColumn id="1" xr3:uid="{1FBD371B-9A54-445A-AC7C-8D6E27374A58}" name="TransactionID" dataDxfId="63"/>
    <tableColumn id="2" xr3:uid="{894F2116-6362-4B15-BE35-664AC9E95CBD}" name="ProductCode" dataDxfId="62"/>
    <tableColumn id="3" xr3:uid="{35293F57-F4A4-4F46-8FD7-702A5E5468CF}" name="ProductQuantity" dataDxfId="61"/>
    <tableColumn id="4" xr3:uid="{AB383CFE-787F-46D1-8236-777BC5D47C57}" name="TransactionTimestamp" dataDxfId="60"/>
    <tableColumn id="5" xr3:uid="{34E788E4-1BAB-4B64-8900-AD2AE2BFC13D}" name="PricePerUnit" dataDxfId="59"/>
    <tableColumn id="6" xr3:uid="{031A58FE-0CD2-4077-BA52-4C5E872EC57E}" name="ConsumerID" dataDxfId="58"/>
    <tableColumn id="14" xr3:uid="{35949692-0943-41B5-B8D3-17A5AA9BD3B8}" name="Quantity_MinMax C" dataDxfId="57">
      <calculatedColumnFormula>(D2-1)/(48-1)</calculatedColumnFormula>
    </tableColumn>
    <tableColumn id="15" xr3:uid="{4C13EF10-0B19-4BF1-9051-C77D0D065FE2}" name="Quantity_Zscore C" dataDxfId="56">
      <calculatedColumnFormula>(D2-$S$21)/$S$44</calculatedColumnFormula>
    </tableColumn>
    <tableColumn id="16" xr3:uid="{42AFD130-BE69-4AD0-BE7E-3B1026585A13}" name="Quantity_Bin C" dataDxfId="55">
      <calculatedColumnFormula>IF(D2&gt;$S$6, "HIGH", "LOW")</calculatedColumnFormula>
    </tableColumn>
    <tableColumn id="17" xr3:uid="{08227170-2B6C-467C-82A2-2EF5AEFBE815}" name="Price_MinMax E" dataDxfId="54">
      <calculatedColumnFormula>(F2-0.75)/(1.66-0.75)</calculatedColumnFormula>
    </tableColumn>
    <tableColumn id="18" xr3:uid="{75832BF9-594A-4C91-BF53-F9F6ED9F740D}" name="Price_Zscore E" dataDxfId="53">
      <calculatedColumnFormula>(F2-$S$22)/$S$45</calculatedColumnFormula>
    </tableColumn>
    <tableColumn id="19" xr3:uid="{3010F242-E1D1-43B0-B3EE-5BF6DF578934}" name="Price_Bin E" dataDxfId="52">
      <calculatedColumnFormula>IF(F2&gt;$S$7, "HIGH", "LOW")</calculatedColumnFormula>
    </tableColumn>
    <tableColumn id="20" xr3:uid="{10FB146B-E528-4541-B15E-5129BEC29459}" name="Leads_Generated" dataDxfId="51"/>
    <tableColumn id="21" xr3:uid="{AF815C27-0FEB-46BD-83E1-A307EF807A21}" name="TotalProjects" dataDxfId="50"/>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1B92DAD-405F-4360-8328-EDA854C43072}" name="Table1394041424344454648" displayName="Table1394041424344454648" ref="A1:R128" totalsRowShown="0" headerRowDxfId="49" dataDxfId="48">
  <autoFilter ref="A1:R128" xr:uid="{61B92DAD-405F-4360-8328-EDA854C43072}"/>
  <sortState xmlns:xlrd2="http://schemas.microsoft.com/office/spreadsheetml/2017/richdata2" ref="A2:Q128">
    <sortCondition ref="D1:D128"/>
  </sortState>
  <tableColumns count="18">
    <tableColumn id="7" xr3:uid="{A0249367-94DC-418E-9F6F-D5CF1EF333FC}" name="Country" dataDxfId="47"/>
    <tableColumn id="1" xr3:uid="{D96847C0-D066-4B88-9703-7CBDA8CB2450}" name="TransactionID" dataDxfId="46"/>
    <tableColumn id="2" xr3:uid="{8717D871-B21E-47A8-81FE-B517EF5060D3}" name="ProductCode" dataDxfId="45"/>
    <tableColumn id="3" xr3:uid="{AC3F1468-992B-4267-A159-0732DDB59398}" name="ProductQuantity" dataDxfId="44"/>
    <tableColumn id="4" xr3:uid="{0DC38023-38A1-408B-8FCD-3712EA95F7BD}" name="TransactionTimestamp" dataDxfId="43"/>
    <tableColumn id="5" xr3:uid="{F8A27008-B0E8-477F-AC5E-DC1F46D98AF5}" name="PricePerUnit" dataDxfId="42"/>
    <tableColumn id="6" xr3:uid="{4620FF92-66BA-4D00-873B-2A676B4F68BB}" name="ConsumerID" dataDxfId="41"/>
    <tableColumn id="14" xr3:uid="{D6DC1875-8A60-40DC-A44A-704103002E95}" name="Quantity_MinMax C" dataDxfId="40">
      <calculatedColumnFormula>(D2-1)/(48-1)</calculatedColumnFormula>
    </tableColumn>
    <tableColumn id="15" xr3:uid="{D6B5A8B3-FA34-4BDD-BFBB-5E3F275D8279}" name="Quantity_Zscore C" dataDxfId="39">
      <calculatedColumnFormula>(D2-$Z$21)/$Z$44</calculatedColumnFormula>
    </tableColumn>
    <tableColumn id="16" xr3:uid="{54E5CE18-09C7-400E-A46D-7DC713CCE020}" name="Quantity_Bin C" dataDxfId="38">
      <calculatedColumnFormula>IF(D2&gt;$Z$6, "HIGH", "LOW")</calculatedColumnFormula>
    </tableColumn>
    <tableColumn id="17" xr3:uid="{11A7AD93-54EB-448A-A1D6-2D914827A870}" name="Price_MinMax E" dataDxfId="37">
      <calculatedColumnFormula>(F2-0.75)/(1.66-0.75)</calculatedColumnFormula>
    </tableColumn>
    <tableColumn id="18" xr3:uid="{FA9942CB-CA3E-4B46-845C-2880CB2C5FDC}" name="Price_Zscore E" dataDxfId="36">
      <calculatedColumnFormula>(F2-$Z$22)/$Z$45</calculatedColumnFormula>
    </tableColumn>
    <tableColumn id="19" xr3:uid="{1B326539-B6D9-40C4-911D-07DDB37D082E}" name="Price_Bin E" dataDxfId="35">
      <calculatedColumnFormula>IF(F2&gt;$Z$7, "HIGH", "LOW")</calculatedColumnFormula>
    </tableColumn>
    <tableColumn id="20" xr3:uid="{F02BC72C-43F6-438A-8E43-F8039DFC8824}" name="Leads_Generated" dataDxfId="34"/>
    <tableColumn id="21" xr3:uid="{854DBE93-B958-4130-9325-E11DB588506F}" name="TotalProjects" dataDxfId="33"/>
    <tableColumn id="22" xr3:uid="{393BAF56-35C7-46C8-AA32-8BFBD14EEB81}" name="Bootstrapped Means" dataDxfId="32">
      <calculatedColumnFormula>AVERAGE(B2:O2)</calculatedColumnFormula>
    </tableColumn>
    <tableColumn id="23" xr3:uid="{FBEE5CAA-33DA-411D-89FC-34CB5DF25526}" name="Bootstrap_Sample Quantity C" dataDxfId="31">
      <calculatedColumnFormula array="1">INDEX($D$2:$D$129, RANDBETWEEN(1,128))</calculatedColumnFormula>
    </tableColumn>
    <tableColumn id="24" xr3:uid="{95306AA8-170D-4388-A57F-C39E6EF002EA}" name="Bootstrap_Sample Price E" dataDxfId="30">
      <calculatedColumnFormula array="1">INDEX($F$2:$F$129, RANDBETWEEN(1,129))</calculatedColumnFormula>
    </tableColumn>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E05A02-DBA6-4A5C-AE28-ECDE5C3394DA}" name="Table13940414243444546489" displayName="Table13940414243444546489" ref="A1:R128" totalsRowShown="0" headerRowDxfId="29" dataDxfId="28">
  <autoFilter ref="A1:R128" xr:uid="{B5E05A02-DBA6-4A5C-AE28-ECDE5C3394DA}"/>
  <sortState xmlns:xlrd2="http://schemas.microsoft.com/office/spreadsheetml/2017/richdata2" ref="A2:Q128">
    <sortCondition ref="D1:D128"/>
  </sortState>
  <tableColumns count="18">
    <tableColumn id="7" xr3:uid="{48D450A4-BBBA-41F7-A33C-C1C5C346128E}" name="Country" dataDxfId="27"/>
    <tableColumn id="1" xr3:uid="{AAC5DFEC-6321-4A1D-AA80-1A6FF26D3D91}" name="TransactionID" dataDxfId="26"/>
    <tableColumn id="2" xr3:uid="{C5638A9A-1AC5-4145-9E8A-2D77B63C1DB8}" name="ProductCode" dataDxfId="25"/>
    <tableColumn id="3" xr3:uid="{B483B42F-139D-4FB3-98D3-745FAEF577F4}" name="ProductQuantity" dataDxfId="24"/>
    <tableColumn id="4" xr3:uid="{8A87879C-0A34-417E-A22D-507B80F1F3FC}" name="TransactionTimestamp" dataDxfId="23"/>
    <tableColumn id="5" xr3:uid="{C32292E7-DCFA-4ADC-BE85-89A4AC0A986E}" name="PricePerUnit" dataDxfId="22"/>
    <tableColumn id="6" xr3:uid="{28EFB147-A3B0-4548-8B02-D01168B6309D}" name="ConsumerID" dataDxfId="21"/>
    <tableColumn id="14" xr3:uid="{2DDAEE80-864D-4C72-A718-A0B047AE6CD8}" name="Quantity_MinMax C" dataDxfId="20">
      <calculatedColumnFormula>(D2-1)/(48-1)</calculatedColumnFormula>
    </tableColumn>
    <tableColumn id="15" xr3:uid="{05B92816-F68E-48F3-ACCB-51F590B7AA97}" name="Quantity_Zscore C" dataDxfId="19">
      <calculatedColumnFormula>(D2-$Z$21)/$Z$44</calculatedColumnFormula>
    </tableColumn>
    <tableColumn id="16" xr3:uid="{547384E6-0942-4E7D-ABCE-6FB3B134274A}" name="Quantity_Bin C" dataDxfId="18">
      <calculatedColumnFormula>IF(D2&gt;$Z$6, "HIGH", "LOW")</calculatedColumnFormula>
    </tableColumn>
    <tableColumn id="17" xr3:uid="{5C920815-790E-4174-B6FA-753BEACCAD0E}" name="Price_MinMax E" dataDxfId="17">
      <calculatedColumnFormula>(F2-0.75)/(1.66-0.75)</calculatedColumnFormula>
    </tableColumn>
    <tableColumn id="18" xr3:uid="{4A2BAEC6-174E-439C-8F30-E1DD4580157C}" name="Price_Zscore E" dataDxfId="16">
      <calculatedColumnFormula>(F2-$Z$22)/$Z$45</calculatedColumnFormula>
    </tableColumn>
    <tableColumn id="19" xr3:uid="{A661A632-6690-420F-87BB-7F5EC1D975EF}" name="Price_Bin E" dataDxfId="15">
      <calculatedColumnFormula>IF(F2&gt;$Z$7, "HIGH", "LOW")</calculatedColumnFormula>
    </tableColumn>
    <tableColumn id="20" xr3:uid="{338CA6DB-96FE-4A0D-BFCC-8D0BF453F792}" name="Leads_Generated" dataDxfId="14"/>
    <tableColumn id="21" xr3:uid="{678AD242-89E7-4977-8B00-E9FBADC84218}" name="TotalProjects" dataDxfId="13"/>
    <tableColumn id="22" xr3:uid="{C496E6B4-74B0-4A59-A4CD-A4364B3CB4F9}" name="Bootstrapped Means" dataDxfId="12">
      <calculatedColumnFormula>AVERAGE(B2:O2)</calculatedColumnFormula>
    </tableColumn>
    <tableColumn id="23" xr3:uid="{EC7DDCE0-1423-4E76-A45E-9587FC87FBA4}" name="Bootstrap_Sample Quantity C" dataDxfId="11">
      <calculatedColumnFormula array="1">INDEX($D$2:$D$129, RANDBETWEEN(1,128))</calculatedColumnFormula>
    </tableColumn>
    <tableColumn id="24" xr3:uid="{F14FB2A6-C6DB-4DB9-A485-3E4DB38CFE0E}" name="Bootstrap_Sample Price E" dataDxfId="10">
      <calculatedColumnFormula array="1">INDEX($F$2:$F$129, RANDBETWEEN(1,129))</calculatedColumnFormula>
    </tableColumn>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9.xml"/><Relationship Id="rId5" Type="http://schemas.openxmlformats.org/officeDocument/2006/relationships/drawing" Target="../drawings/drawing3.xml"/><Relationship Id="rId4" Type="http://schemas.openxmlformats.org/officeDocument/2006/relationships/pivotTable" Target="../pivotTables/pivotTable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BDC54-DEEE-4CC0-B27A-4E2A5E2C23AE}">
  <dimension ref="A1:G186"/>
  <sheetViews>
    <sheetView workbookViewId="0">
      <selection activeCell="F1" sqref="F1"/>
    </sheetView>
  </sheetViews>
  <sheetFormatPr defaultRowHeight="14.5" x14ac:dyDescent="0.35"/>
  <cols>
    <col min="1" max="1" width="12.08984375" bestFit="1" customWidth="1"/>
    <col min="2" max="2" width="11.453125" bestFit="1" customWidth="1"/>
    <col min="3" max="3" width="14.1796875" bestFit="1" customWidth="1"/>
    <col min="4" max="4" width="19.54296875" bestFit="1" customWidth="1"/>
    <col min="5" max="5" width="11.08984375" bestFit="1" customWidth="1"/>
    <col min="6" max="6" width="10.90625" bestFit="1" customWidth="1"/>
    <col min="7" max="7" width="13.54296875" bestFit="1" customWidth="1"/>
  </cols>
  <sheetData>
    <row r="1" spans="1:7" x14ac:dyDescent="0.35">
      <c r="A1" t="s">
        <v>0</v>
      </c>
      <c r="B1" t="s">
        <v>1</v>
      </c>
      <c r="C1" t="s">
        <v>2</v>
      </c>
      <c r="D1" t="s">
        <v>3</v>
      </c>
      <c r="E1" t="s">
        <v>4</v>
      </c>
      <c r="F1" t="s">
        <v>5</v>
      </c>
      <c r="G1" t="s">
        <v>6</v>
      </c>
    </row>
    <row r="2" spans="1:7" x14ac:dyDescent="0.35">
      <c r="A2">
        <v>536370</v>
      </c>
      <c r="B2">
        <v>10002</v>
      </c>
      <c r="C2">
        <v>48</v>
      </c>
      <c r="D2" s="1">
        <v>40513.364583333336</v>
      </c>
      <c r="E2" s="2">
        <v>0.85</v>
      </c>
      <c r="F2">
        <v>12583</v>
      </c>
      <c r="G2" t="s">
        <v>7</v>
      </c>
    </row>
    <row r="3" spans="1:7" x14ac:dyDescent="0.35">
      <c r="A3">
        <v>536382</v>
      </c>
      <c r="B3">
        <v>10002</v>
      </c>
      <c r="C3">
        <v>12</v>
      </c>
      <c r="D3" s="1">
        <v>40513.40625</v>
      </c>
      <c r="E3" s="2">
        <v>0.85</v>
      </c>
      <c r="F3">
        <v>16098</v>
      </c>
      <c r="G3" t="s">
        <v>8</v>
      </c>
    </row>
    <row r="4" spans="1:7" x14ac:dyDescent="0.35">
      <c r="A4">
        <v>536446</v>
      </c>
      <c r="B4">
        <v>10133</v>
      </c>
      <c r="C4">
        <v>5</v>
      </c>
      <c r="D4" s="1">
        <v>40513.510416666664</v>
      </c>
      <c r="E4" t="s">
        <v>9</v>
      </c>
      <c r="F4">
        <v>15983</v>
      </c>
      <c r="G4" t="s">
        <v>8</v>
      </c>
    </row>
    <row r="5" spans="1:7" x14ac:dyDescent="0.35">
      <c r="A5">
        <v>536743</v>
      </c>
      <c r="B5">
        <v>16012</v>
      </c>
      <c r="C5">
        <v>24</v>
      </c>
      <c r="D5" s="1">
        <v>40514.563888888886</v>
      </c>
      <c r="E5" t="s">
        <v>10</v>
      </c>
      <c r="F5">
        <v>17964</v>
      </c>
      <c r="G5" t="s">
        <v>8</v>
      </c>
    </row>
    <row r="6" spans="1:7" x14ac:dyDescent="0.35">
      <c r="A6">
        <v>536756</v>
      </c>
      <c r="B6">
        <v>10002</v>
      </c>
      <c r="C6">
        <v>1</v>
      </c>
      <c r="D6" s="1">
        <v>40514.599305555559</v>
      </c>
      <c r="E6" s="2">
        <v>0.85</v>
      </c>
      <c r="G6" t="s">
        <v>8</v>
      </c>
    </row>
    <row r="7" spans="1:7" x14ac:dyDescent="0.35">
      <c r="A7">
        <v>536863</v>
      </c>
      <c r="B7">
        <v>10002</v>
      </c>
      <c r="C7">
        <v>1</v>
      </c>
      <c r="D7" s="1">
        <v>40515.47152777778</v>
      </c>
      <c r="E7" s="2">
        <v>0.85</v>
      </c>
      <c r="F7">
        <v>17967</v>
      </c>
      <c r="G7" t="s">
        <v>8</v>
      </c>
    </row>
    <row r="8" spans="1:7" x14ac:dyDescent="0.35">
      <c r="A8">
        <v>536865</v>
      </c>
      <c r="B8">
        <v>10002</v>
      </c>
      <c r="D8" s="1">
        <v>40515.477777777778</v>
      </c>
      <c r="E8" s="2">
        <v>1.66</v>
      </c>
      <c r="G8" t="s">
        <v>8</v>
      </c>
    </row>
    <row r="9" spans="1:7" x14ac:dyDescent="0.35">
      <c r="A9">
        <v>536876</v>
      </c>
      <c r="B9">
        <v>10002</v>
      </c>
      <c r="C9">
        <v>2</v>
      </c>
      <c r="D9" s="1">
        <v>40515.48333333333</v>
      </c>
      <c r="E9" s="2">
        <v>1.66</v>
      </c>
      <c r="G9" t="s">
        <v>8</v>
      </c>
    </row>
    <row r="10" spans="1:7" x14ac:dyDescent="0.35">
      <c r="A10">
        <v>536876</v>
      </c>
      <c r="B10">
        <v>10133</v>
      </c>
      <c r="C10">
        <v>1</v>
      </c>
      <c r="D10" s="1">
        <v>40515.48333333333</v>
      </c>
      <c r="E10" t="s">
        <v>11</v>
      </c>
      <c r="G10" t="s">
        <v>8</v>
      </c>
    </row>
    <row r="11" spans="1:7" x14ac:dyDescent="0.35">
      <c r="A11">
        <v>537047</v>
      </c>
      <c r="B11">
        <v>10002</v>
      </c>
      <c r="C11">
        <v>1</v>
      </c>
      <c r="D11" s="1">
        <v>40517.459722222222</v>
      </c>
      <c r="E11" s="2">
        <v>0.85</v>
      </c>
      <c r="F11">
        <v>13069</v>
      </c>
      <c r="G11" t="s">
        <v>8</v>
      </c>
    </row>
    <row r="12" spans="1:7" x14ac:dyDescent="0.35">
      <c r="A12">
        <v>537126</v>
      </c>
      <c r="B12">
        <v>10133</v>
      </c>
      <c r="C12">
        <v>1</v>
      </c>
      <c r="D12" s="1">
        <v>40517.509027777778</v>
      </c>
      <c r="E12" t="s">
        <v>9</v>
      </c>
      <c r="F12">
        <v>18118</v>
      </c>
      <c r="G12" t="s">
        <v>8</v>
      </c>
    </row>
    <row r="13" spans="1:7" x14ac:dyDescent="0.35">
      <c r="A13">
        <v>537155</v>
      </c>
      <c r="B13">
        <v>10133</v>
      </c>
      <c r="C13">
        <v>3</v>
      </c>
      <c r="D13" s="1">
        <v>40517.545138888891</v>
      </c>
      <c r="E13" t="s">
        <v>9</v>
      </c>
      <c r="F13">
        <v>12748</v>
      </c>
      <c r="G13" t="s">
        <v>8</v>
      </c>
    </row>
    <row r="14" spans="1:7" x14ac:dyDescent="0.35">
      <c r="A14">
        <v>537225</v>
      </c>
      <c r="B14">
        <v>10133</v>
      </c>
      <c r="C14">
        <v>10</v>
      </c>
      <c r="D14" s="3">
        <v>40517</v>
      </c>
      <c r="E14" t="s">
        <v>9</v>
      </c>
      <c r="F14">
        <v>12748</v>
      </c>
      <c r="G14" t="s">
        <v>8</v>
      </c>
    </row>
    <row r="15" spans="1:7" x14ac:dyDescent="0.35">
      <c r="A15">
        <v>537227</v>
      </c>
      <c r="B15">
        <v>10002</v>
      </c>
      <c r="C15">
        <v>24</v>
      </c>
      <c r="D15" s="1">
        <v>40518.362500000003</v>
      </c>
      <c r="E15" s="2">
        <v>0.85</v>
      </c>
      <c r="F15">
        <v>17677</v>
      </c>
      <c r="G15" t="s">
        <v>8</v>
      </c>
    </row>
    <row r="16" spans="1:7" x14ac:dyDescent="0.35">
      <c r="A16">
        <v>537240</v>
      </c>
      <c r="B16">
        <v>10002</v>
      </c>
      <c r="C16">
        <v>1</v>
      </c>
      <c r="D16" s="1">
        <v>40518.422222222223</v>
      </c>
      <c r="E16" s="2">
        <v>1.66</v>
      </c>
      <c r="G16" t="s">
        <v>8</v>
      </c>
    </row>
    <row r="17" spans="1:7" x14ac:dyDescent="0.35">
      <c r="A17">
        <v>537374</v>
      </c>
      <c r="B17">
        <v>10133</v>
      </c>
      <c r="C17">
        <v>2</v>
      </c>
      <c r="D17" s="1">
        <v>40518.538194444445</v>
      </c>
      <c r="E17" t="s">
        <v>9</v>
      </c>
      <c r="F17">
        <v>17259</v>
      </c>
      <c r="G17" t="s">
        <v>8</v>
      </c>
    </row>
    <row r="18" spans="1:7" x14ac:dyDescent="0.35">
      <c r="A18">
        <v>537638</v>
      </c>
      <c r="B18">
        <v>10002</v>
      </c>
      <c r="C18">
        <v>5</v>
      </c>
      <c r="D18" s="1">
        <v>40519.644444444442</v>
      </c>
      <c r="E18" s="2">
        <v>1.66</v>
      </c>
      <c r="G18" t="s">
        <v>8</v>
      </c>
    </row>
    <row r="19" spans="1:7" x14ac:dyDescent="0.35">
      <c r="A19">
        <v>538064</v>
      </c>
      <c r="B19">
        <v>10133</v>
      </c>
      <c r="C19">
        <v>2</v>
      </c>
      <c r="D19" s="1">
        <v>40521.574305555558</v>
      </c>
      <c r="E19" t="s">
        <v>9</v>
      </c>
      <c r="F19">
        <v>15271</v>
      </c>
      <c r="G19" t="s">
        <v>8</v>
      </c>
    </row>
    <row r="20" spans="1:7" x14ac:dyDescent="0.35">
      <c r="A20">
        <v>538070</v>
      </c>
      <c r="B20">
        <v>10133</v>
      </c>
      <c r="C20">
        <v>10</v>
      </c>
      <c r="D20" s="1">
        <v>40521.588888888888</v>
      </c>
      <c r="E20" t="s">
        <v>9</v>
      </c>
      <c r="F20">
        <v>16519</v>
      </c>
      <c r="G20" t="s">
        <v>8</v>
      </c>
    </row>
    <row r="21" spans="1:7" x14ac:dyDescent="0.35">
      <c r="A21">
        <v>538888</v>
      </c>
      <c r="B21">
        <v>16012</v>
      </c>
      <c r="C21">
        <v>48</v>
      </c>
      <c r="D21" s="1">
        <v>40526.682638888888</v>
      </c>
      <c r="E21" t="s">
        <v>10</v>
      </c>
      <c r="F21">
        <v>17912</v>
      </c>
      <c r="G21" t="s">
        <v>8</v>
      </c>
    </row>
    <row r="22" spans="1:7" x14ac:dyDescent="0.35">
      <c r="A22">
        <v>539036</v>
      </c>
      <c r="B22">
        <v>16012</v>
      </c>
      <c r="C22">
        <v>24</v>
      </c>
      <c r="D22" s="1">
        <v>40527.607638888891</v>
      </c>
      <c r="E22" t="s">
        <v>10</v>
      </c>
      <c r="F22">
        <v>14913</v>
      </c>
      <c r="G22" t="s">
        <v>8</v>
      </c>
    </row>
    <row r="23" spans="1:7" x14ac:dyDescent="0.35">
      <c r="A23">
        <v>539213</v>
      </c>
      <c r="B23">
        <v>16012</v>
      </c>
      <c r="C23">
        <v>24</v>
      </c>
      <c r="D23" s="1">
        <v>40528.515972222223</v>
      </c>
      <c r="E23" t="s">
        <v>10</v>
      </c>
      <c r="F23">
        <v>12877</v>
      </c>
      <c r="G23" t="s">
        <v>8</v>
      </c>
    </row>
    <row r="24" spans="1:7" x14ac:dyDescent="0.35">
      <c r="A24">
        <v>539222</v>
      </c>
      <c r="B24">
        <v>10133</v>
      </c>
      <c r="C24">
        <v>10</v>
      </c>
      <c r="D24" s="1">
        <v>40528.541666666664</v>
      </c>
      <c r="E24" t="s">
        <v>9</v>
      </c>
      <c r="F24">
        <v>14621</v>
      </c>
    </row>
    <row r="25" spans="1:7" x14ac:dyDescent="0.35">
      <c r="A25">
        <v>539240</v>
      </c>
      <c r="B25">
        <v>10133</v>
      </c>
      <c r="C25">
        <v>20</v>
      </c>
      <c r="D25" s="1">
        <v>40528.552083333336</v>
      </c>
      <c r="E25" t="s">
        <v>12</v>
      </c>
      <c r="F25">
        <v>15194</v>
      </c>
    </row>
    <row r="26" spans="1:7" x14ac:dyDescent="0.35">
      <c r="A26">
        <v>539252</v>
      </c>
      <c r="B26">
        <v>10133</v>
      </c>
      <c r="C26">
        <v>20</v>
      </c>
      <c r="D26" s="1">
        <v>40528.595138888886</v>
      </c>
      <c r="E26" t="s">
        <v>12</v>
      </c>
      <c r="F26">
        <v>17744</v>
      </c>
    </row>
    <row r="27" spans="1:7" x14ac:dyDescent="0.35">
      <c r="A27">
        <v>539353</v>
      </c>
      <c r="B27">
        <v>10133</v>
      </c>
      <c r="C27">
        <v>20</v>
      </c>
      <c r="D27" s="1">
        <v>40529.479166666664</v>
      </c>
      <c r="E27" t="s">
        <v>12</v>
      </c>
      <c r="F27">
        <v>12782</v>
      </c>
      <c r="G27" t="s">
        <v>13</v>
      </c>
    </row>
    <row r="28" spans="1:7" x14ac:dyDescent="0.35">
      <c r="A28">
        <v>539477</v>
      </c>
      <c r="B28">
        <v>10133</v>
      </c>
      <c r="C28">
        <v>10</v>
      </c>
      <c r="D28" s="1">
        <v>40531.623611111114</v>
      </c>
      <c r="E28" t="s">
        <v>9</v>
      </c>
      <c r="F28">
        <v>18245</v>
      </c>
      <c r="G28" t="s">
        <v>8</v>
      </c>
    </row>
    <row r="29" spans="1:7" x14ac:dyDescent="0.35">
      <c r="A29">
        <v>539933</v>
      </c>
      <c r="B29">
        <v>10133</v>
      </c>
      <c r="C29">
        <v>10</v>
      </c>
      <c r="D29" s="1">
        <v>40535.474999999999</v>
      </c>
      <c r="E29" t="s">
        <v>9</v>
      </c>
      <c r="F29">
        <v>15235</v>
      </c>
      <c r="G29" t="s">
        <v>8</v>
      </c>
    </row>
    <row r="30" spans="1:7" x14ac:dyDescent="0.35">
      <c r="A30">
        <v>539958</v>
      </c>
      <c r="B30">
        <v>10133</v>
      </c>
      <c r="C30">
        <v>6</v>
      </c>
      <c r="D30" s="1">
        <v>40535.55972222222</v>
      </c>
      <c r="E30" t="s">
        <v>14</v>
      </c>
      <c r="G30" t="s">
        <v>8</v>
      </c>
    </row>
    <row r="31" spans="1:7" x14ac:dyDescent="0.35">
      <c r="A31">
        <v>540026</v>
      </c>
      <c r="B31">
        <v>10133</v>
      </c>
      <c r="C31">
        <v>1</v>
      </c>
      <c r="D31" s="1">
        <v>40547.559027777781</v>
      </c>
      <c r="E31" t="s">
        <v>14</v>
      </c>
      <c r="G31" t="s">
        <v>8</v>
      </c>
    </row>
    <row r="32" spans="1:7" x14ac:dyDescent="0.35">
      <c r="A32">
        <v>540154</v>
      </c>
      <c r="B32">
        <v>10133</v>
      </c>
      <c r="C32">
        <v>1</v>
      </c>
      <c r="D32" s="1">
        <v>40548.479166666664</v>
      </c>
      <c r="E32" t="s">
        <v>14</v>
      </c>
      <c r="G32" t="s">
        <v>8</v>
      </c>
    </row>
    <row r="33" spans="1:7" x14ac:dyDescent="0.35">
      <c r="A33">
        <v>540352</v>
      </c>
      <c r="B33">
        <v>10133</v>
      </c>
      <c r="C33">
        <v>1</v>
      </c>
      <c r="D33" s="1">
        <v>40549.602083333331</v>
      </c>
      <c r="E33" t="s">
        <v>14</v>
      </c>
      <c r="G33" t="s">
        <v>8</v>
      </c>
    </row>
    <row r="34" spans="1:7" x14ac:dyDescent="0.35">
      <c r="A34">
        <v>540418</v>
      </c>
      <c r="B34">
        <v>10133</v>
      </c>
      <c r="C34">
        <v>3</v>
      </c>
      <c r="D34" s="1">
        <v>40550.461111111108</v>
      </c>
      <c r="E34" t="s">
        <v>14</v>
      </c>
      <c r="G34" t="s">
        <v>8</v>
      </c>
    </row>
    <row r="35" spans="1:7" x14ac:dyDescent="0.35">
      <c r="A35">
        <v>540468</v>
      </c>
      <c r="B35">
        <v>10133</v>
      </c>
      <c r="C35">
        <v>5</v>
      </c>
      <c r="D35" s="3">
        <v>40550</v>
      </c>
      <c r="E35" t="s">
        <v>14</v>
      </c>
      <c r="G35" t="s">
        <v>8</v>
      </c>
    </row>
    <row r="36" spans="1:7" x14ac:dyDescent="0.35">
      <c r="A36">
        <v>540551</v>
      </c>
      <c r="B36">
        <v>10133</v>
      </c>
      <c r="C36">
        <v>1</v>
      </c>
      <c r="D36" s="1">
        <v>40553.404861111114</v>
      </c>
      <c r="E36" t="s">
        <v>14</v>
      </c>
      <c r="G36" t="s">
        <v>8</v>
      </c>
    </row>
    <row r="37" spans="1:7" x14ac:dyDescent="0.35">
      <c r="A37">
        <v>540595</v>
      </c>
      <c r="B37">
        <v>10133</v>
      </c>
      <c r="C37">
        <v>20</v>
      </c>
      <c r="D37" s="1">
        <v>40553.482638888891</v>
      </c>
      <c r="E37" t="s">
        <v>12</v>
      </c>
      <c r="F37">
        <v>14321</v>
      </c>
      <c r="G37" t="s">
        <v>8</v>
      </c>
    </row>
    <row r="38" spans="1:7" x14ac:dyDescent="0.35">
      <c r="A38">
        <v>540646</v>
      </c>
      <c r="B38">
        <v>10133</v>
      </c>
      <c r="C38">
        <v>6</v>
      </c>
      <c r="D38" s="1">
        <v>40553.605555555558</v>
      </c>
      <c r="E38" t="s">
        <v>14</v>
      </c>
      <c r="G38" t="s">
        <v>8</v>
      </c>
    </row>
    <row r="39" spans="1:7" x14ac:dyDescent="0.35">
      <c r="A39">
        <v>540672</v>
      </c>
      <c r="B39">
        <v>16012</v>
      </c>
      <c r="C39">
        <v>24</v>
      </c>
      <c r="D39" s="1">
        <v>40553.660416666666</v>
      </c>
      <c r="E39" t="s">
        <v>10</v>
      </c>
      <c r="F39">
        <v>15281</v>
      </c>
      <c r="G39" t="s">
        <v>8</v>
      </c>
    </row>
    <row r="40" spans="1:7" x14ac:dyDescent="0.35">
      <c r="A40">
        <v>540821</v>
      </c>
      <c r="B40">
        <v>10133</v>
      </c>
      <c r="C40">
        <v>3</v>
      </c>
      <c r="D40" s="1">
        <v>40554.552777777775</v>
      </c>
      <c r="E40" t="s">
        <v>14</v>
      </c>
      <c r="G40" t="s">
        <v>8</v>
      </c>
    </row>
    <row r="41" spans="1:7" x14ac:dyDescent="0.35">
      <c r="A41">
        <v>540848</v>
      </c>
      <c r="B41">
        <v>10133</v>
      </c>
      <c r="C41">
        <v>7</v>
      </c>
      <c r="D41" s="1">
        <v>40555.393055555556</v>
      </c>
      <c r="E41" t="s">
        <v>14</v>
      </c>
      <c r="G41" t="s">
        <v>8</v>
      </c>
    </row>
    <row r="42" spans="1:7" x14ac:dyDescent="0.35">
      <c r="A42">
        <v>540977</v>
      </c>
      <c r="B42">
        <v>10133</v>
      </c>
      <c r="C42">
        <v>0</v>
      </c>
      <c r="D42" s="1">
        <v>40555.625694444447</v>
      </c>
      <c r="E42" t="s">
        <v>14</v>
      </c>
      <c r="G42" t="s">
        <v>8</v>
      </c>
    </row>
    <row r="43" spans="1:7" x14ac:dyDescent="0.35">
      <c r="A43">
        <v>541104</v>
      </c>
      <c r="B43">
        <v>10133</v>
      </c>
      <c r="C43">
        <v>4</v>
      </c>
      <c r="D43" s="1">
        <v>40556.603472222225</v>
      </c>
      <c r="E43" t="s">
        <v>15</v>
      </c>
      <c r="G43" t="s">
        <v>8</v>
      </c>
    </row>
    <row r="44" spans="1:7" x14ac:dyDescent="0.35">
      <c r="A44">
        <v>541219</v>
      </c>
      <c r="B44">
        <v>10133</v>
      </c>
      <c r="C44">
        <v>22</v>
      </c>
      <c r="D44" s="1">
        <v>40557.587500000001</v>
      </c>
      <c r="E44" t="s">
        <v>15</v>
      </c>
      <c r="G44" t="s">
        <v>8</v>
      </c>
    </row>
    <row r="45" spans="1:7" x14ac:dyDescent="0.35">
      <c r="A45">
        <v>541422</v>
      </c>
      <c r="B45">
        <v>10133</v>
      </c>
      <c r="C45">
        <v>12</v>
      </c>
      <c r="D45" s="1">
        <v>40560.741666666669</v>
      </c>
      <c r="E45" t="s">
        <v>15</v>
      </c>
      <c r="G45" t="s">
        <v>8</v>
      </c>
    </row>
    <row r="46" spans="1:7" x14ac:dyDescent="0.35">
      <c r="A46">
        <v>541500</v>
      </c>
      <c r="B46">
        <v>16012</v>
      </c>
      <c r="C46">
        <v>48</v>
      </c>
      <c r="D46" s="1">
        <v>40561.642361111109</v>
      </c>
      <c r="E46" t="s">
        <v>10</v>
      </c>
      <c r="F46">
        <v>18041</v>
      </c>
      <c r="G46" t="s">
        <v>8</v>
      </c>
    </row>
    <row r="47" spans="1:7" x14ac:dyDescent="0.35">
      <c r="A47">
        <v>542586</v>
      </c>
      <c r="B47">
        <v>16012</v>
      </c>
      <c r="C47">
        <v>24</v>
      </c>
      <c r="D47" s="1">
        <v>40571.65625</v>
      </c>
      <c r="E47" t="s">
        <v>10</v>
      </c>
      <c r="F47">
        <v>12377</v>
      </c>
      <c r="G47" t="s">
        <v>16</v>
      </c>
    </row>
    <row r="48" spans="1:7" x14ac:dyDescent="0.35">
      <c r="A48">
        <v>543030</v>
      </c>
      <c r="B48">
        <v>16012</v>
      </c>
      <c r="C48">
        <v>24</v>
      </c>
      <c r="D48" s="1">
        <v>40576.640277777777</v>
      </c>
      <c r="E48" t="s">
        <v>10</v>
      </c>
      <c r="F48">
        <v>12437</v>
      </c>
      <c r="G48" t="s">
        <v>7</v>
      </c>
    </row>
    <row r="49" spans="1:7" x14ac:dyDescent="0.35">
      <c r="A49">
        <v>545053</v>
      </c>
      <c r="B49">
        <v>16012</v>
      </c>
      <c r="C49">
        <v>24</v>
      </c>
      <c r="D49" s="1">
        <v>40601.52847222222</v>
      </c>
      <c r="E49" t="s">
        <v>10</v>
      </c>
      <c r="F49">
        <v>17516</v>
      </c>
      <c r="G49" t="s">
        <v>8</v>
      </c>
    </row>
    <row r="50" spans="1:7" x14ac:dyDescent="0.35">
      <c r="A50">
        <v>545060</v>
      </c>
      <c r="B50">
        <v>10080</v>
      </c>
      <c r="C50">
        <v>2</v>
      </c>
      <c r="D50" s="1">
        <v>40601.574305555558</v>
      </c>
      <c r="E50" s="2">
        <v>0.85</v>
      </c>
      <c r="F50">
        <v>15547</v>
      </c>
      <c r="G50" t="s">
        <v>8</v>
      </c>
    </row>
    <row r="51" spans="1:7" x14ac:dyDescent="0.35">
      <c r="A51">
        <v>545514</v>
      </c>
      <c r="B51">
        <v>16012</v>
      </c>
      <c r="C51">
        <v>96</v>
      </c>
      <c r="D51" s="1">
        <v>40605.504166666666</v>
      </c>
      <c r="E51" t="s">
        <v>10</v>
      </c>
      <c r="F51">
        <v>15053</v>
      </c>
      <c r="G51" t="s">
        <v>8</v>
      </c>
    </row>
    <row r="52" spans="1:7" x14ac:dyDescent="0.35">
      <c r="A52">
        <v>545514</v>
      </c>
      <c r="B52">
        <v>16012</v>
      </c>
      <c r="C52">
        <v>24</v>
      </c>
      <c r="D52" s="1">
        <v>40605.504166666666</v>
      </c>
      <c r="E52" t="s">
        <v>10</v>
      </c>
      <c r="F52">
        <v>15053</v>
      </c>
      <c r="G52" t="s">
        <v>8</v>
      </c>
    </row>
    <row r="53" spans="1:7" x14ac:dyDescent="0.35">
      <c r="A53">
        <v>545550</v>
      </c>
      <c r="B53">
        <v>16012</v>
      </c>
      <c r="C53">
        <v>72</v>
      </c>
      <c r="D53" s="1">
        <v>40605.632638888892</v>
      </c>
      <c r="E53" t="s">
        <v>10</v>
      </c>
      <c r="F53">
        <v>18041</v>
      </c>
      <c r="G53" t="s">
        <v>8</v>
      </c>
    </row>
    <row r="54" spans="1:7" x14ac:dyDescent="0.35">
      <c r="A54">
        <v>546415</v>
      </c>
      <c r="B54">
        <v>16012</v>
      </c>
      <c r="C54">
        <v>48</v>
      </c>
      <c r="D54" s="1">
        <v>40615.435416666667</v>
      </c>
      <c r="E54" t="s">
        <v>10</v>
      </c>
      <c r="F54">
        <v>17975</v>
      </c>
      <c r="G54" t="s">
        <v>8</v>
      </c>
    </row>
    <row r="55" spans="1:7" x14ac:dyDescent="0.35">
      <c r="A55">
        <v>546429</v>
      </c>
      <c r="B55">
        <v>15036</v>
      </c>
      <c r="C55">
        <v>12</v>
      </c>
      <c r="D55" s="1">
        <v>40615.642361111109</v>
      </c>
      <c r="E55" t="s">
        <v>17</v>
      </c>
      <c r="F55">
        <v>17611</v>
      </c>
      <c r="G55" t="s">
        <v>8</v>
      </c>
    </row>
    <row r="56" spans="1:7" x14ac:dyDescent="0.35">
      <c r="A56">
        <v>546530</v>
      </c>
      <c r="B56">
        <v>15036</v>
      </c>
      <c r="C56">
        <v>12</v>
      </c>
      <c r="D56" s="1">
        <v>40616.559027777781</v>
      </c>
      <c r="E56" t="s">
        <v>17</v>
      </c>
      <c r="F56">
        <v>17404</v>
      </c>
      <c r="G56" t="s">
        <v>18</v>
      </c>
    </row>
    <row r="57" spans="1:7" x14ac:dyDescent="0.35">
      <c r="A57">
        <v>546731</v>
      </c>
      <c r="B57">
        <v>15036</v>
      </c>
      <c r="C57">
        <v>24</v>
      </c>
      <c r="D57" s="1">
        <v>40618.48541666667</v>
      </c>
      <c r="E57" t="s">
        <v>17</v>
      </c>
      <c r="F57">
        <v>13089</v>
      </c>
      <c r="G57" t="s">
        <v>8</v>
      </c>
    </row>
    <row r="58" spans="1:7" x14ac:dyDescent="0.35">
      <c r="A58">
        <v>546731</v>
      </c>
      <c r="B58">
        <v>15036</v>
      </c>
      <c r="C58">
        <v>12</v>
      </c>
      <c r="D58" s="1">
        <v>40618.48541666667</v>
      </c>
      <c r="E58" t="s">
        <v>17</v>
      </c>
      <c r="F58">
        <v>13089</v>
      </c>
      <c r="G58" t="s">
        <v>8</v>
      </c>
    </row>
    <row r="59" spans="1:7" x14ac:dyDescent="0.35">
      <c r="A59">
        <v>546774</v>
      </c>
      <c r="B59">
        <v>15036</v>
      </c>
      <c r="C59">
        <v>12</v>
      </c>
      <c r="D59" s="1">
        <v>40618.65625</v>
      </c>
      <c r="E59" t="s">
        <v>17</v>
      </c>
      <c r="F59">
        <v>14505</v>
      </c>
      <c r="G59" t="s">
        <v>8</v>
      </c>
    </row>
    <row r="60" spans="1:7" x14ac:dyDescent="0.35">
      <c r="A60">
        <v>546863</v>
      </c>
      <c r="B60">
        <v>15036</v>
      </c>
      <c r="C60">
        <v>600</v>
      </c>
      <c r="D60" s="1">
        <v>40619.65347222222</v>
      </c>
      <c r="E60" t="s">
        <v>19</v>
      </c>
      <c r="F60">
        <v>16377</v>
      </c>
      <c r="G60" t="s">
        <v>8</v>
      </c>
    </row>
    <row r="61" spans="1:7" x14ac:dyDescent="0.35">
      <c r="A61">
        <v>546884</v>
      </c>
      <c r="B61">
        <v>15036</v>
      </c>
      <c r="C61">
        <v>1</v>
      </c>
      <c r="D61" s="1">
        <v>40619.755555555559</v>
      </c>
      <c r="E61" t="s">
        <v>20</v>
      </c>
      <c r="G61" t="s">
        <v>8</v>
      </c>
    </row>
    <row r="62" spans="1:7" x14ac:dyDescent="0.35">
      <c r="A62">
        <v>546891</v>
      </c>
      <c r="B62">
        <v>15036</v>
      </c>
      <c r="C62">
        <v>12</v>
      </c>
      <c r="D62" s="1">
        <v>40619.762499999997</v>
      </c>
      <c r="E62" t="s">
        <v>20</v>
      </c>
      <c r="G62" t="s">
        <v>8</v>
      </c>
    </row>
    <row r="63" spans="1:7" x14ac:dyDescent="0.35">
      <c r="A63">
        <v>546892</v>
      </c>
      <c r="B63">
        <v>15036</v>
      </c>
      <c r="C63">
        <v>4</v>
      </c>
      <c r="D63" s="1">
        <v>40619.763888888891</v>
      </c>
      <c r="E63" t="s">
        <v>20</v>
      </c>
      <c r="G63" t="s">
        <v>8</v>
      </c>
    </row>
    <row r="64" spans="1:7" x14ac:dyDescent="0.35">
      <c r="A64">
        <v>546896</v>
      </c>
      <c r="B64">
        <v>15036</v>
      </c>
      <c r="C64">
        <v>17</v>
      </c>
      <c r="D64" s="1">
        <v>40619.76666666667</v>
      </c>
      <c r="G64" t="s">
        <v>8</v>
      </c>
    </row>
    <row r="65" spans="1:7" x14ac:dyDescent="0.35">
      <c r="A65">
        <v>546992</v>
      </c>
      <c r="B65">
        <v>15036</v>
      </c>
      <c r="C65">
        <v>600</v>
      </c>
      <c r="D65" s="1">
        <v>40620.554166666669</v>
      </c>
      <c r="E65" t="s">
        <v>19</v>
      </c>
      <c r="F65">
        <v>16684</v>
      </c>
      <c r="G65" t="s">
        <v>8</v>
      </c>
    </row>
    <row r="66" spans="1:7" x14ac:dyDescent="0.35">
      <c r="A66">
        <v>547000</v>
      </c>
      <c r="B66">
        <v>15036</v>
      </c>
      <c r="C66">
        <v>12</v>
      </c>
      <c r="D66" s="1">
        <v>40620.57708333333</v>
      </c>
      <c r="E66" t="s">
        <v>17</v>
      </c>
      <c r="F66">
        <v>14282</v>
      </c>
      <c r="G66" t="s">
        <v>8</v>
      </c>
    </row>
    <row r="67" spans="1:7" x14ac:dyDescent="0.35">
      <c r="A67">
        <v>547062</v>
      </c>
      <c r="B67">
        <v>15036</v>
      </c>
      <c r="C67">
        <v>12</v>
      </c>
      <c r="D67" s="1">
        <v>40622.561111111114</v>
      </c>
      <c r="E67" t="s">
        <v>17</v>
      </c>
      <c r="F67">
        <v>16728</v>
      </c>
      <c r="G67" t="s">
        <v>8</v>
      </c>
    </row>
    <row r="68" spans="1:7" x14ac:dyDescent="0.35">
      <c r="A68">
        <v>547078</v>
      </c>
      <c r="B68">
        <v>15036</v>
      </c>
      <c r="C68">
        <v>24</v>
      </c>
      <c r="D68" s="1">
        <v>40622.611805555556</v>
      </c>
      <c r="E68" t="s">
        <v>17</v>
      </c>
      <c r="F68">
        <v>14408</v>
      </c>
      <c r="G68" t="s">
        <v>8</v>
      </c>
    </row>
    <row r="69" spans="1:7" x14ac:dyDescent="0.35">
      <c r="A69">
        <v>547200</v>
      </c>
      <c r="B69">
        <v>15036</v>
      </c>
      <c r="C69">
        <v>24</v>
      </c>
      <c r="D69" s="1">
        <v>40623.542361111111</v>
      </c>
      <c r="E69" t="s">
        <v>17</v>
      </c>
      <c r="F69">
        <v>16036</v>
      </c>
      <c r="G69" t="s">
        <v>8</v>
      </c>
    </row>
    <row r="70" spans="1:7" x14ac:dyDescent="0.35">
      <c r="A70">
        <v>547248</v>
      </c>
      <c r="B70">
        <v>15036</v>
      </c>
      <c r="C70">
        <v>11</v>
      </c>
      <c r="D70" s="1">
        <v>40624.390972222223</v>
      </c>
      <c r="E70" t="s">
        <v>20</v>
      </c>
      <c r="G70" t="s">
        <v>8</v>
      </c>
    </row>
    <row r="71" spans="1:7" x14ac:dyDescent="0.35">
      <c r="A71">
        <v>547249</v>
      </c>
      <c r="B71">
        <v>15036</v>
      </c>
      <c r="C71">
        <v>12</v>
      </c>
      <c r="D71" s="1">
        <v>40624.393750000003</v>
      </c>
      <c r="E71" t="s">
        <v>20</v>
      </c>
      <c r="G71" t="s">
        <v>8</v>
      </c>
    </row>
    <row r="72" spans="1:7" x14ac:dyDescent="0.35">
      <c r="A72">
        <v>547385</v>
      </c>
      <c r="B72">
        <v>15036</v>
      </c>
      <c r="C72">
        <v>22</v>
      </c>
      <c r="D72" s="1">
        <v>40624.658333333333</v>
      </c>
      <c r="E72" t="s">
        <v>20</v>
      </c>
      <c r="G72" t="s">
        <v>8</v>
      </c>
    </row>
    <row r="73" spans="1:7" x14ac:dyDescent="0.35">
      <c r="A73">
        <v>547386</v>
      </c>
      <c r="B73">
        <v>15036</v>
      </c>
      <c r="C73">
        <v>6</v>
      </c>
      <c r="D73" s="1">
        <v>40624.661111111112</v>
      </c>
      <c r="E73" t="s">
        <v>20</v>
      </c>
      <c r="G73" t="s">
        <v>8</v>
      </c>
    </row>
    <row r="74" spans="1:7" x14ac:dyDescent="0.35">
      <c r="A74">
        <v>547862</v>
      </c>
      <c r="C74">
        <v>12</v>
      </c>
      <c r="D74" s="1">
        <v>40629.537499999999</v>
      </c>
      <c r="E74" t="s">
        <v>17</v>
      </c>
      <c r="F74">
        <v>12841</v>
      </c>
      <c r="G74" t="s">
        <v>8</v>
      </c>
    </row>
    <row r="75" spans="1:7" x14ac:dyDescent="0.35">
      <c r="A75">
        <v>547879</v>
      </c>
      <c r="B75">
        <v>15036</v>
      </c>
      <c r="C75">
        <v>12</v>
      </c>
      <c r="D75" s="1">
        <v>40629.668749999997</v>
      </c>
      <c r="E75" t="s">
        <v>17</v>
      </c>
      <c r="F75">
        <v>12877</v>
      </c>
      <c r="G75" t="s">
        <v>8</v>
      </c>
    </row>
    <row r="76" spans="1:7" x14ac:dyDescent="0.35">
      <c r="A76">
        <v>547925</v>
      </c>
      <c r="B76">
        <v>15036</v>
      </c>
      <c r="C76">
        <v>24</v>
      </c>
      <c r="D76" s="1">
        <v>40630.581250000003</v>
      </c>
      <c r="E76" t="s">
        <v>17</v>
      </c>
      <c r="F76">
        <v>12481</v>
      </c>
      <c r="G76" t="s">
        <v>21</v>
      </c>
    </row>
    <row r="77" spans="1:7" x14ac:dyDescent="0.35">
      <c r="A77">
        <v>547967</v>
      </c>
      <c r="B77">
        <v>15036</v>
      </c>
      <c r="C77">
        <v>4</v>
      </c>
      <c r="D77" s="1">
        <v>40630.65902777778</v>
      </c>
      <c r="E77" t="s">
        <v>20</v>
      </c>
      <c r="G77" t="s">
        <v>8</v>
      </c>
    </row>
    <row r="78" spans="1:7" x14ac:dyDescent="0.35">
      <c r="A78">
        <v>548309</v>
      </c>
      <c r="C78">
        <v>24</v>
      </c>
      <c r="D78" s="1">
        <v>40632.501388888886</v>
      </c>
      <c r="E78" t="s">
        <v>10</v>
      </c>
      <c r="F78">
        <v>16657</v>
      </c>
      <c r="G78" t="s">
        <v>8</v>
      </c>
    </row>
    <row r="79" spans="1:7" x14ac:dyDescent="0.35">
      <c r="A79">
        <v>548309</v>
      </c>
      <c r="B79">
        <v>16012</v>
      </c>
      <c r="C79">
        <v>24</v>
      </c>
      <c r="D79" s="1">
        <v>40632.501388888886</v>
      </c>
      <c r="E79" t="s">
        <v>10</v>
      </c>
      <c r="F79">
        <v>16657</v>
      </c>
      <c r="G79" t="s">
        <v>8</v>
      </c>
    </row>
    <row r="80" spans="1:7" x14ac:dyDescent="0.35">
      <c r="A80">
        <v>548310</v>
      </c>
      <c r="B80">
        <v>15036</v>
      </c>
      <c r="C80">
        <v>12</v>
      </c>
      <c r="D80" s="1">
        <v>40632.50277777778</v>
      </c>
      <c r="E80" t="s">
        <v>22</v>
      </c>
      <c r="G80" t="s">
        <v>8</v>
      </c>
    </row>
    <row r="81" spans="1:7" x14ac:dyDescent="0.35">
      <c r="A81">
        <v>548336</v>
      </c>
      <c r="B81">
        <v>15036</v>
      </c>
      <c r="C81">
        <v>600</v>
      </c>
      <c r="D81" s="1">
        <v>40632.587500000001</v>
      </c>
      <c r="E81" t="s">
        <v>19</v>
      </c>
      <c r="F81">
        <v>13082</v>
      </c>
      <c r="G81" t="s">
        <v>8</v>
      </c>
    </row>
    <row r="82" spans="1:7" x14ac:dyDescent="0.35">
      <c r="A82">
        <v>548359</v>
      </c>
      <c r="B82">
        <v>15036</v>
      </c>
      <c r="C82">
        <v>600</v>
      </c>
      <c r="D82" s="1">
        <v>40632.646527777775</v>
      </c>
      <c r="E82" t="s">
        <v>23</v>
      </c>
      <c r="F82">
        <v>14828</v>
      </c>
      <c r="G82" t="s">
        <v>8</v>
      </c>
    </row>
    <row r="83" spans="1:7" x14ac:dyDescent="0.35">
      <c r="A83">
        <v>548522</v>
      </c>
      <c r="B83">
        <v>15036</v>
      </c>
      <c r="C83">
        <v>1</v>
      </c>
      <c r="D83" s="1">
        <v>40633.696527777778</v>
      </c>
      <c r="E83" t="s">
        <v>20</v>
      </c>
      <c r="G83" t="s">
        <v>8</v>
      </c>
    </row>
    <row r="84" spans="1:7" x14ac:dyDescent="0.35">
      <c r="A84">
        <v>548617</v>
      </c>
      <c r="B84">
        <v>15036</v>
      </c>
      <c r="C84">
        <v>12</v>
      </c>
      <c r="D84" s="1">
        <v>40634.493055555555</v>
      </c>
      <c r="E84" t="s">
        <v>22</v>
      </c>
      <c r="F84">
        <v>16592</v>
      </c>
      <c r="G84" t="s">
        <v>8</v>
      </c>
    </row>
    <row r="85" spans="1:7" x14ac:dyDescent="0.35">
      <c r="A85">
        <v>548893</v>
      </c>
      <c r="B85">
        <v>15036</v>
      </c>
      <c r="C85">
        <v>6</v>
      </c>
      <c r="D85" s="1">
        <v>40637.662499999999</v>
      </c>
      <c r="E85" t="s">
        <v>20</v>
      </c>
      <c r="G85" t="s">
        <v>8</v>
      </c>
    </row>
    <row r="86" spans="1:7" x14ac:dyDescent="0.35">
      <c r="A86">
        <v>549259</v>
      </c>
      <c r="B86">
        <v>15036</v>
      </c>
      <c r="C86">
        <v>48</v>
      </c>
      <c r="D86" s="1">
        <v>40640.522916666669</v>
      </c>
      <c r="E86" t="s">
        <v>17</v>
      </c>
      <c r="F86">
        <v>13712</v>
      </c>
      <c r="G86" t="s">
        <v>8</v>
      </c>
    </row>
    <row r="87" spans="1:7" x14ac:dyDescent="0.35">
      <c r="A87">
        <v>549316</v>
      </c>
      <c r="B87">
        <v>15036</v>
      </c>
      <c r="C87">
        <v>36</v>
      </c>
      <c r="D87" s="1">
        <v>40641.412499999999</v>
      </c>
      <c r="E87" t="s">
        <v>17</v>
      </c>
      <c r="F87">
        <v>12705</v>
      </c>
      <c r="G87" t="s">
        <v>21</v>
      </c>
    </row>
    <row r="88" spans="1:7" x14ac:dyDescent="0.35">
      <c r="A88">
        <v>549431</v>
      </c>
      <c r="B88">
        <v>15036</v>
      </c>
      <c r="C88">
        <v>36</v>
      </c>
      <c r="D88" s="1">
        <v>40641.511805555558</v>
      </c>
      <c r="E88" t="s">
        <v>22</v>
      </c>
      <c r="F88">
        <v>15874</v>
      </c>
      <c r="G88" t="s">
        <v>8</v>
      </c>
    </row>
    <row r="89" spans="1:7" x14ac:dyDescent="0.35">
      <c r="A89">
        <v>549524</v>
      </c>
      <c r="B89">
        <v>15036</v>
      </c>
      <c r="C89">
        <v>1</v>
      </c>
      <c r="D89" s="1">
        <v>40641.65347222222</v>
      </c>
      <c r="E89" t="s">
        <v>20</v>
      </c>
      <c r="G89" t="s">
        <v>8</v>
      </c>
    </row>
    <row r="90" spans="1:7" x14ac:dyDescent="0.35">
      <c r="A90">
        <v>549525</v>
      </c>
      <c r="B90">
        <v>15036</v>
      </c>
      <c r="C90">
        <v>17</v>
      </c>
      <c r="D90" s="1">
        <v>40641.655555555553</v>
      </c>
      <c r="E90" t="s">
        <v>20</v>
      </c>
      <c r="G90" t="s">
        <v>8</v>
      </c>
    </row>
    <row r="91" spans="1:7" x14ac:dyDescent="0.35">
      <c r="A91">
        <v>549538</v>
      </c>
      <c r="B91">
        <v>15036</v>
      </c>
      <c r="C91">
        <v>3</v>
      </c>
      <c r="D91" s="1">
        <v>40641.725694444445</v>
      </c>
      <c r="E91" t="s">
        <v>22</v>
      </c>
      <c r="F91">
        <v>17961</v>
      </c>
      <c r="G91" t="s">
        <v>8</v>
      </c>
    </row>
    <row r="92" spans="1:7" x14ac:dyDescent="0.35">
      <c r="A92">
        <v>549711</v>
      </c>
      <c r="B92">
        <v>15036</v>
      </c>
      <c r="C92">
        <v>12</v>
      </c>
      <c r="D92" s="1">
        <v>40644.588194444441</v>
      </c>
      <c r="E92" t="s">
        <v>22</v>
      </c>
      <c r="F92">
        <v>13654</v>
      </c>
      <c r="G92" t="s">
        <v>8</v>
      </c>
    </row>
    <row r="93" spans="1:7" x14ac:dyDescent="0.35">
      <c r="A93">
        <v>549743</v>
      </c>
      <c r="B93">
        <v>15036</v>
      </c>
      <c r="C93">
        <v>12</v>
      </c>
      <c r="D93" s="1">
        <v>40645.420138888891</v>
      </c>
      <c r="E93" t="s">
        <v>22</v>
      </c>
      <c r="F93">
        <v>16186</v>
      </c>
      <c r="G93" t="s">
        <v>8</v>
      </c>
    </row>
    <row r="94" spans="1:7" x14ac:dyDescent="0.35">
      <c r="A94">
        <v>549911</v>
      </c>
      <c r="B94">
        <v>15036</v>
      </c>
      <c r="C94">
        <v>60</v>
      </c>
      <c r="D94" s="1">
        <v>40646.351388888892</v>
      </c>
      <c r="E94" t="s">
        <v>22</v>
      </c>
      <c r="F94">
        <v>14060</v>
      </c>
      <c r="G94" t="s">
        <v>8</v>
      </c>
    </row>
    <row r="95" spans="1:7" x14ac:dyDescent="0.35">
      <c r="A95">
        <v>549927</v>
      </c>
      <c r="B95">
        <v>15036</v>
      </c>
      <c r="C95">
        <v>600</v>
      </c>
      <c r="D95" s="1">
        <v>40646.429861111108</v>
      </c>
      <c r="E95" t="s">
        <v>23</v>
      </c>
      <c r="F95">
        <v>16684</v>
      </c>
      <c r="G95" t="s">
        <v>8</v>
      </c>
    </row>
    <row r="96" spans="1:7" x14ac:dyDescent="0.35">
      <c r="A96">
        <v>549964</v>
      </c>
      <c r="B96">
        <v>15036</v>
      </c>
      <c r="C96">
        <v>12</v>
      </c>
      <c r="D96" s="1">
        <v>40646.591666666667</v>
      </c>
      <c r="E96" t="s">
        <v>22</v>
      </c>
      <c r="F96">
        <v>13122</v>
      </c>
      <c r="G96" t="s">
        <v>8</v>
      </c>
    </row>
    <row r="97" spans="1:7" x14ac:dyDescent="0.35">
      <c r="A97">
        <v>549975</v>
      </c>
      <c r="B97">
        <v>15036</v>
      </c>
      <c r="C97">
        <v>12</v>
      </c>
      <c r="D97" s="1">
        <v>40646.609722222223</v>
      </c>
      <c r="E97" t="s">
        <v>22</v>
      </c>
      <c r="F97">
        <v>16175</v>
      </c>
      <c r="G97" t="s">
        <v>8</v>
      </c>
    </row>
    <row r="98" spans="1:7" x14ac:dyDescent="0.35">
      <c r="A98">
        <v>550138</v>
      </c>
      <c r="B98">
        <v>15036</v>
      </c>
      <c r="C98">
        <v>24</v>
      </c>
      <c r="D98" s="1">
        <v>40647.584722222222</v>
      </c>
      <c r="E98" t="s">
        <v>22</v>
      </c>
      <c r="F98">
        <v>12841</v>
      </c>
      <c r="G98" t="s">
        <v>8</v>
      </c>
    </row>
    <row r="99" spans="1:7" x14ac:dyDescent="0.35">
      <c r="A99">
        <v>550218</v>
      </c>
      <c r="B99">
        <v>15036</v>
      </c>
      <c r="C99">
        <v>12</v>
      </c>
      <c r="D99" s="1">
        <v>40648.46875</v>
      </c>
      <c r="E99" t="s">
        <v>22</v>
      </c>
      <c r="F99">
        <v>14408</v>
      </c>
    </row>
    <row r="100" spans="1:7" x14ac:dyDescent="0.35">
      <c r="A100">
        <v>550315</v>
      </c>
      <c r="B100">
        <v>15036</v>
      </c>
      <c r="C100">
        <v>24</v>
      </c>
      <c r="D100" s="1">
        <v>40650.488888888889</v>
      </c>
      <c r="E100" t="s">
        <v>22</v>
      </c>
      <c r="F100">
        <v>17990</v>
      </c>
    </row>
    <row r="101" spans="1:7" x14ac:dyDescent="0.35">
      <c r="A101">
        <v>550323</v>
      </c>
      <c r="B101">
        <v>15036</v>
      </c>
      <c r="C101">
        <v>48</v>
      </c>
      <c r="D101" s="1">
        <v>40650.539583333331</v>
      </c>
      <c r="E101" t="s">
        <v>22</v>
      </c>
      <c r="F101">
        <v>13692</v>
      </c>
      <c r="G101" t="s">
        <v>8</v>
      </c>
    </row>
    <row r="102" spans="1:7" x14ac:dyDescent="0.35">
      <c r="A102">
        <v>550336</v>
      </c>
      <c r="B102">
        <v>15036</v>
      </c>
      <c r="C102">
        <v>48</v>
      </c>
      <c r="D102" s="1">
        <v>40650.621527777781</v>
      </c>
      <c r="E102" t="s">
        <v>22</v>
      </c>
      <c r="F102">
        <v>13089</v>
      </c>
      <c r="G102" t="s">
        <v>8</v>
      </c>
    </row>
    <row r="103" spans="1:7" x14ac:dyDescent="0.35">
      <c r="A103">
        <v>550452</v>
      </c>
      <c r="B103">
        <v>10002</v>
      </c>
      <c r="C103">
        <v>1</v>
      </c>
      <c r="D103" s="1">
        <v>40651.538888888892</v>
      </c>
      <c r="E103" s="2">
        <v>0.85</v>
      </c>
      <c r="F103">
        <v>14525</v>
      </c>
      <c r="G103" t="s">
        <v>8</v>
      </c>
    </row>
    <row r="104" spans="1:7" x14ac:dyDescent="0.35">
      <c r="A104">
        <v>550458</v>
      </c>
      <c r="B104">
        <v>15036</v>
      </c>
      <c r="C104">
        <v>2</v>
      </c>
      <c r="D104" s="1">
        <v>40651.550694444442</v>
      </c>
      <c r="E104" t="s">
        <v>20</v>
      </c>
      <c r="G104" t="s">
        <v>8</v>
      </c>
    </row>
    <row r="105" spans="1:7" x14ac:dyDescent="0.35">
      <c r="A105">
        <v>550468</v>
      </c>
      <c r="B105">
        <v>15036</v>
      </c>
      <c r="C105">
        <v>12</v>
      </c>
      <c r="D105" s="1">
        <v>40651.571527777778</v>
      </c>
      <c r="E105" t="s">
        <v>22</v>
      </c>
      <c r="F105">
        <v>16700</v>
      </c>
      <c r="G105" t="s">
        <v>8</v>
      </c>
    </row>
    <row r="106" spans="1:7" x14ac:dyDescent="0.35">
      <c r="A106">
        <v>550470</v>
      </c>
      <c r="B106">
        <v>15036</v>
      </c>
      <c r="C106">
        <v>4</v>
      </c>
      <c r="D106" s="1">
        <v>40651.575694444444</v>
      </c>
      <c r="E106" t="s">
        <v>20</v>
      </c>
      <c r="G106" t="s">
        <v>8</v>
      </c>
    </row>
    <row r="107" spans="1:7" x14ac:dyDescent="0.35">
      <c r="A107">
        <v>550471</v>
      </c>
      <c r="B107">
        <v>15036</v>
      </c>
      <c r="C107">
        <v>3</v>
      </c>
      <c r="D107" s="1">
        <v>40651.577777777777</v>
      </c>
      <c r="E107" t="s">
        <v>20</v>
      </c>
      <c r="G107" t="s">
        <v>8</v>
      </c>
    </row>
    <row r="108" spans="1:7" x14ac:dyDescent="0.35">
      <c r="A108">
        <v>550474</v>
      </c>
      <c r="B108">
        <v>15036</v>
      </c>
      <c r="C108">
        <v>2</v>
      </c>
      <c r="D108" s="1">
        <v>40651.581944444442</v>
      </c>
      <c r="E108" t="s">
        <v>20</v>
      </c>
      <c r="G108" t="s">
        <v>8</v>
      </c>
    </row>
    <row r="109" spans="1:7" x14ac:dyDescent="0.35">
      <c r="A109">
        <v>550479</v>
      </c>
      <c r="B109">
        <v>15036</v>
      </c>
      <c r="C109">
        <v>24</v>
      </c>
      <c r="D109" s="1">
        <v>40651.584027777775</v>
      </c>
      <c r="E109" t="s">
        <v>22</v>
      </c>
      <c r="F109">
        <v>15625</v>
      </c>
      <c r="G109" t="s">
        <v>8</v>
      </c>
    </row>
    <row r="110" spans="1:7" x14ac:dyDescent="0.35">
      <c r="A110">
        <v>550517</v>
      </c>
      <c r="B110">
        <v>15036</v>
      </c>
      <c r="C110">
        <v>24</v>
      </c>
      <c r="D110" s="1">
        <v>40652.345138888886</v>
      </c>
      <c r="E110" t="s">
        <v>22</v>
      </c>
      <c r="F110">
        <v>14352</v>
      </c>
      <c r="G110" t="s">
        <v>8</v>
      </c>
    </row>
    <row r="111" spans="1:7" x14ac:dyDescent="0.35">
      <c r="A111">
        <v>550519</v>
      </c>
      <c r="B111">
        <v>15036</v>
      </c>
      <c r="C111">
        <v>24</v>
      </c>
      <c r="D111" s="1">
        <v>40652.396527777775</v>
      </c>
      <c r="E111" t="s">
        <v>22</v>
      </c>
      <c r="F111">
        <v>13141</v>
      </c>
      <c r="G111" t="s">
        <v>8</v>
      </c>
    </row>
    <row r="112" spans="1:7" x14ac:dyDescent="0.35">
      <c r="A112">
        <v>550521</v>
      </c>
      <c r="B112">
        <v>15036</v>
      </c>
      <c r="C112">
        <v>24</v>
      </c>
      <c r="D112" s="1">
        <v>40652.40902777778</v>
      </c>
      <c r="E112" t="s">
        <v>22</v>
      </c>
      <c r="F112">
        <v>13647</v>
      </c>
      <c r="G112" t="s">
        <v>8</v>
      </c>
    </row>
    <row r="113" spans="1:7" x14ac:dyDescent="0.35">
      <c r="A113">
        <v>550542</v>
      </c>
      <c r="B113">
        <v>15036</v>
      </c>
      <c r="C113">
        <v>5</v>
      </c>
      <c r="D113" s="1">
        <v>40652.484027777777</v>
      </c>
      <c r="E113" t="s">
        <v>20</v>
      </c>
      <c r="G113" t="s">
        <v>8</v>
      </c>
    </row>
    <row r="114" spans="1:7" x14ac:dyDescent="0.35">
      <c r="A114">
        <v>550636</v>
      </c>
      <c r="B114">
        <v>15036</v>
      </c>
      <c r="C114">
        <v>1</v>
      </c>
      <c r="D114" s="1">
        <v>40652.650694444441</v>
      </c>
      <c r="E114" t="s">
        <v>20</v>
      </c>
      <c r="G114" t="s">
        <v>8</v>
      </c>
    </row>
    <row r="115" spans="1:7" x14ac:dyDescent="0.35">
      <c r="A115">
        <v>550659</v>
      </c>
      <c r="B115">
        <v>15036</v>
      </c>
      <c r="C115">
        <v>12</v>
      </c>
      <c r="D115" s="1">
        <v>40653.376388888886</v>
      </c>
      <c r="E115" t="s">
        <v>22</v>
      </c>
      <c r="F115">
        <v>17730</v>
      </c>
      <c r="G115" t="s">
        <v>8</v>
      </c>
    </row>
    <row r="116" spans="1:7" x14ac:dyDescent="0.35">
      <c r="A116">
        <v>550775</v>
      </c>
      <c r="B116">
        <v>15036</v>
      </c>
      <c r="C116">
        <v>12</v>
      </c>
      <c r="D116" s="1">
        <v>40653.554166666669</v>
      </c>
      <c r="E116" t="s">
        <v>22</v>
      </c>
      <c r="F116">
        <v>15805</v>
      </c>
      <c r="G116" t="s">
        <v>8</v>
      </c>
    </row>
    <row r="117" spans="1:7" x14ac:dyDescent="0.35">
      <c r="A117">
        <v>550785</v>
      </c>
      <c r="B117">
        <v>15036</v>
      </c>
      <c r="C117">
        <v>12</v>
      </c>
      <c r="D117" s="1">
        <v>40653.584722222222</v>
      </c>
      <c r="E117" t="s">
        <v>22</v>
      </c>
      <c r="F117">
        <v>15517</v>
      </c>
      <c r="G117" t="s">
        <v>8</v>
      </c>
    </row>
    <row r="118" spans="1:7" x14ac:dyDescent="0.35">
      <c r="A118">
        <v>550802</v>
      </c>
      <c r="B118">
        <v>15036</v>
      </c>
      <c r="C118">
        <v>12</v>
      </c>
      <c r="D118" s="1">
        <v>40653.63958333333</v>
      </c>
      <c r="E118" t="s">
        <v>22</v>
      </c>
      <c r="F118">
        <v>17120</v>
      </c>
      <c r="G118" t="s">
        <v>8</v>
      </c>
    </row>
    <row r="119" spans="1:7" x14ac:dyDescent="0.35">
      <c r="A119">
        <v>550972</v>
      </c>
      <c r="B119">
        <v>15036</v>
      </c>
      <c r="C119">
        <v>1</v>
      </c>
      <c r="D119" s="1">
        <v>40654.711805555555</v>
      </c>
      <c r="E119" t="s">
        <v>22</v>
      </c>
      <c r="F119">
        <v>14031</v>
      </c>
      <c r="G119" t="s">
        <v>8</v>
      </c>
    </row>
    <row r="120" spans="1:7" x14ac:dyDescent="0.35">
      <c r="A120">
        <v>551062</v>
      </c>
      <c r="B120">
        <v>15036</v>
      </c>
      <c r="C120">
        <v>600</v>
      </c>
      <c r="D120" s="1">
        <v>40659.511111111111</v>
      </c>
      <c r="E120" t="s">
        <v>23</v>
      </c>
      <c r="F120">
        <v>18092</v>
      </c>
      <c r="G120" t="s">
        <v>8</v>
      </c>
    </row>
    <row r="121" spans="1:7" x14ac:dyDescent="0.35">
      <c r="A121">
        <v>551174</v>
      </c>
      <c r="B121">
        <v>15036</v>
      </c>
      <c r="C121">
        <v>15</v>
      </c>
      <c r="D121" s="1">
        <v>40659.709722222222</v>
      </c>
      <c r="E121" t="s">
        <v>22</v>
      </c>
      <c r="G121" t="s">
        <v>8</v>
      </c>
    </row>
    <row r="122" spans="1:7" x14ac:dyDescent="0.35">
      <c r="A122">
        <v>551182</v>
      </c>
      <c r="B122">
        <v>15036</v>
      </c>
      <c r="C122">
        <v>24</v>
      </c>
      <c r="D122" s="1">
        <v>40660.363194444442</v>
      </c>
      <c r="E122" t="s">
        <v>22</v>
      </c>
      <c r="F122">
        <v>14282</v>
      </c>
      <c r="G122" t="s">
        <v>8</v>
      </c>
    </row>
    <row r="123" spans="1:7" x14ac:dyDescent="0.35">
      <c r="A123">
        <v>551271</v>
      </c>
      <c r="B123">
        <v>15036</v>
      </c>
      <c r="C123">
        <v>60</v>
      </c>
      <c r="D123" s="1">
        <v>40660.527083333334</v>
      </c>
      <c r="E123" t="s">
        <v>22</v>
      </c>
      <c r="F123">
        <v>17187</v>
      </c>
      <c r="G123" t="s">
        <v>8</v>
      </c>
    </row>
    <row r="124" spans="1:7" x14ac:dyDescent="0.35">
      <c r="A124">
        <v>551391</v>
      </c>
      <c r="B124">
        <v>10125</v>
      </c>
      <c r="C124">
        <v>1</v>
      </c>
      <c r="D124" s="1">
        <v>40661.504166666666</v>
      </c>
      <c r="E124" t="s">
        <v>9</v>
      </c>
      <c r="F124">
        <v>15514</v>
      </c>
      <c r="G124" t="s">
        <v>8</v>
      </c>
    </row>
    <row r="125" spans="1:7" x14ac:dyDescent="0.35">
      <c r="A125">
        <v>551429</v>
      </c>
      <c r="B125">
        <v>10002</v>
      </c>
      <c r="C125">
        <v>-3</v>
      </c>
      <c r="D125" s="1">
        <v>40661.628472222219</v>
      </c>
      <c r="E125" s="4">
        <v>0</v>
      </c>
      <c r="G125" t="s">
        <v>8</v>
      </c>
    </row>
    <row r="126" spans="1:7" x14ac:dyDescent="0.35">
      <c r="A126">
        <v>551616</v>
      </c>
      <c r="B126">
        <v>10125</v>
      </c>
      <c r="C126">
        <v>1</v>
      </c>
      <c r="D126" s="1">
        <v>40666.486111111109</v>
      </c>
      <c r="E126" t="s">
        <v>9</v>
      </c>
      <c r="F126">
        <v>15048</v>
      </c>
      <c r="G126" t="s">
        <v>8</v>
      </c>
    </row>
    <row r="127" spans="1:7" x14ac:dyDescent="0.35">
      <c r="A127">
        <v>552269</v>
      </c>
      <c r="B127">
        <v>10125</v>
      </c>
      <c r="C127">
        <v>1</v>
      </c>
      <c r="D127" s="1">
        <v>40671.494444444441</v>
      </c>
      <c r="E127" t="s">
        <v>9</v>
      </c>
      <c r="F127">
        <v>16121</v>
      </c>
      <c r="G127" t="s">
        <v>8</v>
      </c>
    </row>
    <row r="128" spans="1:7" x14ac:dyDescent="0.35">
      <c r="A128">
        <v>552310</v>
      </c>
      <c r="B128">
        <v>10125</v>
      </c>
      <c r="C128">
        <v>3</v>
      </c>
      <c r="D128" s="1">
        <v>40671.640277777777</v>
      </c>
      <c r="E128" t="s">
        <v>9</v>
      </c>
      <c r="F128">
        <v>17323</v>
      </c>
      <c r="G128" t="s">
        <v>8</v>
      </c>
    </row>
    <row r="129" spans="1:7" x14ac:dyDescent="0.35">
      <c r="A129">
        <v>552851</v>
      </c>
      <c r="B129">
        <v>10125</v>
      </c>
      <c r="C129">
        <v>100</v>
      </c>
      <c r="D129" s="1">
        <v>40674.629861111112</v>
      </c>
      <c r="E129" t="s">
        <v>9</v>
      </c>
      <c r="F129">
        <v>12731</v>
      </c>
      <c r="G129" t="s">
        <v>7</v>
      </c>
    </row>
    <row r="130" spans="1:7" x14ac:dyDescent="0.35">
      <c r="A130">
        <v>553385</v>
      </c>
      <c r="B130">
        <v>10125</v>
      </c>
      <c r="C130">
        <v>1</v>
      </c>
      <c r="D130" s="1">
        <v>40679.661805555559</v>
      </c>
      <c r="E130" t="s">
        <v>9</v>
      </c>
      <c r="F130">
        <v>16710</v>
      </c>
      <c r="G130" t="s">
        <v>8</v>
      </c>
    </row>
    <row r="131" spans="1:7" x14ac:dyDescent="0.35">
      <c r="A131">
        <v>554117</v>
      </c>
      <c r="B131">
        <v>10125</v>
      </c>
      <c r="C131">
        <v>1</v>
      </c>
      <c r="D131" s="1">
        <v>40685.633333333331</v>
      </c>
      <c r="E131" t="s">
        <v>9</v>
      </c>
      <c r="F131">
        <v>13758</v>
      </c>
      <c r="G131" t="s">
        <v>8</v>
      </c>
    </row>
    <row r="132" spans="1:7" x14ac:dyDescent="0.35">
      <c r="A132">
        <v>555579</v>
      </c>
      <c r="B132">
        <v>10125</v>
      </c>
      <c r="C132">
        <v>1</v>
      </c>
      <c r="D132" s="1">
        <v>40699.668055555558</v>
      </c>
      <c r="E132" t="s">
        <v>9</v>
      </c>
      <c r="F132">
        <v>13983</v>
      </c>
      <c r="G132" t="s">
        <v>8</v>
      </c>
    </row>
    <row r="133" spans="1:7" x14ac:dyDescent="0.35">
      <c r="A133">
        <v>556222</v>
      </c>
      <c r="B133">
        <v>10125</v>
      </c>
      <c r="C133">
        <v>12</v>
      </c>
      <c r="D133" s="1">
        <v>40703.599305555559</v>
      </c>
      <c r="E133" t="s">
        <v>9</v>
      </c>
      <c r="F133">
        <v>17522</v>
      </c>
      <c r="G133" t="s">
        <v>8</v>
      </c>
    </row>
    <row r="134" spans="1:7" x14ac:dyDescent="0.35">
      <c r="A134">
        <v>557568</v>
      </c>
      <c r="B134">
        <v>10080</v>
      </c>
      <c r="C134">
        <v>48</v>
      </c>
      <c r="D134" s="1">
        <v>40715.444444444445</v>
      </c>
      <c r="E134" s="2">
        <v>0.39</v>
      </c>
      <c r="F134">
        <v>17629</v>
      </c>
      <c r="G134" t="s">
        <v>8</v>
      </c>
    </row>
    <row r="135" spans="1:7" x14ac:dyDescent="0.35">
      <c r="A135">
        <v>557938</v>
      </c>
      <c r="B135">
        <v>10125</v>
      </c>
      <c r="C135">
        <v>2</v>
      </c>
      <c r="D135" s="1">
        <v>40717.649305555555</v>
      </c>
      <c r="E135" t="s">
        <v>20</v>
      </c>
      <c r="G135" t="s">
        <v>8</v>
      </c>
    </row>
    <row r="136" spans="1:7" x14ac:dyDescent="0.35">
      <c r="A136">
        <v>558614</v>
      </c>
      <c r="B136">
        <v>10080</v>
      </c>
      <c r="C136">
        <v>12</v>
      </c>
      <c r="D136" s="1">
        <v>40724.663888888892</v>
      </c>
      <c r="E136" s="2">
        <v>0.39</v>
      </c>
      <c r="G136" t="s">
        <v>8</v>
      </c>
    </row>
    <row r="137" spans="1:7" x14ac:dyDescent="0.35">
      <c r="A137">
        <v>558700</v>
      </c>
      <c r="B137">
        <v>10125</v>
      </c>
      <c r="C137">
        <v>3</v>
      </c>
      <c r="D137" s="1">
        <v>40725.522916666669</v>
      </c>
      <c r="E137" t="s">
        <v>9</v>
      </c>
      <c r="F137">
        <v>17920</v>
      </c>
      <c r="G137" t="s">
        <v>8</v>
      </c>
    </row>
    <row r="138" spans="1:7" x14ac:dyDescent="0.35">
      <c r="A138">
        <v>558700</v>
      </c>
      <c r="B138">
        <v>10125</v>
      </c>
      <c r="C138">
        <v>1</v>
      </c>
      <c r="D138" s="1">
        <v>40725.522916666669</v>
      </c>
      <c r="E138" t="s">
        <v>9</v>
      </c>
      <c r="F138">
        <v>17920</v>
      </c>
      <c r="G138" t="s">
        <v>8</v>
      </c>
    </row>
    <row r="139" spans="1:7" x14ac:dyDescent="0.35">
      <c r="A139">
        <v>558860</v>
      </c>
      <c r="B139">
        <v>10125</v>
      </c>
      <c r="C139">
        <v>1</v>
      </c>
      <c r="D139" s="1">
        <v>40728.512499999997</v>
      </c>
      <c r="E139" t="s">
        <v>9</v>
      </c>
      <c r="F139">
        <v>17975</v>
      </c>
      <c r="G139" t="s">
        <v>8</v>
      </c>
    </row>
    <row r="140" spans="1:7" x14ac:dyDescent="0.35">
      <c r="A140">
        <v>558860</v>
      </c>
      <c r="B140">
        <v>10125</v>
      </c>
      <c r="C140">
        <v>1</v>
      </c>
      <c r="D140" s="1">
        <v>40728.512499999997</v>
      </c>
      <c r="E140" t="s">
        <v>9</v>
      </c>
      <c r="F140">
        <v>17975</v>
      </c>
      <c r="G140" t="s">
        <v>8</v>
      </c>
    </row>
    <row r="141" spans="1:7" x14ac:dyDescent="0.35">
      <c r="A141">
        <v>558868</v>
      </c>
      <c r="B141">
        <v>10125</v>
      </c>
      <c r="C141">
        <v>20</v>
      </c>
      <c r="D141" s="1">
        <v>40728.532638888886</v>
      </c>
      <c r="E141" t="s">
        <v>9</v>
      </c>
      <c r="F141">
        <v>13266</v>
      </c>
      <c r="G141" t="s">
        <v>8</v>
      </c>
    </row>
    <row r="142" spans="1:7" x14ac:dyDescent="0.35">
      <c r="A142">
        <v>558911</v>
      </c>
      <c r="B142">
        <v>10080</v>
      </c>
      <c r="C142">
        <v>12</v>
      </c>
      <c r="D142" s="1">
        <v>40729.390972222223</v>
      </c>
      <c r="E142" s="2">
        <v>0.39</v>
      </c>
      <c r="F142">
        <v>14189</v>
      </c>
      <c r="G142" t="s">
        <v>8</v>
      </c>
    </row>
    <row r="143" spans="1:7" x14ac:dyDescent="0.35">
      <c r="A143">
        <v>559337</v>
      </c>
      <c r="B143">
        <v>10125</v>
      </c>
      <c r="C143">
        <v>1</v>
      </c>
      <c r="D143" s="1">
        <v>40731.685416666667</v>
      </c>
      <c r="E143" t="s">
        <v>20</v>
      </c>
      <c r="G143" t="s">
        <v>8</v>
      </c>
    </row>
    <row r="144" spans="1:7" x14ac:dyDescent="0.35">
      <c r="A144">
        <v>559536</v>
      </c>
      <c r="B144">
        <v>10125</v>
      </c>
      <c r="C144">
        <v>5</v>
      </c>
      <c r="D144" s="1">
        <v>40734.511805555558</v>
      </c>
      <c r="E144" t="s">
        <v>9</v>
      </c>
      <c r="F144">
        <v>16283</v>
      </c>
      <c r="G144" t="s">
        <v>8</v>
      </c>
    </row>
    <row r="145" spans="1:7" x14ac:dyDescent="0.35">
      <c r="A145">
        <v>559979</v>
      </c>
      <c r="B145">
        <v>10125</v>
      </c>
      <c r="C145">
        <v>20</v>
      </c>
      <c r="D145" s="1">
        <v>40738.472222222219</v>
      </c>
      <c r="E145" t="s">
        <v>9</v>
      </c>
      <c r="F145">
        <v>14862</v>
      </c>
      <c r="G145" t="s">
        <v>8</v>
      </c>
    </row>
    <row r="146" spans="1:7" x14ac:dyDescent="0.35">
      <c r="A146">
        <v>559984</v>
      </c>
      <c r="B146">
        <v>10125</v>
      </c>
      <c r="C146">
        <v>5</v>
      </c>
      <c r="D146" s="1">
        <v>40738.489583333336</v>
      </c>
      <c r="E146" t="s">
        <v>9</v>
      </c>
      <c r="F146">
        <v>16657</v>
      </c>
      <c r="G146" t="s">
        <v>8</v>
      </c>
    </row>
    <row r="147" spans="1:7" x14ac:dyDescent="0.35">
      <c r="A147">
        <v>560366</v>
      </c>
      <c r="B147">
        <v>10125</v>
      </c>
      <c r="C147">
        <v>20</v>
      </c>
      <c r="D147" s="1">
        <v>40742.513194444444</v>
      </c>
      <c r="E147" t="s">
        <v>9</v>
      </c>
      <c r="F147">
        <v>16859</v>
      </c>
      <c r="G147" t="s">
        <v>8</v>
      </c>
    </row>
    <row r="148" spans="1:7" x14ac:dyDescent="0.35">
      <c r="A148">
        <v>560398</v>
      </c>
      <c r="B148">
        <v>10125</v>
      </c>
      <c r="C148">
        <v>100</v>
      </c>
      <c r="D148" s="1">
        <v>40742.590277777781</v>
      </c>
      <c r="E148" t="s">
        <v>9</v>
      </c>
      <c r="F148">
        <v>12731</v>
      </c>
      <c r="G148" t="s">
        <v>7</v>
      </c>
    </row>
    <row r="149" spans="1:7" x14ac:dyDescent="0.35">
      <c r="A149">
        <v>561271</v>
      </c>
      <c r="B149">
        <v>10080</v>
      </c>
      <c r="C149">
        <v>170</v>
      </c>
      <c r="D149" s="1">
        <v>40750.512499999997</v>
      </c>
      <c r="E149" s="4">
        <v>0</v>
      </c>
      <c r="G149" t="s">
        <v>8</v>
      </c>
    </row>
    <row r="150" spans="1:7" x14ac:dyDescent="0.35">
      <c r="A150">
        <v>561322</v>
      </c>
      <c r="B150">
        <v>10080</v>
      </c>
      <c r="C150">
        <v>12</v>
      </c>
      <c r="D150" s="1">
        <v>40750.543749999997</v>
      </c>
      <c r="E150" s="2">
        <v>0.39</v>
      </c>
      <c r="F150">
        <v>15203</v>
      </c>
      <c r="G150" t="s">
        <v>8</v>
      </c>
    </row>
    <row r="151" spans="1:7" x14ac:dyDescent="0.35">
      <c r="A151">
        <v>561925</v>
      </c>
      <c r="B151">
        <v>10080</v>
      </c>
      <c r="C151">
        <v>12</v>
      </c>
      <c r="D151" s="1">
        <v>40756.519444444442</v>
      </c>
      <c r="E151" s="2">
        <v>0.39</v>
      </c>
      <c r="F151">
        <v>16551</v>
      </c>
      <c r="G151" t="s">
        <v>8</v>
      </c>
    </row>
    <row r="152" spans="1:7" x14ac:dyDescent="0.35">
      <c r="A152">
        <v>562044</v>
      </c>
      <c r="B152">
        <v>10080</v>
      </c>
      <c r="C152">
        <v>24</v>
      </c>
      <c r="D152" s="1">
        <v>40757.433333333334</v>
      </c>
      <c r="E152" s="2">
        <v>0.39</v>
      </c>
      <c r="F152">
        <v>16607</v>
      </c>
      <c r="G152" t="s">
        <v>8</v>
      </c>
    </row>
    <row r="153" spans="1:7" x14ac:dyDescent="0.35">
      <c r="A153">
        <v>562127</v>
      </c>
      <c r="B153">
        <v>10080</v>
      </c>
      <c r="C153">
        <v>12</v>
      </c>
      <c r="D153" s="1">
        <v>40758.347916666666</v>
      </c>
      <c r="E153" s="2">
        <v>0.39</v>
      </c>
      <c r="F153">
        <v>13717</v>
      </c>
      <c r="G153" t="s">
        <v>8</v>
      </c>
    </row>
    <row r="154" spans="1:7" x14ac:dyDescent="0.35">
      <c r="A154">
        <v>563034</v>
      </c>
      <c r="B154">
        <v>10125</v>
      </c>
      <c r="C154">
        <v>40</v>
      </c>
      <c r="D154" s="1">
        <v>40766.620138888888</v>
      </c>
      <c r="E154" t="s">
        <v>9</v>
      </c>
      <c r="F154">
        <v>17644</v>
      </c>
      <c r="G154" t="s">
        <v>8</v>
      </c>
    </row>
    <row r="155" spans="1:7" x14ac:dyDescent="0.35">
      <c r="A155">
        <v>563744</v>
      </c>
      <c r="B155">
        <v>10125</v>
      </c>
      <c r="C155">
        <v>20</v>
      </c>
      <c r="D155" s="1">
        <v>40774.399305555555</v>
      </c>
      <c r="E155" t="s">
        <v>9</v>
      </c>
      <c r="F155">
        <v>13266</v>
      </c>
      <c r="G155" t="s">
        <v>8</v>
      </c>
    </row>
    <row r="156" spans="1:7" x14ac:dyDescent="0.35">
      <c r="A156">
        <v>564065</v>
      </c>
      <c r="B156">
        <v>10080</v>
      </c>
      <c r="C156">
        <v>12</v>
      </c>
      <c r="D156" s="1">
        <v>40777.628472222219</v>
      </c>
      <c r="E156" s="2">
        <v>0.39</v>
      </c>
      <c r="F156">
        <v>15150</v>
      </c>
      <c r="G156" t="s">
        <v>8</v>
      </c>
    </row>
    <row r="157" spans="1:7" x14ac:dyDescent="0.35">
      <c r="A157">
        <v>564300</v>
      </c>
      <c r="B157">
        <v>10125</v>
      </c>
      <c r="C157">
        <v>5</v>
      </c>
      <c r="D157" s="1">
        <v>40779.479861111111</v>
      </c>
      <c r="E157" t="s">
        <v>9</v>
      </c>
      <c r="F157">
        <v>16723</v>
      </c>
      <c r="G157" t="s">
        <v>8</v>
      </c>
    </row>
    <row r="158" spans="1:7" x14ac:dyDescent="0.35">
      <c r="A158">
        <v>564337</v>
      </c>
      <c r="B158">
        <v>10125</v>
      </c>
      <c r="C158">
        <v>20</v>
      </c>
      <c r="D158" s="1">
        <v>40779.611111111109</v>
      </c>
      <c r="E158" t="s">
        <v>9</v>
      </c>
      <c r="F158">
        <v>12649</v>
      </c>
      <c r="G158" t="s">
        <v>21</v>
      </c>
    </row>
    <row r="159" spans="1:7" x14ac:dyDescent="0.35">
      <c r="A159">
        <v>565585</v>
      </c>
      <c r="B159">
        <v>10125</v>
      </c>
      <c r="C159">
        <v>20</v>
      </c>
      <c r="D159" s="1">
        <v>40791.556944444441</v>
      </c>
      <c r="E159" t="s">
        <v>9</v>
      </c>
      <c r="F159">
        <v>16172</v>
      </c>
      <c r="G159" t="s">
        <v>8</v>
      </c>
    </row>
    <row r="160" spans="1:7" x14ac:dyDescent="0.35">
      <c r="A160">
        <v>565618</v>
      </c>
      <c r="B160">
        <v>10080</v>
      </c>
      <c r="C160">
        <v>12</v>
      </c>
      <c r="D160" s="1">
        <v>40791.652777777781</v>
      </c>
      <c r="E160" s="2">
        <v>0.39</v>
      </c>
      <c r="F160">
        <v>15974</v>
      </c>
      <c r="G160" t="s">
        <v>8</v>
      </c>
    </row>
    <row r="161" spans="1:7" x14ac:dyDescent="0.35">
      <c r="A161">
        <v>565920</v>
      </c>
      <c r="B161">
        <v>10080</v>
      </c>
      <c r="C161">
        <v>24</v>
      </c>
      <c r="D161" s="1">
        <v>40794.37222222222</v>
      </c>
      <c r="E161" s="2">
        <v>0.39</v>
      </c>
      <c r="F161">
        <v>15298</v>
      </c>
      <c r="G161" t="s">
        <v>8</v>
      </c>
    </row>
    <row r="162" spans="1:7" x14ac:dyDescent="0.35">
      <c r="A162">
        <v>567200</v>
      </c>
      <c r="B162">
        <v>10080</v>
      </c>
      <c r="C162">
        <v>12</v>
      </c>
      <c r="D162" s="1">
        <v>40805.427083333336</v>
      </c>
      <c r="E162" s="2">
        <v>0.39</v>
      </c>
      <c r="F162">
        <v>16460</v>
      </c>
      <c r="G162" t="s">
        <v>8</v>
      </c>
    </row>
    <row r="163" spans="1:7" x14ac:dyDescent="0.35">
      <c r="A163">
        <v>568381</v>
      </c>
      <c r="B163">
        <v>10080</v>
      </c>
      <c r="C163">
        <v>12</v>
      </c>
      <c r="D163" s="1">
        <v>40813.39166666667</v>
      </c>
      <c r="E163" s="2">
        <v>0.39</v>
      </c>
      <c r="F163">
        <v>14321</v>
      </c>
      <c r="G163" t="s">
        <v>8</v>
      </c>
    </row>
    <row r="164" spans="1:7" x14ac:dyDescent="0.35">
      <c r="A164">
        <v>568568</v>
      </c>
      <c r="B164">
        <v>10125</v>
      </c>
      <c r="C164">
        <v>20</v>
      </c>
      <c r="D164" s="1">
        <v>40814.366666666669</v>
      </c>
      <c r="E164" t="s">
        <v>9</v>
      </c>
      <c r="F164">
        <v>14412</v>
      </c>
      <c r="G164" t="s">
        <v>8</v>
      </c>
    </row>
    <row r="165" spans="1:7" x14ac:dyDescent="0.35">
      <c r="A165">
        <v>568650</v>
      </c>
      <c r="B165">
        <v>10125</v>
      </c>
      <c r="C165">
        <v>20</v>
      </c>
      <c r="D165" s="1">
        <v>40814.49722222222</v>
      </c>
      <c r="E165" t="s">
        <v>9</v>
      </c>
      <c r="F165">
        <v>13505</v>
      </c>
      <c r="G165" t="s">
        <v>16</v>
      </c>
    </row>
    <row r="166" spans="1:7" x14ac:dyDescent="0.35">
      <c r="A166">
        <v>569097</v>
      </c>
      <c r="B166">
        <v>10125</v>
      </c>
      <c r="C166">
        <v>150</v>
      </c>
      <c r="D166" s="1">
        <v>40816.504166666666</v>
      </c>
      <c r="E166" t="s">
        <v>9</v>
      </c>
      <c r="F166">
        <v>12731</v>
      </c>
      <c r="G166" t="s">
        <v>7</v>
      </c>
    </row>
    <row r="167" spans="1:7" x14ac:dyDescent="0.35">
      <c r="A167">
        <v>569223</v>
      </c>
      <c r="B167">
        <v>10125</v>
      </c>
      <c r="C167">
        <v>7</v>
      </c>
      <c r="D167" s="1">
        <v>40818.575694444444</v>
      </c>
      <c r="E167" t="s">
        <v>9</v>
      </c>
      <c r="F167">
        <v>16283</v>
      </c>
      <c r="G167" t="s">
        <v>8</v>
      </c>
    </row>
    <row r="168" spans="1:7" x14ac:dyDescent="0.35">
      <c r="A168">
        <v>569897</v>
      </c>
      <c r="B168">
        <v>10125</v>
      </c>
      <c r="C168">
        <v>3</v>
      </c>
      <c r="D168" s="1">
        <v>40822.667361111111</v>
      </c>
      <c r="E168" t="s">
        <v>9</v>
      </c>
      <c r="F168">
        <v>17813</v>
      </c>
      <c r="G168" t="s">
        <v>8</v>
      </c>
    </row>
    <row r="169" spans="1:7" x14ac:dyDescent="0.35">
      <c r="A169">
        <v>570187</v>
      </c>
      <c r="B169">
        <v>10125</v>
      </c>
      <c r="C169">
        <v>1</v>
      </c>
      <c r="D169" s="1">
        <v>40823.631249999999</v>
      </c>
      <c r="E169" t="s">
        <v>20</v>
      </c>
      <c r="G169" t="s">
        <v>8</v>
      </c>
    </row>
    <row r="170" spans="1:7" x14ac:dyDescent="0.35">
      <c r="A170">
        <v>570458</v>
      </c>
      <c r="B170">
        <v>10080</v>
      </c>
      <c r="C170">
        <v>1</v>
      </c>
      <c r="D170" s="1">
        <v>40826.652083333334</v>
      </c>
      <c r="E170" s="4">
        <v>500</v>
      </c>
      <c r="F170">
        <v>14535</v>
      </c>
      <c r="G170" t="s">
        <v>8</v>
      </c>
    </row>
    <row r="171" spans="1:7" x14ac:dyDescent="0.35">
      <c r="A171">
        <v>571046</v>
      </c>
      <c r="B171">
        <v>10080</v>
      </c>
      <c r="C171">
        <v>3</v>
      </c>
      <c r="D171" s="1">
        <v>40829.565972222219</v>
      </c>
      <c r="E171" s="2">
        <v>0.39</v>
      </c>
      <c r="F171">
        <v>18096</v>
      </c>
      <c r="G171" t="s">
        <v>8</v>
      </c>
    </row>
    <row r="172" spans="1:7" x14ac:dyDescent="0.35">
      <c r="A172">
        <v>571328</v>
      </c>
      <c r="B172">
        <v>10125</v>
      </c>
      <c r="C172">
        <v>20</v>
      </c>
      <c r="D172" s="1">
        <v>40833.477083333331</v>
      </c>
      <c r="E172" t="s">
        <v>9</v>
      </c>
      <c r="F172">
        <v>12473</v>
      </c>
      <c r="G172" t="s">
        <v>21</v>
      </c>
    </row>
    <row r="173" spans="1:7" x14ac:dyDescent="0.35">
      <c r="A173">
        <v>572558</v>
      </c>
      <c r="B173">
        <v>10125</v>
      </c>
      <c r="C173">
        <v>20</v>
      </c>
      <c r="D173" s="1">
        <v>40841.351388888892</v>
      </c>
      <c r="E173" t="s">
        <v>9</v>
      </c>
      <c r="F173">
        <v>14286</v>
      </c>
      <c r="G173" t="s">
        <v>8</v>
      </c>
    </row>
    <row r="174" spans="1:7" x14ac:dyDescent="0.35">
      <c r="A174">
        <v>573029</v>
      </c>
      <c r="B174">
        <v>16011</v>
      </c>
      <c r="C174">
        <v>1</v>
      </c>
      <c r="D174" s="1">
        <v>40843.564583333333</v>
      </c>
      <c r="E174" t="s">
        <v>10</v>
      </c>
      <c r="F174">
        <v>14971</v>
      </c>
      <c r="G174" t="s">
        <v>8</v>
      </c>
    </row>
    <row r="175" spans="1:7" x14ac:dyDescent="0.35">
      <c r="A175">
        <v>574530</v>
      </c>
      <c r="B175">
        <v>10125</v>
      </c>
      <c r="C175">
        <v>2</v>
      </c>
      <c r="D175" s="1">
        <v>40851.588194444441</v>
      </c>
      <c r="E175" t="s">
        <v>9</v>
      </c>
      <c r="F175">
        <v>16887</v>
      </c>
      <c r="G175" t="s">
        <v>8</v>
      </c>
    </row>
    <row r="176" spans="1:7" x14ac:dyDescent="0.35">
      <c r="A176">
        <v>575481</v>
      </c>
      <c r="B176">
        <v>16011</v>
      </c>
      <c r="C176">
        <v>23</v>
      </c>
      <c r="D176" s="1">
        <v>40856.686111111114</v>
      </c>
      <c r="E176" t="s">
        <v>10</v>
      </c>
      <c r="F176">
        <v>15679</v>
      </c>
      <c r="G176" t="s">
        <v>8</v>
      </c>
    </row>
    <row r="177" spans="1:7" x14ac:dyDescent="0.35">
      <c r="A177">
        <v>575516</v>
      </c>
      <c r="B177">
        <v>16011</v>
      </c>
      <c r="C177">
        <v>24</v>
      </c>
      <c r="D177" s="1">
        <v>40857.447916666664</v>
      </c>
      <c r="E177" t="s">
        <v>10</v>
      </c>
      <c r="F177">
        <v>17340</v>
      </c>
      <c r="G177" t="s">
        <v>8</v>
      </c>
    </row>
    <row r="178" spans="1:7" x14ac:dyDescent="0.35">
      <c r="A178">
        <v>575767</v>
      </c>
      <c r="B178">
        <v>16011</v>
      </c>
      <c r="C178">
        <v>48</v>
      </c>
      <c r="D178" s="1">
        <v>40858.46597222222</v>
      </c>
      <c r="E178" t="s">
        <v>10</v>
      </c>
      <c r="F178">
        <v>17348</v>
      </c>
      <c r="G178" t="s">
        <v>8</v>
      </c>
    </row>
    <row r="179" spans="1:7" x14ac:dyDescent="0.35">
      <c r="A179">
        <v>576463</v>
      </c>
      <c r="B179">
        <v>16011</v>
      </c>
      <c r="C179">
        <v>24</v>
      </c>
      <c r="D179" s="1">
        <v>40862.484027777777</v>
      </c>
      <c r="E179" t="s">
        <v>10</v>
      </c>
      <c r="F179">
        <v>17974</v>
      </c>
      <c r="G179" t="s">
        <v>8</v>
      </c>
    </row>
    <row r="180" spans="1:7" x14ac:dyDescent="0.35">
      <c r="A180">
        <v>576672</v>
      </c>
      <c r="B180">
        <v>10125</v>
      </c>
      <c r="C180">
        <v>60</v>
      </c>
      <c r="D180" s="3">
        <v>40863</v>
      </c>
      <c r="E180" t="s">
        <v>9</v>
      </c>
      <c r="F180">
        <v>12731</v>
      </c>
      <c r="G180" t="s">
        <v>7</v>
      </c>
    </row>
    <row r="181" spans="1:7" x14ac:dyDescent="0.35">
      <c r="A181">
        <v>577519</v>
      </c>
      <c r="B181">
        <v>16011</v>
      </c>
      <c r="C181">
        <v>24</v>
      </c>
      <c r="D181" s="1">
        <v>40867.555555555555</v>
      </c>
      <c r="E181" t="s">
        <v>10</v>
      </c>
      <c r="F181">
        <v>15044</v>
      </c>
      <c r="G181" t="s">
        <v>8</v>
      </c>
    </row>
    <row r="182" spans="1:7" x14ac:dyDescent="0.35">
      <c r="A182">
        <v>578531</v>
      </c>
      <c r="B182">
        <v>16011</v>
      </c>
      <c r="C182">
        <v>24</v>
      </c>
      <c r="D182" s="1">
        <v>40871.611111111109</v>
      </c>
      <c r="E182" t="s">
        <v>10</v>
      </c>
      <c r="F182">
        <v>17364</v>
      </c>
      <c r="G182" t="s">
        <v>8</v>
      </c>
    </row>
    <row r="183" spans="1:7" x14ac:dyDescent="0.35">
      <c r="A183">
        <v>579268</v>
      </c>
      <c r="B183">
        <v>16011</v>
      </c>
      <c r="C183">
        <v>24</v>
      </c>
      <c r="D183" s="1">
        <v>40876.407638888886</v>
      </c>
      <c r="E183" t="s">
        <v>10</v>
      </c>
      <c r="F183">
        <v>14321</v>
      </c>
      <c r="G183" t="s">
        <v>8</v>
      </c>
    </row>
    <row r="184" spans="1:7" x14ac:dyDescent="0.35">
      <c r="A184">
        <v>580419</v>
      </c>
      <c r="B184">
        <v>10125</v>
      </c>
      <c r="C184">
        <v>60000000</v>
      </c>
      <c r="D184" s="1">
        <v>40881.505555555559</v>
      </c>
      <c r="E184" t="s">
        <v>9</v>
      </c>
      <c r="F184">
        <v>16283</v>
      </c>
      <c r="G184" t="s">
        <v>8</v>
      </c>
    </row>
    <row r="185" spans="1:7" x14ac:dyDescent="0.35">
      <c r="A185">
        <v>581125</v>
      </c>
      <c r="B185">
        <v>16011</v>
      </c>
      <c r="C185">
        <v>25</v>
      </c>
      <c r="D185" s="1">
        <v>40884.52847222222</v>
      </c>
      <c r="E185" t="s">
        <v>10</v>
      </c>
      <c r="F185">
        <v>14087</v>
      </c>
      <c r="G185" t="s">
        <v>8</v>
      </c>
    </row>
    <row r="186" spans="1:7" x14ac:dyDescent="0.35">
      <c r="A186">
        <v>581494</v>
      </c>
      <c r="B186">
        <v>10125</v>
      </c>
      <c r="C186">
        <v>20</v>
      </c>
      <c r="D186" s="1">
        <v>40886.425694444442</v>
      </c>
      <c r="E186" t="s">
        <v>9</v>
      </c>
      <c r="F186">
        <v>12518</v>
      </c>
      <c r="G186" t="s">
        <v>21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06364-FC8D-4903-A283-F4C41E329CF7}">
  <dimension ref="A1:N195"/>
  <sheetViews>
    <sheetView zoomScale="72" workbookViewId="0">
      <selection activeCell="H31" sqref="H31"/>
    </sheetView>
  </sheetViews>
  <sheetFormatPr defaultRowHeight="14.5" x14ac:dyDescent="0.35"/>
  <cols>
    <col min="1" max="1" width="14.08984375" style="5" customWidth="1"/>
    <col min="2" max="2" width="13.453125" style="5" customWidth="1"/>
    <col min="3" max="3" width="16.08984375" style="5" customWidth="1"/>
    <col min="4" max="4" width="22.453125" style="5" bestFit="1" customWidth="1"/>
    <col min="5" max="5" width="13.6328125" style="8" bestFit="1" customWidth="1"/>
    <col min="6" max="6" width="12.90625" style="5" customWidth="1"/>
    <col min="7" max="7" width="13.54296875" style="5" bestFit="1" customWidth="1"/>
    <col min="8" max="8" width="20" bestFit="1" customWidth="1"/>
    <col min="9" max="9" width="15.81640625" bestFit="1" customWidth="1"/>
    <col min="12" max="12" width="21.6328125" bestFit="1" customWidth="1"/>
    <col min="13" max="13" width="12.26953125" bestFit="1" customWidth="1"/>
    <col min="14" max="14" width="10.7265625" customWidth="1"/>
  </cols>
  <sheetData>
    <row r="1" spans="1:14" s="7" customFormat="1" x14ac:dyDescent="0.35">
      <c r="A1" s="7" t="s">
        <v>0</v>
      </c>
      <c r="B1" s="7" t="s">
        <v>1</v>
      </c>
      <c r="C1" s="7" t="s">
        <v>2</v>
      </c>
      <c r="D1" s="7" t="s">
        <v>3</v>
      </c>
      <c r="E1" s="8" t="s">
        <v>4</v>
      </c>
      <c r="F1" s="7" t="s">
        <v>5</v>
      </c>
      <c r="G1" s="7" t="s">
        <v>6</v>
      </c>
      <c r="H1" s="7" t="s">
        <v>24</v>
      </c>
      <c r="I1" s="7" t="s">
        <v>25</v>
      </c>
    </row>
    <row r="2" spans="1:14" x14ac:dyDescent="0.35">
      <c r="A2" s="5">
        <v>551429</v>
      </c>
      <c r="B2" s="5">
        <v>10002</v>
      </c>
      <c r="C2" s="5">
        <v>-3</v>
      </c>
      <c r="D2" s="6">
        <v>40661.628472222219</v>
      </c>
      <c r="E2" s="8">
        <v>0</v>
      </c>
      <c r="F2" s="11" t="s">
        <v>1331</v>
      </c>
      <c r="G2" s="5" t="s">
        <v>8</v>
      </c>
      <c r="H2" s="5">
        <f t="shared" ref="H2:H32" si="0">IF(ISBLANK(C2), $M$2, C2)</f>
        <v>-3</v>
      </c>
      <c r="I2" s="5">
        <f t="shared" ref="I2:I32" si="1">IF(ISBLANK(E2), $M$3, E2)</f>
        <v>0</v>
      </c>
      <c r="L2" s="20" t="s">
        <v>26</v>
      </c>
      <c r="M2" s="20">
        <f>AVERAGE(C2:C185)</f>
        <v>327905.87431693991</v>
      </c>
    </row>
    <row r="3" spans="1:14" x14ac:dyDescent="0.35">
      <c r="A3" s="5">
        <v>540977</v>
      </c>
      <c r="B3" s="5">
        <v>10133</v>
      </c>
      <c r="C3" s="5">
        <v>0</v>
      </c>
      <c r="D3" s="6">
        <v>40555.625694444447</v>
      </c>
      <c r="E3" s="8">
        <v>0.81</v>
      </c>
      <c r="F3" s="11" t="s">
        <v>1331</v>
      </c>
      <c r="G3" s="5" t="s">
        <v>8</v>
      </c>
      <c r="H3" s="5">
        <f t="shared" si="0"/>
        <v>0</v>
      </c>
      <c r="I3" s="5">
        <f t="shared" si="1"/>
        <v>0.81</v>
      </c>
      <c r="L3" s="20" t="s">
        <v>27</v>
      </c>
      <c r="M3" s="21">
        <f>AVERAGE(E2:E185)</f>
        <v>3.5345355191256931</v>
      </c>
    </row>
    <row r="4" spans="1:14" x14ac:dyDescent="0.35">
      <c r="A4" s="5">
        <v>536756</v>
      </c>
      <c r="B4" s="5">
        <v>10002</v>
      </c>
      <c r="C4" s="5">
        <v>1</v>
      </c>
      <c r="D4" s="6">
        <v>40514.599305555559</v>
      </c>
      <c r="E4" s="8">
        <v>0.85</v>
      </c>
      <c r="F4" s="11" t="s">
        <v>1331</v>
      </c>
      <c r="G4" s="5" t="s">
        <v>8</v>
      </c>
      <c r="H4" s="5">
        <f t="shared" si="0"/>
        <v>1</v>
      </c>
      <c r="I4" s="5">
        <f t="shared" si="1"/>
        <v>0.85</v>
      </c>
      <c r="L4" s="20"/>
      <c r="M4" s="20"/>
    </row>
    <row r="5" spans="1:14" x14ac:dyDescent="0.35">
      <c r="A5" s="5">
        <v>536863</v>
      </c>
      <c r="B5" s="5">
        <v>10002</v>
      </c>
      <c r="C5" s="5">
        <v>1</v>
      </c>
      <c r="D5" s="6">
        <v>40515.47152777778</v>
      </c>
      <c r="E5" s="8">
        <v>0.85</v>
      </c>
      <c r="F5" s="5">
        <v>17967</v>
      </c>
      <c r="G5" s="5" t="s">
        <v>8</v>
      </c>
      <c r="H5" s="5">
        <f t="shared" si="0"/>
        <v>1</v>
      </c>
      <c r="I5" s="5">
        <f t="shared" si="1"/>
        <v>0.85</v>
      </c>
      <c r="L5" s="20"/>
      <c r="M5" s="20"/>
    </row>
    <row r="6" spans="1:14" x14ac:dyDescent="0.35">
      <c r="A6" s="5">
        <v>536876</v>
      </c>
      <c r="B6" s="5">
        <v>10133</v>
      </c>
      <c r="C6" s="5">
        <v>1</v>
      </c>
      <c r="D6" s="6">
        <v>40515.48333333333</v>
      </c>
      <c r="E6" s="8">
        <v>1.66</v>
      </c>
      <c r="F6" s="11" t="s">
        <v>1331</v>
      </c>
      <c r="G6" s="5" t="s">
        <v>8</v>
      </c>
      <c r="H6" s="5">
        <f t="shared" si="0"/>
        <v>1</v>
      </c>
      <c r="I6" s="5">
        <f t="shared" si="1"/>
        <v>1.66</v>
      </c>
      <c r="L6" s="20" t="s">
        <v>28</v>
      </c>
      <c r="M6" s="20">
        <f>MAX(C:C)</f>
        <v>60000000</v>
      </c>
    </row>
    <row r="7" spans="1:14" x14ac:dyDescent="0.35">
      <c r="A7" s="5">
        <v>537047</v>
      </c>
      <c r="B7" s="5">
        <v>10002</v>
      </c>
      <c r="C7" s="5">
        <v>1</v>
      </c>
      <c r="D7" s="6">
        <v>40517.459722222222</v>
      </c>
      <c r="E7" s="8">
        <v>0.85</v>
      </c>
      <c r="F7" s="5">
        <v>13069</v>
      </c>
      <c r="G7" s="5" t="s">
        <v>8</v>
      </c>
      <c r="H7" s="5">
        <f t="shared" si="0"/>
        <v>1</v>
      </c>
      <c r="I7" s="5">
        <f t="shared" si="1"/>
        <v>0.85</v>
      </c>
      <c r="L7" s="20" t="s">
        <v>29</v>
      </c>
      <c r="M7" s="20">
        <f>MIN(C:C)</f>
        <v>-3</v>
      </c>
    </row>
    <row r="8" spans="1:14" x14ac:dyDescent="0.35">
      <c r="A8" s="5">
        <v>537126</v>
      </c>
      <c r="B8" s="5">
        <v>10133</v>
      </c>
      <c r="C8" s="5">
        <v>1</v>
      </c>
      <c r="D8" s="6">
        <v>40517.509027777778</v>
      </c>
      <c r="E8" s="8">
        <v>0.85</v>
      </c>
      <c r="F8" s="5">
        <v>18118</v>
      </c>
      <c r="G8" s="5" t="s">
        <v>8</v>
      </c>
      <c r="H8" s="5">
        <f t="shared" si="0"/>
        <v>1</v>
      </c>
      <c r="I8" s="5">
        <f t="shared" si="1"/>
        <v>0.85</v>
      </c>
      <c r="L8" s="20"/>
      <c r="M8" s="20"/>
    </row>
    <row r="9" spans="1:14" x14ac:dyDescent="0.35">
      <c r="A9" s="5">
        <v>537240</v>
      </c>
      <c r="B9" s="5">
        <v>10002</v>
      </c>
      <c r="C9" s="5">
        <v>1</v>
      </c>
      <c r="D9" s="6">
        <v>40518.422222222223</v>
      </c>
      <c r="E9" s="8">
        <v>1.66</v>
      </c>
      <c r="F9" s="11" t="s">
        <v>1331</v>
      </c>
      <c r="G9" s="5" t="s">
        <v>8</v>
      </c>
      <c r="H9" s="5">
        <f t="shared" si="0"/>
        <v>1</v>
      </c>
      <c r="I9" s="5">
        <f t="shared" si="1"/>
        <v>1.66</v>
      </c>
      <c r="L9" s="20" t="s">
        <v>30</v>
      </c>
      <c r="M9" s="20">
        <f>_xlfn.STDEV.S(C:C)</f>
        <v>4435324.8752326015</v>
      </c>
    </row>
    <row r="10" spans="1:14" x14ac:dyDescent="0.35">
      <c r="A10" s="5">
        <v>540026</v>
      </c>
      <c r="B10" s="5">
        <v>10133</v>
      </c>
      <c r="C10" s="5">
        <v>1</v>
      </c>
      <c r="D10" s="6">
        <v>40547.559027777781</v>
      </c>
      <c r="E10" s="8">
        <v>0.81</v>
      </c>
      <c r="F10" s="11" t="s">
        <v>1331</v>
      </c>
      <c r="G10" s="5" t="s">
        <v>8</v>
      </c>
      <c r="H10" s="5">
        <f t="shared" si="0"/>
        <v>1</v>
      </c>
      <c r="I10" s="5">
        <f t="shared" si="1"/>
        <v>0.81</v>
      </c>
      <c r="L10" s="20" t="s">
        <v>31</v>
      </c>
      <c r="M10" s="20">
        <f>_xlfn.STDEV.S(E:E)</f>
        <v>36.903725603006194</v>
      </c>
    </row>
    <row r="11" spans="1:14" x14ac:dyDescent="0.35">
      <c r="A11" s="5">
        <v>540154</v>
      </c>
      <c r="B11" s="5">
        <v>10133</v>
      </c>
      <c r="C11" s="5">
        <v>1</v>
      </c>
      <c r="D11" s="6">
        <v>40548.479166666664</v>
      </c>
      <c r="E11" s="8">
        <v>0.81</v>
      </c>
      <c r="F11" s="11" t="s">
        <v>1331</v>
      </c>
      <c r="G11" s="5" t="s">
        <v>8</v>
      </c>
      <c r="H11" s="5">
        <f t="shared" si="0"/>
        <v>1</v>
      </c>
      <c r="I11" s="5">
        <f t="shared" si="1"/>
        <v>0.81</v>
      </c>
    </row>
    <row r="12" spans="1:14" x14ac:dyDescent="0.35">
      <c r="A12" s="5">
        <v>540352</v>
      </c>
      <c r="B12" s="5">
        <v>10133</v>
      </c>
      <c r="C12" s="5">
        <v>1</v>
      </c>
      <c r="D12" s="6">
        <v>40549.602083333331</v>
      </c>
      <c r="E12" s="8">
        <v>0.81</v>
      </c>
      <c r="F12" s="11" t="s">
        <v>1331</v>
      </c>
      <c r="G12" s="5" t="s">
        <v>8</v>
      </c>
      <c r="H12" s="5">
        <f t="shared" si="0"/>
        <v>1</v>
      </c>
      <c r="I12" s="5">
        <f t="shared" si="1"/>
        <v>0.81</v>
      </c>
    </row>
    <row r="13" spans="1:14" x14ac:dyDescent="0.35">
      <c r="A13" s="5">
        <v>540551</v>
      </c>
      <c r="B13" s="5">
        <v>10133</v>
      </c>
      <c r="C13" s="5">
        <v>1</v>
      </c>
      <c r="D13" s="6">
        <v>40553.404861111114</v>
      </c>
      <c r="E13" s="8">
        <v>0.81</v>
      </c>
      <c r="F13" s="11" t="s">
        <v>1331</v>
      </c>
      <c r="G13" s="5" t="s">
        <v>8</v>
      </c>
      <c r="H13" s="5">
        <f t="shared" si="0"/>
        <v>1</v>
      </c>
      <c r="I13" s="5">
        <f t="shared" si="1"/>
        <v>0.81</v>
      </c>
    </row>
    <row r="14" spans="1:14" x14ac:dyDescent="0.35">
      <c r="A14" s="5">
        <v>546884</v>
      </c>
      <c r="B14" s="5">
        <v>15036</v>
      </c>
      <c r="C14" s="5">
        <v>1</v>
      </c>
      <c r="D14" s="6">
        <v>40619.755555555559</v>
      </c>
      <c r="E14" s="8">
        <v>1.63</v>
      </c>
      <c r="F14" s="11" t="s">
        <v>1331</v>
      </c>
      <c r="G14" s="5" t="s">
        <v>8</v>
      </c>
      <c r="H14" s="5">
        <f t="shared" si="0"/>
        <v>1</v>
      </c>
      <c r="I14" s="5">
        <f t="shared" si="1"/>
        <v>1.63</v>
      </c>
    </row>
    <row r="15" spans="1:14" x14ac:dyDescent="0.35">
      <c r="A15" s="5">
        <v>548522</v>
      </c>
      <c r="B15" s="5">
        <v>15036</v>
      </c>
      <c r="C15" s="5">
        <v>1</v>
      </c>
      <c r="D15" s="6">
        <v>40633.696527777778</v>
      </c>
      <c r="E15" s="8">
        <v>1.63</v>
      </c>
      <c r="F15" s="11" t="s">
        <v>1331</v>
      </c>
      <c r="G15" s="5" t="s">
        <v>8</v>
      </c>
      <c r="H15" s="5">
        <f t="shared" si="0"/>
        <v>1</v>
      </c>
      <c r="I15" s="5">
        <f t="shared" si="1"/>
        <v>1.63</v>
      </c>
    </row>
    <row r="16" spans="1:14" x14ac:dyDescent="0.35">
      <c r="A16" s="5">
        <v>549524</v>
      </c>
      <c r="B16" s="5">
        <v>15036</v>
      </c>
      <c r="C16" s="5">
        <v>1</v>
      </c>
      <c r="D16" s="6">
        <v>40641.65347222222</v>
      </c>
      <c r="E16" s="8">
        <v>1.63</v>
      </c>
      <c r="F16" s="11" t="s">
        <v>1331</v>
      </c>
      <c r="G16" s="5" t="s">
        <v>8</v>
      </c>
      <c r="H16" s="5">
        <f t="shared" si="0"/>
        <v>1</v>
      </c>
      <c r="I16" s="5">
        <f t="shared" si="1"/>
        <v>1.63</v>
      </c>
      <c r="L16" s="19"/>
      <c r="M16" s="22" t="s">
        <v>1329</v>
      </c>
      <c r="N16" s="19" t="s">
        <v>1330</v>
      </c>
    </row>
    <row r="17" spans="1:14" x14ac:dyDescent="0.35">
      <c r="A17" s="5">
        <v>550452</v>
      </c>
      <c r="B17" s="5">
        <v>10002</v>
      </c>
      <c r="C17" s="5">
        <v>1</v>
      </c>
      <c r="D17" s="6">
        <v>40651.538888888892</v>
      </c>
      <c r="E17" s="8">
        <v>0.85</v>
      </c>
      <c r="F17" s="5">
        <v>14525</v>
      </c>
      <c r="G17" s="5" t="s">
        <v>8</v>
      </c>
      <c r="H17" s="5">
        <f t="shared" si="0"/>
        <v>1</v>
      </c>
      <c r="I17" s="5">
        <f t="shared" si="1"/>
        <v>0.85</v>
      </c>
      <c r="L17" s="19" t="s">
        <v>1326</v>
      </c>
      <c r="M17" s="22">
        <f>_xlfn.QUARTILE.INC(C:C,1)</f>
        <v>3</v>
      </c>
      <c r="N17" s="19">
        <f>_xlfn.QUARTILE.INC(E:E,1)</f>
        <v>0.68500000000000005</v>
      </c>
    </row>
    <row r="18" spans="1:14" x14ac:dyDescent="0.35">
      <c r="A18" s="5">
        <v>550636</v>
      </c>
      <c r="B18" s="5">
        <v>15036</v>
      </c>
      <c r="C18" s="5">
        <v>1</v>
      </c>
      <c r="D18" s="6">
        <v>40652.650694444441</v>
      </c>
      <c r="E18" s="8">
        <v>1.63</v>
      </c>
      <c r="F18" s="11" t="s">
        <v>1331</v>
      </c>
      <c r="G18" s="5" t="s">
        <v>8</v>
      </c>
      <c r="H18" s="5">
        <f t="shared" si="0"/>
        <v>1</v>
      </c>
      <c r="I18" s="5">
        <f t="shared" si="1"/>
        <v>1.63</v>
      </c>
      <c r="L18" s="19" t="s">
        <v>1327</v>
      </c>
      <c r="M18" s="22">
        <f>_xlfn.QUARTILE.INC(C:C,3)</f>
        <v>24</v>
      </c>
      <c r="N18" s="19">
        <f>_xlfn.QUARTILE.INC(E:E, 3)</f>
        <v>0.85</v>
      </c>
    </row>
    <row r="19" spans="1:14" x14ac:dyDescent="0.35">
      <c r="A19" s="5">
        <v>550972</v>
      </c>
      <c r="B19" s="5">
        <v>15036</v>
      </c>
      <c r="C19" s="5">
        <v>1</v>
      </c>
      <c r="D19" s="6">
        <v>40654.711805555555</v>
      </c>
      <c r="E19" s="8">
        <v>0.83</v>
      </c>
      <c r="F19" s="5">
        <v>14031</v>
      </c>
      <c r="G19" s="5" t="s">
        <v>8</v>
      </c>
      <c r="H19" s="5">
        <f t="shared" si="0"/>
        <v>1</v>
      </c>
      <c r="I19" s="5">
        <f t="shared" si="1"/>
        <v>0.83</v>
      </c>
      <c r="L19" s="19" t="s">
        <v>1332</v>
      </c>
      <c r="M19" s="22">
        <f>M18-M17</f>
        <v>21</v>
      </c>
      <c r="N19" s="19">
        <f>N18-N17</f>
        <v>0.16499999999999992</v>
      </c>
    </row>
    <row r="20" spans="1:14" x14ac:dyDescent="0.35">
      <c r="A20" s="5">
        <v>551391</v>
      </c>
      <c r="B20" s="5">
        <v>10125</v>
      </c>
      <c r="C20" s="5">
        <v>1</v>
      </c>
      <c r="D20" s="6">
        <v>40661.504166666666</v>
      </c>
      <c r="E20" s="8">
        <v>0.85</v>
      </c>
      <c r="F20" s="5">
        <v>15514</v>
      </c>
      <c r="G20" s="5" t="s">
        <v>8</v>
      </c>
      <c r="H20" s="5">
        <f t="shared" si="0"/>
        <v>1</v>
      </c>
      <c r="I20" s="5">
        <f t="shared" si="1"/>
        <v>0.85</v>
      </c>
      <c r="L20" s="19" t="s">
        <v>67</v>
      </c>
      <c r="M20" s="22">
        <f>M17-1.5*M19</f>
        <v>-28.5</v>
      </c>
      <c r="N20" s="19">
        <f>N17-1.5*N19</f>
        <v>0.43750000000000017</v>
      </c>
    </row>
    <row r="21" spans="1:14" x14ac:dyDescent="0.35">
      <c r="A21" s="5">
        <v>551616</v>
      </c>
      <c r="B21" s="5">
        <v>10125</v>
      </c>
      <c r="C21" s="5">
        <v>1</v>
      </c>
      <c r="D21" s="6">
        <v>40666.486111111109</v>
      </c>
      <c r="E21" s="8">
        <v>0.85</v>
      </c>
      <c r="F21" s="5">
        <v>15048</v>
      </c>
      <c r="G21" s="5" t="s">
        <v>8</v>
      </c>
      <c r="H21" s="5">
        <f t="shared" si="0"/>
        <v>1</v>
      </c>
      <c r="I21" s="5">
        <f t="shared" si="1"/>
        <v>0.85</v>
      </c>
      <c r="L21" s="19" t="s">
        <v>68</v>
      </c>
      <c r="M21" s="22">
        <f>M18+1.5*M19</f>
        <v>55.5</v>
      </c>
      <c r="N21" s="19">
        <f>N18+1.5*N20</f>
        <v>1.5062500000000001</v>
      </c>
    </row>
    <row r="22" spans="1:14" x14ac:dyDescent="0.35">
      <c r="A22" s="5">
        <v>552269</v>
      </c>
      <c r="B22" s="5">
        <v>10125</v>
      </c>
      <c r="C22" s="5">
        <v>1</v>
      </c>
      <c r="D22" s="6">
        <v>40671.494444444441</v>
      </c>
      <c r="E22" s="8">
        <v>0.85</v>
      </c>
      <c r="F22" s="5">
        <v>16121</v>
      </c>
      <c r="G22" s="5" t="s">
        <v>8</v>
      </c>
      <c r="H22" s="5">
        <f t="shared" si="0"/>
        <v>1</v>
      </c>
      <c r="I22" s="5">
        <f t="shared" si="1"/>
        <v>0.85</v>
      </c>
      <c r="L22" s="19" t="s">
        <v>76</v>
      </c>
      <c r="M22" s="20">
        <f>MEDIAN(C:C)</f>
        <v>12</v>
      </c>
      <c r="N22" s="23">
        <f>MEDIAN(E:E)</f>
        <v>0.83</v>
      </c>
    </row>
    <row r="23" spans="1:14" x14ac:dyDescent="0.35">
      <c r="A23" s="5">
        <v>553385</v>
      </c>
      <c r="B23" s="5">
        <v>10125</v>
      </c>
      <c r="C23" s="5">
        <v>1</v>
      </c>
      <c r="D23" s="6">
        <v>40679.661805555559</v>
      </c>
      <c r="E23" s="8">
        <v>0.85</v>
      </c>
      <c r="F23" s="5">
        <v>16710</v>
      </c>
      <c r="G23" s="5" t="s">
        <v>8</v>
      </c>
      <c r="H23" s="5">
        <f t="shared" si="0"/>
        <v>1</v>
      </c>
      <c r="I23" s="5">
        <f t="shared" si="1"/>
        <v>0.85</v>
      </c>
    </row>
    <row r="24" spans="1:14" x14ac:dyDescent="0.35">
      <c r="A24" s="5">
        <v>554117</v>
      </c>
      <c r="B24" s="5">
        <v>10125</v>
      </c>
      <c r="C24" s="5">
        <v>1</v>
      </c>
      <c r="D24" s="6">
        <v>40685.633333333331</v>
      </c>
      <c r="E24" s="8">
        <v>0.85</v>
      </c>
      <c r="F24" s="5">
        <v>13758</v>
      </c>
      <c r="G24" s="5" t="s">
        <v>8</v>
      </c>
      <c r="H24" s="5">
        <f t="shared" si="0"/>
        <v>1</v>
      </c>
      <c r="I24" s="5">
        <f t="shared" si="1"/>
        <v>0.85</v>
      </c>
      <c r="L24" s="7" t="s">
        <v>1333</v>
      </c>
    </row>
    <row r="25" spans="1:14" x14ac:dyDescent="0.35">
      <c r="A25" s="5">
        <v>555579</v>
      </c>
      <c r="B25" s="5">
        <v>10125</v>
      </c>
      <c r="C25" s="5">
        <v>1</v>
      </c>
      <c r="D25" s="6">
        <v>40699.668055555558</v>
      </c>
      <c r="E25" s="8">
        <v>0.85</v>
      </c>
      <c r="F25" s="5">
        <v>13983</v>
      </c>
      <c r="G25" s="5" t="s">
        <v>8</v>
      </c>
      <c r="H25" s="5">
        <f t="shared" si="0"/>
        <v>1</v>
      </c>
      <c r="I25" s="5">
        <f t="shared" si="1"/>
        <v>0.85</v>
      </c>
      <c r="L25" s="7" t="s">
        <v>1334</v>
      </c>
    </row>
    <row r="26" spans="1:14" x14ac:dyDescent="0.35">
      <c r="A26" s="5">
        <v>558700</v>
      </c>
      <c r="B26" s="5">
        <v>10125</v>
      </c>
      <c r="C26" s="5">
        <v>1</v>
      </c>
      <c r="D26" s="6">
        <v>40725.522916666669</v>
      </c>
      <c r="E26" s="8">
        <v>0.85</v>
      </c>
      <c r="F26" s="5">
        <v>17920</v>
      </c>
      <c r="G26" s="5" t="s">
        <v>8</v>
      </c>
      <c r="H26" s="5">
        <f t="shared" si="0"/>
        <v>1</v>
      </c>
      <c r="I26" s="5">
        <f t="shared" si="1"/>
        <v>0.85</v>
      </c>
    </row>
    <row r="27" spans="1:14" x14ac:dyDescent="0.35">
      <c r="A27" s="5">
        <v>558860</v>
      </c>
      <c r="B27" s="5">
        <v>10125</v>
      </c>
      <c r="C27" s="5">
        <v>1</v>
      </c>
      <c r="D27" s="6">
        <v>40728.512499999997</v>
      </c>
      <c r="E27" s="8">
        <v>0.85</v>
      </c>
      <c r="F27" s="5">
        <v>17975</v>
      </c>
      <c r="G27" s="5" t="s">
        <v>8</v>
      </c>
      <c r="H27" s="5">
        <f t="shared" si="0"/>
        <v>1</v>
      </c>
      <c r="I27" s="5">
        <f t="shared" si="1"/>
        <v>0.85</v>
      </c>
    </row>
    <row r="28" spans="1:14" x14ac:dyDescent="0.35">
      <c r="A28" s="5">
        <v>559337</v>
      </c>
      <c r="B28" s="5">
        <v>10125</v>
      </c>
      <c r="C28" s="5">
        <v>1</v>
      </c>
      <c r="D28" s="6">
        <v>40731.685416666667</v>
      </c>
      <c r="E28" s="8">
        <v>1.63</v>
      </c>
      <c r="F28" s="11" t="s">
        <v>1331</v>
      </c>
      <c r="G28" s="5" t="s">
        <v>8</v>
      </c>
      <c r="H28" s="5">
        <f t="shared" si="0"/>
        <v>1</v>
      </c>
      <c r="I28" s="5">
        <f t="shared" si="1"/>
        <v>1.63</v>
      </c>
    </row>
    <row r="29" spans="1:14" x14ac:dyDescent="0.35">
      <c r="A29" s="5">
        <v>570187</v>
      </c>
      <c r="B29" s="5">
        <v>10125</v>
      </c>
      <c r="C29" s="5">
        <v>1</v>
      </c>
      <c r="D29" s="6">
        <v>40823.631249999999</v>
      </c>
      <c r="E29" s="8">
        <v>1.63</v>
      </c>
      <c r="F29" s="11" t="s">
        <v>1331</v>
      </c>
      <c r="G29" s="5" t="s">
        <v>8</v>
      </c>
      <c r="H29" s="5">
        <f t="shared" si="0"/>
        <v>1</v>
      </c>
      <c r="I29" s="5">
        <f t="shared" si="1"/>
        <v>1.63</v>
      </c>
    </row>
    <row r="30" spans="1:14" x14ac:dyDescent="0.35">
      <c r="A30" s="5">
        <v>570458</v>
      </c>
      <c r="B30" s="5">
        <v>10080</v>
      </c>
      <c r="C30" s="5">
        <v>1</v>
      </c>
      <c r="D30" s="6">
        <v>40826.652083333334</v>
      </c>
      <c r="E30" s="8">
        <v>500</v>
      </c>
      <c r="F30" s="5">
        <v>14535</v>
      </c>
      <c r="G30" s="5" t="s">
        <v>8</v>
      </c>
      <c r="H30" s="5">
        <f t="shared" si="0"/>
        <v>1</v>
      </c>
      <c r="I30" s="5">
        <f t="shared" si="1"/>
        <v>500</v>
      </c>
    </row>
    <row r="31" spans="1:14" x14ac:dyDescent="0.35">
      <c r="A31" s="5">
        <v>573029</v>
      </c>
      <c r="B31" s="5">
        <v>16011</v>
      </c>
      <c r="C31" s="5">
        <v>1</v>
      </c>
      <c r="D31" s="6">
        <v>40843.564583333333</v>
      </c>
      <c r="E31" s="8">
        <v>0.21</v>
      </c>
      <c r="F31" s="5">
        <v>14971</v>
      </c>
      <c r="G31" s="5" t="s">
        <v>8</v>
      </c>
      <c r="H31" s="5">
        <f t="shared" si="0"/>
        <v>1</v>
      </c>
      <c r="I31" s="5">
        <f t="shared" si="1"/>
        <v>0.21</v>
      </c>
    </row>
    <row r="32" spans="1:14" x14ac:dyDescent="0.35">
      <c r="A32" s="5">
        <v>536876</v>
      </c>
      <c r="B32" s="5">
        <v>10002</v>
      </c>
      <c r="C32" s="5">
        <v>2</v>
      </c>
      <c r="D32" s="6">
        <v>40515.48333333333</v>
      </c>
      <c r="E32" s="8">
        <v>1.66</v>
      </c>
      <c r="F32" s="11" t="s">
        <v>1331</v>
      </c>
      <c r="G32" s="5" t="s">
        <v>8</v>
      </c>
      <c r="H32" s="5">
        <f t="shared" si="0"/>
        <v>2</v>
      </c>
      <c r="I32" s="5">
        <f t="shared" si="1"/>
        <v>1.66</v>
      </c>
    </row>
    <row r="33" spans="1:9" x14ac:dyDescent="0.35">
      <c r="A33" s="5">
        <v>537374</v>
      </c>
      <c r="B33" s="5">
        <v>10133</v>
      </c>
      <c r="C33" s="5">
        <v>2</v>
      </c>
      <c r="D33" s="6">
        <v>40518.538194444445</v>
      </c>
      <c r="E33" s="8">
        <v>0.85</v>
      </c>
      <c r="F33" s="5">
        <v>17259</v>
      </c>
      <c r="G33" s="5" t="s">
        <v>8</v>
      </c>
      <c r="H33" s="5">
        <f t="shared" ref="H33:H64" si="2">IF(ISBLANK(C33), $M$2, C33)</f>
        <v>2</v>
      </c>
      <c r="I33" s="5">
        <f t="shared" ref="I33:I64" si="3">IF(ISBLANK(E33), $M$3, E33)</f>
        <v>0.85</v>
      </c>
    </row>
    <row r="34" spans="1:9" x14ac:dyDescent="0.35">
      <c r="A34" s="5">
        <v>538064</v>
      </c>
      <c r="B34" s="5">
        <v>10133</v>
      </c>
      <c r="C34" s="5">
        <v>2</v>
      </c>
      <c r="D34" s="6">
        <v>40521.574305555558</v>
      </c>
      <c r="E34" s="8">
        <v>0.85</v>
      </c>
      <c r="F34" s="5">
        <v>15271</v>
      </c>
      <c r="G34" s="5" t="s">
        <v>8</v>
      </c>
      <c r="H34" s="5">
        <f t="shared" si="2"/>
        <v>2</v>
      </c>
      <c r="I34" s="5">
        <f t="shared" si="3"/>
        <v>0.85</v>
      </c>
    </row>
    <row r="35" spans="1:9" x14ac:dyDescent="0.35">
      <c r="A35" s="5">
        <v>545060</v>
      </c>
      <c r="B35" s="5">
        <v>10080</v>
      </c>
      <c r="C35" s="5">
        <v>2</v>
      </c>
      <c r="D35" s="6">
        <v>40601.574305555558</v>
      </c>
      <c r="E35" s="8">
        <v>0.85</v>
      </c>
      <c r="F35" s="5">
        <v>15547</v>
      </c>
      <c r="G35" s="5" t="s">
        <v>8</v>
      </c>
      <c r="H35" s="5">
        <f t="shared" si="2"/>
        <v>2</v>
      </c>
      <c r="I35" s="5">
        <f t="shared" si="3"/>
        <v>0.85</v>
      </c>
    </row>
    <row r="36" spans="1:9" x14ac:dyDescent="0.35">
      <c r="A36" s="5">
        <v>550458</v>
      </c>
      <c r="B36" s="5">
        <v>15036</v>
      </c>
      <c r="C36" s="5">
        <v>2</v>
      </c>
      <c r="D36" s="6">
        <v>40651.550694444442</v>
      </c>
      <c r="E36" s="8">
        <v>1.63</v>
      </c>
      <c r="F36" s="11" t="s">
        <v>1331</v>
      </c>
      <c r="G36" s="5" t="s">
        <v>8</v>
      </c>
      <c r="H36" s="5">
        <f t="shared" si="2"/>
        <v>2</v>
      </c>
      <c r="I36" s="5">
        <f t="shared" si="3"/>
        <v>1.63</v>
      </c>
    </row>
    <row r="37" spans="1:9" x14ac:dyDescent="0.35">
      <c r="A37" s="5">
        <v>550474</v>
      </c>
      <c r="B37" s="5">
        <v>15036</v>
      </c>
      <c r="C37" s="5">
        <v>2</v>
      </c>
      <c r="D37" s="6">
        <v>40651.581944444442</v>
      </c>
      <c r="E37" s="8">
        <v>1.63</v>
      </c>
      <c r="F37" s="11" t="s">
        <v>1331</v>
      </c>
      <c r="G37" s="5" t="s">
        <v>8</v>
      </c>
      <c r="H37" s="5">
        <f t="shared" si="2"/>
        <v>2</v>
      </c>
      <c r="I37" s="5">
        <f t="shared" si="3"/>
        <v>1.63</v>
      </c>
    </row>
    <row r="38" spans="1:9" x14ac:dyDescent="0.35">
      <c r="A38" s="5">
        <v>557938</v>
      </c>
      <c r="B38" s="5">
        <v>10125</v>
      </c>
      <c r="C38" s="5">
        <v>2</v>
      </c>
      <c r="D38" s="6">
        <v>40717.649305555555</v>
      </c>
      <c r="E38" s="8">
        <v>1.63</v>
      </c>
      <c r="F38" s="11" t="s">
        <v>1331</v>
      </c>
      <c r="G38" s="5" t="s">
        <v>8</v>
      </c>
      <c r="H38" s="5">
        <f t="shared" si="2"/>
        <v>2</v>
      </c>
      <c r="I38" s="5">
        <f t="shared" si="3"/>
        <v>1.63</v>
      </c>
    </row>
    <row r="39" spans="1:9" x14ac:dyDescent="0.35">
      <c r="A39" s="5">
        <v>574530</v>
      </c>
      <c r="B39" s="5">
        <v>10125</v>
      </c>
      <c r="C39" s="5">
        <v>2</v>
      </c>
      <c r="D39" s="6">
        <v>40851.588194444441</v>
      </c>
      <c r="E39" s="8">
        <v>0.85</v>
      </c>
      <c r="F39" s="5">
        <v>16887</v>
      </c>
      <c r="G39" s="5" t="s">
        <v>8</v>
      </c>
      <c r="H39" s="5">
        <f t="shared" si="2"/>
        <v>2</v>
      </c>
      <c r="I39" s="5">
        <f t="shared" si="3"/>
        <v>0.85</v>
      </c>
    </row>
    <row r="40" spans="1:9" x14ac:dyDescent="0.35">
      <c r="A40" s="5">
        <v>537155</v>
      </c>
      <c r="B40" s="5">
        <v>10133</v>
      </c>
      <c r="C40" s="5">
        <v>3</v>
      </c>
      <c r="D40" s="6">
        <v>40517.545138888891</v>
      </c>
      <c r="E40" s="8">
        <v>0.85</v>
      </c>
      <c r="F40" s="5">
        <v>12748</v>
      </c>
      <c r="G40" s="5" t="s">
        <v>8</v>
      </c>
      <c r="H40" s="5">
        <f t="shared" si="2"/>
        <v>3</v>
      </c>
      <c r="I40" s="5">
        <f t="shared" si="3"/>
        <v>0.85</v>
      </c>
    </row>
    <row r="41" spans="1:9" x14ac:dyDescent="0.35">
      <c r="A41" s="5">
        <v>540418</v>
      </c>
      <c r="B41" s="5">
        <v>10133</v>
      </c>
      <c r="C41" s="5">
        <v>3</v>
      </c>
      <c r="D41" s="6">
        <v>40550.461111111108</v>
      </c>
      <c r="E41" s="8">
        <v>0.81</v>
      </c>
      <c r="F41" s="11" t="s">
        <v>1331</v>
      </c>
      <c r="G41" s="5" t="s">
        <v>8</v>
      </c>
      <c r="H41" s="5">
        <f t="shared" si="2"/>
        <v>3</v>
      </c>
      <c r="I41" s="5">
        <f t="shared" si="3"/>
        <v>0.81</v>
      </c>
    </row>
    <row r="42" spans="1:9" x14ac:dyDescent="0.35">
      <c r="A42" s="5">
        <v>540821</v>
      </c>
      <c r="B42" s="5">
        <v>10133</v>
      </c>
      <c r="C42" s="5">
        <v>3</v>
      </c>
      <c r="D42" s="6">
        <v>40554.552777777775</v>
      </c>
      <c r="E42" s="8">
        <v>0.81</v>
      </c>
      <c r="F42" s="11" t="s">
        <v>1331</v>
      </c>
      <c r="G42" s="5" t="s">
        <v>8</v>
      </c>
      <c r="H42" s="5">
        <f t="shared" si="2"/>
        <v>3</v>
      </c>
      <c r="I42" s="5">
        <f t="shared" si="3"/>
        <v>0.81</v>
      </c>
    </row>
    <row r="43" spans="1:9" x14ac:dyDescent="0.35">
      <c r="A43" s="5">
        <v>549538</v>
      </c>
      <c r="B43" s="5">
        <v>15036</v>
      </c>
      <c r="C43" s="5">
        <v>3</v>
      </c>
      <c r="D43" s="6">
        <v>40641.725694444445</v>
      </c>
      <c r="E43" s="8">
        <v>0.83</v>
      </c>
      <c r="F43" s="5">
        <v>17961</v>
      </c>
      <c r="G43" s="5" t="s">
        <v>8</v>
      </c>
      <c r="H43" s="5">
        <f t="shared" si="2"/>
        <v>3</v>
      </c>
      <c r="I43" s="5">
        <f t="shared" si="3"/>
        <v>0.83</v>
      </c>
    </row>
    <row r="44" spans="1:9" x14ac:dyDescent="0.35">
      <c r="A44" s="5">
        <v>550471</v>
      </c>
      <c r="B44" s="5">
        <v>15036</v>
      </c>
      <c r="C44" s="5">
        <v>3</v>
      </c>
      <c r="D44" s="6">
        <v>40651.577777777777</v>
      </c>
      <c r="E44" s="8">
        <v>1.63</v>
      </c>
      <c r="F44" s="11" t="s">
        <v>1331</v>
      </c>
      <c r="G44" s="5" t="s">
        <v>8</v>
      </c>
      <c r="H44" s="5">
        <f t="shared" si="2"/>
        <v>3</v>
      </c>
      <c r="I44" s="5">
        <f t="shared" si="3"/>
        <v>1.63</v>
      </c>
    </row>
    <row r="45" spans="1:9" x14ac:dyDescent="0.35">
      <c r="A45" s="5">
        <v>552310</v>
      </c>
      <c r="B45" s="5">
        <v>10125</v>
      </c>
      <c r="C45" s="5">
        <v>3</v>
      </c>
      <c r="D45" s="6">
        <v>40671.640277777777</v>
      </c>
      <c r="E45" s="8">
        <v>0.85</v>
      </c>
      <c r="F45" s="5">
        <v>17323</v>
      </c>
      <c r="G45" s="5" t="s">
        <v>8</v>
      </c>
      <c r="H45" s="5">
        <f t="shared" si="2"/>
        <v>3</v>
      </c>
      <c r="I45" s="5">
        <f t="shared" si="3"/>
        <v>0.85</v>
      </c>
    </row>
    <row r="46" spans="1:9" x14ac:dyDescent="0.35">
      <c r="A46" s="5">
        <v>558700</v>
      </c>
      <c r="B46" s="5">
        <v>10125</v>
      </c>
      <c r="C46" s="5">
        <v>3</v>
      </c>
      <c r="D46" s="6">
        <v>40725.522916666669</v>
      </c>
      <c r="E46" s="8">
        <v>0.85</v>
      </c>
      <c r="F46" s="5">
        <v>17920</v>
      </c>
      <c r="G46" s="5" t="s">
        <v>8</v>
      </c>
      <c r="H46" s="5">
        <f t="shared" si="2"/>
        <v>3</v>
      </c>
      <c r="I46" s="5">
        <f t="shared" si="3"/>
        <v>0.85</v>
      </c>
    </row>
    <row r="47" spans="1:9" x14ac:dyDescent="0.35">
      <c r="A47" s="5">
        <v>569897</v>
      </c>
      <c r="B47" s="5">
        <v>10125</v>
      </c>
      <c r="C47" s="5">
        <v>3</v>
      </c>
      <c r="D47" s="6">
        <v>40822.667361111111</v>
      </c>
      <c r="E47" s="8">
        <v>0.85</v>
      </c>
      <c r="F47" s="5">
        <v>17813</v>
      </c>
      <c r="G47" s="5" t="s">
        <v>8</v>
      </c>
      <c r="H47" s="5">
        <f t="shared" si="2"/>
        <v>3</v>
      </c>
      <c r="I47" s="5">
        <f t="shared" si="3"/>
        <v>0.85</v>
      </c>
    </row>
    <row r="48" spans="1:9" x14ac:dyDescent="0.35">
      <c r="A48" s="5">
        <v>571046</v>
      </c>
      <c r="B48" s="5">
        <v>10080</v>
      </c>
      <c r="C48" s="5">
        <v>3</v>
      </c>
      <c r="D48" s="6">
        <v>40829.565972222219</v>
      </c>
      <c r="E48" s="8">
        <v>0.39</v>
      </c>
      <c r="F48" s="5">
        <v>18096</v>
      </c>
      <c r="G48" s="5" t="s">
        <v>8</v>
      </c>
      <c r="H48" s="5">
        <f t="shared" si="2"/>
        <v>3</v>
      </c>
      <c r="I48" s="5">
        <f t="shared" si="3"/>
        <v>0.39</v>
      </c>
    </row>
    <row r="49" spans="1:9" x14ac:dyDescent="0.35">
      <c r="A49" s="5">
        <v>541104</v>
      </c>
      <c r="B49" s="5">
        <v>10133</v>
      </c>
      <c r="C49" s="5">
        <v>4</v>
      </c>
      <c r="D49" s="6">
        <v>40556.603472222225</v>
      </c>
      <c r="E49" s="8">
        <v>0.79</v>
      </c>
      <c r="F49" s="11" t="s">
        <v>1331</v>
      </c>
      <c r="G49" s="5" t="s">
        <v>8</v>
      </c>
      <c r="H49" s="5">
        <f t="shared" si="2"/>
        <v>4</v>
      </c>
      <c r="I49" s="5">
        <f t="shared" si="3"/>
        <v>0.79</v>
      </c>
    </row>
    <row r="50" spans="1:9" x14ac:dyDescent="0.35">
      <c r="A50" s="5">
        <v>546892</v>
      </c>
      <c r="B50" s="5">
        <v>15036</v>
      </c>
      <c r="C50" s="5">
        <v>4</v>
      </c>
      <c r="D50" s="6">
        <v>40619.763888888891</v>
      </c>
      <c r="E50" s="8">
        <v>1.63</v>
      </c>
      <c r="F50" s="11" t="s">
        <v>1331</v>
      </c>
      <c r="G50" s="5" t="s">
        <v>8</v>
      </c>
      <c r="H50" s="5">
        <f t="shared" si="2"/>
        <v>4</v>
      </c>
      <c r="I50" s="5">
        <f t="shared" si="3"/>
        <v>1.63</v>
      </c>
    </row>
    <row r="51" spans="1:9" x14ac:dyDescent="0.35">
      <c r="A51" s="5">
        <v>547967</v>
      </c>
      <c r="B51" s="5">
        <v>15036</v>
      </c>
      <c r="C51" s="5">
        <v>4</v>
      </c>
      <c r="D51" s="6">
        <v>40630.65902777778</v>
      </c>
      <c r="E51" s="8">
        <v>1.63</v>
      </c>
      <c r="F51" s="11" t="s">
        <v>1331</v>
      </c>
      <c r="G51" s="5" t="s">
        <v>8</v>
      </c>
      <c r="H51" s="5">
        <f t="shared" si="2"/>
        <v>4</v>
      </c>
      <c r="I51" s="5">
        <f t="shared" si="3"/>
        <v>1.63</v>
      </c>
    </row>
    <row r="52" spans="1:9" x14ac:dyDescent="0.35">
      <c r="A52" s="5">
        <v>550470</v>
      </c>
      <c r="B52" s="5">
        <v>15036</v>
      </c>
      <c r="C52" s="5">
        <v>4</v>
      </c>
      <c r="D52" s="6">
        <v>40651.575694444444</v>
      </c>
      <c r="E52" s="8">
        <v>1.63</v>
      </c>
      <c r="F52" s="11" t="s">
        <v>1331</v>
      </c>
      <c r="G52" s="5" t="s">
        <v>8</v>
      </c>
      <c r="H52" s="5">
        <f t="shared" si="2"/>
        <v>4</v>
      </c>
      <c r="I52" s="5">
        <f t="shared" si="3"/>
        <v>1.63</v>
      </c>
    </row>
    <row r="53" spans="1:9" x14ac:dyDescent="0.35">
      <c r="A53" s="5">
        <v>536446</v>
      </c>
      <c r="B53" s="5">
        <v>10133</v>
      </c>
      <c r="C53" s="5">
        <v>5</v>
      </c>
      <c r="D53" s="6">
        <v>40513.510416666664</v>
      </c>
      <c r="E53" s="8">
        <v>0.85</v>
      </c>
      <c r="F53" s="5">
        <v>15983</v>
      </c>
      <c r="G53" s="5" t="s">
        <v>8</v>
      </c>
      <c r="H53" s="5">
        <f t="shared" si="2"/>
        <v>5</v>
      </c>
      <c r="I53" s="5">
        <f t="shared" si="3"/>
        <v>0.85</v>
      </c>
    </row>
    <row r="54" spans="1:9" x14ac:dyDescent="0.35">
      <c r="A54" s="5">
        <v>537638</v>
      </c>
      <c r="B54" s="5">
        <v>10002</v>
      </c>
      <c r="C54" s="5">
        <v>5</v>
      </c>
      <c r="D54" s="6">
        <v>40519.644444444442</v>
      </c>
      <c r="E54" s="8">
        <v>1.66</v>
      </c>
      <c r="F54" s="11" t="s">
        <v>1331</v>
      </c>
      <c r="G54" s="5" t="s">
        <v>8</v>
      </c>
      <c r="H54" s="5">
        <f t="shared" si="2"/>
        <v>5</v>
      </c>
      <c r="I54" s="5">
        <f t="shared" si="3"/>
        <v>1.66</v>
      </c>
    </row>
    <row r="55" spans="1:9" x14ac:dyDescent="0.35">
      <c r="A55" s="5">
        <v>540468</v>
      </c>
      <c r="B55" s="5">
        <v>10133</v>
      </c>
      <c r="C55" s="5">
        <v>5</v>
      </c>
      <c r="D55" s="10">
        <v>40550</v>
      </c>
      <c r="E55" s="8">
        <v>0.81</v>
      </c>
      <c r="F55" s="11" t="s">
        <v>1331</v>
      </c>
      <c r="G55" s="5" t="s">
        <v>8</v>
      </c>
      <c r="H55" s="5">
        <f t="shared" si="2"/>
        <v>5</v>
      </c>
      <c r="I55" s="5">
        <f t="shared" si="3"/>
        <v>0.81</v>
      </c>
    </row>
    <row r="56" spans="1:9" x14ac:dyDescent="0.35">
      <c r="A56" s="5">
        <v>550542</v>
      </c>
      <c r="B56" s="5">
        <v>15036</v>
      </c>
      <c r="C56" s="5">
        <v>5</v>
      </c>
      <c r="D56" s="6">
        <v>40652.484027777777</v>
      </c>
      <c r="E56" s="8">
        <v>1.63</v>
      </c>
      <c r="F56" s="11" t="s">
        <v>1331</v>
      </c>
      <c r="G56" s="5" t="s">
        <v>8</v>
      </c>
      <c r="H56" s="5">
        <f t="shared" si="2"/>
        <v>5</v>
      </c>
      <c r="I56" s="5">
        <f t="shared" si="3"/>
        <v>1.63</v>
      </c>
    </row>
    <row r="57" spans="1:9" x14ac:dyDescent="0.35">
      <c r="A57" s="5">
        <v>559536</v>
      </c>
      <c r="B57" s="5">
        <v>10125</v>
      </c>
      <c r="C57" s="5">
        <v>5</v>
      </c>
      <c r="D57" s="6">
        <v>40734.511805555558</v>
      </c>
      <c r="E57" s="8">
        <v>0.85</v>
      </c>
      <c r="F57" s="5">
        <v>16283</v>
      </c>
      <c r="G57" s="5" t="s">
        <v>8</v>
      </c>
      <c r="H57" s="5">
        <f t="shared" si="2"/>
        <v>5</v>
      </c>
      <c r="I57" s="5">
        <f t="shared" si="3"/>
        <v>0.85</v>
      </c>
    </row>
    <row r="58" spans="1:9" x14ac:dyDescent="0.35">
      <c r="A58" s="5">
        <v>559984</v>
      </c>
      <c r="B58" s="5">
        <v>10125</v>
      </c>
      <c r="C58" s="5">
        <v>5</v>
      </c>
      <c r="D58" s="6">
        <v>40738.489583333336</v>
      </c>
      <c r="E58" s="8">
        <v>0.85</v>
      </c>
      <c r="F58" s="5">
        <v>16657</v>
      </c>
      <c r="G58" s="5" t="s">
        <v>8</v>
      </c>
      <c r="H58" s="5">
        <f t="shared" si="2"/>
        <v>5</v>
      </c>
      <c r="I58" s="5">
        <f t="shared" si="3"/>
        <v>0.85</v>
      </c>
    </row>
    <row r="59" spans="1:9" x14ac:dyDescent="0.35">
      <c r="A59" s="5">
        <v>564300</v>
      </c>
      <c r="B59" s="5">
        <v>10125</v>
      </c>
      <c r="C59" s="5">
        <v>5</v>
      </c>
      <c r="D59" s="6">
        <v>40779.479861111111</v>
      </c>
      <c r="E59" s="8">
        <v>0.85</v>
      </c>
      <c r="F59" s="5">
        <v>16723</v>
      </c>
      <c r="G59" s="5" t="s">
        <v>8</v>
      </c>
      <c r="H59" s="5">
        <f t="shared" si="2"/>
        <v>5</v>
      </c>
      <c r="I59" s="5">
        <f t="shared" si="3"/>
        <v>0.85</v>
      </c>
    </row>
    <row r="60" spans="1:9" x14ac:dyDescent="0.35">
      <c r="A60" s="5">
        <v>539958</v>
      </c>
      <c r="B60" s="5">
        <v>10133</v>
      </c>
      <c r="C60" s="5">
        <v>6</v>
      </c>
      <c r="D60" s="6">
        <v>40535.55972222222</v>
      </c>
      <c r="E60" s="8">
        <v>0.81</v>
      </c>
      <c r="F60" s="11" t="s">
        <v>1331</v>
      </c>
      <c r="G60" s="5" t="s">
        <v>8</v>
      </c>
      <c r="H60" s="5">
        <f t="shared" si="2"/>
        <v>6</v>
      </c>
      <c r="I60" s="5">
        <f t="shared" si="3"/>
        <v>0.81</v>
      </c>
    </row>
    <row r="61" spans="1:9" x14ac:dyDescent="0.35">
      <c r="A61" s="5">
        <v>540646</v>
      </c>
      <c r="B61" s="5">
        <v>10133</v>
      </c>
      <c r="C61" s="5">
        <v>6</v>
      </c>
      <c r="D61" s="6">
        <v>40553.605555555558</v>
      </c>
      <c r="E61" s="8">
        <v>0.81</v>
      </c>
      <c r="F61" s="11" t="s">
        <v>1331</v>
      </c>
      <c r="G61" s="5" t="s">
        <v>8</v>
      </c>
      <c r="H61" s="5">
        <f t="shared" si="2"/>
        <v>6</v>
      </c>
      <c r="I61" s="5">
        <f t="shared" si="3"/>
        <v>0.81</v>
      </c>
    </row>
    <row r="62" spans="1:9" x14ac:dyDescent="0.35">
      <c r="A62" s="5">
        <v>547386</v>
      </c>
      <c r="B62" s="5">
        <v>15036</v>
      </c>
      <c r="C62" s="5">
        <v>6</v>
      </c>
      <c r="D62" s="6">
        <v>40624.661111111112</v>
      </c>
      <c r="E62" s="8">
        <v>1.63</v>
      </c>
      <c r="F62" s="11" t="s">
        <v>1331</v>
      </c>
      <c r="G62" s="5" t="s">
        <v>8</v>
      </c>
      <c r="H62" s="5">
        <f t="shared" si="2"/>
        <v>6</v>
      </c>
      <c r="I62" s="5">
        <f t="shared" si="3"/>
        <v>1.63</v>
      </c>
    </row>
    <row r="63" spans="1:9" x14ac:dyDescent="0.35">
      <c r="A63" s="5">
        <v>548893</v>
      </c>
      <c r="B63" s="5">
        <v>15036</v>
      </c>
      <c r="C63" s="5">
        <v>6</v>
      </c>
      <c r="D63" s="6">
        <v>40637.662499999999</v>
      </c>
      <c r="E63" s="8">
        <v>1.63</v>
      </c>
      <c r="F63" s="11" t="s">
        <v>1331</v>
      </c>
      <c r="G63" s="5" t="s">
        <v>8</v>
      </c>
      <c r="H63" s="5">
        <f t="shared" si="2"/>
        <v>6</v>
      </c>
      <c r="I63" s="5">
        <f t="shared" si="3"/>
        <v>1.63</v>
      </c>
    </row>
    <row r="64" spans="1:9" x14ac:dyDescent="0.35">
      <c r="A64" s="5">
        <v>540848</v>
      </c>
      <c r="B64" s="5">
        <v>10133</v>
      </c>
      <c r="C64" s="5">
        <v>7</v>
      </c>
      <c r="D64" s="6">
        <v>40555.393055555556</v>
      </c>
      <c r="E64" s="8">
        <v>0.81</v>
      </c>
      <c r="F64" s="11" t="s">
        <v>1331</v>
      </c>
      <c r="G64" s="5" t="s">
        <v>8</v>
      </c>
      <c r="H64" s="5">
        <f t="shared" si="2"/>
        <v>7</v>
      </c>
      <c r="I64" s="5">
        <f t="shared" si="3"/>
        <v>0.81</v>
      </c>
    </row>
    <row r="65" spans="1:9" x14ac:dyDescent="0.35">
      <c r="A65" s="5">
        <v>569223</v>
      </c>
      <c r="B65" s="5">
        <v>10125</v>
      </c>
      <c r="C65" s="5">
        <v>7</v>
      </c>
      <c r="D65" s="6">
        <v>40818.575694444444</v>
      </c>
      <c r="E65" s="8">
        <v>0.85</v>
      </c>
      <c r="F65" s="5">
        <v>16283</v>
      </c>
      <c r="G65" s="5" t="s">
        <v>8</v>
      </c>
      <c r="H65" s="5">
        <f t="shared" ref="H65:H96" si="4">IF(ISBLANK(C65), $M$2, C65)</f>
        <v>7</v>
      </c>
      <c r="I65" s="5">
        <f t="shared" ref="I65:I96" si="5">IF(ISBLANK(E65), $M$3, E65)</f>
        <v>0.85</v>
      </c>
    </row>
    <row r="66" spans="1:9" x14ac:dyDescent="0.35">
      <c r="A66" s="5">
        <v>537225</v>
      </c>
      <c r="B66" s="5">
        <v>10133</v>
      </c>
      <c r="C66" s="5">
        <v>10</v>
      </c>
      <c r="D66" s="10">
        <v>40517</v>
      </c>
      <c r="E66" s="8">
        <v>0.85</v>
      </c>
      <c r="F66" s="5">
        <v>12748</v>
      </c>
      <c r="G66" s="5" t="s">
        <v>8</v>
      </c>
      <c r="H66" s="5">
        <f t="shared" si="4"/>
        <v>10</v>
      </c>
      <c r="I66" s="5">
        <f t="shared" si="5"/>
        <v>0.85</v>
      </c>
    </row>
    <row r="67" spans="1:9" x14ac:dyDescent="0.35">
      <c r="A67" s="5">
        <v>538070</v>
      </c>
      <c r="B67" s="5">
        <v>10133</v>
      </c>
      <c r="C67" s="5">
        <v>10</v>
      </c>
      <c r="D67" s="6">
        <v>40521.588888888888</v>
      </c>
      <c r="E67" s="8">
        <v>0.85</v>
      </c>
      <c r="F67" s="5">
        <v>16519</v>
      </c>
      <c r="G67" s="5" t="s">
        <v>8</v>
      </c>
      <c r="H67" s="5">
        <f t="shared" si="4"/>
        <v>10</v>
      </c>
      <c r="I67" s="5">
        <f t="shared" si="5"/>
        <v>0.85</v>
      </c>
    </row>
    <row r="68" spans="1:9" x14ac:dyDescent="0.35">
      <c r="A68" s="5">
        <v>539222</v>
      </c>
      <c r="B68" s="5">
        <v>10133</v>
      </c>
      <c r="C68" s="5">
        <v>10</v>
      </c>
      <c r="D68" s="6">
        <v>40528.541666666664</v>
      </c>
      <c r="E68" s="8">
        <v>0.85</v>
      </c>
      <c r="F68" s="5">
        <v>14621</v>
      </c>
      <c r="G68" s="11" t="s">
        <v>1331</v>
      </c>
      <c r="H68" s="5">
        <f t="shared" si="4"/>
        <v>10</v>
      </c>
      <c r="I68" s="5">
        <f t="shared" si="5"/>
        <v>0.85</v>
      </c>
    </row>
    <row r="69" spans="1:9" x14ac:dyDescent="0.35">
      <c r="A69" s="5">
        <v>539477</v>
      </c>
      <c r="B69" s="5">
        <v>10133</v>
      </c>
      <c r="C69" s="5">
        <v>10</v>
      </c>
      <c r="D69" s="6">
        <v>40531.623611111114</v>
      </c>
      <c r="E69" s="8">
        <v>0.85</v>
      </c>
      <c r="F69" s="5">
        <v>18245</v>
      </c>
      <c r="G69" s="5" t="s">
        <v>8</v>
      </c>
      <c r="H69" s="5">
        <f t="shared" si="4"/>
        <v>10</v>
      </c>
      <c r="I69" s="5">
        <f t="shared" si="5"/>
        <v>0.85</v>
      </c>
    </row>
    <row r="70" spans="1:9" x14ac:dyDescent="0.35">
      <c r="A70" s="5">
        <v>539933</v>
      </c>
      <c r="B70" s="5">
        <v>10133</v>
      </c>
      <c r="C70" s="5">
        <v>10</v>
      </c>
      <c r="D70" s="6">
        <v>40535.474999999999</v>
      </c>
      <c r="E70" s="8">
        <v>0.85</v>
      </c>
      <c r="F70" s="5">
        <v>15235</v>
      </c>
      <c r="G70" s="5" t="s">
        <v>8</v>
      </c>
      <c r="H70" s="5">
        <f t="shared" si="4"/>
        <v>10</v>
      </c>
      <c r="I70" s="5">
        <f t="shared" si="5"/>
        <v>0.85</v>
      </c>
    </row>
    <row r="71" spans="1:9" x14ac:dyDescent="0.35">
      <c r="A71" s="5">
        <v>547248</v>
      </c>
      <c r="B71" s="5">
        <v>15036</v>
      </c>
      <c r="C71" s="5">
        <v>11</v>
      </c>
      <c r="D71" s="6">
        <v>40624.390972222223</v>
      </c>
      <c r="E71" s="8">
        <v>1.63</v>
      </c>
      <c r="F71" s="11" t="s">
        <v>1331</v>
      </c>
      <c r="G71" s="5" t="s">
        <v>8</v>
      </c>
      <c r="H71" s="5">
        <f t="shared" si="4"/>
        <v>11</v>
      </c>
      <c r="I71" s="5">
        <f t="shared" si="5"/>
        <v>1.63</v>
      </c>
    </row>
    <row r="72" spans="1:9" x14ac:dyDescent="0.35">
      <c r="A72" s="5">
        <v>536382</v>
      </c>
      <c r="B72" s="5">
        <v>10002</v>
      </c>
      <c r="C72" s="5">
        <v>12</v>
      </c>
      <c r="D72" s="6">
        <v>40513.40625</v>
      </c>
      <c r="E72" s="8">
        <v>0.85</v>
      </c>
      <c r="F72" s="5">
        <v>16098</v>
      </c>
      <c r="G72" s="5" t="s">
        <v>8</v>
      </c>
      <c r="H72" s="5">
        <f t="shared" si="4"/>
        <v>12</v>
      </c>
      <c r="I72" s="5">
        <f t="shared" si="5"/>
        <v>0.85</v>
      </c>
    </row>
    <row r="73" spans="1:9" x14ac:dyDescent="0.35">
      <c r="A73" s="5">
        <v>541422</v>
      </c>
      <c r="B73" s="5">
        <v>10133</v>
      </c>
      <c r="C73" s="5">
        <v>12</v>
      </c>
      <c r="D73" s="6">
        <v>40560.741666666669</v>
      </c>
      <c r="E73" s="8">
        <v>0.79</v>
      </c>
      <c r="F73" s="11" t="s">
        <v>1331</v>
      </c>
      <c r="G73" s="5" t="s">
        <v>8</v>
      </c>
      <c r="H73" s="5">
        <f t="shared" si="4"/>
        <v>12</v>
      </c>
      <c r="I73" s="5">
        <f t="shared" si="5"/>
        <v>0.79</v>
      </c>
    </row>
    <row r="74" spans="1:9" x14ac:dyDescent="0.35">
      <c r="A74" s="5">
        <v>546429</v>
      </c>
      <c r="B74" s="5">
        <v>15036</v>
      </c>
      <c r="C74" s="5">
        <v>12</v>
      </c>
      <c r="D74" s="6">
        <v>40615.642361111109</v>
      </c>
      <c r="E74" s="8">
        <v>0.75</v>
      </c>
      <c r="F74" s="5">
        <v>17611</v>
      </c>
      <c r="G74" s="5" t="s">
        <v>8</v>
      </c>
      <c r="H74" s="5">
        <f t="shared" si="4"/>
        <v>12</v>
      </c>
      <c r="I74" s="5">
        <f t="shared" si="5"/>
        <v>0.75</v>
      </c>
    </row>
    <row r="75" spans="1:9" x14ac:dyDescent="0.35">
      <c r="A75" s="5">
        <v>546530</v>
      </c>
      <c r="B75" s="5">
        <v>15036</v>
      </c>
      <c r="C75" s="5">
        <v>12</v>
      </c>
      <c r="D75" s="6">
        <v>40616.559027777781</v>
      </c>
      <c r="E75" s="8">
        <v>0.75</v>
      </c>
      <c r="F75" s="5">
        <v>17404</v>
      </c>
      <c r="G75" s="5" t="s">
        <v>18</v>
      </c>
      <c r="H75" s="5">
        <f t="shared" si="4"/>
        <v>12</v>
      </c>
      <c r="I75" s="5">
        <f t="shared" si="5"/>
        <v>0.75</v>
      </c>
    </row>
    <row r="76" spans="1:9" x14ac:dyDescent="0.35">
      <c r="A76" s="5">
        <v>546731</v>
      </c>
      <c r="B76" s="5">
        <v>15036</v>
      </c>
      <c r="C76" s="5">
        <v>12</v>
      </c>
      <c r="D76" s="6">
        <v>40618.48541666667</v>
      </c>
      <c r="E76" s="8">
        <v>0.75</v>
      </c>
      <c r="F76" s="5">
        <v>13089</v>
      </c>
      <c r="G76" s="5" t="s">
        <v>8</v>
      </c>
      <c r="H76" s="5">
        <f t="shared" si="4"/>
        <v>12</v>
      </c>
      <c r="I76" s="5">
        <f t="shared" si="5"/>
        <v>0.75</v>
      </c>
    </row>
    <row r="77" spans="1:9" x14ac:dyDescent="0.35">
      <c r="A77" s="5">
        <v>546774</v>
      </c>
      <c r="B77" s="5">
        <v>15036</v>
      </c>
      <c r="C77" s="5">
        <v>12</v>
      </c>
      <c r="D77" s="6">
        <v>40618.65625</v>
      </c>
      <c r="E77" s="8">
        <v>0.75</v>
      </c>
      <c r="F77" s="5">
        <v>14505</v>
      </c>
      <c r="G77" s="5" t="s">
        <v>8</v>
      </c>
      <c r="H77" s="5">
        <f t="shared" si="4"/>
        <v>12</v>
      </c>
      <c r="I77" s="5">
        <f t="shared" si="5"/>
        <v>0.75</v>
      </c>
    </row>
    <row r="78" spans="1:9" x14ac:dyDescent="0.35">
      <c r="A78" s="5">
        <v>546891</v>
      </c>
      <c r="B78" s="5">
        <v>15036</v>
      </c>
      <c r="C78" s="5">
        <v>12</v>
      </c>
      <c r="D78" s="6">
        <v>40619.762499999997</v>
      </c>
      <c r="E78" s="8">
        <v>1.63</v>
      </c>
      <c r="F78" s="11" t="s">
        <v>1331</v>
      </c>
      <c r="G78" s="5" t="s">
        <v>8</v>
      </c>
      <c r="H78" s="5">
        <f t="shared" si="4"/>
        <v>12</v>
      </c>
      <c r="I78" s="5">
        <f t="shared" si="5"/>
        <v>1.63</v>
      </c>
    </row>
    <row r="79" spans="1:9" x14ac:dyDescent="0.35">
      <c r="A79" s="5">
        <v>547000</v>
      </c>
      <c r="B79" s="5">
        <v>15036</v>
      </c>
      <c r="C79" s="5">
        <v>12</v>
      </c>
      <c r="D79" s="6">
        <v>40620.57708333333</v>
      </c>
      <c r="E79" s="8">
        <v>0.75</v>
      </c>
      <c r="F79" s="5">
        <v>14282</v>
      </c>
      <c r="G79" s="5" t="s">
        <v>8</v>
      </c>
      <c r="H79" s="5">
        <f t="shared" si="4"/>
        <v>12</v>
      </c>
      <c r="I79" s="5">
        <f t="shared" si="5"/>
        <v>0.75</v>
      </c>
    </row>
    <row r="80" spans="1:9" x14ac:dyDescent="0.35">
      <c r="A80" s="5">
        <v>547062</v>
      </c>
      <c r="B80" s="5">
        <v>15036</v>
      </c>
      <c r="C80" s="5">
        <v>12</v>
      </c>
      <c r="D80" s="6">
        <v>40622.561111111114</v>
      </c>
      <c r="E80" s="8">
        <v>0.75</v>
      </c>
      <c r="F80" s="5">
        <v>16728</v>
      </c>
      <c r="G80" s="5" t="s">
        <v>8</v>
      </c>
      <c r="H80" s="5">
        <f t="shared" si="4"/>
        <v>12</v>
      </c>
      <c r="I80" s="5">
        <f t="shared" si="5"/>
        <v>0.75</v>
      </c>
    </row>
    <row r="81" spans="1:9" x14ac:dyDescent="0.35">
      <c r="A81" s="5">
        <v>547249</v>
      </c>
      <c r="B81" s="5">
        <v>15036</v>
      </c>
      <c r="C81" s="5">
        <v>12</v>
      </c>
      <c r="D81" s="6">
        <v>40624.393750000003</v>
      </c>
      <c r="E81" s="8">
        <v>1.63</v>
      </c>
      <c r="F81" s="11" t="s">
        <v>1331</v>
      </c>
      <c r="G81" s="5" t="s">
        <v>8</v>
      </c>
      <c r="H81" s="5">
        <f t="shared" si="4"/>
        <v>12</v>
      </c>
      <c r="I81" s="5">
        <f t="shared" si="5"/>
        <v>1.63</v>
      </c>
    </row>
    <row r="82" spans="1:9" x14ac:dyDescent="0.35">
      <c r="A82" s="5">
        <v>547862</v>
      </c>
      <c r="B82" s="11" t="s">
        <v>1331</v>
      </c>
      <c r="C82" s="5">
        <v>12</v>
      </c>
      <c r="D82" s="6">
        <v>40629.537499999999</v>
      </c>
      <c r="E82" s="8">
        <v>0.75</v>
      </c>
      <c r="F82" s="5">
        <v>12841</v>
      </c>
      <c r="G82" s="5" t="s">
        <v>8</v>
      </c>
      <c r="H82" s="5">
        <f t="shared" si="4"/>
        <v>12</v>
      </c>
      <c r="I82" s="5">
        <f t="shared" si="5"/>
        <v>0.75</v>
      </c>
    </row>
    <row r="83" spans="1:9" x14ac:dyDescent="0.35">
      <c r="A83" s="5">
        <v>547879</v>
      </c>
      <c r="B83" s="5">
        <v>15036</v>
      </c>
      <c r="C83" s="5">
        <v>12</v>
      </c>
      <c r="D83" s="6">
        <v>40629.668749999997</v>
      </c>
      <c r="E83" s="8">
        <v>0.75</v>
      </c>
      <c r="F83" s="5">
        <v>12877</v>
      </c>
      <c r="G83" s="5" t="s">
        <v>8</v>
      </c>
      <c r="H83" s="5">
        <f t="shared" si="4"/>
        <v>12</v>
      </c>
      <c r="I83" s="5">
        <f t="shared" si="5"/>
        <v>0.75</v>
      </c>
    </row>
    <row r="84" spans="1:9" x14ac:dyDescent="0.35">
      <c r="A84" s="5">
        <v>548310</v>
      </c>
      <c r="B84" s="5">
        <v>15036</v>
      </c>
      <c r="C84" s="5">
        <v>12</v>
      </c>
      <c r="D84" s="6">
        <v>40632.50277777778</v>
      </c>
      <c r="E84" s="8">
        <v>0.83</v>
      </c>
      <c r="F84" s="11" t="s">
        <v>1331</v>
      </c>
      <c r="G84" s="5" t="s">
        <v>8</v>
      </c>
      <c r="H84" s="5">
        <f t="shared" si="4"/>
        <v>12</v>
      </c>
      <c r="I84" s="5">
        <f t="shared" si="5"/>
        <v>0.83</v>
      </c>
    </row>
    <row r="85" spans="1:9" x14ac:dyDescent="0.35">
      <c r="A85" s="5">
        <v>548617</v>
      </c>
      <c r="B85" s="5">
        <v>15036</v>
      </c>
      <c r="C85" s="5">
        <v>12</v>
      </c>
      <c r="D85" s="6">
        <v>40634.493055555555</v>
      </c>
      <c r="E85" s="8">
        <v>0.83</v>
      </c>
      <c r="F85" s="5">
        <v>16592</v>
      </c>
      <c r="G85" s="5" t="s">
        <v>8</v>
      </c>
      <c r="H85" s="5">
        <f t="shared" si="4"/>
        <v>12</v>
      </c>
      <c r="I85" s="5">
        <f t="shared" si="5"/>
        <v>0.83</v>
      </c>
    </row>
    <row r="86" spans="1:9" x14ac:dyDescent="0.35">
      <c r="A86" s="5">
        <v>549711</v>
      </c>
      <c r="B86" s="5">
        <v>15036</v>
      </c>
      <c r="C86" s="5">
        <v>12</v>
      </c>
      <c r="D86" s="6">
        <v>40644.588194444441</v>
      </c>
      <c r="E86" s="8">
        <v>0.83</v>
      </c>
      <c r="F86" s="5">
        <v>13654</v>
      </c>
      <c r="G86" s="5" t="s">
        <v>8</v>
      </c>
      <c r="H86" s="5">
        <f t="shared" si="4"/>
        <v>12</v>
      </c>
      <c r="I86" s="5">
        <f t="shared" si="5"/>
        <v>0.83</v>
      </c>
    </row>
    <row r="87" spans="1:9" x14ac:dyDescent="0.35">
      <c r="A87" s="5">
        <v>549743</v>
      </c>
      <c r="B87" s="5">
        <v>15036</v>
      </c>
      <c r="C87" s="5">
        <v>12</v>
      </c>
      <c r="D87" s="6">
        <v>40645.420138888891</v>
      </c>
      <c r="E87" s="8">
        <v>0.83</v>
      </c>
      <c r="F87" s="5">
        <v>16186</v>
      </c>
      <c r="G87" s="5" t="s">
        <v>8</v>
      </c>
      <c r="H87" s="5">
        <f t="shared" si="4"/>
        <v>12</v>
      </c>
      <c r="I87" s="5">
        <f t="shared" si="5"/>
        <v>0.83</v>
      </c>
    </row>
    <row r="88" spans="1:9" x14ac:dyDescent="0.35">
      <c r="A88" s="5">
        <v>549964</v>
      </c>
      <c r="B88" s="5">
        <v>15036</v>
      </c>
      <c r="C88" s="5">
        <v>12</v>
      </c>
      <c r="D88" s="6">
        <v>40646.591666666667</v>
      </c>
      <c r="E88" s="8">
        <v>0.83</v>
      </c>
      <c r="F88" s="5">
        <v>13122</v>
      </c>
      <c r="G88" s="5" t="s">
        <v>8</v>
      </c>
      <c r="H88" s="5">
        <f t="shared" si="4"/>
        <v>12</v>
      </c>
      <c r="I88" s="5">
        <f t="shared" si="5"/>
        <v>0.83</v>
      </c>
    </row>
    <row r="89" spans="1:9" x14ac:dyDescent="0.35">
      <c r="A89" s="5">
        <v>549975</v>
      </c>
      <c r="B89" s="5">
        <v>15036</v>
      </c>
      <c r="C89" s="5">
        <v>12</v>
      </c>
      <c r="D89" s="6">
        <v>40646.609722222223</v>
      </c>
      <c r="E89" s="8">
        <v>0.83</v>
      </c>
      <c r="F89" s="5">
        <v>16175</v>
      </c>
      <c r="G89" s="5" t="s">
        <v>8</v>
      </c>
      <c r="H89" s="5">
        <f t="shared" si="4"/>
        <v>12</v>
      </c>
      <c r="I89" s="5">
        <f t="shared" si="5"/>
        <v>0.83</v>
      </c>
    </row>
    <row r="90" spans="1:9" x14ac:dyDescent="0.35">
      <c r="A90" s="5">
        <v>550218</v>
      </c>
      <c r="B90" s="5">
        <v>15036</v>
      </c>
      <c r="C90" s="5">
        <v>12</v>
      </c>
      <c r="D90" s="6">
        <v>40648.46875</v>
      </c>
      <c r="E90" s="8">
        <v>0.83</v>
      </c>
      <c r="F90" s="5">
        <v>14408</v>
      </c>
      <c r="G90" s="11" t="s">
        <v>1331</v>
      </c>
      <c r="H90" s="5">
        <f t="shared" si="4"/>
        <v>12</v>
      </c>
      <c r="I90" s="5">
        <f t="shared" si="5"/>
        <v>0.83</v>
      </c>
    </row>
    <row r="91" spans="1:9" x14ac:dyDescent="0.35">
      <c r="A91" s="5">
        <v>550468</v>
      </c>
      <c r="B91" s="5">
        <v>15036</v>
      </c>
      <c r="C91" s="5">
        <v>12</v>
      </c>
      <c r="D91" s="6">
        <v>40651.571527777778</v>
      </c>
      <c r="E91" s="8">
        <v>0.83</v>
      </c>
      <c r="F91" s="5">
        <v>16700</v>
      </c>
      <c r="G91" s="5" t="s">
        <v>8</v>
      </c>
      <c r="H91" s="5">
        <f t="shared" si="4"/>
        <v>12</v>
      </c>
      <c r="I91" s="5">
        <f t="shared" si="5"/>
        <v>0.83</v>
      </c>
    </row>
    <row r="92" spans="1:9" x14ac:dyDescent="0.35">
      <c r="A92" s="5">
        <v>550659</v>
      </c>
      <c r="B92" s="5">
        <v>15036</v>
      </c>
      <c r="C92" s="5">
        <v>12</v>
      </c>
      <c r="D92" s="6">
        <v>40653.376388888886</v>
      </c>
      <c r="E92" s="8">
        <v>0.83</v>
      </c>
      <c r="F92" s="5">
        <v>17730</v>
      </c>
      <c r="G92" s="5" t="s">
        <v>8</v>
      </c>
      <c r="H92" s="5">
        <f t="shared" si="4"/>
        <v>12</v>
      </c>
      <c r="I92" s="5">
        <f t="shared" si="5"/>
        <v>0.83</v>
      </c>
    </row>
    <row r="93" spans="1:9" x14ac:dyDescent="0.35">
      <c r="A93" s="5">
        <v>550775</v>
      </c>
      <c r="B93" s="5">
        <v>15036</v>
      </c>
      <c r="C93" s="5">
        <v>12</v>
      </c>
      <c r="D93" s="6">
        <v>40653.554166666669</v>
      </c>
      <c r="E93" s="8">
        <v>0.83</v>
      </c>
      <c r="F93" s="5">
        <v>15805</v>
      </c>
      <c r="G93" s="5" t="s">
        <v>8</v>
      </c>
      <c r="H93" s="5">
        <f t="shared" si="4"/>
        <v>12</v>
      </c>
      <c r="I93" s="5">
        <f t="shared" si="5"/>
        <v>0.83</v>
      </c>
    </row>
    <row r="94" spans="1:9" x14ac:dyDescent="0.35">
      <c r="A94" s="5">
        <v>550785</v>
      </c>
      <c r="B94" s="5">
        <v>15036</v>
      </c>
      <c r="C94" s="5">
        <v>12</v>
      </c>
      <c r="D94" s="6">
        <v>40653.584722222222</v>
      </c>
      <c r="E94" s="8">
        <v>0.83</v>
      </c>
      <c r="F94" s="5">
        <v>15517</v>
      </c>
      <c r="G94" s="5" t="s">
        <v>8</v>
      </c>
      <c r="H94" s="5">
        <f t="shared" si="4"/>
        <v>12</v>
      </c>
      <c r="I94" s="5">
        <f t="shared" si="5"/>
        <v>0.83</v>
      </c>
    </row>
    <row r="95" spans="1:9" x14ac:dyDescent="0.35">
      <c r="A95" s="5">
        <v>550802</v>
      </c>
      <c r="B95" s="5">
        <v>15036</v>
      </c>
      <c r="C95" s="5">
        <v>12</v>
      </c>
      <c r="D95" s="6">
        <v>40653.63958333333</v>
      </c>
      <c r="E95" s="8">
        <v>0.83</v>
      </c>
      <c r="F95" s="5">
        <v>17120</v>
      </c>
      <c r="G95" s="5" t="s">
        <v>8</v>
      </c>
      <c r="H95" s="5">
        <f t="shared" si="4"/>
        <v>12</v>
      </c>
      <c r="I95" s="5">
        <f t="shared" si="5"/>
        <v>0.83</v>
      </c>
    </row>
    <row r="96" spans="1:9" x14ac:dyDescent="0.35">
      <c r="A96" s="5">
        <v>556222</v>
      </c>
      <c r="B96" s="5">
        <v>10125</v>
      </c>
      <c r="C96" s="5">
        <v>12</v>
      </c>
      <c r="D96" s="6">
        <v>40703.599305555559</v>
      </c>
      <c r="E96" s="8">
        <v>0.85</v>
      </c>
      <c r="F96" s="5">
        <v>17522</v>
      </c>
      <c r="G96" s="5" t="s">
        <v>8</v>
      </c>
      <c r="H96" s="5">
        <f t="shared" si="4"/>
        <v>12</v>
      </c>
      <c r="I96" s="5">
        <f t="shared" si="5"/>
        <v>0.85</v>
      </c>
    </row>
    <row r="97" spans="1:9" x14ac:dyDescent="0.35">
      <c r="A97" s="5">
        <v>558614</v>
      </c>
      <c r="B97" s="5">
        <v>10080</v>
      </c>
      <c r="C97" s="5">
        <v>12</v>
      </c>
      <c r="D97" s="6">
        <v>40724.663888888892</v>
      </c>
      <c r="E97" s="8">
        <v>0.39</v>
      </c>
      <c r="F97" s="11" t="s">
        <v>1331</v>
      </c>
      <c r="G97" s="5" t="s">
        <v>8</v>
      </c>
      <c r="H97" s="5">
        <f t="shared" ref="H97:H128" si="6">IF(ISBLANK(C97), $M$2, C97)</f>
        <v>12</v>
      </c>
      <c r="I97" s="5">
        <f t="shared" ref="I97:I128" si="7">IF(ISBLANK(E97), $M$3, E97)</f>
        <v>0.39</v>
      </c>
    </row>
    <row r="98" spans="1:9" x14ac:dyDescent="0.35">
      <c r="A98" s="5">
        <v>558911</v>
      </c>
      <c r="B98" s="5">
        <v>10080</v>
      </c>
      <c r="C98" s="5">
        <v>12</v>
      </c>
      <c r="D98" s="6">
        <v>40729.390972222223</v>
      </c>
      <c r="E98" s="8">
        <v>0.39</v>
      </c>
      <c r="F98" s="5">
        <v>14189</v>
      </c>
      <c r="G98" s="5" t="s">
        <v>8</v>
      </c>
      <c r="H98" s="5">
        <f t="shared" si="6"/>
        <v>12</v>
      </c>
      <c r="I98" s="5">
        <f t="shared" si="7"/>
        <v>0.39</v>
      </c>
    </row>
    <row r="99" spans="1:9" x14ac:dyDescent="0.35">
      <c r="A99" s="5">
        <v>561322</v>
      </c>
      <c r="B99" s="5">
        <v>10080</v>
      </c>
      <c r="C99" s="5">
        <v>12</v>
      </c>
      <c r="D99" s="6">
        <v>40750.543749999997</v>
      </c>
      <c r="E99" s="8">
        <v>0.39</v>
      </c>
      <c r="F99" s="5">
        <v>15203</v>
      </c>
      <c r="G99" s="5" t="s">
        <v>8</v>
      </c>
      <c r="H99" s="5">
        <f t="shared" si="6"/>
        <v>12</v>
      </c>
      <c r="I99" s="5">
        <f t="shared" si="7"/>
        <v>0.39</v>
      </c>
    </row>
    <row r="100" spans="1:9" x14ac:dyDescent="0.35">
      <c r="A100" s="5">
        <v>561925</v>
      </c>
      <c r="B100" s="5">
        <v>10080</v>
      </c>
      <c r="C100" s="5">
        <v>12</v>
      </c>
      <c r="D100" s="6">
        <v>40756.519444444442</v>
      </c>
      <c r="E100" s="8">
        <v>0.39</v>
      </c>
      <c r="F100" s="5">
        <v>16551</v>
      </c>
      <c r="G100" s="5" t="s">
        <v>8</v>
      </c>
      <c r="H100" s="5">
        <f t="shared" si="6"/>
        <v>12</v>
      </c>
      <c r="I100" s="5">
        <f t="shared" si="7"/>
        <v>0.39</v>
      </c>
    </row>
    <row r="101" spans="1:9" x14ac:dyDescent="0.35">
      <c r="A101" s="5">
        <v>562127</v>
      </c>
      <c r="B101" s="5">
        <v>10080</v>
      </c>
      <c r="C101" s="5">
        <v>12</v>
      </c>
      <c r="D101" s="6">
        <v>40758.347916666666</v>
      </c>
      <c r="E101" s="8">
        <v>0.39</v>
      </c>
      <c r="F101" s="5">
        <v>13717</v>
      </c>
      <c r="G101" s="5" t="s">
        <v>8</v>
      </c>
      <c r="H101" s="5">
        <f t="shared" si="6"/>
        <v>12</v>
      </c>
      <c r="I101" s="5">
        <f t="shared" si="7"/>
        <v>0.39</v>
      </c>
    </row>
    <row r="102" spans="1:9" x14ac:dyDescent="0.35">
      <c r="A102" s="5">
        <v>564065</v>
      </c>
      <c r="B102" s="5">
        <v>10080</v>
      </c>
      <c r="C102" s="5">
        <v>12</v>
      </c>
      <c r="D102" s="6">
        <v>40777.628472222219</v>
      </c>
      <c r="E102" s="8">
        <v>0.39</v>
      </c>
      <c r="F102" s="5">
        <v>15150</v>
      </c>
      <c r="G102" s="5" t="s">
        <v>8</v>
      </c>
      <c r="H102" s="5">
        <f t="shared" si="6"/>
        <v>12</v>
      </c>
      <c r="I102" s="5">
        <f t="shared" si="7"/>
        <v>0.39</v>
      </c>
    </row>
    <row r="103" spans="1:9" x14ac:dyDescent="0.35">
      <c r="A103" s="5">
        <v>565618</v>
      </c>
      <c r="B103" s="5">
        <v>10080</v>
      </c>
      <c r="C103" s="5">
        <v>12</v>
      </c>
      <c r="D103" s="6">
        <v>40791.652777777781</v>
      </c>
      <c r="E103" s="8">
        <v>0.39</v>
      </c>
      <c r="F103" s="5">
        <v>15974</v>
      </c>
      <c r="G103" s="5" t="s">
        <v>8</v>
      </c>
      <c r="H103" s="5">
        <f t="shared" si="6"/>
        <v>12</v>
      </c>
      <c r="I103" s="5">
        <f t="shared" si="7"/>
        <v>0.39</v>
      </c>
    </row>
    <row r="104" spans="1:9" x14ac:dyDescent="0.35">
      <c r="A104" s="5">
        <v>567200</v>
      </c>
      <c r="B104" s="5">
        <v>10080</v>
      </c>
      <c r="C104" s="5">
        <v>12</v>
      </c>
      <c r="D104" s="6">
        <v>40805.427083333336</v>
      </c>
      <c r="E104" s="8">
        <v>0.39</v>
      </c>
      <c r="F104" s="5">
        <v>16460</v>
      </c>
      <c r="G104" s="5" t="s">
        <v>8</v>
      </c>
      <c r="H104" s="5">
        <f t="shared" si="6"/>
        <v>12</v>
      </c>
      <c r="I104" s="5">
        <f t="shared" si="7"/>
        <v>0.39</v>
      </c>
    </row>
    <row r="105" spans="1:9" x14ac:dyDescent="0.35">
      <c r="A105" s="5">
        <v>568381</v>
      </c>
      <c r="B105" s="5">
        <v>10080</v>
      </c>
      <c r="C105" s="5">
        <v>12</v>
      </c>
      <c r="D105" s="6">
        <v>40813.39166666667</v>
      </c>
      <c r="E105" s="8">
        <v>0.39</v>
      </c>
      <c r="F105" s="5">
        <v>14321</v>
      </c>
      <c r="G105" s="5" t="s">
        <v>8</v>
      </c>
      <c r="H105" s="5">
        <f t="shared" si="6"/>
        <v>12</v>
      </c>
      <c r="I105" s="5">
        <f t="shared" si="7"/>
        <v>0.39</v>
      </c>
    </row>
    <row r="106" spans="1:9" x14ac:dyDescent="0.35">
      <c r="A106" s="5">
        <v>551174</v>
      </c>
      <c r="B106" s="5">
        <v>15036</v>
      </c>
      <c r="C106" s="5">
        <v>15</v>
      </c>
      <c r="D106" s="6">
        <v>40659.709722222222</v>
      </c>
      <c r="E106" s="8">
        <v>0.83</v>
      </c>
      <c r="F106" s="11" t="s">
        <v>1331</v>
      </c>
      <c r="G106" s="5" t="s">
        <v>8</v>
      </c>
      <c r="H106" s="5">
        <f t="shared" si="6"/>
        <v>15</v>
      </c>
      <c r="I106" s="5">
        <f t="shared" si="7"/>
        <v>0.83</v>
      </c>
    </row>
    <row r="107" spans="1:9" x14ac:dyDescent="0.35">
      <c r="A107" s="5">
        <v>546896</v>
      </c>
      <c r="B107" s="5">
        <v>15036</v>
      </c>
      <c r="C107" s="5">
        <v>17</v>
      </c>
      <c r="D107" s="6">
        <v>40619.76666666667</v>
      </c>
      <c r="E107" s="12"/>
      <c r="F107" s="11" t="s">
        <v>1331</v>
      </c>
      <c r="G107" s="5" t="s">
        <v>8</v>
      </c>
      <c r="H107" s="5">
        <f t="shared" si="6"/>
        <v>17</v>
      </c>
      <c r="I107" s="5">
        <f t="shared" si="7"/>
        <v>3.5345355191256931</v>
      </c>
    </row>
    <row r="108" spans="1:9" x14ac:dyDescent="0.35">
      <c r="A108" s="5">
        <v>549525</v>
      </c>
      <c r="B108" s="5">
        <v>15036</v>
      </c>
      <c r="C108" s="5">
        <v>17</v>
      </c>
      <c r="D108" s="6">
        <v>40641.655555555553</v>
      </c>
      <c r="E108" s="8">
        <v>1.63</v>
      </c>
      <c r="F108" s="11" t="s">
        <v>1331</v>
      </c>
      <c r="G108" s="5" t="s">
        <v>8</v>
      </c>
      <c r="H108" s="5">
        <f t="shared" si="6"/>
        <v>17</v>
      </c>
      <c r="I108" s="5">
        <f t="shared" si="7"/>
        <v>1.63</v>
      </c>
    </row>
    <row r="109" spans="1:9" x14ac:dyDescent="0.35">
      <c r="A109" s="5">
        <v>539240</v>
      </c>
      <c r="B109" s="5">
        <v>10133</v>
      </c>
      <c r="C109" s="5">
        <v>20</v>
      </c>
      <c r="D109" s="6">
        <v>40528.552083333336</v>
      </c>
      <c r="E109" s="8">
        <v>0.42</v>
      </c>
      <c r="F109" s="5">
        <v>15194</v>
      </c>
      <c r="G109" s="11" t="s">
        <v>1331</v>
      </c>
      <c r="H109" s="5">
        <f t="shared" si="6"/>
        <v>20</v>
      </c>
      <c r="I109" s="5">
        <f t="shared" si="7"/>
        <v>0.42</v>
      </c>
    </row>
    <row r="110" spans="1:9" x14ac:dyDescent="0.35">
      <c r="A110" s="5">
        <v>539252</v>
      </c>
      <c r="B110" s="5">
        <v>10133</v>
      </c>
      <c r="C110" s="5">
        <v>20</v>
      </c>
      <c r="D110" s="6">
        <v>40528.595138888886</v>
      </c>
      <c r="E110" s="8">
        <v>0.42</v>
      </c>
      <c r="F110" s="5">
        <v>17744</v>
      </c>
      <c r="G110" s="11" t="s">
        <v>1331</v>
      </c>
      <c r="H110" s="5">
        <f t="shared" si="6"/>
        <v>20</v>
      </c>
      <c r="I110" s="5">
        <f t="shared" si="7"/>
        <v>0.42</v>
      </c>
    </row>
    <row r="111" spans="1:9" x14ac:dyDescent="0.35">
      <c r="A111" s="5">
        <v>539353</v>
      </c>
      <c r="B111" s="5">
        <v>10133</v>
      </c>
      <c r="C111" s="5">
        <v>20</v>
      </c>
      <c r="D111" s="6">
        <v>40529.479166666664</v>
      </c>
      <c r="E111" s="8">
        <v>0.42</v>
      </c>
      <c r="F111" s="5">
        <v>12782</v>
      </c>
      <c r="G111" s="5" t="s">
        <v>13</v>
      </c>
      <c r="H111" s="5">
        <f t="shared" si="6"/>
        <v>20</v>
      </c>
      <c r="I111" s="5">
        <f t="shared" si="7"/>
        <v>0.42</v>
      </c>
    </row>
    <row r="112" spans="1:9" x14ac:dyDescent="0.35">
      <c r="A112" s="5">
        <v>540595</v>
      </c>
      <c r="B112" s="5">
        <v>10133</v>
      </c>
      <c r="C112" s="5">
        <v>20</v>
      </c>
      <c r="D112" s="6">
        <v>40553.482638888891</v>
      </c>
      <c r="E112" s="8">
        <v>0.42</v>
      </c>
      <c r="F112" s="5">
        <v>14321</v>
      </c>
      <c r="G112" s="5" t="s">
        <v>8</v>
      </c>
      <c r="H112" s="5">
        <f t="shared" si="6"/>
        <v>20</v>
      </c>
      <c r="I112" s="5">
        <f t="shared" si="7"/>
        <v>0.42</v>
      </c>
    </row>
    <row r="113" spans="1:9" x14ac:dyDescent="0.35">
      <c r="A113" s="5">
        <v>558868</v>
      </c>
      <c r="B113" s="5">
        <v>10125</v>
      </c>
      <c r="C113" s="5">
        <v>20</v>
      </c>
      <c r="D113" s="6">
        <v>40728.532638888886</v>
      </c>
      <c r="E113" s="8">
        <v>0.85</v>
      </c>
      <c r="F113" s="5">
        <v>13266</v>
      </c>
      <c r="G113" s="5" t="s">
        <v>8</v>
      </c>
      <c r="H113" s="5">
        <f t="shared" si="6"/>
        <v>20</v>
      </c>
      <c r="I113" s="5">
        <f t="shared" si="7"/>
        <v>0.85</v>
      </c>
    </row>
    <row r="114" spans="1:9" x14ac:dyDescent="0.35">
      <c r="A114" s="5">
        <v>559979</v>
      </c>
      <c r="B114" s="5">
        <v>10125</v>
      </c>
      <c r="C114" s="5">
        <v>20</v>
      </c>
      <c r="D114" s="6">
        <v>40738.472222222219</v>
      </c>
      <c r="E114" s="8">
        <v>0.85</v>
      </c>
      <c r="F114" s="5">
        <v>14862</v>
      </c>
      <c r="G114" s="5" t="s">
        <v>8</v>
      </c>
      <c r="H114" s="5">
        <f t="shared" si="6"/>
        <v>20</v>
      </c>
      <c r="I114" s="5">
        <f t="shared" si="7"/>
        <v>0.85</v>
      </c>
    </row>
    <row r="115" spans="1:9" x14ac:dyDescent="0.35">
      <c r="A115" s="5">
        <v>560366</v>
      </c>
      <c r="B115" s="5">
        <v>10125</v>
      </c>
      <c r="C115" s="5">
        <v>20</v>
      </c>
      <c r="D115" s="6">
        <v>40742.513194444444</v>
      </c>
      <c r="E115" s="8">
        <v>0.85</v>
      </c>
      <c r="F115" s="5">
        <v>16859</v>
      </c>
      <c r="G115" s="5" t="s">
        <v>8</v>
      </c>
      <c r="H115" s="5">
        <f t="shared" si="6"/>
        <v>20</v>
      </c>
      <c r="I115" s="5">
        <f t="shared" si="7"/>
        <v>0.85</v>
      </c>
    </row>
    <row r="116" spans="1:9" x14ac:dyDescent="0.35">
      <c r="A116" s="5">
        <v>563744</v>
      </c>
      <c r="B116" s="5">
        <v>10125</v>
      </c>
      <c r="C116" s="5">
        <v>20</v>
      </c>
      <c r="D116" s="6">
        <v>40774.399305555555</v>
      </c>
      <c r="E116" s="8">
        <v>0.85</v>
      </c>
      <c r="F116" s="5">
        <v>13266</v>
      </c>
      <c r="G116" s="5" t="s">
        <v>8</v>
      </c>
      <c r="H116" s="5">
        <f t="shared" si="6"/>
        <v>20</v>
      </c>
      <c r="I116" s="5">
        <f t="shared" si="7"/>
        <v>0.85</v>
      </c>
    </row>
    <row r="117" spans="1:9" x14ac:dyDescent="0.35">
      <c r="A117" s="5">
        <v>564337</v>
      </c>
      <c r="B117" s="5">
        <v>10125</v>
      </c>
      <c r="C117" s="5">
        <v>20</v>
      </c>
      <c r="D117" s="6">
        <v>40779.611111111109</v>
      </c>
      <c r="E117" s="8">
        <v>0.85</v>
      </c>
      <c r="F117" s="5">
        <v>12649</v>
      </c>
      <c r="G117" s="5" t="s">
        <v>21</v>
      </c>
      <c r="H117" s="5">
        <f t="shared" si="6"/>
        <v>20</v>
      </c>
      <c r="I117" s="5">
        <f t="shared" si="7"/>
        <v>0.85</v>
      </c>
    </row>
    <row r="118" spans="1:9" x14ac:dyDescent="0.35">
      <c r="A118" s="5">
        <v>565585</v>
      </c>
      <c r="B118" s="5">
        <v>10125</v>
      </c>
      <c r="C118" s="5">
        <v>20</v>
      </c>
      <c r="D118" s="6">
        <v>40791.556944444441</v>
      </c>
      <c r="E118" s="8">
        <v>0.85</v>
      </c>
      <c r="F118" s="5">
        <v>16172</v>
      </c>
      <c r="G118" s="5" t="s">
        <v>8</v>
      </c>
      <c r="H118" s="5">
        <f t="shared" si="6"/>
        <v>20</v>
      </c>
      <c r="I118" s="5">
        <f t="shared" si="7"/>
        <v>0.85</v>
      </c>
    </row>
    <row r="119" spans="1:9" x14ac:dyDescent="0.35">
      <c r="A119" s="5">
        <v>568568</v>
      </c>
      <c r="B119" s="5">
        <v>10125</v>
      </c>
      <c r="C119" s="5">
        <v>20</v>
      </c>
      <c r="D119" s="6">
        <v>40814.366666666669</v>
      </c>
      <c r="E119" s="8">
        <v>0.85</v>
      </c>
      <c r="F119" s="5">
        <v>14412</v>
      </c>
      <c r="G119" s="5" t="s">
        <v>8</v>
      </c>
      <c r="H119" s="5">
        <f t="shared" si="6"/>
        <v>20</v>
      </c>
      <c r="I119" s="5">
        <f t="shared" si="7"/>
        <v>0.85</v>
      </c>
    </row>
    <row r="120" spans="1:9" x14ac:dyDescent="0.35">
      <c r="A120" s="5">
        <v>568650</v>
      </c>
      <c r="B120" s="5">
        <v>10125</v>
      </c>
      <c r="C120" s="5">
        <v>20</v>
      </c>
      <c r="D120" s="6">
        <v>40814.49722222222</v>
      </c>
      <c r="E120" s="8">
        <v>0.85</v>
      </c>
      <c r="F120" s="5">
        <v>13505</v>
      </c>
      <c r="G120" s="5" t="s">
        <v>16</v>
      </c>
      <c r="H120" s="5">
        <f t="shared" si="6"/>
        <v>20</v>
      </c>
      <c r="I120" s="5">
        <f t="shared" si="7"/>
        <v>0.85</v>
      </c>
    </row>
    <row r="121" spans="1:9" x14ac:dyDescent="0.35">
      <c r="A121" s="5">
        <v>571328</v>
      </c>
      <c r="B121" s="5">
        <v>10125</v>
      </c>
      <c r="C121" s="5">
        <v>20</v>
      </c>
      <c r="D121" s="6">
        <v>40833.477083333331</v>
      </c>
      <c r="E121" s="8">
        <v>0.85</v>
      </c>
      <c r="F121" s="5">
        <v>12473</v>
      </c>
      <c r="G121" s="5" t="s">
        <v>21</v>
      </c>
      <c r="H121" s="5">
        <f t="shared" si="6"/>
        <v>20</v>
      </c>
      <c r="I121" s="5">
        <f t="shared" si="7"/>
        <v>0.85</v>
      </c>
    </row>
    <row r="122" spans="1:9" x14ac:dyDescent="0.35">
      <c r="A122" s="5">
        <v>572558</v>
      </c>
      <c r="B122" s="5">
        <v>10125</v>
      </c>
      <c r="C122" s="5">
        <v>20</v>
      </c>
      <c r="D122" s="6">
        <v>40841.351388888892</v>
      </c>
      <c r="E122" s="8">
        <v>0.85</v>
      </c>
      <c r="F122" s="5">
        <v>14286</v>
      </c>
      <c r="G122" s="5" t="s">
        <v>8</v>
      </c>
      <c r="H122" s="5">
        <f t="shared" si="6"/>
        <v>20</v>
      </c>
      <c r="I122" s="5">
        <f t="shared" si="7"/>
        <v>0.85</v>
      </c>
    </row>
    <row r="123" spans="1:9" x14ac:dyDescent="0.35">
      <c r="A123" s="5">
        <v>581494</v>
      </c>
      <c r="B123" s="5">
        <v>10125</v>
      </c>
      <c r="C123" s="5">
        <v>20</v>
      </c>
      <c r="D123" s="6">
        <v>40886.425694444442</v>
      </c>
      <c r="E123" s="8">
        <v>0.85</v>
      </c>
      <c r="F123" s="5">
        <v>12518</v>
      </c>
      <c r="G123" s="5" t="s">
        <v>21</v>
      </c>
      <c r="H123" s="5">
        <f t="shared" si="6"/>
        <v>20</v>
      </c>
      <c r="I123" s="5">
        <f t="shared" si="7"/>
        <v>0.85</v>
      </c>
    </row>
    <row r="124" spans="1:9" x14ac:dyDescent="0.35">
      <c r="A124" s="5">
        <v>541219</v>
      </c>
      <c r="B124" s="5">
        <v>10133</v>
      </c>
      <c r="C124" s="5">
        <v>22</v>
      </c>
      <c r="D124" s="6">
        <v>40557.587500000001</v>
      </c>
      <c r="E124" s="8">
        <v>0.79</v>
      </c>
      <c r="F124" s="11" t="s">
        <v>1331</v>
      </c>
      <c r="G124" s="5" t="s">
        <v>8</v>
      </c>
      <c r="H124" s="5">
        <f t="shared" si="6"/>
        <v>22</v>
      </c>
      <c r="I124" s="5">
        <f t="shared" si="7"/>
        <v>0.79</v>
      </c>
    </row>
    <row r="125" spans="1:9" x14ac:dyDescent="0.35">
      <c r="A125" s="5">
        <v>547385</v>
      </c>
      <c r="B125" s="5">
        <v>15036</v>
      </c>
      <c r="C125" s="5">
        <v>22</v>
      </c>
      <c r="D125" s="6">
        <v>40624.658333333333</v>
      </c>
      <c r="E125" s="8">
        <v>1.63</v>
      </c>
      <c r="F125" s="11" t="s">
        <v>1331</v>
      </c>
      <c r="G125" s="5" t="s">
        <v>8</v>
      </c>
      <c r="H125" s="5">
        <f t="shared" si="6"/>
        <v>22</v>
      </c>
      <c r="I125" s="5">
        <f t="shared" si="7"/>
        <v>1.63</v>
      </c>
    </row>
    <row r="126" spans="1:9" x14ac:dyDescent="0.35">
      <c r="A126" s="5">
        <v>575481</v>
      </c>
      <c r="B126" s="5">
        <v>16011</v>
      </c>
      <c r="C126" s="5">
        <v>23</v>
      </c>
      <c r="D126" s="6">
        <v>40856.686111111114</v>
      </c>
      <c r="E126" s="8">
        <v>0.21</v>
      </c>
      <c r="F126" s="5">
        <v>15679</v>
      </c>
      <c r="G126" s="5" t="s">
        <v>8</v>
      </c>
      <c r="H126" s="5">
        <f t="shared" si="6"/>
        <v>23</v>
      </c>
      <c r="I126" s="5">
        <f t="shared" si="7"/>
        <v>0.21</v>
      </c>
    </row>
    <row r="127" spans="1:9" x14ac:dyDescent="0.35">
      <c r="A127" s="5">
        <v>536743</v>
      </c>
      <c r="B127" s="5">
        <v>16012</v>
      </c>
      <c r="C127" s="5">
        <v>24</v>
      </c>
      <c r="D127" s="6">
        <v>40514.563888888886</v>
      </c>
      <c r="E127" s="8">
        <v>0.21</v>
      </c>
      <c r="F127" s="5">
        <v>17964</v>
      </c>
      <c r="G127" s="5" t="s">
        <v>8</v>
      </c>
      <c r="H127" s="5">
        <f t="shared" si="6"/>
        <v>24</v>
      </c>
      <c r="I127" s="5">
        <f t="shared" si="7"/>
        <v>0.21</v>
      </c>
    </row>
    <row r="128" spans="1:9" x14ac:dyDescent="0.35">
      <c r="A128" s="5">
        <v>537227</v>
      </c>
      <c r="B128" s="5">
        <v>10002</v>
      </c>
      <c r="C128" s="5">
        <v>24</v>
      </c>
      <c r="D128" s="6">
        <v>40518.362500000003</v>
      </c>
      <c r="E128" s="8">
        <v>0.85</v>
      </c>
      <c r="F128" s="5">
        <v>17677</v>
      </c>
      <c r="G128" s="5" t="s">
        <v>8</v>
      </c>
      <c r="H128" s="5">
        <f t="shared" si="6"/>
        <v>24</v>
      </c>
      <c r="I128" s="5">
        <f t="shared" si="7"/>
        <v>0.85</v>
      </c>
    </row>
    <row r="129" spans="1:9" x14ac:dyDescent="0.35">
      <c r="A129" s="5">
        <v>539036</v>
      </c>
      <c r="B129" s="5">
        <v>16012</v>
      </c>
      <c r="C129" s="5">
        <v>24</v>
      </c>
      <c r="D129" s="6">
        <v>40527.607638888891</v>
      </c>
      <c r="E129" s="8">
        <v>0.21</v>
      </c>
      <c r="F129" s="5">
        <v>14913</v>
      </c>
      <c r="G129" s="5" t="s">
        <v>8</v>
      </c>
      <c r="H129" s="5">
        <f t="shared" ref="H129:H160" si="8">IF(ISBLANK(C129), $M$2, C129)</f>
        <v>24</v>
      </c>
      <c r="I129" s="5">
        <f t="shared" ref="I129:I160" si="9">IF(ISBLANK(E129), $M$3, E129)</f>
        <v>0.21</v>
      </c>
    </row>
    <row r="130" spans="1:9" x14ac:dyDescent="0.35">
      <c r="A130" s="5">
        <v>539213</v>
      </c>
      <c r="B130" s="5">
        <v>16012</v>
      </c>
      <c r="C130" s="5">
        <v>24</v>
      </c>
      <c r="D130" s="6">
        <v>40528.515972222223</v>
      </c>
      <c r="E130" s="8">
        <v>0.21</v>
      </c>
      <c r="F130" s="5">
        <v>12877</v>
      </c>
      <c r="G130" s="5" t="s">
        <v>8</v>
      </c>
      <c r="H130" s="5">
        <f t="shared" si="8"/>
        <v>24</v>
      </c>
      <c r="I130" s="5">
        <f t="shared" si="9"/>
        <v>0.21</v>
      </c>
    </row>
    <row r="131" spans="1:9" x14ac:dyDescent="0.35">
      <c r="A131" s="5">
        <v>540672</v>
      </c>
      <c r="B131" s="5">
        <v>16012</v>
      </c>
      <c r="C131" s="5">
        <v>24</v>
      </c>
      <c r="D131" s="6">
        <v>40553.660416666666</v>
      </c>
      <c r="E131" s="8">
        <v>0.21</v>
      </c>
      <c r="F131" s="5">
        <v>15281</v>
      </c>
      <c r="G131" s="5" t="s">
        <v>8</v>
      </c>
      <c r="H131" s="5">
        <f t="shared" si="8"/>
        <v>24</v>
      </c>
      <c r="I131" s="5">
        <f t="shared" si="9"/>
        <v>0.21</v>
      </c>
    </row>
    <row r="132" spans="1:9" x14ac:dyDescent="0.35">
      <c r="A132" s="5">
        <v>542586</v>
      </c>
      <c r="B132" s="5">
        <v>16012</v>
      </c>
      <c r="C132" s="5">
        <v>24</v>
      </c>
      <c r="D132" s="6">
        <v>40571.65625</v>
      </c>
      <c r="E132" s="8">
        <v>0.21</v>
      </c>
      <c r="F132" s="5">
        <v>12377</v>
      </c>
      <c r="G132" s="5" t="s">
        <v>16</v>
      </c>
      <c r="H132" s="5">
        <f t="shared" si="8"/>
        <v>24</v>
      </c>
      <c r="I132" s="5">
        <f t="shared" si="9"/>
        <v>0.21</v>
      </c>
    </row>
    <row r="133" spans="1:9" x14ac:dyDescent="0.35">
      <c r="A133" s="5">
        <v>543030</v>
      </c>
      <c r="B133" s="5">
        <v>16012</v>
      </c>
      <c r="C133" s="5">
        <v>24</v>
      </c>
      <c r="D133" s="6">
        <v>40576.640277777777</v>
      </c>
      <c r="E133" s="8">
        <v>0.21</v>
      </c>
      <c r="F133" s="5">
        <v>12437</v>
      </c>
      <c r="G133" s="5" t="s">
        <v>7</v>
      </c>
      <c r="H133" s="5">
        <f t="shared" si="8"/>
        <v>24</v>
      </c>
      <c r="I133" s="5">
        <f t="shared" si="9"/>
        <v>0.21</v>
      </c>
    </row>
    <row r="134" spans="1:9" x14ac:dyDescent="0.35">
      <c r="A134" s="5">
        <v>545053</v>
      </c>
      <c r="B134" s="5">
        <v>16012</v>
      </c>
      <c r="C134" s="5">
        <v>24</v>
      </c>
      <c r="D134" s="6">
        <v>40601.52847222222</v>
      </c>
      <c r="E134" s="8">
        <v>0.21</v>
      </c>
      <c r="F134" s="5">
        <v>17516</v>
      </c>
      <c r="G134" s="5" t="s">
        <v>8</v>
      </c>
      <c r="H134" s="5">
        <f t="shared" si="8"/>
        <v>24</v>
      </c>
      <c r="I134" s="5">
        <f t="shared" si="9"/>
        <v>0.21</v>
      </c>
    </row>
    <row r="135" spans="1:9" x14ac:dyDescent="0.35">
      <c r="A135" s="5">
        <v>545514</v>
      </c>
      <c r="B135" s="5">
        <v>16012</v>
      </c>
      <c r="C135" s="5">
        <v>24</v>
      </c>
      <c r="D135" s="6">
        <v>40605.504166666666</v>
      </c>
      <c r="E135" s="8">
        <v>0.21</v>
      </c>
      <c r="F135" s="5">
        <v>15053</v>
      </c>
      <c r="G135" s="5" t="s">
        <v>8</v>
      </c>
      <c r="H135" s="5">
        <f t="shared" si="8"/>
        <v>24</v>
      </c>
      <c r="I135" s="5">
        <f t="shared" si="9"/>
        <v>0.21</v>
      </c>
    </row>
    <row r="136" spans="1:9" x14ac:dyDescent="0.35">
      <c r="A136" s="5">
        <v>546731</v>
      </c>
      <c r="B136" s="5">
        <v>15036</v>
      </c>
      <c r="C136" s="5">
        <v>24</v>
      </c>
      <c r="D136" s="6">
        <v>40618.48541666667</v>
      </c>
      <c r="E136" s="8">
        <v>0.75</v>
      </c>
      <c r="F136" s="5">
        <v>13089</v>
      </c>
      <c r="G136" s="5" t="s">
        <v>8</v>
      </c>
      <c r="H136" s="5">
        <f t="shared" si="8"/>
        <v>24</v>
      </c>
      <c r="I136" s="5">
        <f t="shared" si="9"/>
        <v>0.75</v>
      </c>
    </row>
    <row r="137" spans="1:9" x14ac:dyDescent="0.35">
      <c r="A137" s="5">
        <v>547078</v>
      </c>
      <c r="B137" s="5">
        <v>15036</v>
      </c>
      <c r="C137" s="5">
        <v>24</v>
      </c>
      <c r="D137" s="6">
        <v>40622.611805555556</v>
      </c>
      <c r="E137" s="8">
        <v>0.75</v>
      </c>
      <c r="F137" s="5">
        <v>14408</v>
      </c>
      <c r="G137" s="5" t="s">
        <v>8</v>
      </c>
      <c r="H137" s="5">
        <f t="shared" si="8"/>
        <v>24</v>
      </c>
      <c r="I137" s="5">
        <f t="shared" si="9"/>
        <v>0.75</v>
      </c>
    </row>
    <row r="138" spans="1:9" x14ac:dyDescent="0.35">
      <c r="A138" s="5">
        <v>547200</v>
      </c>
      <c r="B138" s="5">
        <v>15036</v>
      </c>
      <c r="C138" s="5">
        <v>24</v>
      </c>
      <c r="D138" s="6">
        <v>40623.542361111111</v>
      </c>
      <c r="E138" s="8">
        <v>0.75</v>
      </c>
      <c r="F138" s="5">
        <v>16036</v>
      </c>
      <c r="G138" s="5" t="s">
        <v>8</v>
      </c>
      <c r="H138" s="5">
        <f t="shared" si="8"/>
        <v>24</v>
      </c>
      <c r="I138" s="5">
        <f t="shared" si="9"/>
        <v>0.75</v>
      </c>
    </row>
    <row r="139" spans="1:9" x14ac:dyDescent="0.35">
      <c r="A139" s="5">
        <v>547925</v>
      </c>
      <c r="B139" s="5">
        <v>15036</v>
      </c>
      <c r="C139" s="5">
        <v>24</v>
      </c>
      <c r="D139" s="6">
        <v>40630.581250000003</v>
      </c>
      <c r="E139" s="8">
        <v>0.75</v>
      </c>
      <c r="F139" s="5">
        <v>12481</v>
      </c>
      <c r="G139" s="5" t="s">
        <v>21</v>
      </c>
      <c r="H139" s="5">
        <f t="shared" si="8"/>
        <v>24</v>
      </c>
      <c r="I139" s="5">
        <f t="shared" si="9"/>
        <v>0.75</v>
      </c>
    </row>
    <row r="140" spans="1:9" x14ac:dyDescent="0.35">
      <c r="A140" s="5">
        <v>548309</v>
      </c>
      <c r="B140" s="11" t="s">
        <v>1331</v>
      </c>
      <c r="C140" s="5">
        <v>24</v>
      </c>
      <c r="D140" s="6">
        <v>40632.501388888886</v>
      </c>
      <c r="E140" s="8">
        <v>0.21</v>
      </c>
      <c r="F140" s="5">
        <v>16657</v>
      </c>
      <c r="G140" s="5" t="s">
        <v>8</v>
      </c>
      <c r="H140" s="5">
        <f t="shared" si="8"/>
        <v>24</v>
      </c>
      <c r="I140" s="5">
        <f t="shared" si="9"/>
        <v>0.21</v>
      </c>
    </row>
    <row r="141" spans="1:9" x14ac:dyDescent="0.35">
      <c r="A141" s="5">
        <v>548309</v>
      </c>
      <c r="B141" s="5">
        <v>16012</v>
      </c>
      <c r="C141" s="5">
        <v>24</v>
      </c>
      <c r="D141" s="6">
        <v>40632.501388888886</v>
      </c>
      <c r="E141" s="8">
        <v>0.21</v>
      </c>
      <c r="F141" s="5">
        <v>16657</v>
      </c>
      <c r="G141" s="5" t="s">
        <v>8</v>
      </c>
      <c r="H141" s="5">
        <f t="shared" si="8"/>
        <v>24</v>
      </c>
      <c r="I141" s="5">
        <f t="shared" si="9"/>
        <v>0.21</v>
      </c>
    </row>
    <row r="142" spans="1:9" x14ac:dyDescent="0.35">
      <c r="A142" s="5">
        <v>550138</v>
      </c>
      <c r="B142" s="5">
        <v>15036</v>
      </c>
      <c r="C142" s="5">
        <v>24</v>
      </c>
      <c r="D142" s="6">
        <v>40647.584722222222</v>
      </c>
      <c r="E142" s="8">
        <v>0.83</v>
      </c>
      <c r="F142" s="5">
        <v>12841</v>
      </c>
      <c r="G142" s="5" t="s">
        <v>8</v>
      </c>
      <c r="H142" s="5">
        <f t="shared" si="8"/>
        <v>24</v>
      </c>
      <c r="I142" s="5">
        <f t="shared" si="9"/>
        <v>0.83</v>
      </c>
    </row>
    <row r="143" spans="1:9" x14ac:dyDescent="0.35">
      <c r="A143" s="5">
        <v>550315</v>
      </c>
      <c r="B143" s="5">
        <v>15036</v>
      </c>
      <c r="C143" s="5">
        <v>24</v>
      </c>
      <c r="D143" s="6">
        <v>40650.488888888889</v>
      </c>
      <c r="E143" s="8">
        <v>0.83</v>
      </c>
      <c r="F143" s="5">
        <v>17990</v>
      </c>
      <c r="G143" s="11" t="s">
        <v>1331</v>
      </c>
      <c r="H143" s="5">
        <f t="shared" si="8"/>
        <v>24</v>
      </c>
      <c r="I143" s="5">
        <f t="shared" si="9"/>
        <v>0.83</v>
      </c>
    </row>
    <row r="144" spans="1:9" x14ac:dyDescent="0.35">
      <c r="A144" s="5">
        <v>550479</v>
      </c>
      <c r="B144" s="5">
        <v>15036</v>
      </c>
      <c r="C144" s="5">
        <v>24</v>
      </c>
      <c r="D144" s="6">
        <v>40651.584027777775</v>
      </c>
      <c r="E144" s="8">
        <v>0.83</v>
      </c>
      <c r="F144" s="5">
        <v>15625</v>
      </c>
      <c r="G144" s="5" t="s">
        <v>8</v>
      </c>
      <c r="H144" s="5">
        <f t="shared" si="8"/>
        <v>24</v>
      </c>
      <c r="I144" s="5">
        <f t="shared" si="9"/>
        <v>0.83</v>
      </c>
    </row>
    <row r="145" spans="1:9" x14ac:dyDescent="0.35">
      <c r="A145" s="5">
        <v>550517</v>
      </c>
      <c r="B145" s="5">
        <v>15036</v>
      </c>
      <c r="C145" s="5">
        <v>24</v>
      </c>
      <c r="D145" s="6">
        <v>40652.345138888886</v>
      </c>
      <c r="E145" s="8">
        <v>0.83</v>
      </c>
      <c r="F145" s="5">
        <v>14352</v>
      </c>
      <c r="G145" s="5" t="s">
        <v>8</v>
      </c>
      <c r="H145" s="5">
        <f t="shared" si="8"/>
        <v>24</v>
      </c>
      <c r="I145" s="5">
        <f t="shared" si="9"/>
        <v>0.83</v>
      </c>
    </row>
    <row r="146" spans="1:9" x14ac:dyDescent="0.35">
      <c r="A146" s="5">
        <v>550519</v>
      </c>
      <c r="B146" s="5">
        <v>15036</v>
      </c>
      <c r="C146" s="5">
        <v>24</v>
      </c>
      <c r="D146" s="6">
        <v>40652.396527777775</v>
      </c>
      <c r="E146" s="8">
        <v>0.83</v>
      </c>
      <c r="F146" s="5">
        <v>13141</v>
      </c>
      <c r="G146" s="5" t="s">
        <v>8</v>
      </c>
      <c r="H146" s="5">
        <f t="shared" si="8"/>
        <v>24</v>
      </c>
      <c r="I146" s="5">
        <f t="shared" si="9"/>
        <v>0.83</v>
      </c>
    </row>
    <row r="147" spans="1:9" x14ac:dyDescent="0.35">
      <c r="A147" s="5">
        <v>550521</v>
      </c>
      <c r="B147" s="5">
        <v>15036</v>
      </c>
      <c r="C147" s="5">
        <v>24</v>
      </c>
      <c r="D147" s="6">
        <v>40652.40902777778</v>
      </c>
      <c r="E147" s="8">
        <v>0.83</v>
      </c>
      <c r="F147" s="5">
        <v>13647</v>
      </c>
      <c r="G147" s="5" t="s">
        <v>8</v>
      </c>
      <c r="H147" s="5">
        <f t="shared" si="8"/>
        <v>24</v>
      </c>
      <c r="I147" s="5">
        <f t="shared" si="9"/>
        <v>0.83</v>
      </c>
    </row>
    <row r="148" spans="1:9" x14ac:dyDescent="0.35">
      <c r="A148" s="5">
        <v>551182</v>
      </c>
      <c r="B148" s="5">
        <v>15036</v>
      </c>
      <c r="C148" s="5">
        <v>24</v>
      </c>
      <c r="D148" s="6">
        <v>40660.363194444442</v>
      </c>
      <c r="E148" s="8">
        <v>0.83</v>
      </c>
      <c r="F148" s="5">
        <v>14282</v>
      </c>
      <c r="G148" s="5" t="s">
        <v>8</v>
      </c>
      <c r="H148" s="5">
        <f t="shared" si="8"/>
        <v>24</v>
      </c>
      <c r="I148" s="5">
        <f t="shared" si="9"/>
        <v>0.83</v>
      </c>
    </row>
    <row r="149" spans="1:9" x14ac:dyDescent="0.35">
      <c r="A149" s="5">
        <v>562044</v>
      </c>
      <c r="B149" s="5">
        <v>10080</v>
      </c>
      <c r="C149" s="5">
        <v>24</v>
      </c>
      <c r="D149" s="6">
        <v>40757.433333333334</v>
      </c>
      <c r="E149" s="8">
        <v>0.39</v>
      </c>
      <c r="F149" s="5">
        <v>16607</v>
      </c>
      <c r="G149" s="5" t="s">
        <v>8</v>
      </c>
      <c r="H149" s="5">
        <f t="shared" si="8"/>
        <v>24</v>
      </c>
      <c r="I149" s="5">
        <f t="shared" si="9"/>
        <v>0.39</v>
      </c>
    </row>
    <row r="150" spans="1:9" x14ac:dyDescent="0.35">
      <c r="A150" s="5">
        <v>565920</v>
      </c>
      <c r="B150" s="5">
        <v>10080</v>
      </c>
      <c r="C150" s="5">
        <v>24</v>
      </c>
      <c r="D150" s="6">
        <v>40794.37222222222</v>
      </c>
      <c r="E150" s="8">
        <v>0.39</v>
      </c>
      <c r="F150" s="5">
        <v>15298</v>
      </c>
      <c r="G150" s="5" t="s">
        <v>8</v>
      </c>
      <c r="H150" s="5">
        <f t="shared" si="8"/>
        <v>24</v>
      </c>
      <c r="I150" s="5">
        <f t="shared" si="9"/>
        <v>0.39</v>
      </c>
    </row>
    <row r="151" spans="1:9" x14ac:dyDescent="0.35">
      <c r="A151" s="5">
        <v>575516</v>
      </c>
      <c r="B151" s="5">
        <v>16011</v>
      </c>
      <c r="C151" s="5">
        <v>24</v>
      </c>
      <c r="D151" s="6">
        <v>40857.447916666664</v>
      </c>
      <c r="E151" s="8">
        <v>0.21</v>
      </c>
      <c r="F151" s="5">
        <v>17340</v>
      </c>
      <c r="G151" s="5" t="s">
        <v>8</v>
      </c>
      <c r="H151" s="5">
        <f t="shared" si="8"/>
        <v>24</v>
      </c>
      <c r="I151" s="5">
        <f t="shared" si="9"/>
        <v>0.21</v>
      </c>
    </row>
    <row r="152" spans="1:9" x14ac:dyDescent="0.35">
      <c r="A152" s="5">
        <v>576463</v>
      </c>
      <c r="B152" s="5">
        <v>16011</v>
      </c>
      <c r="C152" s="5">
        <v>24</v>
      </c>
      <c r="D152" s="6">
        <v>40862.484027777777</v>
      </c>
      <c r="E152" s="8">
        <v>0.21</v>
      </c>
      <c r="F152" s="5">
        <v>17974</v>
      </c>
      <c r="G152" s="5" t="s">
        <v>8</v>
      </c>
      <c r="H152" s="5">
        <f t="shared" si="8"/>
        <v>24</v>
      </c>
      <c r="I152" s="5">
        <f t="shared" si="9"/>
        <v>0.21</v>
      </c>
    </row>
    <row r="153" spans="1:9" x14ac:dyDescent="0.35">
      <c r="A153" s="5">
        <v>577519</v>
      </c>
      <c r="B153" s="5">
        <v>16011</v>
      </c>
      <c r="C153" s="5">
        <v>24</v>
      </c>
      <c r="D153" s="6">
        <v>40867.555555555555</v>
      </c>
      <c r="E153" s="8">
        <v>0.21</v>
      </c>
      <c r="F153" s="5">
        <v>15044</v>
      </c>
      <c r="G153" s="5" t="s">
        <v>8</v>
      </c>
      <c r="H153" s="5">
        <f t="shared" si="8"/>
        <v>24</v>
      </c>
      <c r="I153" s="5">
        <f t="shared" si="9"/>
        <v>0.21</v>
      </c>
    </row>
    <row r="154" spans="1:9" x14ac:dyDescent="0.35">
      <c r="A154" s="5">
        <v>578531</v>
      </c>
      <c r="B154" s="5">
        <v>16011</v>
      </c>
      <c r="C154" s="5">
        <v>24</v>
      </c>
      <c r="D154" s="6">
        <v>40871.611111111109</v>
      </c>
      <c r="E154" s="8">
        <v>0.21</v>
      </c>
      <c r="F154" s="5">
        <v>17364</v>
      </c>
      <c r="G154" s="5" t="s">
        <v>8</v>
      </c>
      <c r="H154" s="5">
        <f t="shared" si="8"/>
        <v>24</v>
      </c>
      <c r="I154" s="5">
        <f t="shared" si="9"/>
        <v>0.21</v>
      </c>
    </row>
    <row r="155" spans="1:9" x14ac:dyDescent="0.35">
      <c r="A155" s="5">
        <v>579268</v>
      </c>
      <c r="B155" s="5">
        <v>16011</v>
      </c>
      <c r="C155" s="5">
        <v>24</v>
      </c>
      <c r="D155" s="6">
        <v>40876.407638888886</v>
      </c>
      <c r="E155" s="8">
        <v>0.21</v>
      </c>
      <c r="F155" s="5">
        <v>14321</v>
      </c>
      <c r="G155" s="5" t="s">
        <v>8</v>
      </c>
      <c r="H155" s="5">
        <f t="shared" si="8"/>
        <v>24</v>
      </c>
      <c r="I155" s="5">
        <f t="shared" si="9"/>
        <v>0.21</v>
      </c>
    </row>
    <row r="156" spans="1:9" x14ac:dyDescent="0.35">
      <c r="A156" s="5">
        <v>581125</v>
      </c>
      <c r="B156" s="5">
        <v>16011</v>
      </c>
      <c r="C156" s="5">
        <v>25</v>
      </c>
      <c r="D156" s="6">
        <v>40884.52847222222</v>
      </c>
      <c r="E156" s="8">
        <v>0.21</v>
      </c>
      <c r="F156" s="5">
        <v>14087</v>
      </c>
      <c r="G156" s="5" t="s">
        <v>8</v>
      </c>
      <c r="H156" s="5">
        <f t="shared" si="8"/>
        <v>25</v>
      </c>
      <c r="I156" s="5">
        <f t="shared" si="9"/>
        <v>0.21</v>
      </c>
    </row>
    <row r="157" spans="1:9" x14ac:dyDescent="0.35">
      <c r="A157" s="5">
        <v>549316</v>
      </c>
      <c r="B157" s="5">
        <v>15036</v>
      </c>
      <c r="C157" s="5">
        <v>36</v>
      </c>
      <c r="D157" s="6">
        <v>40641.412499999999</v>
      </c>
      <c r="E157" s="8">
        <v>0.75</v>
      </c>
      <c r="F157" s="5">
        <v>12705</v>
      </c>
      <c r="G157" s="5" t="s">
        <v>21</v>
      </c>
      <c r="H157" s="5">
        <f t="shared" si="8"/>
        <v>36</v>
      </c>
      <c r="I157" s="5">
        <f t="shared" si="9"/>
        <v>0.75</v>
      </c>
    </row>
    <row r="158" spans="1:9" x14ac:dyDescent="0.35">
      <c r="A158" s="5">
        <v>549431</v>
      </c>
      <c r="B158" s="5">
        <v>15036</v>
      </c>
      <c r="C158" s="5">
        <v>36</v>
      </c>
      <c r="D158" s="6">
        <v>40641.511805555558</v>
      </c>
      <c r="E158" s="8">
        <v>0.83</v>
      </c>
      <c r="F158" s="5">
        <v>15874</v>
      </c>
      <c r="G158" s="5" t="s">
        <v>8</v>
      </c>
      <c r="H158" s="5">
        <f t="shared" si="8"/>
        <v>36</v>
      </c>
      <c r="I158" s="5">
        <f t="shared" si="9"/>
        <v>0.83</v>
      </c>
    </row>
    <row r="159" spans="1:9" x14ac:dyDescent="0.35">
      <c r="A159" s="5">
        <v>563034</v>
      </c>
      <c r="B159" s="5">
        <v>10125</v>
      </c>
      <c r="C159" s="5">
        <v>40</v>
      </c>
      <c r="D159" s="6">
        <v>40766.620138888888</v>
      </c>
      <c r="E159" s="8">
        <v>0.85</v>
      </c>
      <c r="F159" s="5">
        <v>17644</v>
      </c>
      <c r="G159" s="5" t="s">
        <v>8</v>
      </c>
      <c r="H159" s="5">
        <f t="shared" si="8"/>
        <v>40</v>
      </c>
      <c r="I159" s="5">
        <f t="shared" si="9"/>
        <v>0.85</v>
      </c>
    </row>
    <row r="160" spans="1:9" x14ac:dyDescent="0.35">
      <c r="A160" s="5">
        <v>536370</v>
      </c>
      <c r="B160" s="5">
        <v>10002</v>
      </c>
      <c r="C160" s="5">
        <v>48</v>
      </c>
      <c r="D160" s="6">
        <v>40513.364583333336</v>
      </c>
      <c r="E160" s="8">
        <v>0.85</v>
      </c>
      <c r="F160" s="5">
        <v>12583</v>
      </c>
      <c r="G160" s="5" t="s">
        <v>7</v>
      </c>
      <c r="H160" s="5">
        <f t="shared" si="8"/>
        <v>48</v>
      </c>
      <c r="I160" s="5">
        <f t="shared" si="9"/>
        <v>0.85</v>
      </c>
    </row>
    <row r="161" spans="1:9" x14ac:dyDescent="0.35">
      <c r="A161" s="5">
        <v>538888</v>
      </c>
      <c r="B161" s="5">
        <v>16012</v>
      </c>
      <c r="C161" s="5">
        <v>48</v>
      </c>
      <c r="D161" s="6">
        <v>40526.682638888888</v>
      </c>
      <c r="E161" s="8">
        <v>0.21</v>
      </c>
      <c r="F161" s="5">
        <v>17912</v>
      </c>
      <c r="G161" s="5" t="s">
        <v>8</v>
      </c>
      <c r="H161" s="5">
        <f t="shared" ref="H161:H185" si="10">IF(ISBLANK(C161), $M$2, C161)</f>
        <v>48</v>
      </c>
      <c r="I161" s="5">
        <f t="shared" ref="I161:I185" si="11">IF(ISBLANK(E161), $M$3, E161)</f>
        <v>0.21</v>
      </c>
    </row>
    <row r="162" spans="1:9" x14ac:dyDescent="0.35">
      <c r="A162" s="5">
        <v>541500</v>
      </c>
      <c r="B162" s="5">
        <v>16012</v>
      </c>
      <c r="C162" s="5">
        <v>48</v>
      </c>
      <c r="D162" s="6">
        <v>40561.642361111109</v>
      </c>
      <c r="E162" s="8">
        <v>0.21</v>
      </c>
      <c r="F162" s="5">
        <v>18041</v>
      </c>
      <c r="G162" s="5" t="s">
        <v>8</v>
      </c>
      <c r="H162" s="5">
        <f t="shared" si="10"/>
        <v>48</v>
      </c>
      <c r="I162" s="5">
        <f t="shared" si="11"/>
        <v>0.21</v>
      </c>
    </row>
    <row r="163" spans="1:9" x14ac:dyDescent="0.35">
      <c r="A163" s="5">
        <v>546415</v>
      </c>
      <c r="B163" s="5">
        <v>16012</v>
      </c>
      <c r="C163" s="5">
        <v>48</v>
      </c>
      <c r="D163" s="6">
        <v>40615.435416666667</v>
      </c>
      <c r="E163" s="8">
        <v>0.21</v>
      </c>
      <c r="F163" s="5">
        <v>17975</v>
      </c>
      <c r="G163" s="5" t="s">
        <v>8</v>
      </c>
      <c r="H163" s="5">
        <f t="shared" si="10"/>
        <v>48</v>
      </c>
      <c r="I163" s="5">
        <f t="shared" si="11"/>
        <v>0.21</v>
      </c>
    </row>
    <row r="164" spans="1:9" x14ac:dyDescent="0.35">
      <c r="A164" s="5">
        <v>549259</v>
      </c>
      <c r="B164" s="5">
        <v>15036</v>
      </c>
      <c r="C164" s="5">
        <v>48</v>
      </c>
      <c r="D164" s="6">
        <v>40640.522916666669</v>
      </c>
      <c r="E164" s="8">
        <v>0.75</v>
      </c>
      <c r="F164" s="5">
        <v>13712</v>
      </c>
      <c r="G164" s="5" t="s">
        <v>8</v>
      </c>
      <c r="H164" s="5">
        <f t="shared" si="10"/>
        <v>48</v>
      </c>
      <c r="I164" s="5">
        <f t="shared" si="11"/>
        <v>0.75</v>
      </c>
    </row>
    <row r="165" spans="1:9" x14ac:dyDescent="0.35">
      <c r="A165" s="5">
        <v>550323</v>
      </c>
      <c r="B165" s="5">
        <v>15036</v>
      </c>
      <c r="C165" s="5">
        <v>48</v>
      </c>
      <c r="D165" s="6">
        <v>40650.539583333331</v>
      </c>
      <c r="E165" s="8">
        <v>0.83</v>
      </c>
      <c r="F165" s="5">
        <v>13692</v>
      </c>
      <c r="G165" s="5" t="s">
        <v>8</v>
      </c>
      <c r="H165" s="5">
        <f t="shared" si="10"/>
        <v>48</v>
      </c>
      <c r="I165" s="5">
        <f t="shared" si="11"/>
        <v>0.83</v>
      </c>
    </row>
    <row r="166" spans="1:9" x14ac:dyDescent="0.35">
      <c r="A166" s="5">
        <v>550336</v>
      </c>
      <c r="B166" s="5">
        <v>15036</v>
      </c>
      <c r="C166" s="5">
        <v>48</v>
      </c>
      <c r="D166" s="6">
        <v>40650.621527777781</v>
      </c>
      <c r="E166" s="8">
        <v>0.83</v>
      </c>
      <c r="F166" s="5">
        <v>13089</v>
      </c>
      <c r="G166" s="5" t="s">
        <v>8</v>
      </c>
      <c r="H166" s="5">
        <f t="shared" si="10"/>
        <v>48</v>
      </c>
      <c r="I166" s="5">
        <f t="shared" si="11"/>
        <v>0.83</v>
      </c>
    </row>
    <row r="167" spans="1:9" x14ac:dyDescent="0.35">
      <c r="A167" s="5">
        <v>557568</v>
      </c>
      <c r="B167" s="5">
        <v>10080</v>
      </c>
      <c r="C167" s="5">
        <v>48</v>
      </c>
      <c r="D167" s="6">
        <v>40715.444444444445</v>
      </c>
      <c r="E167" s="8">
        <v>0.39</v>
      </c>
      <c r="F167" s="5">
        <v>17629</v>
      </c>
      <c r="G167" s="5" t="s">
        <v>8</v>
      </c>
      <c r="H167" s="5">
        <f t="shared" si="10"/>
        <v>48</v>
      </c>
      <c r="I167" s="5">
        <f t="shared" si="11"/>
        <v>0.39</v>
      </c>
    </row>
    <row r="168" spans="1:9" x14ac:dyDescent="0.35">
      <c r="A168" s="5">
        <v>575767</v>
      </c>
      <c r="B168" s="5">
        <v>16011</v>
      </c>
      <c r="C168" s="5">
        <v>48</v>
      </c>
      <c r="D168" s="6">
        <v>40858.46597222222</v>
      </c>
      <c r="E168" s="8">
        <v>0.21</v>
      </c>
      <c r="F168" s="5">
        <v>17348</v>
      </c>
      <c r="G168" s="5" t="s">
        <v>8</v>
      </c>
      <c r="H168" s="5">
        <f t="shared" si="10"/>
        <v>48</v>
      </c>
      <c r="I168" s="5">
        <f t="shared" si="11"/>
        <v>0.21</v>
      </c>
    </row>
    <row r="169" spans="1:9" x14ac:dyDescent="0.35">
      <c r="A169" s="5">
        <v>549911</v>
      </c>
      <c r="B169" s="5">
        <v>15036</v>
      </c>
      <c r="C169" s="5">
        <v>60</v>
      </c>
      <c r="D169" s="6">
        <v>40646.351388888892</v>
      </c>
      <c r="E169" s="8">
        <v>0.83</v>
      </c>
      <c r="F169" s="5">
        <v>14060</v>
      </c>
      <c r="G169" s="5" t="s">
        <v>8</v>
      </c>
      <c r="H169" s="5">
        <f t="shared" si="10"/>
        <v>60</v>
      </c>
      <c r="I169" s="5">
        <f t="shared" si="11"/>
        <v>0.83</v>
      </c>
    </row>
    <row r="170" spans="1:9" x14ac:dyDescent="0.35">
      <c r="A170" s="5">
        <v>551271</v>
      </c>
      <c r="B170" s="5">
        <v>15036</v>
      </c>
      <c r="C170" s="5">
        <v>60</v>
      </c>
      <c r="D170" s="6">
        <v>40660.527083333334</v>
      </c>
      <c r="E170" s="8">
        <v>0.83</v>
      </c>
      <c r="F170" s="5">
        <v>17187</v>
      </c>
      <c r="G170" s="5" t="s">
        <v>8</v>
      </c>
      <c r="H170" s="5">
        <f t="shared" si="10"/>
        <v>60</v>
      </c>
      <c r="I170" s="5">
        <f t="shared" si="11"/>
        <v>0.83</v>
      </c>
    </row>
    <row r="171" spans="1:9" x14ac:dyDescent="0.35">
      <c r="A171" s="5">
        <v>576672</v>
      </c>
      <c r="B171" s="5">
        <v>10125</v>
      </c>
      <c r="C171" s="5">
        <v>60</v>
      </c>
      <c r="D171" s="10">
        <v>40863</v>
      </c>
      <c r="E171" s="8">
        <v>0.85</v>
      </c>
      <c r="F171" s="5">
        <v>12731</v>
      </c>
      <c r="G171" s="5" t="s">
        <v>7</v>
      </c>
      <c r="H171" s="5">
        <f t="shared" si="10"/>
        <v>60</v>
      </c>
      <c r="I171" s="5">
        <f t="shared" si="11"/>
        <v>0.85</v>
      </c>
    </row>
    <row r="172" spans="1:9" x14ac:dyDescent="0.35">
      <c r="A172" s="5">
        <v>545550</v>
      </c>
      <c r="B172" s="5">
        <v>16012</v>
      </c>
      <c r="C172" s="5">
        <v>72</v>
      </c>
      <c r="D172" s="6">
        <v>40605.632638888892</v>
      </c>
      <c r="E172" s="8">
        <v>0.21</v>
      </c>
      <c r="F172" s="5">
        <v>18041</v>
      </c>
      <c r="G172" s="5" t="s">
        <v>8</v>
      </c>
      <c r="H172" s="5">
        <f t="shared" si="10"/>
        <v>72</v>
      </c>
      <c r="I172" s="5">
        <f t="shared" si="11"/>
        <v>0.21</v>
      </c>
    </row>
    <row r="173" spans="1:9" x14ac:dyDescent="0.35">
      <c r="A173" s="5">
        <v>545514</v>
      </c>
      <c r="B173" s="5">
        <v>16012</v>
      </c>
      <c r="C173" s="5">
        <v>96</v>
      </c>
      <c r="D173" s="6">
        <v>40605.504166666666</v>
      </c>
      <c r="E173" s="8">
        <v>0.21</v>
      </c>
      <c r="F173" s="5">
        <v>15053</v>
      </c>
      <c r="G173" s="5" t="s">
        <v>8</v>
      </c>
      <c r="H173" s="5">
        <f t="shared" si="10"/>
        <v>96</v>
      </c>
      <c r="I173" s="5">
        <f t="shared" si="11"/>
        <v>0.21</v>
      </c>
    </row>
    <row r="174" spans="1:9" x14ac:dyDescent="0.35">
      <c r="A174" s="5">
        <v>552851</v>
      </c>
      <c r="B174" s="5">
        <v>10125</v>
      </c>
      <c r="C174" s="5">
        <v>100</v>
      </c>
      <c r="D174" s="6">
        <v>40674.629861111112</v>
      </c>
      <c r="E174" s="8">
        <v>0.85</v>
      </c>
      <c r="F174" s="5">
        <v>12731</v>
      </c>
      <c r="G174" s="5" t="s">
        <v>7</v>
      </c>
      <c r="H174" s="5">
        <f t="shared" si="10"/>
        <v>100</v>
      </c>
      <c r="I174" s="5">
        <f t="shared" si="11"/>
        <v>0.85</v>
      </c>
    </row>
    <row r="175" spans="1:9" x14ac:dyDescent="0.35">
      <c r="A175" s="5">
        <v>560398</v>
      </c>
      <c r="B175" s="5">
        <v>10125</v>
      </c>
      <c r="C175" s="5">
        <v>100</v>
      </c>
      <c r="D175" s="6">
        <v>40742.590277777781</v>
      </c>
      <c r="E175" s="8">
        <v>0.85</v>
      </c>
      <c r="F175" s="5">
        <v>12731</v>
      </c>
      <c r="G175" s="5" t="s">
        <v>7</v>
      </c>
      <c r="H175" s="5">
        <f t="shared" si="10"/>
        <v>100</v>
      </c>
      <c r="I175" s="5">
        <f t="shared" si="11"/>
        <v>0.85</v>
      </c>
    </row>
    <row r="176" spans="1:9" x14ac:dyDescent="0.35">
      <c r="A176" s="5">
        <v>569097</v>
      </c>
      <c r="B176" s="5">
        <v>10125</v>
      </c>
      <c r="C176" s="5">
        <v>150</v>
      </c>
      <c r="D176" s="6">
        <v>40816.504166666666</v>
      </c>
      <c r="E176" s="8">
        <v>0.85</v>
      </c>
      <c r="F176" s="5">
        <v>12731</v>
      </c>
      <c r="G176" s="5" t="s">
        <v>7</v>
      </c>
      <c r="H176" s="5">
        <f t="shared" si="10"/>
        <v>150</v>
      </c>
      <c r="I176" s="5">
        <f t="shared" si="11"/>
        <v>0.85</v>
      </c>
    </row>
    <row r="177" spans="1:9" x14ac:dyDescent="0.35">
      <c r="A177" s="5">
        <v>561271</v>
      </c>
      <c r="B177" s="5">
        <v>10080</v>
      </c>
      <c r="C177" s="5">
        <v>170</v>
      </c>
      <c r="D177" s="6">
        <v>40750.512499999997</v>
      </c>
      <c r="E177" s="12">
        <v>0</v>
      </c>
      <c r="F177" s="11" t="s">
        <v>1331</v>
      </c>
      <c r="G177" s="5" t="s">
        <v>8</v>
      </c>
      <c r="H177" s="5">
        <f t="shared" si="10"/>
        <v>170</v>
      </c>
      <c r="I177" s="5">
        <f t="shared" si="11"/>
        <v>0</v>
      </c>
    </row>
    <row r="178" spans="1:9" x14ac:dyDescent="0.35">
      <c r="A178" s="5">
        <v>546863</v>
      </c>
      <c r="B178" s="5">
        <v>15036</v>
      </c>
      <c r="C178" s="5">
        <v>600</v>
      </c>
      <c r="D178" s="6">
        <v>40619.65347222222</v>
      </c>
      <c r="E178" s="8">
        <v>0.65</v>
      </c>
      <c r="F178" s="5">
        <v>16377</v>
      </c>
      <c r="G178" s="5" t="s">
        <v>8</v>
      </c>
      <c r="H178" s="5">
        <f t="shared" si="10"/>
        <v>600</v>
      </c>
      <c r="I178" s="5">
        <f t="shared" si="11"/>
        <v>0.65</v>
      </c>
    </row>
    <row r="179" spans="1:9" x14ac:dyDescent="0.35">
      <c r="A179" s="5">
        <v>546992</v>
      </c>
      <c r="B179" s="5">
        <v>15036</v>
      </c>
      <c r="C179" s="5">
        <v>600</v>
      </c>
      <c r="D179" s="6">
        <v>40620.554166666669</v>
      </c>
      <c r="E179" s="8">
        <v>0.65</v>
      </c>
      <c r="F179" s="5">
        <v>16684</v>
      </c>
      <c r="G179" s="5" t="s">
        <v>8</v>
      </c>
      <c r="H179" s="5">
        <f t="shared" si="10"/>
        <v>600</v>
      </c>
      <c r="I179" s="5">
        <f t="shared" si="11"/>
        <v>0.65</v>
      </c>
    </row>
    <row r="180" spans="1:9" x14ac:dyDescent="0.35">
      <c r="A180" s="5">
        <v>548336</v>
      </c>
      <c r="B180" s="5">
        <v>15036</v>
      </c>
      <c r="C180" s="5">
        <v>600</v>
      </c>
      <c r="D180" s="6">
        <v>40632.587500000001</v>
      </c>
      <c r="E180" s="8">
        <v>0.65</v>
      </c>
      <c r="F180" s="5">
        <v>13082</v>
      </c>
      <c r="G180" s="5" t="s">
        <v>8</v>
      </c>
      <c r="H180" s="5">
        <f t="shared" si="10"/>
        <v>600</v>
      </c>
      <c r="I180" s="5">
        <f t="shared" si="11"/>
        <v>0.65</v>
      </c>
    </row>
    <row r="181" spans="1:9" x14ac:dyDescent="0.35">
      <c r="A181" s="5">
        <v>548359</v>
      </c>
      <c r="B181" s="5">
        <v>15036</v>
      </c>
      <c r="C181" s="5">
        <v>600</v>
      </c>
      <c r="D181" s="6">
        <v>40632.646527777775</v>
      </c>
      <c r="E181" s="8">
        <v>0.72</v>
      </c>
      <c r="F181" s="5">
        <v>14828</v>
      </c>
      <c r="G181" s="5" t="s">
        <v>8</v>
      </c>
      <c r="H181" s="5">
        <f t="shared" si="10"/>
        <v>600</v>
      </c>
      <c r="I181" s="5">
        <f t="shared" si="11"/>
        <v>0.72</v>
      </c>
    </row>
    <row r="182" spans="1:9" x14ac:dyDescent="0.35">
      <c r="A182" s="5">
        <v>549927</v>
      </c>
      <c r="B182" s="5">
        <v>15036</v>
      </c>
      <c r="C182" s="5">
        <v>600</v>
      </c>
      <c r="D182" s="6">
        <v>40646.429861111108</v>
      </c>
      <c r="E182" s="8">
        <v>0.72</v>
      </c>
      <c r="F182" s="5">
        <v>16684</v>
      </c>
      <c r="G182" s="5" t="s">
        <v>8</v>
      </c>
      <c r="H182" s="5">
        <f t="shared" si="10"/>
        <v>600</v>
      </c>
      <c r="I182" s="5">
        <f t="shared" si="11"/>
        <v>0.72</v>
      </c>
    </row>
    <row r="183" spans="1:9" x14ac:dyDescent="0.35">
      <c r="A183" s="5">
        <v>551062</v>
      </c>
      <c r="B183" s="5">
        <v>15036</v>
      </c>
      <c r="C183" s="5">
        <v>600</v>
      </c>
      <c r="D183" s="6">
        <v>40659.511111111111</v>
      </c>
      <c r="E183" s="8">
        <v>0.72</v>
      </c>
      <c r="F183" s="5">
        <v>18092</v>
      </c>
      <c r="G183" s="5" t="s">
        <v>8</v>
      </c>
      <c r="H183" s="5">
        <f t="shared" si="10"/>
        <v>600</v>
      </c>
      <c r="I183" s="5">
        <f t="shared" si="11"/>
        <v>0.72</v>
      </c>
    </row>
    <row r="184" spans="1:9" x14ac:dyDescent="0.35">
      <c r="A184" s="5">
        <v>580419</v>
      </c>
      <c r="B184" s="5">
        <v>10125</v>
      </c>
      <c r="C184" s="5">
        <v>60000000</v>
      </c>
      <c r="D184" s="6">
        <v>40881.505555555559</v>
      </c>
      <c r="E184" s="8">
        <v>0.85</v>
      </c>
      <c r="F184" s="5">
        <v>16283</v>
      </c>
      <c r="G184" s="5" t="s">
        <v>8</v>
      </c>
      <c r="H184" s="5">
        <f t="shared" si="10"/>
        <v>60000000</v>
      </c>
      <c r="I184" s="5">
        <f t="shared" si="11"/>
        <v>0.85</v>
      </c>
    </row>
    <row r="185" spans="1:9" x14ac:dyDescent="0.35">
      <c r="A185" s="5">
        <v>536865</v>
      </c>
      <c r="B185" s="5">
        <v>10002</v>
      </c>
      <c r="C185" s="11"/>
      <c r="D185" s="6">
        <v>40515.477777777778</v>
      </c>
      <c r="E185" s="8">
        <v>1.66</v>
      </c>
      <c r="F185" s="11" t="s">
        <v>1331</v>
      </c>
      <c r="G185" s="5" t="s">
        <v>8</v>
      </c>
      <c r="H185" s="5">
        <f t="shared" si="10"/>
        <v>327905.87431693991</v>
      </c>
      <c r="I185" s="5">
        <f t="shared" si="11"/>
        <v>1.66</v>
      </c>
    </row>
    <row r="190" spans="1:9" x14ac:dyDescent="0.35">
      <c r="E190"/>
      <c r="F190"/>
      <c r="G190"/>
    </row>
    <row r="191" spans="1:9" x14ac:dyDescent="0.35">
      <c r="E191"/>
      <c r="F191"/>
      <c r="G191"/>
    </row>
    <row r="192" spans="1:9" x14ac:dyDescent="0.35">
      <c r="E192"/>
      <c r="F192"/>
      <c r="G192"/>
    </row>
    <row r="193" spans="5:7" x14ac:dyDescent="0.35">
      <c r="E193"/>
      <c r="F193"/>
      <c r="G193"/>
    </row>
    <row r="194" spans="5:7" x14ac:dyDescent="0.35">
      <c r="E194"/>
      <c r="F194"/>
      <c r="G194"/>
    </row>
    <row r="195" spans="5:7" x14ac:dyDescent="0.35">
      <c r="E195"/>
      <c r="F195"/>
      <c r="G195"/>
    </row>
  </sheetData>
  <conditionalFormatting sqref="C1:C1048576">
    <cfRule type="colorScale" priority="2">
      <colorScale>
        <cfvo type="num" val="-28.5"/>
        <cfvo type="num" val="55.5"/>
        <color theme="8" tint="0.79998168889431442"/>
        <color theme="8" tint="-0.249977111117893"/>
      </colorScale>
    </cfRule>
    <cfRule type="colorScale" priority="7">
      <colorScale>
        <cfvo type="min"/>
        <cfvo type="max"/>
        <color theme="8" tint="0.79998168889431442"/>
        <color theme="8"/>
      </colorScale>
    </cfRule>
  </conditionalFormatting>
  <conditionalFormatting sqref="C2:C185">
    <cfRule type="colorScale" priority="295">
      <colorScale>
        <cfvo type="min"/>
        <cfvo type="max"/>
        <color theme="8" tint="0.79998168889431442"/>
        <color theme="8" tint="-0.249977111117893"/>
      </colorScale>
    </cfRule>
    <cfRule type="colorScale" priority="296">
      <colorScale>
        <cfvo type="num" val="0"/>
        <cfvo type="num" val="100"/>
        <color theme="8" tint="0.79998168889431442"/>
        <color theme="8" tint="-0.249977111117893"/>
      </colorScale>
    </cfRule>
  </conditionalFormatting>
  <conditionalFormatting sqref="E1:E1048576">
    <cfRule type="colorScale" priority="1">
      <colorScale>
        <cfvo type="num" val="0.48"/>
        <cfvo type="num" val="1.57"/>
        <color theme="8" tint="0.79998168889431442"/>
        <color theme="8" tint="-0.249977111117893"/>
      </colorScale>
    </cfRule>
  </conditionalFormatting>
  <conditionalFormatting sqref="E196:E1048576 E1:E189">
    <cfRule type="colorScale" priority="5">
      <colorScale>
        <cfvo type="min"/>
        <cfvo type="max"/>
        <color theme="8" tint="0.79998168889431442"/>
        <color theme="8" tint="-0.249977111117893"/>
      </colorScale>
    </cfRule>
  </conditionalFormatting>
  <conditionalFormatting sqref="M16">
    <cfRule type="colorScale" priority="3">
      <colorScale>
        <cfvo type="min"/>
        <cfvo type="max"/>
        <color theme="8" tint="0.79998168889431442"/>
        <color theme="8" tint="-0.249977111117893"/>
      </colorScale>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89EEB-9509-4BE0-A4BF-970AAE52F34E}">
  <dimension ref="A1:R138"/>
  <sheetViews>
    <sheetView tabSelected="1" topLeftCell="J1" zoomScale="60" workbookViewId="0">
      <selection activeCell="J159" sqref="J159"/>
    </sheetView>
  </sheetViews>
  <sheetFormatPr defaultRowHeight="14.5" x14ac:dyDescent="0.35"/>
  <cols>
    <col min="1" max="1" width="14.08984375" style="5" customWidth="1"/>
    <col min="2" max="2" width="13.453125" style="5" customWidth="1"/>
    <col min="3" max="3" width="16.08984375" style="5" customWidth="1"/>
    <col min="4" max="4" width="22.453125" style="5" bestFit="1" customWidth="1"/>
    <col min="5" max="5" width="13.6328125" style="8" bestFit="1" customWidth="1"/>
    <col min="6" max="6" width="12.90625" style="5" customWidth="1"/>
    <col min="7" max="7" width="13.54296875" style="5" bestFit="1" customWidth="1"/>
    <col min="8" max="8" width="17.36328125" bestFit="1" customWidth="1"/>
    <col min="9" max="9" width="14.36328125" bestFit="1" customWidth="1"/>
    <col min="10" max="10" width="19" bestFit="1" customWidth="1"/>
    <col min="11" max="11" width="15.81640625" bestFit="1" customWidth="1"/>
    <col min="12" max="12" width="21.6328125" bestFit="1" customWidth="1"/>
    <col min="13" max="13" width="12.26953125" bestFit="1" customWidth="1"/>
    <col min="14" max="14" width="30.08984375" customWidth="1"/>
    <col min="15" max="15" width="11.81640625" bestFit="1" customWidth="1"/>
    <col min="16" max="16" width="11.81640625" customWidth="1"/>
  </cols>
  <sheetData>
    <row r="1" spans="1:18" s="7" customFormat="1" x14ac:dyDescent="0.35">
      <c r="A1" s="7" t="s">
        <v>0</v>
      </c>
      <c r="B1" s="7" t="s">
        <v>1</v>
      </c>
      <c r="C1" s="7" t="s">
        <v>2</v>
      </c>
      <c r="D1" s="7" t="s">
        <v>3</v>
      </c>
      <c r="E1" s="8" t="s">
        <v>4</v>
      </c>
      <c r="F1" s="7" t="s">
        <v>5</v>
      </c>
      <c r="G1" s="7" t="s">
        <v>6</v>
      </c>
      <c r="H1" s="7" t="s">
        <v>1335</v>
      </c>
      <c r="I1" s="7" t="s">
        <v>1336</v>
      </c>
      <c r="J1" s="7" t="s">
        <v>1337</v>
      </c>
      <c r="K1" s="7" t="s">
        <v>25</v>
      </c>
    </row>
    <row r="2" spans="1:18" x14ac:dyDescent="0.35">
      <c r="A2" s="5">
        <v>536370</v>
      </c>
      <c r="B2" s="5">
        <v>10002</v>
      </c>
      <c r="C2" s="5">
        <v>48</v>
      </c>
      <c r="D2" s="6">
        <v>40513.364583333336</v>
      </c>
      <c r="E2" s="8">
        <v>0.85</v>
      </c>
      <c r="F2" s="5">
        <v>12583</v>
      </c>
      <c r="G2" s="5" t="s">
        <v>7</v>
      </c>
      <c r="H2" s="5" t="b">
        <f t="shared" ref="H2:H33" si="0">OR(C2&lt;-28.5, C2&gt;55.5)</f>
        <v>0</v>
      </c>
      <c r="I2" s="5" t="b">
        <f t="shared" ref="I2:I33" si="1">OR(E2&lt;0.6, E2&gt;1.75)</f>
        <v>0</v>
      </c>
      <c r="J2" s="5">
        <f t="shared" ref="J2:J33" si="2">IF(ISBLANK(C2), $O$6, C2)</f>
        <v>48</v>
      </c>
      <c r="K2" s="5">
        <f t="shared" ref="K2:K33" si="3">IF(ISBLANK(E2), $O$7, E2)</f>
        <v>0.85</v>
      </c>
    </row>
    <row r="3" spans="1:18" x14ac:dyDescent="0.35">
      <c r="A3" s="5">
        <v>536382</v>
      </c>
      <c r="B3" s="5">
        <v>10002</v>
      </c>
      <c r="C3" s="5">
        <v>12</v>
      </c>
      <c r="D3" s="6">
        <v>40513.40625</v>
      </c>
      <c r="E3" s="8">
        <v>0.85</v>
      </c>
      <c r="F3" s="5">
        <v>16098</v>
      </c>
      <c r="G3" s="5" t="s">
        <v>8</v>
      </c>
      <c r="H3" s="5" t="b">
        <f t="shared" si="0"/>
        <v>0</v>
      </c>
      <c r="I3" s="5" t="b">
        <f t="shared" si="1"/>
        <v>0</v>
      </c>
      <c r="J3" s="5">
        <f t="shared" si="2"/>
        <v>12</v>
      </c>
      <c r="K3" s="5">
        <f t="shared" si="3"/>
        <v>0.85</v>
      </c>
    </row>
    <row r="4" spans="1:18" x14ac:dyDescent="0.35">
      <c r="A4" s="5">
        <v>536446</v>
      </c>
      <c r="B4" s="5">
        <v>10133</v>
      </c>
      <c r="C4" s="5">
        <v>5</v>
      </c>
      <c r="D4" s="6">
        <v>40513.510416666664</v>
      </c>
      <c r="E4" s="8">
        <v>0.85</v>
      </c>
      <c r="F4" s="5">
        <v>15983</v>
      </c>
      <c r="G4" s="5" t="s">
        <v>8</v>
      </c>
      <c r="H4" s="5" t="b">
        <f t="shared" si="0"/>
        <v>0</v>
      </c>
      <c r="I4" s="5" t="b">
        <f t="shared" si="1"/>
        <v>0</v>
      </c>
      <c r="J4" s="5">
        <f t="shared" si="2"/>
        <v>5</v>
      </c>
      <c r="K4" s="5">
        <f t="shared" si="3"/>
        <v>0.85</v>
      </c>
    </row>
    <row r="5" spans="1:18" x14ac:dyDescent="0.35">
      <c r="A5" s="5">
        <v>536756</v>
      </c>
      <c r="B5" s="5">
        <v>10002</v>
      </c>
      <c r="C5" s="5">
        <v>1</v>
      </c>
      <c r="D5" s="6">
        <v>40514.599305555559</v>
      </c>
      <c r="E5" s="8">
        <v>0.85</v>
      </c>
      <c r="F5" s="5" t="s">
        <v>1331</v>
      </c>
      <c r="G5" s="5" t="s">
        <v>8</v>
      </c>
      <c r="H5" s="5" t="b">
        <f t="shared" si="0"/>
        <v>0</v>
      </c>
      <c r="I5" s="5" t="b">
        <f t="shared" si="1"/>
        <v>0</v>
      </c>
      <c r="J5" s="5">
        <f t="shared" si="2"/>
        <v>1</v>
      </c>
      <c r="K5" s="5">
        <f t="shared" si="3"/>
        <v>0.85</v>
      </c>
      <c r="M5" s="7"/>
      <c r="N5" s="7"/>
      <c r="O5" s="7"/>
      <c r="P5" s="7"/>
      <c r="Q5" s="7"/>
      <c r="R5" s="7"/>
    </row>
    <row r="6" spans="1:18" x14ac:dyDescent="0.35">
      <c r="A6" s="5">
        <v>536863</v>
      </c>
      <c r="B6" s="5">
        <v>10002</v>
      </c>
      <c r="C6" s="5">
        <v>1</v>
      </c>
      <c r="D6" s="6">
        <v>40515.47152777778</v>
      </c>
      <c r="E6" s="8">
        <v>0.85</v>
      </c>
      <c r="F6" s="5">
        <v>17967</v>
      </c>
      <c r="G6" s="5" t="s">
        <v>8</v>
      </c>
      <c r="H6" s="5" t="b">
        <f t="shared" si="0"/>
        <v>0</v>
      </c>
      <c r="I6" s="5" t="b">
        <f t="shared" si="1"/>
        <v>0</v>
      </c>
      <c r="J6" s="5">
        <f t="shared" si="2"/>
        <v>1</v>
      </c>
      <c r="K6" s="5">
        <f t="shared" si="3"/>
        <v>0.85</v>
      </c>
      <c r="N6" s="20" t="s">
        <v>26</v>
      </c>
      <c r="O6" s="20">
        <f>AVERAGE(C:C)</f>
        <v>11.283464566929133</v>
      </c>
    </row>
    <row r="7" spans="1:18" x14ac:dyDescent="0.35">
      <c r="A7" s="5">
        <v>536865</v>
      </c>
      <c r="B7" s="5">
        <v>10002</v>
      </c>
      <c r="C7" s="11">
        <v>11</v>
      </c>
      <c r="D7" s="6">
        <v>40515.477777777778</v>
      </c>
      <c r="E7" s="8">
        <v>1.66</v>
      </c>
      <c r="F7" s="5" t="s">
        <v>1331</v>
      </c>
      <c r="G7" s="5" t="s">
        <v>8</v>
      </c>
      <c r="H7" s="5" t="b">
        <f t="shared" si="0"/>
        <v>0</v>
      </c>
      <c r="I7" s="5" t="b">
        <f t="shared" si="1"/>
        <v>0</v>
      </c>
      <c r="J7" s="5">
        <f t="shared" si="2"/>
        <v>11</v>
      </c>
      <c r="K7" s="5">
        <f t="shared" si="3"/>
        <v>1.66</v>
      </c>
      <c r="N7" s="20" t="s">
        <v>27</v>
      </c>
      <c r="O7" s="21">
        <f>AVERAGE(E:E)</f>
        <v>0.99212598425196663</v>
      </c>
    </row>
    <row r="8" spans="1:18" x14ac:dyDescent="0.35">
      <c r="A8" s="5">
        <v>536876</v>
      </c>
      <c r="B8" s="5">
        <v>10002</v>
      </c>
      <c r="C8" s="5">
        <v>2</v>
      </c>
      <c r="D8" s="6">
        <v>40515.48333333333</v>
      </c>
      <c r="E8" s="8">
        <v>1.66</v>
      </c>
      <c r="F8" s="5" t="s">
        <v>1331</v>
      </c>
      <c r="G8" s="5" t="s">
        <v>8</v>
      </c>
      <c r="H8" s="5" t="b">
        <f t="shared" si="0"/>
        <v>0</v>
      </c>
      <c r="I8" s="5" t="b">
        <f t="shared" si="1"/>
        <v>0</v>
      </c>
      <c r="J8" s="5">
        <f t="shared" si="2"/>
        <v>2</v>
      </c>
      <c r="K8" s="5">
        <f t="shared" si="3"/>
        <v>1.66</v>
      </c>
      <c r="N8" s="20"/>
      <c r="O8" s="20"/>
    </row>
    <row r="9" spans="1:18" x14ac:dyDescent="0.35">
      <c r="A9" s="5">
        <v>536876</v>
      </c>
      <c r="B9" s="5">
        <v>10133</v>
      </c>
      <c r="C9" s="5">
        <v>1</v>
      </c>
      <c r="D9" s="6">
        <v>40515.48333333333</v>
      </c>
      <c r="E9" s="8">
        <v>1.66</v>
      </c>
      <c r="F9" s="5" t="s">
        <v>1331</v>
      </c>
      <c r="G9" s="5" t="s">
        <v>8</v>
      </c>
      <c r="H9" s="5" t="b">
        <f t="shared" si="0"/>
        <v>0</v>
      </c>
      <c r="I9" s="5" t="b">
        <f t="shared" si="1"/>
        <v>0</v>
      </c>
      <c r="J9" s="5">
        <f t="shared" si="2"/>
        <v>1</v>
      </c>
      <c r="K9" s="5">
        <f t="shared" si="3"/>
        <v>1.66</v>
      </c>
      <c r="N9" s="20"/>
      <c r="O9" s="20"/>
    </row>
    <row r="10" spans="1:18" x14ac:dyDescent="0.35">
      <c r="A10" s="5">
        <v>537225</v>
      </c>
      <c r="B10" s="5">
        <v>10133</v>
      </c>
      <c r="C10" s="5">
        <v>10</v>
      </c>
      <c r="D10" s="10">
        <v>40517</v>
      </c>
      <c r="E10" s="8">
        <v>0.85</v>
      </c>
      <c r="F10" s="5">
        <v>12748</v>
      </c>
      <c r="G10" s="5" t="s">
        <v>8</v>
      </c>
      <c r="H10" s="5" t="b">
        <f t="shared" si="0"/>
        <v>0</v>
      </c>
      <c r="I10" s="5" t="b">
        <f t="shared" si="1"/>
        <v>0</v>
      </c>
      <c r="J10" s="5">
        <f t="shared" si="2"/>
        <v>10</v>
      </c>
      <c r="K10" s="5">
        <f t="shared" si="3"/>
        <v>0.85</v>
      </c>
      <c r="N10" s="20" t="s">
        <v>28</v>
      </c>
      <c r="O10" s="20">
        <f>MAX(C:C)</f>
        <v>48</v>
      </c>
    </row>
    <row r="11" spans="1:18" x14ac:dyDescent="0.35">
      <c r="A11" s="5">
        <v>537047</v>
      </c>
      <c r="B11" s="5">
        <v>10002</v>
      </c>
      <c r="C11" s="5">
        <v>1</v>
      </c>
      <c r="D11" s="6">
        <v>40517.459722222222</v>
      </c>
      <c r="E11" s="8">
        <v>0.85</v>
      </c>
      <c r="F11" s="5">
        <v>13069</v>
      </c>
      <c r="G11" s="5" t="s">
        <v>8</v>
      </c>
      <c r="H11" s="5" t="b">
        <f t="shared" si="0"/>
        <v>0</v>
      </c>
      <c r="I11" s="5" t="b">
        <f t="shared" si="1"/>
        <v>0</v>
      </c>
      <c r="J11" s="5">
        <f t="shared" si="2"/>
        <v>1</v>
      </c>
      <c r="K11" s="5">
        <f t="shared" si="3"/>
        <v>0.85</v>
      </c>
      <c r="N11" s="20" t="s">
        <v>29</v>
      </c>
      <c r="O11" s="20">
        <f>MIN(C:C)</f>
        <v>1</v>
      </c>
    </row>
    <row r="12" spans="1:18" x14ac:dyDescent="0.35">
      <c r="A12" s="5">
        <v>537126</v>
      </c>
      <c r="B12" s="5">
        <v>10133</v>
      </c>
      <c r="C12" s="5">
        <v>1</v>
      </c>
      <c r="D12" s="6">
        <v>40517.509027777778</v>
      </c>
      <c r="E12" s="8">
        <v>0.85</v>
      </c>
      <c r="F12" s="5">
        <v>18118</v>
      </c>
      <c r="G12" s="5" t="s">
        <v>8</v>
      </c>
      <c r="H12" s="5" t="b">
        <f t="shared" si="0"/>
        <v>0</v>
      </c>
      <c r="I12" s="5" t="b">
        <f t="shared" si="1"/>
        <v>0</v>
      </c>
      <c r="J12" s="5">
        <f t="shared" si="2"/>
        <v>1</v>
      </c>
      <c r="K12" s="5">
        <f t="shared" si="3"/>
        <v>0.85</v>
      </c>
      <c r="N12" s="20"/>
      <c r="O12" s="20"/>
    </row>
    <row r="13" spans="1:18" x14ac:dyDescent="0.35">
      <c r="A13" s="5">
        <v>537155</v>
      </c>
      <c r="B13" s="5">
        <v>10133</v>
      </c>
      <c r="C13" s="5">
        <v>3</v>
      </c>
      <c r="D13" s="6">
        <v>40517.545138888891</v>
      </c>
      <c r="E13" s="8">
        <v>0.85</v>
      </c>
      <c r="F13" s="5">
        <v>12748</v>
      </c>
      <c r="G13" s="5" t="s">
        <v>8</v>
      </c>
      <c r="H13" s="5" t="b">
        <f t="shared" si="0"/>
        <v>0</v>
      </c>
      <c r="I13" s="5" t="b">
        <f t="shared" si="1"/>
        <v>0</v>
      </c>
      <c r="J13" s="5">
        <f t="shared" si="2"/>
        <v>3</v>
      </c>
      <c r="K13" s="5">
        <f t="shared" si="3"/>
        <v>0.85</v>
      </c>
      <c r="N13" s="20" t="s">
        <v>30</v>
      </c>
      <c r="O13" s="20">
        <f>_xlfn.STDEV.S(C:C)</f>
        <v>11.010743410015277</v>
      </c>
    </row>
    <row r="14" spans="1:18" x14ac:dyDescent="0.35">
      <c r="A14" s="5">
        <v>537227</v>
      </c>
      <c r="B14" s="5">
        <v>10002</v>
      </c>
      <c r="C14" s="5">
        <v>24</v>
      </c>
      <c r="D14" s="6">
        <v>40518.362500000003</v>
      </c>
      <c r="E14" s="8">
        <v>0.85</v>
      </c>
      <c r="F14" s="5">
        <v>17677</v>
      </c>
      <c r="G14" s="5" t="s">
        <v>8</v>
      </c>
      <c r="H14" s="5" t="b">
        <f t="shared" si="0"/>
        <v>0</v>
      </c>
      <c r="I14" s="5" t="b">
        <f t="shared" si="1"/>
        <v>0</v>
      </c>
      <c r="J14" s="5">
        <f t="shared" si="2"/>
        <v>24</v>
      </c>
      <c r="K14" s="5">
        <f t="shared" si="3"/>
        <v>0.85</v>
      </c>
      <c r="N14" s="20" t="s">
        <v>31</v>
      </c>
      <c r="O14" s="20">
        <f>_xlfn.STDEV.S(E:E)</f>
        <v>0.32961649173099689</v>
      </c>
    </row>
    <row r="15" spans="1:18" x14ac:dyDescent="0.35">
      <c r="A15" s="5">
        <v>537240</v>
      </c>
      <c r="B15" s="5">
        <v>10002</v>
      </c>
      <c r="C15" s="5">
        <v>1</v>
      </c>
      <c r="D15" s="6">
        <v>40518.422222222223</v>
      </c>
      <c r="E15" s="8">
        <v>1.66</v>
      </c>
      <c r="F15" s="5" t="s">
        <v>1331</v>
      </c>
      <c r="G15" s="5" t="s">
        <v>8</v>
      </c>
      <c r="H15" s="5" t="b">
        <f t="shared" si="0"/>
        <v>0</v>
      </c>
      <c r="I15" s="5" t="b">
        <f t="shared" si="1"/>
        <v>0</v>
      </c>
      <c r="J15" s="5">
        <f t="shared" si="2"/>
        <v>1</v>
      </c>
      <c r="K15" s="5">
        <f t="shared" si="3"/>
        <v>1.66</v>
      </c>
    </row>
    <row r="16" spans="1:18" x14ac:dyDescent="0.35">
      <c r="A16" s="5">
        <v>537374</v>
      </c>
      <c r="B16" s="5">
        <v>10133</v>
      </c>
      <c r="C16" s="5">
        <v>2</v>
      </c>
      <c r="D16" s="6">
        <v>40518.538194444445</v>
      </c>
      <c r="E16" s="8">
        <v>0.85</v>
      </c>
      <c r="F16" s="5">
        <v>17259</v>
      </c>
      <c r="G16" s="5" t="s">
        <v>8</v>
      </c>
      <c r="H16" s="5" t="b">
        <f t="shared" si="0"/>
        <v>0</v>
      </c>
      <c r="I16" s="5" t="b">
        <f t="shared" si="1"/>
        <v>0</v>
      </c>
      <c r="J16" s="5">
        <f t="shared" si="2"/>
        <v>2</v>
      </c>
      <c r="K16" s="5">
        <f t="shared" si="3"/>
        <v>0.85</v>
      </c>
    </row>
    <row r="17" spans="1:16" x14ac:dyDescent="0.35">
      <c r="A17" s="5">
        <v>537638</v>
      </c>
      <c r="B17" s="5">
        <v>10002</v>
      </c>
      <c r="C17" s="5">
        <v>5</v>
      </c>
      <c r="D17" s="6">
        <v>40519.644444444442</v>
      </c>
      <c r="E17" s="8">
        <v>1.66</v>
      </c>
      <c r="F17" s="5" t="s">
        <v>1331</v>
      </c>
      <c r="G17" s="5" t="s">
        <v>8</v>
      </c>
      <c r="H17" s="5" t="b">
        <f t="shared" si="0"/>
        <v>0</v>
      </c>
      <c r="I17" s="5" t="b">
        <f t="shared" si="1"/>
        <v>0</v>
      </c>
      <c r="J17" s="5">
        <f t="shared" si="2"/>
        <v>5</v>
      </c>
      <c r="K17" s="5">
        <f t="shared" si="3"/>
        <v>1.66</v>
      </c>
    </row>
    <row r="18" spans="1:16" x14ac:dyDescent="0.35">
      <c r="A18" s="5">
        <v>538064</v>
      </c>
      <c r="B18" s="5">
        <v>10133</v>
      </c>
      <c r="C18" s="5">
        <v>2</v>
      </c>
      <c r="D18" s="6">
        <v>40521.574305555558</v>
      </c>
      <c r="E18" s="8">
        <v>0.85</v>
      </c>
      <c r="F18" s="5">
        <v>15271</v>
      </c>
      <c r="G18" s="5" t="s">
        <v>8</v>
      </c>
      <c r="H18" s="5" t="b">
        <f t="shared" si="0"/>
        <v>0</v>
      </c>
      <c r="I18" s="5" t="b">
        <f t="shared" si="1"/>
        <v>0</v>
      </c>
      <c r="J18" s="5">
        <f t="shared" si="2"/>
        <v>2</v>
      </c>
      <c r="K18" s="5">
        <f t="shared" si="3"/>
        <v>0.85</v>
      </c>
    </row>
    <row r="19" spans="1:16" x14ac:dyDescent="0.35">
      <c r="A19" s="5">
        <v>538070</v>
      </c>
      <c r="B19" s="5">
        <v>10133</v>
      </c>
      <c r="C19" s="5">
        <v>10</v>
      </c>
      <c r="D19" s="6">
        <v>40521.588888888888</v>
      </c>
      <c r="E19" s="8">
        <v>0.85</v>
      </c>
      <c r="F19" s="5">
        <v>16519</v>
      </c>
      <c r="G19" s="5" t="s">
        <v>8</v>
      </c>
      <c r="H19" s="5" t="b">
        <f t="shared" si="0"/>
        <v>0</v>
      </c>
      <c r="I19" s="5" t="b">
        <f t="shared" si="1"/>
        <v>0</v>
      </c>
      <c r="J19" s="5">
        <f t="shared" si="2"/>
        <v>10</v>
      </c>
      <c r="K19" s="5">
        <f t="shared" si="3"/>
        <v>0.85</v>
      </c>
    </row>
    <row r="20" spans="1:16" x14ac:dyDescent="0.35">
      <c r="A20" s="5">
        <v>539222</v>
      </c>
      <c r="B20" s="5">
        <v>10133</v>
      </c>
      <c r="C20" s="5">
        <v>10</v>
      </c>
      <c r="D20" s="6">
        <v>40528.541666666664</v>
      </c>
      <c r="E20" s="8">
        <v>0.85</v>
      </c>
      <c r="F20" s="5">
        <v>14621</v>
      </c>
      <c r="G20" s="5" t="s">
        <v>1331</v>
      </c>
      <c r="H20" s="5" t="b">
        <f t="shared" si="0"/>
        <v>0</v>
      </c>
      <c r="I20" s="5" t="b">
        <f t="shared" si="1"/>
        <v>0</v>
      </c>
      <c r="J20" s="5">
        <f t="shared" si="2"/>
        <v>10</v>
      </c>
      <c r="K20" s="5">
        <f t="shared" si="3"/>
        <v>0.85</v>
      </c>
      <c r="N20" s="19"/>
      <c r="O20" s="22" t="s">
        <v>1329</v>
      </c>
      <c r="P20" s="19" t="s">
        <v>1330</v>
      </c>
    </row>
    <row r="21" spans="1:16" x14ac:dyDescent="0.35">
      <c r="A21" s="5">
        <v>539477</v>
      </c>
      <c r="B21" s="5">
        <v>10133</v>
      </c>
      <c r="C21" s="5">
        <v>10</v>
      </c>
      <c r="D21" s="6">
        <v>40531.623611111114</v>
      </c>
      <c r="E21" s="8">
        <v>0.85</v>
      </c>
      <c r="F21" s="5">
        <v>18245</v>
      </c>
      <c r="G21" s="5" t="s">
        <v>8</v>
      </c>
      <c r="H21" s="5" t="b">
        <f t="shared" si="0"/>
        <v>0</v>
      </c>
      <c r="I21" s="5" t="b">
        <f t="shared" si="1"/>
        <v>0</v>
      </c>
      <c r="J21" s="5">
        <f t="shared" si="2"/>
        <v>10</v>
      </c>
      <c r="K21" s="5">
        <f t="shared" si="3"/>
        <v>0.85</v>
      </c>
      <c r="N21" s="19" t="s">
        <v>1326</v>
      </c>
      <c r="O21" s="22">
        <f>_xlfn.QUARTILE.INC(C:C,1)</f>
        <v>2</v>
      </c>
      <c r="P21" s="19">
        <f>_xlfn.QUARTILE.INC(E:E,1)</f>
        <v>0.83</v>
      </c>
    </row>
    <row r="22" spans="1:16" x14ac:dyDescent="0.35">
      <c r="A22" s="5">
        <v>539933</v>
      </c>
      <c r="B22" s="5">
        <v>10133</v>
      </c>
      <c r="C22" s="5">
        <v>10</v>
      </c>
      <c r="D22" s="6">
        <v>40535.474999999999</v>
      </c>
      <c r="E22" s="8">
        <v>0.85</v>
      </c>
      <c r="F22" s="5">
        <v>15235</v>
      </c>
      <c r="G22" s="5" t="s">
        <v>8</v>
      </c>
      <c r="H22" s="5" t="b">
        <f t="shared" si="0"/>
        <v>0</v>
      </c>
      <c r="I22" s="5" t="b">
        <f t="shared" si="1"/>
        <v>0</v>
      </c>
      <c r="J22" s="5">
        <f t="shared" si="2"/>
        <v>10</v>
      </c>
      <c r="K22" s="5">
        <f t="shared" si="3"/>
        <v>0.85</v>
      </c>
      <c r="N22" s="19" t="s">
        <v>1327</v>
      </c>
      <c r="O22" s="22">
        <f>_xlfn.QUARTILE.INC(C:C,3)</f>
        <v>18.5</v>
      </c>
      <c r="P22" s="19">
        <f>_xlfn.QUARTILE.INC(E:E, 3)</f>
        <v>0.85</v>
      </c>
    </row>
    <row r="23" spans="1:16" x14ac:dyDescent="0.35">
      <c r="A23" s="5">
        <v>539958</v>
      </c>
      <c r="B23" s="5">
        <v>10133</v>
      </c>
      <c r="C23" s="5">
        <v>6</v>
      </c>
      <c r="D23" s="6">
        <v>40535.55972222222</v>
      </c>
      <c r="E23" s="8">
        <v>0.81</v>
      </c>
      <c r="F23" s="5" t="s">
        <v>1331</v>
      </c>
      <c r="G23" s="5" t="s">
        <v>8</v>
      </c>
      <c r="H23" s="5" t="b">
        <f t="shared" si="0"/>
        <v>0</v>
      </c>
      <c r="I23" s="5" t="b">
        <f t="shared" si="1"/>
        <v>0</v>
      </c>
      <c r="J23" s="5">
        <f t="shared" si="2"/>
        <v>6</v>
      </c>
      <c r="K23" s="5">
        <f t="shared" si="3"/>
        <v>0.81</v>
      </c>
      <c r="N23" s="19" t="s">
        <v>1332</v>
      </c>
      <c r="O23" s="22">
        <f>O22-O21</f>
        <v>16.5</v>
      </c>
      <c r="P23" s="19">
        <f>P22-P21</f>
        <v>2.0000000000000018E-2</v>
      </c>
    </row>
    <row r="24" spans="1:16" x14ac:dyDescent="0.35">
      <c r="A24" s="5">
        <v>540026</v>
      </c>
      <c r="B24" s="5">
        <v>10133</v>
      </c>
      <c r="C24" s="5">
        <v>1</v>
      </c>
      <c r="D24" s="6">
        <v>40547.559027777781</v>
      </c>
      <c r="E24" s="8">
        <v>0.81</v>
      </c>
      <c r="F24" s="5" t="s">
        <v>1331</v>
      </c>
      <c r="G24" s="5" t="s">
        <v>8</v>
      </c>
      <c r="H24" s="5" t="b">
        <f t="shared" si="0"/>
        <v>0</v>
      </c>
      <c r="I24" s="5" t="b">
        <f t="shared" si="1"/>
        <v>0</v>
      </c>
      <c r="J24" s="5">
        <f t="shared" si="2"/>
        <v>1</v>
      </c>
      <c r="K24" s="5">
        <f t="shared" si="3"/>
        <v>0.81</v>
      </c>
      <c r="N24" s="19" t="s">
        <v>67</v>
      </c>
      <c r="O24" s="22">
        <f>O21-1.5*O23</f>
        <v>-22.75</v>
      </c>
      <c r="P24" s="19">
        <f>P21-1.5*P23</f>
        <v>0.79999999999999993</v>
      </c>
    </row>
    <row r="25" spans="1:16" x14ac:dyDescent="0.35">
      <c r="A25" s="5">
        <v>540154</v>
      </c>
      <c r="B25" s="5">
        <v>10133</v>
      </c>
      <c r="C25" s="5">
        <v>1</v>
      </c>
      <c r="D25" s="6">
        <v>40548.479166666664</v>
      </c>
      <c r="E25" s="8">
        <v>0.81</v>
      </c>
      <c r="F25" s="5" t="s">
        <v>1331</v>
      </c>
      <c r="G25" s="5" t="s">
        <v>8</v>
      </c>
      <c r="H25" s="5" t="b">
        <f t="shared" si="0"/>
        <v>0</v>
      </c>
      <c r="I25" s="5" t="b">
        <f t="shared" si="1"/>
        <v>0</v>
      </c>
      <c r="J25" s="5">
        <f t="shared" si="2"/>
        <v>1</v>
      </c>
      <c r="K25" s="5">
        <f t="shared" si="3"/>
        <v>0.81</v>
      </c>
      <c r="N25" s="19" t="s">
        <v>68</v>
      </c>
      <c r="O25" s="22">
        <f>O22+1.5*O23</f>
        <v>43.25</v>
      </c>
      <c r="P25" s="19">
        <f>P22+1.5*P24</f>
        <v>2.0499999999999998</v>
      </c>
    </row>
    <row r="26" spans="1:16" x14ac:dyDescent="0.35">
      <c r="A26" s="5">
        <v>540352</v>
      </c>
      <c r="B26" s="5">
        <v>10133</v>
      </c>
      <c r="C26" s="5">
        <v>1</v>
      </c>
      <c r="D26" s="6">
        <v>40549.602083333331</v>
      </c>
      <c r="E26" s="8">
        <v>0.81</v>
      </c>
      <c r="F26" s="5" t="s">
        <v>1331</v>
      </c>
      <c r="G26" s="5" t="s">
        <v>8</v>
      </c>
      <c r="H26" s="5" t="b">
        <f t="shared" si="0"/>
        <v>0</v>
      </c>
      <c r="I26" s="5" t="b">
        <f t="shared" si="1"/>
        <v>0</v>
      </c>
      <c r="J26" s="5">
        <f t="shared" si="2"/>
        <v>1</v>
      </c>
      <c r="K26" s="5">
        <f t="shared" si="3"/>
        <v>0.81</v>
      </c>
      <c r="N26" s="19" t="s">
        <v>76</v>
      </c>
      <c r="O26" s="20">
        <f>MEDIAN(C:C)</f>
        <v>10</v>
      </c>
      <c r="P26" s="23">
        <f>MEDIAN(E:E)</f>
        <v>0.85</v>
      </c>
    </row>
    <row r="27" spans="1:16" x14ac:dyDescent="0.35">
      <c r="A27" s="5">
        <v>540468</v>
      </c>
      <c r="B27" s="5">
        <v>10133</v>
      </c>
      <c r="C27" s="5">
        <v>5</v>
      </c>
      <c r="D27" s="10">
        <v>40550</v>
      </c>
      <c r="E27" s="8">
        <v>0.81</v>
      </c>
      <c r="F27" s="5" t="s">
        <v>1331</v>
      </c>
      <c r="G27" s="5" t="s">
        <v>8</v>
      </c>
      <c r="H27" s="5" t="b">
        <f t="shared" si="0"/>
        <v>0</v>
      </c>
      <c r="I27" s="5" t="b">
        <f t="shared" si="1"/>
        <v>0</v>
      </c>
      <c r="J27" s="5">
        <f t="shared" si="2"/>
        <v>5</v>
      </c>
      <c r="K27" s="5">
        <f t="shared" si="3"/>
        <v>0.81</v>
      </c>
    </row>
    <row r="28" spans="1:16" x14ac:dyDescent="0.35">
      <c r="A28" s="5">
        <v>540418</v>
      </c>
      <c r="B28" s="5">
        <v>10133</v>
      </c>
      <c r="C28" s="5">
        <v>3</v>
      </c>
      <c r="D28" s="6">
        <v>40550.461111111108</v>
      </c>
      <c r="E28" s="8">
        <v>0.81</v>
      </c>
      <c r="F28" s="5" t="s">
        <v>1331</v>
      </c>
      <c r="G28" s="5" t="s">
        <v>8</v>
      </c>
      <c r="H28" s="5" t="b">
        <f t="shared" si="0"/>
        <v>0</v>
      </c>
      <c r="I28" s="5" t="b">
        <f t="shared" si="1"/>
        <v>0</v>
      </c>
      <c r="J28" s="5">
        <f t="shared" si="2"/>
        <v>3</v>
      </c>
      <c r="K28" s="5">
        <f t="shared" si="3"/>
        <v>0.81</v>
      </c>
      <c r="N28" s="7" t="s">
        <v>1333</v>
      </c>
    </row>
    <row r="29" spans="1:16" x14ac:dyDescent="0.35">
      <c r="A29" s="5">
        <v>540551</v>
      </c>
      <c r="B29" s="5">
        <v>10133</v>
      </c>
      <c r="C29" s="5">
        <v>1</v>
      </c>
      <c r="D29" s="6">
        <v>40553.404861111114</v>
      </c>
      <c r="E29" s="8">
        <v>0.81</v>
      </c>
      <c r="F29" s="5" t="s">
        <v>1331</v>
      </c>
      <c r="G29" s="5" t="s">
        <v>8</v>
      </c>
      <c r="H29" s="5" t="b">
        <f t="shared" si="0"/>
        <v>0</v>
      </c>
      <c r="I29" s="5" t="b">
        <f t="shared" si="1"/>
        <v>0</v>
      </c>
      <c r="J29" s="5">
        <f t="shared" si="2"/>
        <v>1</v>
      </c>
      <c r="K29" s="5">
        <f t="shared" si="3"/>
        <v>0.81</v>
      </c>
      <c r="N29" s="7" t="s">
        <v>1334</v>
      </c>
    </row>
    <row r="30" spans="1:16" x14ac:dyDescent="0.35">
      <c r="A30" s="5">
        <v>540646</v>
      </c>
      <c r="B30" s="5">
        <v>10133</v>
      </c>
      <c r="C30" s="5">
        <v>6</v>
      </c>
      <c r="D30" s="6">
        <v>40553.605555555558</v>
      </c>
      <c r="E30" s="8">
        <v>0.81</v>
      </c>
      <c r="F30" s="5" t="s">
        <v>1331</v>
      </c>
      <c r="G30" s="5" t="s">
        <v>8</v>
      </c>
      <c r="H30" s="5" t="b">
        <f t="shared" si="0"/>
        <v>0</v>
      </c>
      <c r="I30" s="5" t="b">
        <f t="shared" si="1"/>
        <v>0</v>
      </c>
      <c r="J30" s="5">
        <f t="shared" si="2"/>
        <v>6</v>
      </c>
      <c r="K30" s="5">
        <f t="shared" si="3"/>
        <v>0.81</v>
      </c>
    </row>
    <row r="31" spans="1:16" x14ac:dyDescent="0.35">
      <c r="A31" s="5">
        <v>540821</v>
      </c>
      <c r="B31" s="5">
        <v>10133</v>
      </c>
      <c r="C31" s="5">
        <v>3</v>
      </c>
      <c r="D31" s="6">
        <v>40554.552777777775</v>
      </c>
      <c r="E31" s="8">
        <v>0.81</v>
      </c>
      <c r="F31" s="5" t="s">
        <v>1331</v>
      </c>
      <c r="G31" s="5" t="s">
        <v>8</v>
      </c>
      <c r="H31" s="5" t="b">
        <f t="shared" si="0"/>
        <v>0</v>
      </c>
      <c r="I31" s="5" t="b">
        <f t="shared" si="1"/>
        <v>0</v>
      </c>
      <c r="J31" s="5">
        <f t="shared" si="2"/>
        <v>3</v>
      </c>
      <c r="K31" s="5">
        <f t="shared" si="3"/>
        <v>0.81</v>
      </c>
    </row>
    <row r="32" spans="1:16" x14ac:dyDescent="0.35">
      <c r="A32" s="5">
        <v>540848</v>
      </c>
      <c r="B32" s="5">
        <v>10133</v>
      </c>
      <c r="C32" s="5">
        <v>7</v>
      </c>
      <c r="D32" s="6">
        <v>40555.393055555556</v>
      </c>
      <c r="E32" s="8">
        <v>0.81</v>
      </c>
      <c r="F32" s="5" t="s">
        <v>1331</v>
      </c>
      <c r="G32" s="5" t="s">
        <v>8</v>
      </c>
      <c r="H32" s="5" t="b">
        <f t="shared" si="0"/>
        <v>0</v>
      </c>
      <c r="I32" s="5" t="b">
        <f t="shared" si="1"/>
        <v>0</v>
      </c>
      <c r="J32" s="5">
        <f t="shared" si="2"/>
        <v>7</v>
      </c>
      <c r="K32" s="5">
        <f t="shared" si="3"/>
        <v>0.81</v>
      </c>
    </row>
    <row r="33" spans="1:11" x14ac:dyDescent="0.35">
      <c r="A33" s="5">
        <v>540977</v>
      </c>
      <c r="B33" s="5">
        <v>10133</v>
      </c>
      <c r="C33" s="5">
        <v>1</v>
      </c>
      <c r="D33" s="6">
        <v>40555.625694444447</v>
      </c>
      <c r="E33" s="8">
        <v>0.81</v>
      </c>
      <c r="F33" s="5" t="s">
        <v>1331</v>
      </c>
      <c r="G33" s="5" t="s">
        <v>8</v>
      </c>
      <c r="H33" s="5" t="b">
        <f t="shared" si="0"/>
        <v>0</v>
      </c>
      <c r="I33" s="5" t="b">
        <f t="shared" si="1"/>
        <v>0</v>
      </c>
      <c r="J33" s="5">
        <f t="shared" si="2"/>
        <v>1</v>
      </c>
      <c r="K33" s="5">
        <f t="shared" si="3"/>
        <v>0.81</v>
      </c>
    </row>
    <row r="34" spans="1:11" x14ac:dyDescent="0.35">
      <c r="A34" s="5">
        <v>541104</v>
      </c>
      <c r="B34" s="5">
        <v>10133</v>
      </c>
      <c r="C34" s="5">
        <v>4</v>
      </c>
      <c r="D34" s="6">
        <v>40556.603472222225</v>
      </c>
      <c r="E34" s="8">
        <v>0.79</v>
      </c>
      <c r="F34" s="5" t="s">
        <v>1331</v>
      </c>
      <c r="G34" s="5" t="s">
        <v>8</v>
      </c>
      <c r="H34" s="5" t="b">
        <f t="shared" ref="H34:H65" si="4">OR(C34&lt;-28.5, C34&gt;55.5)</f>
        <v>0</v>
      </c>
      <c r="I34" s="5" t="b">
        <f t="shared" ref="I34:I65" si="5">OR(E34&lt;0.6, E34&gt;1.75)</f>
        <v>0</v>
      </c>
      <c r="J34" s="5">
        <f t="shared" ref="J34:J65" si="6">IF(ISBLANK(C34), $O$6, C34)</f>
        <v>4</v>
      </c>
      <c r="K34" s="5">
        <f t="shared" ref="K34:K65" si="7">IF(ISBLANK(E34), $O$7, E34)</f>
        <v>0.79</v>
      </c>
    </row>
    <row r="35" spans="1:11" x14ac:dyDescent="0.35">
      <c r="A35" s="5">
        <v>541219</v>
      </c>
      <c r="B35" s="5">
        <v>10133</v>
      </c>
      <c r="C35" s="5">
        <v>22</v>
      </c>
      <c r="D35" s="6">
        <v>40557.587500000001</v>
      </c>
      <c r="E35" s="8">
        <v>0.79</v>
      </c>
      <c r="F35" s="5" t="s">
        <v>1331</v>
      </c>
      <c r="G35" s="5" t="s">
        <v>8</v>
      </c>
      <c r="H35" s="5" t="b">
        <f t="shared" si="4"/>
        <v>0</v>
      </c>
      <c r="I35" s="5" t="b">
        <f t="shared" si="5"/>
        <v>0</v>
      </c>
      <c r="J35" s="5">
        <f t="shared" si="6"/>
        <v>22</v>
      </c>
      <c r="K35" s="5">
        <f t="shared" si="7"/>
        <v>0.79</v>
      </c>
    </row>
    <row r="36" spans="1:11" x14ac:dyDescent="0.35">
      <c r="A36" s="5">
        <v>541422</v>
      </c>
      <c r="B36" s="5">
        <v>10133</v>
      </c>
      <c r="C36" s="5">
        <v>12</v>
      </c>
      <c r="D36" s="6">
        <v>40560.741666666669</v>
      </c>
      <c r="E36" s="8">
        <v>0.79</v>
      </c>
      <c r="F36" s="5" t="s">
        <v>1331</v>
      </c>
      <c r="G36" s="5" t="s">
        <v>8</v>
      </c>
      <c r="H36" s="5" t="b">
        <f t="shared" si="4"/>
        <v>0</v>
      </c>
      <c r="I36" s="5" t="b">
        <f t="shared" si="5"/>
        <v>0</v>
      </c>
      <c r="J36" s="5">
        <f t="shared" si="6"/>
        <v>12</v>
      </c>
      <c r="K36" s="5">
        <f t="shared" si="7"/>
        <v>0.79</v>
      </c>
    </row>
    <row r="37" spans="1:11" x14ac:dyDescent="0.35">
      <c r="A37" s="5">
        <v>545060</v>
      </c>
      <c r="B37" s="5">
        <v>10080</v>
      </c>
      <c r="C37" s="5">
        <v>2</v>
      </c>
      <c r="D37" s="6">
        <v>40601.574305555558</v>
      </c>
      <c r="E37" s="8">
        <v>0.85</v>
      </c>
      <c r="F37" s="5">
        <v>15547</v>
      </c>
      <c r="G37" s="5" t="s">
        <v>8</v>
      </c>
      <c r="H37" s="5" t="b">
        <f t="shared" si="4"/>
        <v>0</v>
      </c>
      <c r="I37" s="5" t="b">
        <f t="shared" si="5"/>
        <v>0</v>
      </c>
      <c r="J37" s="5">
        <f t="shared" si="6"/>
        <v>2</v>
      </c>
      <c r="K37" s="5">
        <f t="shared" si="7"/>
        <v>0.85</v>
      </c>
    </row>
    <row r="38" spans="1:11" x14ac:dyDescent="0.35">
      <c r="A38" s="5">
        <v>546429</v>
      </c>
      <c r="B38" s="5">
        <v>15036</v>
      </c>
      <c r="C38" s="5">
        <v>12</v>
      </c>
      <c r="D38" s="6">
        <v>40615.642361111109</v>
      </c>
      <c r="E38" s="8">
        <v>0.75</v>
      </c>
      <c r="F38" s="5">
        <v>17611</v>
      </c>
      <c r="G38" s="5" t="s">
        <v>8</v>
      </c>
      <c r="H38" s="5" t="b">
        <f t="shared" si="4"/>
        <v>0</v>
      </c>
      <c r="I38" s="5" t="b">
        <f t="shared" si="5"/>
        <v>0</v>
      </c>
      <c r="J38" s="5">
        <f t="shared" si="6"/>
        <v>12</v>
      </c>
      <c r="K38" s="5">
        <f t="shared" si="7"/>
        <v>0.75</v>
      </c>
    </row>
    <row r="39" spans="1:11" x14ac:dyDescent="0.35">
      <c r="A39" s="5">
        <v>546530</v>
      </c>
      <c r="B39" s="5">
        <v>15036</v>
      </c>
      <c r="C39" s="5">
        <v>12</v>
      </c>
      <c r="D39" s="6">
        <v>40616.559027777781</v>
      </c>
      <c r="E39" s="8">
        <v>0.75</v>
      </c>
      <c r="F39" s="5">
        <v>17404</v>
      </c>
      <c r="G39" s="5" t="s">
        <v>18</v>
      </c>
      <c r="H39" s="5" t="b">
        <f t="shared" si="4"/>
        <v>0</v>
      </c>
      <c r="I39" s="5" t="b">
        <f t="shared" si="5"/>
        <v>0</v>
      </c>
      <c r="J39" s="5">
        <f t="shared" si="6"/>
        <v>12</v>
      </c>
      <c r="K39" s="5">
        <f t="shared" si="7"/>
        <v>0.75</v>
      </c>
    </row>
    <row r="40" spans="1:11" x14ac:dyDescent="0.35">
      <c r="A40" s="5">
        <v>546731</v>
      </c>
      <c r="B40" s="5">
        <v>15036</v>
      </c>
      <c r="C40" s="5">
        <v>12</v>
      </c>
      <c r="D40" s="6">
        <v>40618.48541666667</v>
      </c>
      <c r="E40" s="8">
        <v>0.75</v>
      </c>
      <c r="F40" s="5">
        <v>13089</v>
      </c>
      <c r="G40" s="5" t="s">
        <v>8</v>
      </c>
      <c r="H40" s="5" t="b">
        <f t="shared" si="4"/>
        <v>0</v>
      </c>
      <c r="I40" s="5" t="b">
        <f t="shared" si="5"/>
        <v>0</v>
      </c>
      <c r="J40" s="5">
        <f t="shared" si="6"/>
        <v>12</v>
      </c>
      <c r="K40" s="5">
        <f t="shared" si="7"/>
        <v>0.75</v>
      </c>
    </row>
    <row r="41" spans="1:11" x14ac:dyDescent="0.35">
      <c r="A41" s="5">
        <v>546731</v>
      </c>
      <c r="B41" s="5">
        <v>15036</v>
      </c>
      <c r="C41" s="5">
        <v>24</v>
      </c>
      <c r="D41" s="6">
        <v>40618.48541666667</v>
      </c>
      <c r="E41" s="8">
        <v>0.75</v>
      </c>
      <c r="F41" s="5">
        <v>13089</v>
      </c>
      <c r="G41" s="5" t="s">
        <v>8</v>
      </c>
      <c r="H41" s="5" t="b">
        <f t="shared" si="4"/>
        <v>0</v>
      </c>
      <c r="I41" s="5" t="b">
        <f t="shared" si="5"/>
        <v>0</v>
      </c>
      <c r="J41" s="5">
        <f t="shared" si="6"/>
        <v>24</v>
      </c>
      <c r="K41" s="5">
        <f t="shared" si="7"/>
        <v>0.75</v>
      </c>
    </row>
    <row r="42" spans="1:11" x14ac:dyDescent="0.35">
      <c r="A42" s="5">
        <v>546774</v>
      </c>
      <c r="B42" s="5">
        <v>15036</v>
      </c>
      <c r="C42" s="5">
        <v>12</v>
      </c>
      <c r="D42" s="6">
        <v>40618.65625</v>
      </c>
      <c r="E42" s="8">
        <v>0.75</v>
      </c>
      <c r="F42" s="5">
        <v>14505</v>
      </c>
      <c r="G42" s="5" t="s">
        <v>8</v>
      </c>
      <c r="H42" s="5" t="b">
        <f t="shared" si="4"/>
        <v>0</v>
      </c>
      <c r="I42" s="5" t="b">
        <f t="shared" si="5"/>
        <v>0</v>
      </c>
      <c r="J42" s="5">
        <f t="shared" si="6"/>
        <v>12</v>
      </c>
      <c r="K42" s="5">
        <f t="shared" si="7"/>
        <v>0.75</v>
      </c>
    </row>
    <row r="43" spans="1:11" x14ac:dyDescent="0.35">
      <c r="A43" s="5">
        <v>546884</v>
      </c>
      <c r="B43" s="5">
        <v>15036</v>
      </c>
      <c r="C43" s="5">
        <v>1</v>
      </c>
      <c r="D43" s="6">
        <v>40619.755555555559</v>
      </c>
      <c r="E43" s="8">
        <v>1.63</v>
      </c>
      <c r="F43" s="5" t="s">
        <v>1331</v>
      </c>
      <c r="G43" s="5" t="s">
        <v>8</v>
      </c>
      <c r="H43" s="5" t="b">
        <f t="shared" si="4"/>
        <v>0</v>
      </c>
      <c r="I43" s="5" t="b">
        <f t="shared" si="5"/>
        <v>0</v>
      </c>
      <c r="J43" s="5">
        <f t="shared" si="6"/>
        <v>1</v>
      </c>
      <c r="K43" s="5">
        <f t="shared" si="7"/>
        <v>1.63</v>
      </c>
    </row>
    <row r="44" spans="1:11" x14ac:dyDescent="0.35">
      <c r="A44" s="5">
        <v>546891</v>
      </c>
      <c r="B44" s="5">
        <v>15036</v>
      </c>
      <c r="C44" s="5">
        <v>12</v>
      </c>
      <c r="D44" s="6">
        <v>40619.762499999997</v>
      </c>
      <c r="E44" s="8">
        <v>1.63</v>
      </c>
      <c r="F44" s="5" t="s">
        <v>1331</v>
      </c>
      <c r="G44" s="5" t="s">
        <v>8</v>
      </c>
      <c r="H44" s="5" t="b">
        <f t="shared" si="4"/>
        <v>0</v>
      </c>
      <c r="I44" s="5" t="b">
        <f t="shared" si="5"/>
        <v>0</v>
      </c>
      <c r="J44" s="5">
        <f t="shared" si="6"/>
        <v>12</v>
      </c>
      <c r="K44" s="5">
        <f t="shared" si="7"/>
        <v>1.63</v>
      </c>
    </row>
    <row r="45" spans="1:11" x14ac:dyDescent="0.35">
      <c r="A45" s="5">
        <v>546892</v>
      </c>
      <c r="B45" s="5">
        <v>15036</v>
      </c>
      <c r="C45" s="5">
        <v>4</v>
      </c>
      <c r="D45" s="6">
        <v>40619.763888888891</v>
      </c>
      <c r="E45" s="8">
        <v>1.63</v>
      </c>
      <c r="F45" s="5" t="s">
        <v>1331</v>
      </c>
      <c r="G45" s="5" t="s">
        <v>8</v>
      </c>
      <c r="H45" s="5" t="b">
        <f t="shared" si="4"/>
        <v>0</v>
      </c>
      <c r="I45" s="5" t="b">
        <f t="shared" si="5"/>
        <v>0</v>
      </c>
      <c r="J45" s="5">
        <f t="shared" si="6"/>
        <v>4</v>
      </c>
      <c r="K45" s="5">
        <f t="shared" si="7"/>
        <v>1.63</v>
      </c>
    </row>
    <row r="46" spans="1:11" x14ac:dyDescent="0.35">
      <c r="A46" s="5">
        <v>546896</v>
      </c>
      <c r="B46" s="5">
        <v>15036</v>
      </c>
      <c r="C46" s="5">
        <v>17</v>
      </c>
      <c r="D46" s="6">
        <v>40619.76666666667</v>
      </c>
      <c r="E46" s="12">
        <v>0.99</v>
      </c>
      <c r="F46" s="5" t="s">
        <v>1331</v>
      </c>
      <c r="G46" s="5" t="s">
        <v>8</v>
      </c>
      <c r="H46" s="5" t="b">
        <f t="shared" si="4"/>
        <v>0</v>
      </c>
      <c r="I46" s="5" t="b">
        <f t="shared" si="5"/>
        <v>0</v>
      </c>
      <c r="J46" s="5">
        <f t="shared" si="6"/>
        <v>17</v>
      </c>
      <c r="K46" s="5">
        <f t="shared" si="7"/>
        <v>0.99</v>
      </c>
    </row>
    <row r="47" spans="1:11" x14ac:dyDescent="0.35">
      <c r="A47" s="5">
        <v>547000</v>
      </c>
      <c r="B47" s="5">
        <v>15036</v>
      </c>
      <c r="C47" s="5">
        <v>12</v>
      </c>
      <c r="D47" s="6">
        <v>40620.57708333333</v>
      </c>
      <c r="E47" s="8">
        <v>0.75</v>
      </c>
      <c r="F47" s="5">
        <v>14282</v>
      </c>
      <c r="G47" s="5" t="s">
        <v>8</v>
      </c>
      <c r="H47" s="5" t="b">
        <f t="shared" si="4"/>
        <v>0</v>
      </c>
      <c r="I47" s="5" t="b">
        <f t="shared" si="5"/>
        <v>0</v>
      </c>
      <c r="J47" s="5">
        <f t="shared" si="6"/>
        <v>12</v>
      </c>
      <c r="K47" s="5">
        <f t="shared" si="7"/>
        <v>0.75</v>
      </c>
    </row>
    <row r="48" spans="1:11" x14ac:dyDescent="0.35">
      <c r="A48" s="5">
        <v>547062</v>
      </c>
      <c r="B48" s="5">
        <v>15036</v>
      </c>
      <c r="C48" s="5">
        <v>12</v>
      </c>
      <c r="D48" s="6">
        <v>40622.561111111114</v>
      </c>
      <c r="E48" s="8">
        <v>0.75</v>
      </c>
      <c r="F48" s="5">
        <v>16728</v>
      </c>
      <c r="G48" s="5" t="s">
        <v>8</v>
      </c>
      <c r="H48" s="5" t="b">
        <f t="shared" si="4"/>
        <v>0</v>
      </c>
      <c r="I48" s="5" t="b">
        <f t="shared" si="5"/>
        <v>0</v>
      </c>
      <c r="J48" s="5">
        <f t="shared" si="6"/>
        <v>12</v>
      </c>
      <c r="K48" s="5">
        <f t="shared" si="7"/>
        <v>0.75</v>
      </c>
    </row>
    <row r="49" spans="1:11" x14ac:dyDescent="0.35">
      <c r="A49" s="5">
        <v>547078</v>
      </c>
      <c r="B49" s="5">
        <v>15036</v>
      </c>
      <c r="C49" s="5">
        <v>24</v>
      </c>
      <c r="D49" s="6">
        <v>40622.611805555556</v>
      </c>
      <c r="E49" s="8">
        <v>0.75</v>
      </c>
      <c r="F49" s="5">
        <v>14408</v>
      </c>
      <c r="G49" s="5" t="s">
        <v>8</v>
      </c>
      <c r="H49" s="5" t="b">
        <f t="shared" si="4"/>
        <v>0</v>
      </c>
      <c r="I49" s="5" t="b">
        <f t="shared" si="5"/>
        <v>0</v>
      </c>
      <c r="J49" s="5">
        <f t="shared" si="6"/>
        <v>24</v>
      </c>
      <c r="K49" s="5">
        <f t="shared" si="7"/>
        <v>0.75</v>
      </c>
    </row>
    <row r="50" spans="1:11" x14ac:dyDescent="0.35">
      <c r="A50" s="5">
        <v>547200</v>
      </c>
      <c r="B50" s="5">
        <v>15036</v>
      </c>
      <c r="C50" s="5">
        <v>24</v>
      </c>
      <c r="D50" s="6">
        <v>40623.542361111111</v>
      </c>
      <c r="E50" s="8">
        <v>0.75</v>
      </c>
      <c r="F50" s="5">
        <v>16036</v>
      </c>
      <c r="G50" s="5" t="s">
        <v>8</v>
      </c>
      <c r="H50" s="5" t="b">
        <f t="shared" si="4"/>
        <v>0</v>
      </c>
      <c r="I50" s="5" t="b">
        <f t="shared" si="5"/>
        <v>0</v>
      </c>
      <c r="J50" s="5">
        <f t="shared" si="6"/>
        <v>24</v>
      </c>
      <c r="K50" s="5">
        <f t="shared" si="7"/>
        <v>0.75</v>
      </c>
    </row>
    <row r="51" spans="1:11" x14ac:dyDescent="0.35">
      <c r="A51" s="5">
        <v>547248</v>
      </c>
      <c r="B51" s="5">
        <v>15036</v>
      </c>
      <c r="C51" s="5">
        <v>11</v>
      </c>
      <c r="D51" s="6">
        <v>40624.390972222223</v>
      </c>
      <c r="E51" s="8">
        <v>1.63</v>
      </c>
      <c r="F51" s="5" t="s">
        <v>1331</v>
      </c>
      <c r="G51" s="5" t="s">
        <v>8</v>
      </c>
      <c r="H51" s="5" t="b">
        <f t="shared" si="4"/>
        <v>0</v>
      </c>
      <c r="I51" s="5" t="b">
        <f t="shared" si="5"/>
        <v>0</v>
      </c>
      <c r="J51" s="5">
        <f t="shared" si="6"/>
        <v>11</v>
      </c>
      <c r="K51" s="5">
        <f t="shared" si="7"/>
        <v>1.63</v>
      </c>
    </row>
    <row r="52" spans="1:11" x14ac:dyDescent="0.35">
      <c r="A52" s="5">
        <v>547249</v>
      </c>
      <c r="B52" s="5">
        <v>15036</v>
      </c>
      <c r="C52" s="5">
        <v>12</v>
      </c>
      <c r="D52" s="6">
        <v>40624.393750000003</v>
      </c>
      <c r="E52" s="8">
        <v>1.63</v>
      </c>
      <c r="F52" s="5" t="s">
        <v>1331</v>
      </c>
      <c r="G52" s="5" t="s">
        <v>8</v>
      </c>
      <c r="H52" s="5" t="b">
        <f t="shared" si="4"/>
        <v>0</v>
      </c>
      <c r="I52" s="5" t="b">
        <f t="shared" si="5"/>
        <v>0</v>
      </c>
      <c r="J52" s="5">
        <f t="shared" si="6"/>
        <v>12</v>
      </c>
      <c r="K52" s="5">
        <f t="shared" si="7"/>
        <v>1.63</v>
      </c>
    </row>
    <row r="53" spans="1:11" x14ac:dyDescent="0.35">
      <c r="A53" s="5">
        <v>547385</v>
      </c>
      <c r="B53" s="5">
        <v>15036</v>
      </c>
      <c r="C53" s="5">
        <v>22</v>
      </c>
      <c r="D53" s="6">
        <v>40624.658333333333</v>
      </c>
      <c r="E53" s="8">
        <v>1.63</v>
      </c>
      <c r="F53" s="5" t="s">
        <v>1331</v>
      </c>
      <c r="G53" s="5" t="s">
        <v>8</v>
      </c>
      <c r="H53" s="5" t="b">
        <f t="shared" si="4"/>
        <v>0</v>
      </c>
      <c r="I53" s="5" t="b">
        <f t="shared" si="5"/>
        <v>0</v>
      </c>
      <c r="J53" s="5">
        <f t="shared" si="6"/>
        <v>22</v>
      </c>
      <c r="K53" s="5">
        <f t="shared" si="7"/>
        <v>1.63</v>
      </c>
    </row>
    <row r="54" spans="1:11" x14ac:dyDescent="0.35">
      <c r="A54" s="5">
        <v>547386</v>
      </c>
      <c r="B54" s="5">
        <v>15036</v>
      </c>
      <c r="C54" s="5">
        <v>6</v>
      </c>
      <c r="D54" s="6">
        <v>40624.661111111112</v>
      </c>
      <c r="E54" s="8">
        <v>1.63</v>
      </c>
      <c r="F54" s="5" t="s">
        <v>1331</v>
      </c>
      <c r="G54" s="5" t="s">
        <v>8</v>
      </c>
      <c r="H54" s="5" t="b">
        <f t="shared" si="4"/>
        <v>0</v>
      </c>
      <c r="I54" s="5" t="b">
        <f t="shared" si="5"/>
        <v>0</v>
      </c>
      <c r="J54" s="5">
        <f t="shared" si="6"/>
        <v>6</v>
      </c>
      <c r="K54" s="5">
        <f t="shared" si="7"/>
        <v>1.63</v>
      </c>
    </row>
    <row r="55" spans="1:11" x14ac:dyDescent="0.35">
      <c r="A55" s="5">
        <v>547862</v>
      </c>
      <c r="B55" s="5" t="s">
        <v>1331</v>
      </c>
      <c r="C55" s="5">
        <v>12</v>
      </c>
      <c r="D55" s="6">
        <v>40629.537499999999</v>
      </c>
      <c r="E55" s="8">
        <v>0.75</v>
      </c>
      <c r="F55" s="5">
        <v>12841</v>
      </c>
      <c r="G55" s="5" t="s">
        <v>8</v>
      </c>
      <c r="H55" s="5" t="b">
        <f t="shared" si="4"/>
        <v>0</v>
      </c>
      <c r="I55" s="5" t="b">
        <f t="shared" si="5"/>
        <v>0</v>
      </c>
      <c r="J55" s="5">
        <f t="shared" si="6"/>
        <v>12</v>
      </c>
      <c r="K55" s="5">
        <f t="shared" si="7"/>
        <v>0.75</v>
      </c>
    </row>
    <row r="56" spans="1:11" x14ac:dyDescent="0.35">
      <c r="A56" s="5">
        <v>547879</v>
      </c>
      <c r="B56" s="5">
        <v>15036</v>
      </c>
      <c r="C56" s="5">
        <v>12</v>
      </c>
      <c r="D56" s="6">
        <v>40629.668749999997</v>
      </c>
      <c r="E56" s="8">
        <v>0.75</v>
      </c>
      <c r="F56" s="5">
        <v>12877</v>
      </c>
      <c r="G56" s="5" t="s">
        <v>8</v>
      </c>
      <c r="H56" s="5" t="b">
        <f t="shared" si="4"/>
        <v>0</v>
      </c>
      <c r="I56" s="5" t="b">
        <f t="shared" si="5"/>
        <v>0</v>
      </c>
      <c r="J56" s="5">
        <f t="shared" si="6"/>
        <v>12</v>
      </c>
      <c r="K56" s="5">
        <f t="shared" si="7"/>
        <v>0.75</v>
      </c>
    </row>
    <row r="57" spans="1:11" x14ac:dyDescent="0.35">
      <c r="A57" s="5">
        <v>547925</v>
      </c>
      <c r="B57" s="5">
        <v>15036</v>
      </c>
      <c r="C57" s="5">
        <v>24</v>
      </c>
      <c r="D57" s="6">
        <v>40630.581250000003</v>
      </c>
      <c r="E57" s="8">
        <v>0.75</v>
      </c>
      <c r="F57" s="5">
        <v>12481</v>
      </c>
      <c r="G57" s="5" t="s">
        <v>21</v>
      </c>
      <c r="H57" s="5" t="b">
        <f t="shared" si="4"/>
        <v>0</v>
      </c>
      <c r="I57" s="5" t="b">
        <f t="shared" si="5"/>
        <v>0</v>
      </c>
      <c r="J57" s="5">
        <f t="shared" si="6"/>
        <v>24</v>
      </c>
      <c r="K57" s="5">
        <f t="shared" si="7"/>
        <v>0.75</v>
      </c>
    </row>
    <row r="58" spans="1:11" x14ac:dyDescent="0.35">
      <c r="A58" s="5">
        <v>547967</v>
      </c>
      <c r="B58" s="5">
        <v>15036</v>
      </c>
      <c r="C58" s="5">
        <v>4</v>
      </c>
      <c r="D58" s="6">
        <v>40630.65902777778</v>
      </c>
      <c r="E58" s="8">
        <v>1.63</v>
      </c>
      <c r="F58" s="5" t="s">
        <v>1331</v>
      </c>
      <c r="G58" s="5" t="s">
        <v>8</v>
      </c>
      <c r="H58" s="5" t="b">
        <f t="shared" si="4"/>
        <v>0</v>
      </c>
      <c r="I58" s="5" t="b">
        <f t="shared" si="5"/>
        <v>0</v>
      </c>
      <c r="J58" s="5">
        <f t="shared" si="6"/>
        <v>4</v>
      </c>
      <c r="K58" s="5">
        <f t="shared" si="7"/>
        <v>1.63</v>
      </c>
    </row>
    <row r="59" spans="1:11" x14ac:dyDescent="0.35">
      <c r="A59" s="5">
        <v>548310</v>
      </c>
      <c r="B59" s="5">
        <v>15036</v>
      </c>
      <c r="C59" s="5">
        <v>12</v>
      </c>
      <c r="D59" s="6">
        <v>40632.50277777778</v>
      </c>
      <c r="E59" s="8">
        <v>0.83</v>
      </c>
      <c r="F59" s="5" t="s">
        <v>1331</v>
      </c>
      <c r="G59" s="5" t="s">
        <v>8</v>
      </c>
      <c r="H59" s="5" t="b">
        <f t="shared" si="4"/>
        <v>0</v>
      </c>
      <c r="I59" s="5" t="b">
        <f t="shared" si="5"/>
        <v>0</v>
      </c>
      <c r="J59" s="5">
        <f t="shared" si="6"/>
        <v>12</v>
      </c>
      <c r="K59" s="5">
        <f t="shared" si="7"/>
        <v>0.83</v>
      </c>
    </row>
    <row r="60" spans="1:11" x14ac:dyDescent="0.35">
      <c r="A60" s="5">
        <v>548522</v>
      </c>
      <c r="B60" s="5">
        <v>15036</v>
      </c>
      <c r="C60" s="5">
        <v>1</v>
      </c>
      <c r="D60" s="6">
        <v>40633.696527777778</v>
      </c>
      <c r="E60" s="8">
        <v>1.63</v>
      </c>
      <c r="F60" s="5" t="s">
        <v>1331</v>
      </c>
      <c r="G60" s="5" t="s">
        <v>8</v>
      </c>
      <c r="H60" s="5" t="b">
        <f t="shared" si="4"/>
        <v>0</v>
      </c>
      <c r="I60" s="5" t="b">
        <f t="shared" si="5"/>
        <v>0</v>
      </c>
      <c r="J60" s="5">
        <f t="shared" si="6"/>
        <v>1</v>
      </c>
      <c r="K60" s="5">
        <f t="shared" si="7"/>
        <v>1.63</v>
      </c>
    </row>
    <row r="61" spans="1:11" x14ac:dyDescent="0.35">
      <c r="A61" s="5">
        <v>548617</v>
      </c>
      <c r="B61" s="5">
        <v>15036</v>
      </c>
      <c r="C61" s="5">
        <v>12</v>
      </c>
      <c r="D61" s="6">
        <v>40634.493055555555</v>
      </c>
      <c r="E61" s="8">
        <v>0.83</v>
      </c>
      <c r="F61" s="5">
        <v>16592</v>
      </c>
      <c r="G61" s="5" t="s">
        <v>8</v>
      </c>
      <c r="H61" s="5" t="b">
        <f t="shared" si="4"/>
        <v>0</v>
      </c>
      <c r="I61" s="5" t="b">
        <f t="shared" si="5"/>
        <v>0</v>
      </c>
      <c r="J61" s="5">
        <f t="shared" si="6"/>
        <v>12</v>
      </c>
      <c r="K61" s="5">
        <f t="shared" si="7"/>
        <v>0.83</v>
      </c>
    </row>
    <row r="62" spans="1:11" x14ac:dyDescent="0.35">
      <c r="A62" s="5">
        <v>548893</v>
      </c>
      <c r="B62" s="5">
        <v>15036</v>
      </c>
      <c r="C62" s="5">
        <v>6</v>
      </c>
      <c r="D62" s="6">
        <v>40637.662499999999</v>
      </c>
      <c r="E62" s="8">
        <v>1.63</v>
      </c>
      <c r="F62" s="5" t="s">
        <v>1331</v>
      </c>
      <c r="G62" s="5" t="s">
        <v>8</v>
      </c>
      <c r="H62" s="5" t="b">
        <f t="shared" si="4"/>
        <v>0</v>
      </c>
      <c r="I62" s="5" t="b">
        <f t="shared" si="5"/>
        <v>0</v>
      </c>
      <c r="J62" s="5">
        <f t="shared" si="6"/>
        <v>6</v>
      </c>
      <c r="K62" s="5">
        <f t="shared" si="7"/>
        <v>1.63</v>
      </c>
    </row>
    <row r="63" spans="1:11" x14ac:dyDescent="0.35">
      <c r="A63" s="5">
        <v>549259</v>
      </c>
      <c r="B63" s="5">
        <v>15036</v>
      </c>
      <c r="C63" s="5">
        <v>48</v>
      </c>
      <c r="D63" s="6">
        <v>40640.522916666669</v>
      </c>
      <c r="E63" s="8">
        <v>0.75</v>
      </c>
      <c r="F63" s="5">
        <v>13712</v>
      </c>
      <c r="G63" s="5" t="s">
        <v>8</v>
      </c>
      <c r="H63" s="5" t="b">
        <f t="shared" si="4"/>
        <v>0</v>
      </c>
      <c r="I63" s="5" t="b">
        <f t="shared" si="5"/>
        <v>0</v>
      </c>
      <c r="J63" s="5">
        <f t="shared" si="6"/>
        <v>48</v>
      </c>
      <c r="K63" s="5">
        <f t="shared" si="7"/>
        <v>0.75</v>
      </c>
    </row>
    <row r="64" spans="1:11" x14ac:dyDescent="0.35">
      <c r="A64" s="5">
        <v>549316</v>
      </c>
      <c r="B64" s="5">
        <v>15036</v>
      </c>
      <c r="C64" s="5">
        <v>36</v>
      </c>
      <c r="D64" s="6">
        <v>40641.412499999999</v>
      </c>
      <c r="E64" s="8">
        <v>0.75</v>
      </c>
      <c r="F64" s="5">
        <v>12705</v>
      </c>
      <c r="G64" s="5" t="s">
        <v>21</v>
      </c>
      <c r="H64" s="5" t="b">
        <f t="shared" si="4"/>
        <v>0</v>
      </c>
      <c r="I64" s="5" t="b">
        <f t="shared" si="5"/>
        <v>0</v>
      </c>
      <c r="J64" s="5">
        <f t="shared" si="6"/>
        <v>36</v>
      </c>
      <c r="K64" s="5">
        <f t="shared" si="7"/>
        <v>0.75</v>
      </c>
    </row>
    <row r="65" spans="1:11" x14ac:dyDescent="0.35">
      <c r="A65" s="5">
        <v>549431</v>
      </c>
      <c r="B65" s="5">
        <v>15036</v>
      </c>
      <c r="C65" s="5">
        <v>36</v>
      </c>
      <c r="D65" s="6">
        <v>40641.511805555558</v>
      </c>
      <c r="E65" s="8">
        <v>0.83</v>
      </c>
      <c r="F65" s="5">
        <v>15874</v>
      </c>
      <c r="G65" s="5" t="s">
        <v>8</v>
      </c>
      <c r="H65" s="5" t="b">
        <f t="shared" si="4"/>
        <v>0</v>
      </c>
      <c r="I65" s="5" t="b">
        <f t="shared" si="5"/>
        <v>0</v>
      </c>
      <c r="J65" s="5">
        <f t="shared" si="6"/>
        <v>36</v>
      </c>
      <c r="K65" s="5">
        <f t="shared" si="7"/>
        <v>0.83</v>
      </c>
    </row>
    <row r="66" spans="1:11" x14ac:dyDescent="0.35">
      <c r="A66" s="5">
        <v>549524</v>
      </c>
      <c r="B66" s="5">
        <v>15036</v>
      </c>
      <c r="C66" s="5">
        <v>1</v>
      </c>
      <c r="D66" s="6">
        <v>40641.65347222222</v>
      </c>
      <c r="E66" s="8">
        <v>1.63</v>
      </c>
      <c r="F66" s="5" t="s">
        <v>1331</v>
      </c>
      <c r="G66" s="5" t="s">
        <v>8</v>
      </c>
      <c r="H66" s="5" t="b">
        <f t="shared" ref="H66:H97" si="8">OR(C66&lt;-28.5, C66&gt;55.5)</f>
        <v>0</v>
      </c>
      <c r="I66" s="5" t="b">
        <f t="shared" ref="I66:I97" si="9">OR(E66&lt;0.6, E66&gt;1.75)</f>
        <v>0</v>
      </c>
      <c r="J66" s="5">
        <f t="shared" ref="J66:J97" si="10">IF(ISBLANK(C66), $O$6, C66)</f>
        <v>1</v>
      </c>
      <c r="K66" s="5">
        <f t="shared" ref="K66:K97" si="11">IF(ISBLANK(E66), $O$7, E66)</f>
        <v>1.63</v>
      </c>
    </row>
    <row r="67" spans="1:11" x14ac:dyDescent="0.35">
      <c r="A67" s="5">
        <v>549525</v>
      </c>
      <c r="B67" s="5">
        <v>15036</v>
      </c>
      <c r="C67" s="5">
        <v>17</v>
      </c>
      <c r="D67" s="6">
        <v>40641.655555555553</v>
      </c>
      <c r="E67" s="8">
        <v>1.63</v>
      </c>
      <c r="F67" s="5" t="s">
        <v>1331</v>
      </c>
      <c r="G67" s="5" t="s">
        <v>8</v>
      </c>
      <c r="H67" s="5" t="b">
        <f t="shared" si="8"/>
        <v>0</v>
      </c>
      <c r="I67" s="5" t="b">
        <f t="shared" si="9"/>
        <v>0</v>
      </c>
      <c r="J67" s="5">
        <f t="shared" si="10"/>
        <v>17</v>
      </c>
      <c r="K67" s="5">
        <f t="shared" si="11"/>
        <v>1.63</v>
      </c>
    </row>
    <row r="68" spans="1:11" x14ac:dyDescent="0.35">
      <c r="A68" s="5">
        <v>549538</v>
      </c>
      <c r="B68" s="5">
        <v>15036</v>
      </c>
      <c r="C68" s="5">
        <v>3</v>
      </c>
      <c r="D68" s="6">
        <v>40641.725694444445</v>
      </c>
      <c r="E68" s="8">
        <v>0.83</v>
      </c>
      <c r="F68" s="5">
        <v>17961</v>
      </c>
      <c r="G68" s="5" t="s">
        <v>8</v>
      </c>
      <c r="H68" s="5" t="b">
        <f t="shared" si="8"/>
        <v>0</v>
      </c>
      <c r="I68" s="5" t="b">
        <f t="shared" si="9"/>
        <v>0</v>
      </c>
      <c r="J68" s="5">
        <f t="shared" si="10"/>
        <v>3</v>
      </c>
      <c r="K68" s="5">
        <f t="shared" si="11"/>
        <v>0.83</v>
      </c>
    </row>
    <row r="69" spans="1:11" x14ac:dyDescent="0.35">
      <c r="A69" s="5">
        <v>549711</v>
      </c>
      <c r="B69" s="5">
        <v>15036</v>
      </c>
      <c r="C69" s="5">
        <v>12</v>
      </c>
      <c r="D69" s="6">
        <v>40644.588194444441</v>
      </c>
      <c r="E69" s="8">
        <v>0.83</v>
      </c>
      <c r="F69" s="5">
        <v>13654</v>
      </c>
      <c r="G69" s="5" t="s">
        <v>8</v>
      </c>
      <c r="H69" s="5" t="b">
        <f t="shared" si="8"/>
        <v>0</v>
      </c>
      <c r="I69" s="5" t="b">
        <f t="shared" si="9"/>
        <v>0</v>
      </c>
      <c r="J69" s="5">
        <f t="shared" si="10"/>
        <v>12</v>
      </c>
      <c r="K69" s="5">
        <f t="shared" si="11"/>
        <v>0.83</v>
      </c>
    </row>
    <row r="70" spans="1:11" x14ac:dyDescent="0.35">
      <c r="A70" s="5">
        <v>549743</v>
      </c>
      <c r="B70" s="5">
        <v>15036</v>
      </c>
      <c r="C70" s="5">
        <v>12</v>
      </c>
      <c r="D70" s="6">
        <v>40645.420138888891</v>
      </c>
      <c r="E70" s="8">
        <v>0.83</v>
      </c>
      <c r="F70" s="5">
        <v>16186</v>
      </c>
      <c r="G70" s="5" t="s">
        <v>8</v>
      </c>
      <c r="H70" s="5" t="b">
        <f t="shared" si="8"/>
        <v>0</v>
      </c>
      <c r="I70" s="5" t="b">
        <f t="shared" si="9"/>
        <v>0</v>
      </c>
      <c r="J70" s="5">
        <f t="shared" si="10"/>
        <v>12</v>
      </c>
      <c r="K70" s="5">
        <f t="shared" si="11"/>
        <v>0.83</v>
      </c>
    </row>
    <row r="71" spans="1:11" x14ac:dyDescent="0.35">
      <c r="A71" s="5">
        <v>549964</v>
      </c>
      <c r="B71" s="5">
        <v>15036</v>
      </c>
      <c r="C71" s="5">
        <v>12</v>
      </c>
      <c r="D71" s="6">
        <v>40646.591666666667</v>
      </c>
      <c r="E71" s="8">
        <v>0.83</v>
      </c>
      <c r="F71" s="5">
        <v>13122</v>
      </c>
      <c r="G71" s="5" t="s">
        <v>8</v>
      </c>
      <c r="H71" s="5" t="b">
        <f t="shared" si="8"/>
        <v>0</v>
      </c>
      <c r="I71" s="5" t="b">
        <f t="shared" si="9"/>
        <v>0</v>
      </c>
      <c r="J71" s="5">
        <f t="shared" si="10"/>
        <v>12</v>
      </c>
      <c r="K71" s="5">
        <f t="shared" si="11"/>
        <v>0.83</v>
      </c>
    </row>
    <row r="72" spans="1:11" x14ac:dyDescent="0.35">
      <c r="A72" s="5">
        <v>549975</v>
      </c>
      <c r="B72" s="5">
        <v>15036</v>
      </c>
      <c r="C72" s="5">
        <v>12</v>
      </c>
      <c r="D72" s="6">
        <v>40646.609722222223</v>
      </c>
      <c r="E72" s="8">
        <v>0.83</v>
      </c>
      <c r="F72" s="5">
        <v>16175</v>
      </c>
      <c r="G72" s="5" t="s">
        <v>8</v>
      </c>
      <c r="H72" s="5" t="b">
        <f t="shared" si="8"/>
        <v>0</v>
      </c>
      <c r="I72" s="5" t="b">
        <f t="shared" si="9"/>
        <v>0</v>
      </c>
      <c r="J72" s="5">
        <f t="shared" si="10"/>
        <v>12</v>
      </c>
      <c r="K72" s="5">
        <f t="shared" si="11"/>
        <v>0.83</v>
      </c>
    </row>
    <row r="73" spans="1:11" x14ac:dyDescent="0.35">
      <c r="A73" s="5">
        <v>550138</v>
      </c>
      <c r="B73" s="5">
        <v>15036</v>
      </c>
      <c r="C73" s="5">
        <v>24</v>
      </c>
      <c r="D73" s="6">
        <v>40647.584722222222</v>
      </c>
      <c r="E73" s="8">
        <v>0.83</v>
      </c>
      <c r="F73" s="5">
        <v>12841</v>
      </c>
      <c r="G73" s="5" t="s">
        <v>8</v>
      </c>
      <c r="H73" s="5" t="b">
        <f t="shared" si="8"/>
        <v>0</v>
      </c>
      <c r="I73" s="5" t="b">
        <f t="shared" si="9"/>
        <v>0</v>
      </c>
      <c r="J73" s="5">
        <f t="shared" si="10"/>
        <v>24</v>
      </c>
      <c r="K73" s="5">
        <f t="shared" si="11"/>
        <v>0.83</v>
      </c>
    </row>
    <row r="74" spans="1:11" x14ac:dyDescent="0.35">
      <c r="A74" s="5">
        <v>550218</v>
      </c>
      <c r="B74" s="5">
        <v>15036</v>
      </c>
      <c r="C74" s="5">
        <v>12</v>
      </c>
      <c r="D74" s="6">
        <v>40648.46875</v>
      </c>
      <c r="E74" s="8">
        <v>0.83</v>
      </c>
      <c r="F74" s="5">
        <v>14408</v>
      </c>
      <c r="G74" s="5" t="s">
        <v>1331</v>
      </c>
      <c r="H74" s="5" t="b">
        <f t="shared" si="8"/>
        <v>0</v>
      </c>
      <c r="I74" s="5" t="b">
        <f t="shared" si="9"/>
        <v>0</v>
      </c>
      <c r="J74" s="5">
        <f t="shared" si="10"/>
        <v>12</v>
      </c>
      <c r="K74" s="5">
        <f t="shared" si="11"/>
        <v>0.83</v>
      </c>
    </row>
    <row r="75" spans="1:11" x14ac:dyDescent="0.35">
      <c r="A75" s="5">
        <v>550315</v>
      </c>
      <c r="B75" s="5">
        <v>15036</v>
      </c>
      <c r="C75" s="5">
        <v>24</v>
      </c>
      <c r="D75" s="6">
        <v>40650.488888888889</v>
      </c>
      <c r="E75" s="8">
        <v>0.83</v>
      </c>
      <c r="F75" s="5">
        <v>17990</v>
      </c>
      <c r="G75" s="5" t="s">
        <v>1331</v>
      </c>
      <c r="H75" s="5" t="b">
        <f t="shared" si="8"/>
        <v>0</v>
      </c>
      <c r="I75" s="5" t="b">
        <f t="shared" si="9"/>
        <v>0</v>
      </c>
      <c r="J75" s="5">
        <f t="shared" si="10"/>
        <v>24</v>
      </c>
      <c r="K75" s="5">
        <f t="shared" si="11"/>
        <v>0.83</v>
      </c>
    </row>
    <row r="76" spans="1:11" x14ac:dyDescent="0.35">
      <c r="A76" s="5">
        <v>550323</v>
      </c>
      <c r="B76" s="5">
        <v>15036</v>
      </c>
      <c r="C76" s="5">
        <v>48</v>
      </c>
      <c r="D76" s="6">
        <v>40650.539583333331</v>
      </c>
      <c r="E76" s="8">
        <v>0.83</v>
      </c>
      <c r="F76" s="5">
        <v>13692</v>
      </c>
      <c r="G76" s="5" t="s">
        <v>8</v>
      </c>
      <c r="H76" s="5" t="b">
        <f t="shared" si="8"/>
        <v>0</v>
      </c>
      <c r="I76" s="5" t="b">
        <f t="shared" si="9"/>
        <v>0</v>
      </c>
      <c r="J76" s="5">
        <f t="shared" si="10"/>
        <v>48</v>
      </c>
      <c r="K76" s="5">
        <f t="shared" si="11"/>
        <v>0.83</v>
      </c>
    </row>
    <row r="77" spans="1:11" x14ac:dyDescent="0.35">
      <c r="A77" s="5">
        <v>550336</v>
      </c>
      <c r="B77" s="5">
        <v>15036</v>
      </c>
      <c r="C77" s="5">
        <v>48</v>
      </c>
      <c r="D77" s="6">
        <v>40650.621527777781</v>
      </c>
      <c r="E77" s="8">
        <v>0.83</v>
      </c>
      <c r="F77" s="5">
        <v>13089</v>
      </c>
      <c r="G77" s="5" t="s">
        <v>8</v>
      </c>
      <c r="H77" s="5" t="b">
        <f t="shared" si="8"/>
        <v>0</v>
      </c>
      <c r="I77" s="5" t="b">
        <f t="shared" si="9"/>
        <v>0</v>
      </c>
      <c r="J77" s="5">
        <f t="shared" si="10"/>
        <v>48</v>
      </c>
      <c r="K77" s="5">
        <f t="shared" si="11"/>
        <v>0.83</v>
      </c>
    </row>
    <row r="78" spans="1:11" x14ac:dyDescent="0.35">
      <c r="A78" s="5">
        <v>550452</v>
      </c>
      <c r="B78" s="5">
        <v>10002</v>
      </c>
      <c r="C78" s="5">
        <v>1</v>
      </c>
      <c r="D78" s="6">
        <v>40651.538888888892</v>
      </c>
      <c r="E78" s="8">
        <v>0.85</v>
      </c>
      <c r="F78" s="5">
        <v>14525</v>
      </c>
      <c r="G78" s="5" t="s">
        <v>8</v>
      </c>
      <c r="H78" s="5" t="b">
        <f t="shared" si="8"/>
        <v>0</v>
      </c>
      <c r="I78" s="5" t="b">
        <f t="shared" si="9"/>
        <v>0</v>
      </c>
      <c r="J78" s="5">
        <f t="shared" si="10"/>
        <v>1</v>
      </c>
      <c r="K78" s="5">
        <f t="shared" si="11"/>
        <v>0.85</v>
      </c>
    </row>
    <row r="79" spans="1:11" x14ac:dyDescent="0.35">
      <c r="A79" s="5">
        <v>550458</v>
      </c>
      <c r="B79" s="5">
        <v>15036</v>
      </c>
      <c r="C79" s="5">
        <v>2</v>
      </c>
      <c r="D79" s="6">
        <v>40651.550694444442</v>
      </c>
      <c r="E79" s="8">
        <v>1.63</v>
      </c>
      <c r="F79" s="5" t="s">
        <v>1331</v>
      </c>
      <c r="G79" s="5" t="s">
        <v>8</v>
      </c>
      <c r="H79" s="5" t="b">
        <f t="shared" si="8"/>
        <v>0</v>
      </c>
      <c r="I79" s="5" t="b">
        <f t="shared" si="9"/>
        <v>0</v>
      </c>
      <c r="J79" s="5">
        <f t="shared" si="10"/>
        <v>2</v>
      </c>
      <c r="K79" s="5">
        <f t="shared" si="11"/>
        <v>1.63</v>
      </c>
    </row>
    <row r="80" spans="1:11" x14ac:dyDescent="0.35">
      <c r="A80" s="5">
        <v>550468</v>
      </c>
      <c r="B80" s="5">
        <v>15036</v>
      </c>
      <c r="C80" s="5">
        <v>12</v>
      </c>
      <c r="D80" s="6">
        <v>40651.571527777778</v>
      </c>
      <c r="E80" s="8">
        <v>0.83</v>
      </c>
      <c r="F80" s="5">
        <v>16700</v>
      </c>
      <c r="G80" s="5" t="s">
        <v>8</v>
      </c>
      <c r="H80" s="5" t="b">
        <f t="shared" si="8"/>
        <v>0</v>
      </c>
      <c r="I80" s="5" t="b">
        <f t="shared" si="9"/>
        <v>0</v>
      </c>
      <c r="J80" s="5">
        <f t="shared" si="10"/>
        <v>12</v>
      </c>
      <c r="K80" s="5">
        <f t="shared" si="11"/>
        <v>0.83</v>
      </c>
    </row>
    <row r="81" spans="1:11" x14ac:dyDescent="0.35">
      <c r="A81" s="5">
        <v>550470</v>
      </c>
      <c r="B81" s="5">
        <v>15036</v>
      </c>
      <c r="C81" s="5">
        <v>4</v>
      </c>
      <c r="D81" s="6">
        <v>40651.575694444444</v>
      </c>
      <c r="E81" s="8">
        <v>1.63</v>
      </c>
      <c r="F81" s="5" t="s">
        <v>1331</v>
      </c>
      <c r="G81" s="5" t="s">
        <v>8</v>
      </c>
      <c r="H81" s="5" t="b">
        <f t="shared" si="8"/>
        <v>0</v>
      </c>
      <c r="I81" s="5" t="b">
        <f t="shared" si="9"/>
        <v>0</v>
      </c>
      <c r="J81" s="5">
        <f t="shared" si="10"/>
        <v>4</v>
      </c>
      <c r="K81" s="5">
        <f t="shared" si="11"/>
        <v>1.63</v>
      </c>
    </row>
    <row r="82" spans="1:11" x14ac:dyDescent="0.35">
      <c r="A82" s="5">
        <v>550471</v>
      </c>
      <c r="B82" s="5">
        <v>15036</v>
      </c>
      <c r="C82" s="5">
        <v>3</v>
      </c>
      <c r="D82" s="6">
        <v>40651.577777777777</v>
      </c>
      <c r="E82" s="8">
        <v>1.63</v>
      </c>
      <c r="F82" s="5" t="s">
        <v>1331</v>
      </c>
      <c r="G82" s="5" t="s">
        <v>8</v>
      </c>
      <c r="H82" s="5" t="b">
        <f t="shared" si="8"/>
        <v>0</v>
      </c>
      <c r="I82" s="5" t="b">
        <f t="shared" si="9"/>
        <v>0</v>
      </c>
      <c r="J82" s="5">
        <f t="shared" si="10"/>
        <v>3</v>
      </c>
      <c r="K82" s="5">
        <f t="shared" si="11"/>
        <v>1.63</v>
      </c>
    </row>
    <row r="83" spans="1:11" x14ac:dyDescent="0.35">
      <c r="A83" s="5">
        <v>550474</v>
      </c>
      <c r="B83" s="5">
        <v>15036</v>
      </c>
      <c r="C83" s="5">
        <v>2</v>
      </c>
      <c r="D83" s="6">
        <v>40651.581944444442</v>
      </c>
      <c r="E83" s="8">
        <v>1.63</v>
      </c>
      <c r="F83" s="5" t="s">
        <v>1331</v>
      </c>
      <c r="G83" s="5" t="s">
        <v>8</v>
      </c>
      <c r="H83" s="5" t="b">
        <f t="shared" si="8"/>
        <v>0</v>
      </c>
      <c r="I83" s="5" t="b">
        <f t="shared" si="9"/>
        <v>0</v>
      </c>
      <c r="J83" s="5">
        <f t="shared" si="10"/>
        <v>2</v>
      </c>
      <c r="K83" s="5">
        <f t="shared" si="11"/>
        <v>1.63</v>
      </c>
    </row>
    <row r="84" spans="1:11" x14ac:dyDescent="0.35">
      <c r="A84" s="5">
        <v>550479</v>
      </c>
      <c r="B84" s="5">
        <v>15036</v>
      </c>
      <c r="C84" s="5">
        <v>24</v>
      </c>
      <c r="D84" s="6">
        <v>40651.584027777775</v>
      </c>
      <c r="E84" s="8">
        <v>0.83</v>
      </c>
      <c r="F84" s="5">
        <v>15625</v>
      </c>
      <c r="G84" s="5" t="s">
        <v>8</v>
      </c>
      <c r="H84" s="5" t="b">
        <f t="shared" si="8"/>
        <v>0</v>
      </c>
      <c r="I84" s="5" t="b">
        <f t="shared" si="9"/>
        <v>0</v>
      </c>
      <c r="J84" s="5">
        <f t="shared" si="10"/>
        <v>24</v>
      </c>
      <c r="K84" s="5">
        <f t="shared" si="11"/>
        <v>0.83</v>
      </c>
    </row>
    <row r="85" spans="1:11" x14ac:dyDescent="0.35">
      <c r="A85" s="5">
        <v>550517</v>
      </c>
      <c r="B85" s="5">
        <v>15036</v>
      </c>
      <c r="C85" s="5">
        <v>24</v>
      </c>
      <c r="D85" s="6">
        <v>40652.345138888886</v>
      </c>
      <c r="E85" s="8">
        <v>0.83</v>
      </c>
      <c r="F85" s="5">
        <v>14352</v>
      </c>
      <c r="G85" s="5" t="s">
        <v>8</v>
      </c>
      <c r="H85" s="5" t="b">
        <f t="shared" si="8"/>
        <v>0</v>
      </c>
      <c r="I85" s="5" t="b">
        <f t="shared" si="9"/>
        <v>0</v>
      </c>
      <c r="J85" s="5">
        <f t="shared" si="10"/>
        <v>24</v>
      </c>
      <c r="K85" s="5">
        <f t="shared" si="11"/>
        <v>0.83</v>
      </c>
    </row>
    <row r="86" spans="1:11" x14ac:dyDescent="0.35">
      <c r="A86" s="5">
        <v>550519</v>
      </c>
      <c r="B86" s="5">
        <v>15036</v>
      </c>
      <c r="C86" s="5">
        <v>24</v>
      </c>
      <c r="D86" s="6">
        <v>40652.396527777775</v>
      </c>
      <c r="E86" s="8">
        <v>0.83</v>
      </c>
      <c r="F86" s="5">
        <v>13141</v>
      </c>
      <c r="G86" s="5" t="s">
        <v>8</v>
      </c>
      <c r="H86" s="5" t="b">
        <f t="shared" si="8"/>
        <v>0</v>
      </c>
      <c r="I86" s="5" t="b">
        <f t="shared" si="9"/>
        <v>0</v>
      </c>
      <c r="J86" s="5">
        <f t="shared" si="10"/>
        <v>24</v>
      </c>
      <c r="K86" s="5">
        <f t="shared" si="11"/>
        <v>0.83</v>
      </c>
    </row>
    <row r="87" spans="1:11" x14ac:dyDescent="0.35">
      <c r="A87" s="5">
        <v>550521</v>
      </c>
      <c r="B87" s="5">
        <v>15036</v>
      </c>
      <c r="C87" s="5">
        <v>24</v>
      </c>
      <c r="D87" s="6">
        <v>40652.40902777778</v>
      </c>
      <c r="E87" s="8">
        <v>0.83</v>
      </c>
      <c r="F87" s="5">
        <v>13647</v>
      </c>
      <c r="G87" s="5" t="s">
        <v>8</v>
      </c>
      <c r="H87" s="5" t="b">
        <f t="shared" si="8"/>
        <v>0</v>
      </c>
      <c r="I87" s="5" t="b">
        <f t="shared" si="9"/>
        <v>0</v>
      </c>
      <c r="J87" s="5">
        <f t="shared" si="10"/>
        <v>24</v>
      </c>
      <c r="K87" s="5">
        <f t="shared" si="11"/>
        <v>0.83</v>
      </c>
    </row>
    <row r="88" spans="1:11" x14ac:dyDescent="0.35">
      <c r="A88" s="5">
        <v>550542</v>
      </c>
      <c r="B88" s="5">
        <v>15036</v>
      </c>
      <c r="C88" s="5">
        <v>5</v>
      </c>
      <c r="D88" s="6">
        <v>40652.484027777777</v>
      </c>
      <c r="E88" s="8">
        <v>1.63</v>
      </c>
      <c r="F88" s="5" t="s">
        <v>1331</v>
      </c>
      <c r="G88" s="5" t="s">
        <v>8</v>
      </c>
      <c r="H88" s="5" t="b">
        <f t="shared" si="8"/>
        <v>0</v>
      </c>
      <c r="I88" s="5" t="b">
        <f t="shared" si="9"/>
        <v>0</v>
      </c>
      <c r="J88" s="5">
        <f t="shared" si="10"/>
        <v>5</v>
      </c>
      <c r="K88" s="5">
        <f t="shared" si="11"/>
        <v>1.63</v>
      </c>
    </row>
    <row r="89" spans="1:11" x14ac:dyDescent="0.35">
      <c r="A89" s="5">
        <v>550636</v>
      </c>
      <c r="B89" s="5">
        <v>15036</v>
      </c>
      <c r="C89" s="5">
        <v>1</v>
      </c>
      <c r="D89" s="6">
        <v>40652.650694444441</v>
      </c>
      <c r="E89" s="8">
        <v>1.63</v>
      </c>
      <c r="F89" s="5" t="s">
        <v>1331</v>
      </c>
      <c r="G89" s="5" t="s">
        <v>8</v>
      </c>
      <c r="H89" s="5" t="b">
        <f t="shared" si="8"/>
        <v>0</v>
      </c>
      <c r="I89" s="5" t="b">
        <f t="shared" si="9"/>
        <v>0</v>
      </c>
      <c r="J89" s="5">
        <f t="shared" si="10"/>
        <v>1</v>
      </c>
      <c r="K89" s="5">
        <f t="shared" si="11"/>
        <v>1.63</v>
      </c>
    </row>
    <row r="90" spans="1:11" x14ac:dyDescent="0.35">
      <c r="A90" s="5">
        <v>550659</v>
      </c>
      <c r="B90" s="5">
        <v>15036</v>
      </c>
      <c r="C90" s="5">
        <v>12</v>
      </c>
      <c r="D90" s="6">
        <v>40653.376388888886</v>
      </c>
      <c r="E90" s="8">
        <v>0.83</v>
      </c>
      <c r="F90" s="5">
        <v>17730</v>
      </c>
      <c r="G90" s="5" t="s">
        <v>8</v>
      </c>
      <c r="H90" s="5" t="b">
        <f t="shared" si="8"/>
        <v>0</v>
      </c>
      <c r="I90" s="5" t="b">
        <f t="shared" si="9"/>
        <v>0</v>
      </c>
      <c r="J90" s="5">
        <f t="shared" si="10"/>
        <v>12</v>
      </c>
      <c r="K90" s="5">
        <f t="shared" si="11"/>
        <v>0.83</v>
      </c>
    </row>
    <row r="91" spans="1:11" x14ac:dyDescent="0.35">
      <c r="A91" s="5">
        <v>550775</v>
      </c>
      <c r="B91" s="5">
        <v>15036</v>
      </c>
      <c r="C91" s="5">
        <v>12</v>
      </c>
      <c r="D91" s="6">
        <v>40653.554166666669</v>
      </c>
      <c r="E91" s="8">
        <v>0.83</v>
      </c>
      <c r="F91" s="5">
        <v>15805</v>
      </c>
      <c r="G91" s="5" t="s">
        <v>8</v>
      </c>
      <c r="H91" s="5" t="b">
        <f t="shared" si="8"/>
        <v>0</v>
      </c>
      <c r="I91" s="5" t="b">
        <f t="shared" si="9"/>
        <v>0</v>
      </c>
      <c r="J91" s="5">
        <f t="shared" si="10"/>
        <v>12</v>
      </c>
      <c r="K91" s="5">
        <f t="shared" si="11"/>
        <v>0.83</v>
      </c>
    </row>
    <row r="92" spans="1:11" x14ac:dyDescent="0.35">
      <c r="A92" s="5">
        <v>550785</v>
      </c>
      <c r="B92" s="5">
        <v>15036</v>
      </c>
      <c r="C92" s="5">
        <v>12</v>
      </c>
      <c r="D92" s="6">
        <v>40653.584722222222</v>
      </c>
      <c r="E92" s="8">
        <v>0.83</v>
      </c>
      <c r="F92" s="5">
        <v>15517</v>
      </c>
      <c r="G92" s="5" t="s">
        <v>8</v>
      </c>
      <c r="H92" s="5" t="b">
        <f t="shared" si="8"/>
        <v>0</v>
      </c>
      <c r="I92" s="5" t="b">
        <f t="shared" si="9"/>
        <v>0</v>
      </c>
      <c r="J92" s="5">
        <f t="shared" si="10"/>
        <v>12</v>
      </c>
      <c r="K92" s="5">
        <f t="shared" si="11"/>
        <v>0.83</v>
      </c>
    </row>
    <row r="93" spans="1:11" x14ac:dyDescent="0.35">
      <c r="A93" s="5">
        <v>550802</v>
      </c>
      <c r="B93" s="5">
        <v>15036</v>
      </c>
      <c r="C93" s="5">
        <v>12</v>
      </c>
      <c r="D93" s="6">
        <v>40653.63958333333</v>
      </c>
      <c r="E93" s="8">
        <v>0.83</v>
      </c>
      <c r="F93" s="5">
        <v>17120</v>
      </c>
      <c r="G93" s="5" t="s">
        <v>8</v>
      </c>
      <c r="H93" s="5" t="b">
        <f t="shared" si="8"/>
        <v>0</v>
      </c>
      <c r="I93" s="5" t="b">
        <f t="shared" si="9"/>
        <v>0</v>
      </c>
      <c r="J93" s="5">
        <f t="shared" si="10"/>
        <v>12</v>
      </c>
      <c r="K93" s="5">
        <f t="shared" si="11"/>
        <v>0.83</v>
      </c>
    </row>
    <row r="94" spans="1:11" x14ac:dyDescent="0.35">
      <c r="A94" s="5">
        <v>550972</v>
      </c>
      <c r="B94" s="5">
        <v>15036</v>
      </c>
      <c r="C94" s="5">
        <v>1</v>
      </c>
      <c r="D94" s="6">
        <v>40654.711805555555</v>
      </c>
      <c r="E94" s="8">
        <v>0.83</v>
      </c>
      <c r="F94" s="5">
        <v>14031</v>
      </c>
      <c r="G94" s="5" t="s">
        <v>8</v>
      </c>
      <c r="H94" s="5" t="b">
        <f t="shared" si="8"/>
        <v>0</v>
      </c>
      <c r="I94" s="5" t="b">
        <f t="shared" si="9"/>
        <v>0</v>
      </c>
      <c r="J94" s="5">
        <f t="shared" si="10"/>
        <v>1</v>
      </c>
      <c r="K94" s="5">
        <f t="shared" si="11"/>
        <v>0.83</v>
      </c>
    </row>
    <row r="95" spans="1:11" x14ac:dyDescent="0.35">
      <c r="A95" s="5">
        <v>551174</v>
      </c>
      <c r="B95" s="5">
        <v>15036</v>
      </c>
      <c r="C95" s="5">
        <v>15</v>
      </c>
      <c r="D95" s="6">
        <v>40659.709722222222</v>
      </c>
      <c r="E95" s="8">
        <v>0.83</v>
      </c>
      <c r="F95" s="5" t="s">
        <v>1331</v>
      </c>
      <c r="G95" s="5" t="s">
        <v>8</v>
      </c>
      <c r="H95" s="5" t="b">
        <f t="shared" si="8"/>
        <v>0</v>
      </c>
      <c r="I95" s="5" t="b">
        <f t="shared" si="9"/>
        <v>0</v>
      </c>
      <c r="J95" s="5">
        <f t="shared" si="10"/>
        <v>15</v>
      </c>
      <c r="K95" s="5">
        <f t="shared" si="11"/>
        <v>0.83</v>
      </c>
    </row>
    <row r="96" spans="1:11" x14ac:dyDescent="0.35">
      <c r="A96" s="5">
        <v>551182</v>
      </c>
      <c r="B96" s="5">
        <v>15036</v>
      </c>
      <c r="C96" s="5">
        <v>24</v>
      </c>
      <c r="D96" s="6">
        <v>40660.363194444442</v>
      </c>
      <c r="E96" s="8">
        <v>0.83</v>
      </c>
      <c r="F96" s="5">
        <v>14282</v>
      </c>
      <c r="G96" s="5" t="s">
        <v>8</v>
      </c>
      <c r="H96" s="5" t="b">
        <f t="shared" si="8"/>
        <v>0</v>
      </c>
      <c r="I96" s="5" t="b">
        <f t="shared" si="9"/>
        <v>0</v>
      </c>
      <c r="J96" s="5">
        <f t="shared" si="10"/>
        <v>24</v>
      </c>
      <c r="K96" s="5">
        <f t="shared" si="11"/>
        <v>0.83</v>
      </c>
    </row>
    <row r="97" spans="1:11" x14ac:dyDescent="0.35">
      <c r="A97" s="5">
        <v>551391</v>
      </c>
      <c r="B97" s="5">
        <v>10125</v>
      </c>
      <c r="C97" s="5">
        <v>1</v>
      </c>
      <c r="D97" s="6">
        <v>40661.504166666666</v>
      </c>
      <c r="E97" s="8">
        <v>0.85</v>
      </c>
      <c r="F97" s="5">
        <v>15514</v>
      </c>
      <c r="G97" s="5" t="s">
        <v>8</v>
      </c>
      <c r="H97" s="5" t="b">
        <f t="shared" si="8"/>
        <v>0</v>
      </c>
      <c r="I97" s="5" t="b">
        <f t="shared" si="9"/>
        <v>0</v>
      </c>
      <c r="J97" s="5">
        <f t="shared" si="10"/>
        <v>1</v>
      </c>
      <c r="K97" s="5">
        <f t="shared" si="11"/>
        <v>0.85</v>
      </c>
    </row>
    <row r="98" spans="1:11" x14ac:dyDescent="0.35">
      <c r="A98" s="5">
        <v>551616</v>
      </c>
      <c r="B98" s="5">
        <v>10125</v>
      </c>
      <c r="C98" s="5">
        <v>1</v>
      </c>
      <c r="D98" s="6">
        <v>40666.486111111109</v>
      </c>
      <c r="E98" s="8">
        <v>0.85</v>
      </c>
      <c r="F98" s="5">
        <v>15048</v>
      </c>
      <c r="G98" s="5" t="s">
        <v>8</v>
      </c>
      <c r="H98" s="5" t="b">
        <f t="shared" ref="H98:H128" si="12">OR(C98&lt;-28.5, C98&gt;55.5)</f>
        <v>0</v>
      </c>
      <c r="I98" s="5" t="b">
        <f t="shared" ref="I98:I128" si="13">OR(E98&lt;0.6, E98&gt;1.75)</f>
        <v>0</v>
      </c>
      <c r="J98" s="5">
        <f t="shared" ref="J98:J128" si="14">IF(ISBLANK(C98), $O$6, C98)</f>
        <v>1</v>
      </c>
      <c r="K98" s="5">
        <f t="shared" ref="K98:K128" si="15">IF(ISBLANK(E98), $O$7, E98)</f>
        <v>0.85</v>
      </c>
    </row>
    <row r="99" spans="1:11" x14ac:dyDescent="0.35">
      <c r="A99" s="5">
        <v>552269</v>
      </c>
      <c r="B99" s="5">
        <v>10125</v>
      </c>
      <c r="C99" s="5">
        <v>1</v>
      </c>
      <c r="D99" s="6">
        <v>40671.494444444441</v>
      </c>
      <c r="E99" s="8">
        <v>0.85</v>
      </c>
      <c r="F99" s="5">
        <v>16121</v>
      </c>
      <c r="G99" s="5" t="s">
        <v>8</v>
      </c>
      <c r="H99" s="5" t="b">
        <f t="shared" si="12"/>
        <v>0</v>
      </c>
      <c r="I99" s="5" t="b">
        <f t="shared" si="13"/>
        <v>0</v>
      </c>
      <c r="J99" s="5">
        <f t="shared" si="14"/>
        <v>1</v>
      </c>
      <c r="K99" s="5">
        <f t="shared" si="15"/>
        <v>0.85</v>
      </c>
    </row>
    <row r="100" spans="1:11" x14ac:dyDescent="0.35">
      <c r="A100" s="5">
        <v>552310</v>
      </c>
      <c r="B100" s="5">
        <v>10125</v>
      </c>
      <c r="C100" s="5">
        <v>3</v>
      </c>
      <c r="D100" s="6">
        <v>40671.640277777777</v>
      </c>
      <c r="E100" s="8">
        <v>0.85</v>
      </c>
      <c r="F100" s="5">
        <v>17323</v>
      </c>
      <c r="G100" s="5" t="s">
        <v>8</v>
      </c>
      <c r="H100" s="5" t="b">
        <f t="shared" si="12"/>
        <v>0</v>
      </c>
      <c r="I100" s="5" t="b">
        <f t="shared" si="13"/>
        <v>0</v>
      </c>
      <c r="J100" s="5">
        <f t="shared" si="14"/>
        <v>3</v>
      </c>
      <c r="K100" s="5">
        <f t="shared" si="15"/>
        <v>0.85</v>
      </c>
    </row>
    <row r="101" spans="1:11" x14ac:dyDescent="0.35">
      <c r="A101" s="5">
        <v>553385</v>
      </c>
      <c r="B101" s="5">
        <v>10125</v>
      </c>
      <c r="C101" s="5">
        <v>1</v>
      </c>
      <c r="D101" s="6">
        <v>40679.661805555559</v>
      </c>
      <c r="E101" s="8">
        <v>0.85</v>
      </c>
      <c r="F101" s="5">
        <v>16710</v>
      </c>
      <c r="G101" s="5" t="s">
        <v>8</v>
      </c>
      <c r="H101" s="5" t="b">
        <f t="shared" si="12"/>
        <v>0</v>
      </c>
      <c r="I101" s="5" t="b">
        <f t="shared" si="13"/>
        <v>0</v>
      </c>
      <c r="J101" s="5">
        <f t="shared" si="14"/>
        <v>1</v>
      </c>
      <c r="K101" s="5">
        <f t="shared" si="15"/>
        <v>0.85</v>
      </c>
    </row>
    <row r="102" spans="1:11" x14ac:dyDescent="0.35">
      <c r="A102" s="5">
        <v>554117</v>
      </c>
      <c r="B102" s="5">
        <v>10125</v>
      </c>
      <c r="C102" s="5">
        <v>1</v>
      </c>
      <c r="D102" s="6">
        <v>40685.633333333331</v>
      </c>
      <c r="E102" s="8">
        <v>0.85</v>
      </c>
      <c r="F102" s="5">
        <v>13758</v>
      </c>
      <c r="G102" s="5" t="s">
        <v>8</v>
      </c>
      <c r="H102" s="5" t="b">
        <f t="shared" si="12"/>
        <v>0</v>
      </c>
      <c r="I102" s="5" t="b">
        <f t="shared" si="13"/>
        <v>0</v>
      </c>
      <c r="J102" s="5">
        <f t="shared" si="14"/>
        <v>1</v>
      </c>
      <c r="K102" s="5">
        <f t="shared" si="15"/>
        <v>0.85</v>
      </c>
    </row>
    <row r="103" spans="1:11" x14ac:dyDescent="0.35">
      <c r="A103" s="5">
        <v>555579</v>
      </c>
      <c r="B103" s="5">
        <v>10125</v>
      </c>
      <c r="C103" s="5">
        <v>1</v>
      </c>
      <c r="D103" s="6">
        <v>40699.668055555558</v>
      </c>
      <c r="E103" s="8">
        <v>0.85</v>
      </c>
      <c r="F103" s="5">
        <v>13983</v>
      </c>
      <c r="G103" s="5" t="s">
        <v>8</v>
      </c>
      <c r="H103" s="5" t="b">
        <f t="shared" si="12"/>
        <v>0</v>
      </c>
      <c r="I103" s="5" t="b">
        <f t="shared" si="13"/>
        <v>0</v>
      </c>
      <c r="J103" s="5">
        <f t="shared" si="14"/>
        <v>1</v>
      </c>
      <c r="K103" s="5">
        <f t="shared" si="15"/>
        <v>0.85</v>
      </c>
    </row>
    <row r="104" spans="1:11" x14ac:dyDescent="0.35">
      <c r="A104" s="5">
        <v>556222</v>
      </c>
      <c r="B104" s="5">
        <v>10125</v>
      </c>
      <c r="C104" s="5">
        <v>12</v>
      </c>
      <c r="D104" s="6">
        <v>40703.599305555559</v>
      </c>
      <c r="E104" s="8">
        <v>0.85</v>
      </c>
      <c r="F104" s="5">
        <v>17522</v>
      </c>
      <c r="G104" s="5" t="s">
        <v>8</v>
      </c>
      <c r="H104" s="5" t="b">
        <f t="shared" si="12"/>
        <v>0</v>
      </c>
      <c r="I104" s="5" t="b">
        <f t="shared" si="13"/>
        <v>0</v>
      </c>
      <c r="J104" s="5">
        <f t="shared" si="14"/>
        <v>12</v>
      </c>
      <c r="K104" s="5">
        <f t="shared" si="15"/>
        <v>0.85</v>
      </c>
    </row>
    <row r="105" spans="1:11" x14ac:dyDescent="0.35">
      <c r="A105" s="5">
        <v>557938</v>
      </c>
      <c r="B105" s="5">
        <v>10125</v>
      </c>
      <c r="C105" s="5">
        <v>2</v>
      </c>
      <c r="D105" s="6">
        <v>40717.649305555555</v>
      </c>
      <c r="E105" s="8">
        <v>1.63</v>
      </c>
      <c r="F105" s="5" t="s">
        <v>1331</v>
      </c>
      <c r="G105" s="5" t="s">
        <v>8</v>
      </c>
      <c r="H105" s="5" t="b">
        <f t="shared" si="12"/>
        <v>0</v>
      </c>
      <c r="I105" s="5" t="b">
        <f t="shared" si="13"/>
        <v>0</v>
      </c>
      <c r="J105" s="5">
        <f t="shared" si="14"/>
        <v>2</v>
      </c>
      <c r="K105" s="5">
        <f t="shared" si="15"/>
        <v>1.63</v>
      </c>
    </row>
    <row r="106" spans="1:11" x14ac:dyDescent="0.35">
      <c r="A106" s="5">
        <v>558700</v>
      </c>
      <c r="B106" s="5">
        <v>10125</v>
      </c>
      <c r="C106" s="5">
        <v>1</v>
      </c>
      <c r="D106" s="6">
        <v>40725.522916666669</v>
      </c>
      <c r="E106" s="8">
        <v>0.85</v>
      </c>
      <c r="F106" s="5">
        <v>17920</v>
      </c>
      <c r="G106" s="5" t="s">
        <v>8</v>
      </c>
      <c r="H106" s="5" t="b">
        <f t="shared" si="12"/>
        <v>0</v>
      </c>
      <c r="I106" s="5" t="b">
        <f t="shared" si="13"/>
        <v>0</v>
      </c>
      <c r="J106" s="5">
        <f t="shared" si="14"/>
        <v>1</v>
      </c>
      <c r="K106" s="5">
        <f t="shared" si="15"/>
        <v>0.85</v>
      </c>
    </row>
    <row r="107" spans="1:11" x14ac:dyDescent="0.35">
      <c r="A107" s="5">
        <v>558700</v>
      </c>
      <c r="B107" s="5">
        <v>10125</v>
      </c>
      <c r="C107" s="5">
        <v>3</v>
      </c>
      <c r="D107" s="6">
        <v>40725.522916666669</v>
      </c>
      <c r="E107" s="8">
        <v>0.85</v>
      </c>
      <c r="F107" s="5">
        <v>17920</v>
      </c>
      <c r="G107" s="5" t="s">
        <v>8</v>
      </c>
      <c r="H107" s="5" t="b">
        <f t="shared" si="12"/>
        <v>0</v>
      </c>
      <c r="I107" s="5" t="b">
        <f t="shared" si="13"/>
        <v>0</v>
      </c>
      <c r="J107" s="5">
        <f t="shared" si="14"/>
        <v>3</v>
      </c>
      <c r="K107" s="5">
        <f t="shared" si="15"/>
        <v>0.85</v>
      </c>
    </row>
    <row r="108" spans="1:11" x14ac:dyDescent="0.35">
      <c r="A108" s="5">
        <v>558860</v>
      </c>
      <c r="B108" s="5">
        <v>10125</v>
      </c>
      <c r="C108" s="5">
        <v>1</v>
      </c>
      <c r="D108" s="6">
        <v>40728.512499999997</v>
      </c>
      <c r="E108" s="8">
        <v>0.85</v>
      </c>
      <c r="F108" s="5">
        <v>17975</v>
      </c>
      <c r="G108" s="5" t="s">
        <v>8</v>
      </c>
      <c r="H108" s="5" t="b">
        <f t="shared" si="12"/>
        <v>0</v>
      </c>
      <c r="I108" s="5" t="b">
        <f t="shared" si="13"/>
        <v>0</v>
      </c>
      <c r="J108" s="5">
        <f t="shared" si="14"/>
        <v>1</v>
      </c>
      <c r="K108" s="5">
        <f t="shared" si="15"/>
        <v>0.85</v>
      </c>
    </row>
    <row r="109" spans="1:11" x14ac:dyDescent="0.35">
      <c r="A109" s="5">
        <v>558868</v>
      </c>
      <c r="B109" s="5">
        <v>10125</v>
      </c>
      <c r="C109" s="5">
        <v>20</v>
      </c>
      <c r="D109" s="6">
        <v>40728.532638888886</v>
      </c>
      <c r="E109" s="8">
        <v>0.85</v>
      </c>
      <c r="F109" s="5">
        <v>13266</v>
      </c>
      <c r="G109" s="5" t="s">
        <v>8</v>
      </c>
      <c r="H109" s="5" t="b">
        <f t="shared" si="12"/>
        <v>0</v>
      </c>
      <c r="I109" s="5" t="b">
        <f t="shared" si="13"/>
        <v>0</v>
      </c>
      <c r="J109" s="5">
        <f t="shared" si="14"/>
        <v>20</v>
      </c>
      <c r="K109" s="5">
        <f t="shared" si="15"/>
        <v>0.85</v>
      </c>
    </row>
    <row r="110" spans="1:11" x14ac:dyDescent="0.35">
      <c r="A110" s="5">
        <v>559337</v>
      </c>
      <c r="B110" s="5">
        <v>10125</v>
      </c>
      <c r="C110" s="5">
        <v>1</v>
      </c>
      <c r="D110" s="6">
        <v>40731.685416666667</v>
      </c>
      <c r="E110" s="8">
        <v>1.63</v>
      </c>
      <c r="F110" s="5" t="s">
        <v>1331</v>
      </c>
      <c r="G110" s="5" t="s">
        <v>8</v>
      </c>
      <c r="H110" s="5" t="b">
        <f t="shared" si="12"/>
        <v>0</v>
      </c>
      <c r="I110" s="5" t="b">
        <f t="shared" si="13"/>
        <v>0</v>
      </c>
      <c r="J110" s="5">
        <f t="shared" si="14"/>
        <v>1</v>
      </c>
      <c r="K110" s="5">
        <f t="shared" si="15"/>
        <v>1.63</v>
      </c>
    </row>
    <row r="111" spans="1:11" x14ac:dyDescent="0.35">
      <c r="A111" s="5">
        <v>559536</v>
      </c>
      <c r="B111" s="5">
        <v>10125</v>
      </c>
      <c r="C111" s="5">
        <v>5</v>
      </c>
      <c r="D111" s="6">
        <v>40734.511805555558</v>
      </c>
      <c r="E111" s="8">
        <v>0.85</v>
      </c>
      <c r="F111" s="5">
        <v>16283</v>
      </c>
      <c r="G111" s="5" t="s">
        <v>8</v>
      </c>
      <c r="H111" s="5" t="b">
        <f t="shared" si="12"/>
        <v>0</v>
      </c>
      <c r="I111" s="5" t="b">
        <f t="shared" si="13"/>
        <v>0</v>
      </c>
      <c r="J111" s="5">
        <f t="shared" si="14"/>
        <v>5</v>
      </c>
      <c r="K111" s="5">
        <f t="shared" si="15"/>
        <v>0.85</v>
      </c>
    </row>
    <row r="112" spans="1:11" x14ac:dyDescent="0.35">
      <c r="A112" s="5">
        <v>559979</v>
      </c>
      <c r="B112" s="5">
        <v>10125</v>
      </c>
      <c r="C112" s="5">
        <v>20</v>
      </c>
      <c r="D112" s="6">
        <v>40738.472222222219</v>
      </c>
      <c r="E112" s="8">
        <v>0.85</v>
      </c>
      <c r="F112" s="5">
        <v>14862</v>
      </c>
      <c r="G112" s="5" t="s">
        <v>8</v>
      </c>
      <c r="H112" s="5" t="b">
        <f t="shared" si="12"/>
        <v>0</v>
      </c>
      <c r="I112" s="5" t="b">
        <f t="shared" si="13"/>
        <v>0</v>
      </c>
      <c r="J112" s="5">
        <f t="shared" si="14"/>
        <v>20</v>
      </c>
      <c r="K112" s="5">
        <f t="shared" si="15"/>
        <v>0.85</v>
      </c>
    </row>
    <row r="113" spans="1:11" x14ac:dyDescent="0.35">
      <c r="A113" s="5">
        <v>559984</v>
      </c>
      <c r="B113" s="5">
        <v>10125</v>
      </c>
      <c r="C113" s="5">
        <v>5</v>
      </c>
      <c r="D113" s="6">
        <v>40738.489583333336</v>
      </c>
      <c r="E113" s="8">
        <v>0.85</v>
      </c>
      <c r="F113" s="5">
        <v>16657</v>
      </c>
      <c r="G113" s="5" t="s">
        <v>8</v>
      </c>
      <c r="H113" s="5" t="b">
        <f t="shared" si="12"/>
        <v>0</v>
      </c>
      <c r="I113" s="5" t="b">
        <f t="shared" si="13"/>
        <v>0</v>
      </c>
      <c r="J113" s="5">
        <f t="shared" si="14"/>
        <v>5</v>
      </c>
      <c r="K113" s="5">
        <f t="shared" si="15"/>
        <v>0.85</v>
      </c>
    </row>
    <row r="114" spans="1:11" x14ac:dyDescent="0.35">
      <c r="A114" s="5">
        <v>560366</v>
      </c>
      <c r="B114" s="5">
        <v>10125</v>
      </c>
      <c r="C114" s="5">
        <v>20</v>
      </c>
      <c r="D114" s="6">
        <v>40742.513194444444</v>
      </c>
      <c r="E114" s="8">
        <v>0.85</v>
      </c>
      <c r="F114" s="5">
        <v>16859</v>
      </c>
      <c r="G114" s="5" t="s">
        <v>8</v>
      </c>
      <c r="H114" s="5" t="b">
        <f t="shared" si="12"/>
        <v>0</v>
      </c>
      <c r="I114" s="5" t="b">
        <f t="shared" si="13"/>
        <v>0</v>
      </c>
      <c r="J114" s="5">
        <f t="shared" si="14"/>
        <v>20</v>
      </c>
      <c r="K114" s="5">
        <f t="shared" si="15"/>
        <v>0.85</v>
      </c>
    </row>
    <row r="115" spans="1:11" x14ac:dyDescent="0.35">
      <c r="A115" s="5">
        <v>563034</v>
      </c>
      <c r="B115" s="5">
        <v>10125</v>
      </c>
      <c r="C115" s="5">
        <v>40</v>
      </c>
      <c r="D115" s="6">
        <v>40766.620138888888</v>
      </c>
      <c r="E115" s="8">
        <v>0.85</v>
      </c>
      <c r="F115" s="5">
        <v>17644</v>
      </c>
      <c r="G115" s="5" t="s">
        <v>8</v>
      </c>
      <c r="H115" s="5" t="b">
        <f t="shared" si="12"/>
        <v>0</v>
      </c>
      <c r="I115" s="5" t="b">
        <f t="shared" si="13"/>
        <v>0</v>
      </c>
      <c r="J115" s="5">
        <f t="shared" si="14"/>
        <v>40</v>
      </c>
      <c r="K115" s="5">
        <f t="shared" si="15"/>
        <v>0.85</v>
      </c>
    </row>
    <row r="116" spans="1:11" x14ac:dyDescent="0.35">
      <c r="A116" s="5">
        <v>563744</v>
      </c>
      <c r="B116" s="5">
        <v>10125</v>
      </c>
      <c r="C116" s="5">
        <v>20</v>
      </c>
      <c r="D116" s="6">
        <v>40774.399305555555</v>
      </c>
      <c r="E116" s="8">
        <v>0.85</v>
      </c>
      <c r="F116" s="5">
        <v>13266</v>
      </c>
      <c r="G116" s="5" t="s">
        <v>8</v>
      </c>
      <c r="H116" s="5" t="b">
        <f t="shared" si="12"/>
        <v>0</v>
      </c>
      <c r="I116" s="5" t="b">
        <f t="shared" si="13"/>
        <v>0</v>
      </c>
      <c r="J116" s="5">
        <f t="shared" si="14"/>
        <v>20</v>
      </c>
      <c r="K116" s="5">
        <f t="shared" si="15"/>
        <v>0.85</v>
      </c>
    </row>
    <row r="117" spans="1:11" x14ac:dyDescent="0.35">
      <c r="A117" s="5">
        <v>564300</v>
      </c>
      <c r="B117" s="5">
        <v>10125</v>
      </c>
      <c r="C117" s="5">
        <v>5</v>
      </c>
      <c r="D117" s="6">
        <v>40779.479861111111</v>
      </c>
      <c r="E117" s="8">
        <v>0.85</v>
      </c>
      <c r="F117" s="5">
        <v>16723</v>
      </c>
      <c r="G117" s="5" t="s">
        <v>8</v>
      </c>
      <c r="H117" s="5" t="b">
        <f t="shared" si="12"/>
        <v>0</v>
      </c>
      <c r="I117" s="5" t="b">
        <f t="shared" si="13"/>
        <v>0</v>
      </c>
      <c r="J117" s="5">
        <f t="shared" si="14"/>
        <v>5</v>
      </c>
      <c r="K117" s="5">
        <f t="shared" si="15"/>
        <v>0.85</v>
      </c>
    </row>
    <row r="118" spans="1:11" x14ac:dyDescent="0.35">
      <c r="A118" s="5">
        <v>564337</v>
      </c>
      <c r="B118" s="5">
        <v>10125</v>
      </c>
      <c r="C118" s="5">
        <v>20</v>
      </c>
      <c r="D118" s="6">
        <v>40779.611111111109</v>
      </c>
      <c r="E118" s="8">
        <v>0.85</v>
      </c>
      <c r="F118" s="5">
        <v>12649</v>
      </c>
      <c r="G118" s="5" t="s">
        <v>21</v>
      </c>
      <c r="H118" s="5" t="b">
        <f t="shared" si="12"/>
        <v>0</v>
      </c>
      <c r="I118" s="5" t="b">
        <f t="shared" si="13"/>
        <v>0</v>
      </c>
      <c r="J118" s="5">
        <f t="shared" si="14"/>
        <v>20</v>
      </c>
      <c r="K118" s="5">
        <f t="shared" si="15"/>
        <v>0.85</v>
      </c>
    </row>
    <row r="119" spans="1:11" x14ac:dyDescent="0.35">
      <c r="A119" s="5">
        <v>565585</v>
      </c>
      <c r="B119" s="5">
        <v>10125</v>
      </c>
      <c r="C119" s="5">
        <v>20</v>
      </c>
      <c r="D119" s="6">
        <v>40791.556944444441</v>
      </c>
      <c r="E119" s="8">
        <v>0.85</v>
      </c>
      <c r="F119" s="5">
        <v>16172</v>
      </c>
      <c r="G119" s="5" t="s">
        <v>8</v>
      </c>
      <c r="H119" s="5" t="b">
        <f t="shared" si="12"/>
        <v>0</v>
      </c>
      <c r="I119" s="5" t="b">
        <f t="shared" si="13"/>
        <v>0</v>
      </c>
      <c r="J119" s="5">
        <f t="shared" si="14"/>
        <v>20</v>
      </c>
      <c r="K119" s="5">
        <f t="shared" si="15"/>
        <v>0.85</v>
      </c>
    </row>
    <row r="120" spans="1:11" x14ac:dyDescent="0.35">
      <c r="A120" s="5">
        <v>568568</v>
      </c>
      <c r="B120" s="5">
        <v>10125</v>
      </c>
      <c r="C120" s="5">
        <v>20</v>
      </c>
      <c r="D120" s="6">
        <v>40814.366666666669</v>
      </c>
      <c r="E120" s="8">
        <v>0.85</v>
      </c>
      <c r="F120" s="5">
        <v>14412</v>
      </c>
      <c r="G120" s="5" t="s">
        <v>8</v>
      </c>
      <c r="H120" s="5" t="b">
        <f t="shared" si="12"/>
        <v>0</v>
      </c>
      <c r="I120" s="5" t="b">
        <f t="shared" si="13"/>
        <v>0</v>
      </c>
      <c r="J120" s="5">
        <f t="shared" si="14"/>
        <v>20</v>
      </c>
      <c r="K120" s="5">
        <f t="shared" si="15"/>
        <v>0.85</v>
      </c>
    </row>
    <row r="121" spans="1:11" x14ac:dyDescent="0.35">
      <c r="A121" s="5">
        <v>568650</v>
      </c>
      <c r="B121" s="5">
        <v>10125</v>
      </c>
      <c r="C121" s="5">
        <v>20</v>
      </c>
      <c r="D121" s="6">
        <v>40814.49722222222</v>
      </c>
      <c r="E121" s="8">
        <v>0.85</v>
      </c>
      <c r="F121" s="5">
        <v>13505</v>
      </c>
      <c r="G121" s="5" t="s">
        <v>16</v>
      </c>
      <c r="H121" s="5" t="b">
        <f t="shared" si="12"/>
        <v>0</v>
      </c>
      <c r="I121" s="5" t="b">
        <f t="shared" si="13"/>
        <v>0</v>
      </c>
      <c r="J121" s="5">
        <f t="shared" si="14"/>
        <v>20</v>
      </c>
      <c r="K121" s="5">
        <f t="shared" si="15"/>
        <v>0.85</v>
      </c>
    </row>
    <row r="122" spans="1:11" x14ac:dyDescent="0.35">
      <c r="A122" s="5">
        <v>569223</v>
      </c>
      <c r="B122" s="5">
        <v>10125</v>
      </c>
      <c r="C122" s="5">
        <v>7</v>
      </c>
      <c r="D122" s="6">
        <v>40818.575694444444</v>
      </c>
      <c r="E122" s="8">
        <v>0.85</v>
      </c>
      <c r="F122" s="5">
        <v>16283</v>
      </c>
      <c r="G122" s="5" t="s">
        <v>8</v>
      </c>
      <c r="H122" s="5" t="b">
        <f t="shared" si="12"/>
        <v>0</v>
      </c>
      <c r="I122" s="5" t="b">
        <f t="shared" si="13"/>
        <v>0</v>
      </c>
      <c r="J122" s="5">
        <f t="shared" si="14"/>
        <v>7</v>
      </c>
      <c r="K122" s="5">
        <f t="shared" si="15"/>
        <v>0.85</v>
      </c>
    </row>
    <row r="123" spans="1:11" x14ac:dyDescent="0.35">
      <c r="A123" s="5">
        <v>569897</v>
      </c>
      <c r="B123" s="5">
        <v>10125</v>
      </c>
      <c r="C123" s="5">
        <v>3</v>
      </c>
      <c r="D123" s="6">
        <v>40822.667361111111</v>
      </c>
      <c r="E123" s="8">
        <v>0.85</v>
      </c>
      <c r="F123" s="5">
        <v>17813</v>
      </c>
      <c r="G123" s="5" t="s">
        <v>8</v>
      </c>
      <c r="H123" s="5" t="b">
        <f t="shared" si="12"/>
        <v>0</v>
      </c>
      <c r="I123" s="5" t="b">
        <f t="shared" si="13"/>
        <v>0</v>
      </c>
      <c r="J123" s="5">
        <f t="shared" si="14"/>
        <v>3</v>
      </c>
      <c r="K123" s="5">
        <f t="shared" si="15"/>
        <v>0.85</v>
      </c>
    </row>
    <row r="124" spans="1:11" x14ac:dyDescent="0.35">
      <c r="A124" s="5">
        <v>570187</v>
      </c>
      <c r="B124" s="5">
        <v>10125</v>
      </c>
      <c r="C124" s="5">
        <v>1</v>
      </c>
      <c r="D124" s="6">
        <v>40823.631249999999</v>
      </c>
      <c r="E124" s="8">
        <v>1.63</v>
      </c>
      <c r="F124" s="5" t="s">
        <v>1331</v>
      </c>
      <c r="G124" s="5" t="s">
        <v>8</v>
      </c>
      <c r="H124" s="5" t="b">
        <f t="shared" si="12"/>
        <v>0</v>
      </c>
      <c r="I124" s="5" t="b">
        <f t="shared" si="13"/>
        <v>0</v>
      </c>
      <c r="J124" s="5">
        <f t="shared" si="14"/>
        <v>1</v>
      </c>
      <c r="K124" s="5">
        <f t="shared" si="15"/>
        <v>1.63</v>
      </c>
    </row>
    <row r="125" spans="1:11" x14ac:dyDescent="0.35">
      <c r="A125" s="5">
        <v>571328</v>
      </c>
      <c r="B125" s="5">
        <v>10125</v>
      </c>
      <c r="C125" s="5">
        <v>20</v>
      </c>
      <c r="D125" s="6">
        <v>40833.477083333331</v>
      </c>
      <c r="E125" s="8">
        <v>0.85</v>
      </c>
      <c r="F125" s="5">
        <v>12473</v>
      </c>
      <c r="G125" s="5" t="s">
        <v>21</v>
      </c>
      <c r="H125" s="5" t="b">
        <f t="shared" si="12"/>
        <v>0</v>
      </c>
      <c r="I125" s="5" t="b">
        <f t="shared" si="13"/>
        <v>0</v>
      </c>
      <c r="J125" s="5">
        <f t="shared" si="14"/>
        <v>20</v>
      </c>
      <c r="K125" s="5">
        <f t="shared" si="15"/>
        <v>0.85</v>
      </c>
    </row>
    <row r="126" spans="1:11" x14ac:dyDescent="0.35">
      <c r="A126" s="5">
        <v>572558</v>
      </c>
      <c r="B126" s="5">
        <v>10125</v>
      </c>
      <c r="C126" s="5">
        <v>20</v>
      </c>
      <c r="D126" s="6">
        <v>40841.351388888892</v>
      </c>
      <c r="E126" s="8">
        <v>0.85</v>
      </c>
      <c r="F126" s="5">
        <v>14286</v>
      </c>
      <c r="G126" s="5" t="s">
        <v>8</v>
      </c>
      <c r="H126" s="5" t="b">
        <f t="shared" si="12"/>
        <v>0</v>
      </c>
      <c r="I126" s="5" t="b">
        <f t="shared" si="13"/>
        <v>0</v>
      </c>
      <c r="J126" s="5">
        <f t="shared" si="14"/>
        <v>20</v>
      </c>
      <c r="K126" s="5">
        <f t="shared" si="15"/>
        <v>0.85</v>
      </c>
    </row>
    <row r="127" spans="1:11" x14ac:dyDescent="0.35">
      <c r="A127" s="5">
        <v>574530</v>
      </c>
      <c r="B127" s="5">
        <v>10125</v>
      </c>
      <c r="C127" s="5">
        <v>2</v>
      </c>
      <c r="D127" s="6">
        <v>40851.588194444441</v>
      </c>
      <c r="E127" s="8">
        <v>0.85</v>
      </c>
      <c r="F127" s="5">
        <v>16887</v>
      </c>
      <c r="G127" s="5" t="s">
        <v>8</v>
      </c>
      <c r="H127" s="5" t="b">
        <f t="shared" si="12"/>
        <v>0</v>
      </c>
      <c r="I127" s="5" t="b">
        <f t="shared" si="13"/>
        <v>0</v>
      </c>
      <c r="J127" s="5">
        <f t="shared" si="14"/>
        <v>2</v>
      </c>
      <c r="K127" s="5">
        <f t="shared" si="15"/>
        <v>0.85</v>
      </c>
    </row>
    <row r="128" spans="1:11" x14ac:dyDescent="0.35">
      <c r="A128" s="5">
        <v>581494</v>
      </c>
      <c r="B128" s="5">
        <v>10125</v>
      </c>
      <c r="C128" s="5">
        <v>20</v>
      </c>
      <c r="D128" s="6">
        <v>40886.425694444442</v>
      </c>
      <c r="E128" s="8">
        <v>0.85</v>
      </c>
      <c r="F128" s="5">
        <v>12518</v>
      </c>
      <c r="G128" s="5" t="s">
        <v>21</v>
      </c>
      <c r="H128" s="5" t="b">
        <f t="shared" si="12"/>
        <v>0</v>
      </c>
      <c r="I128" s="5" t="b">
        <f t="shared" si="13"/>
        <v>0</v>
      </c>
      <c r="J128" s="5">
        <f t="shared" si="14"/>
        <v>20</v>
      </c>
      <c r="K128" s="5">
        <f t="shared" si="15"/>
        <v>0.85</v>
      </c>
    </row>
    <row r="132" spans="5:10" x14ac:dyDescent="0.35">
      <c r="J132" t="s">
        <v>1338</v>
      </c>
    </row>
    <row r="133" spans="5:10" x14ac:dyDescent="0.35">
      <c r="E133"/>
      <c r="F133"/>
      <c r="G133"/>
    </row>
    <row r="134" spans="5:10" x14ac:dyDescent="0.35">
      <c r="E134"/>
      <c r="F134"/>
      <c r="G134"/>
    </row>
    <row r="135" spans="5:10" x14ac:dyDescent="0.35">
      <c r="E135"/>
      <c r="F135"/>
      <c r="G135"/>
    </row>
    <row r="136" spans="5:10" x14ac:dyDescent="0.35">
      <c r="E136"/>
      <c r="F136"/>
      <c r="G136"/>
    </row>
    <row r="137" spans="5:10" x14ac:dyDescent="0.35">
      <c r="E137"/>
      <c r="F137"/>
      <c r="G137"/>
    </row>
    <row r="138" spans="5:10" x14ac:dyDescent="0.35">
      <c r="E138"/>
      <c r="F138"/>
      <c r="G138"/>
    </row>
  </sheetData>
  <conditionalFormatting sqref="C1:C1048576">
    <cfRule type="colorScale" priority="4">
      <colorScale>
        <cfvo type="num" val="-28.5"/>
        <cfvo type="num" val="55.5"/>
        <color theme="8" tint="0.79998168889431442"/>
        <color theme="8" tint="-0.249977111117893"/>
      </colorScale>
    </cfRule>
    <cfRule type="colorScale" priority="7">
      <colorScale>
        <cfvo type="min"/>
        <cfvo type="max"/>
        <color theme="8" tint="0.79998168889431442"/>
        <color theme="8"/>
      </colorScale>
    </cfRule>
  </conditionalFormatting>
  <conditionalFormatting sqref="C2:C128">
    <cfRule type="colorScale" priority="311">
      <colorScale>
        <cfvo type="min"/>
        <cfvo type="max"/>
        <color theme="8" tint="0.79998168889431442"/>
        <color theme="8" tint="-0.249977111117893"/>
      </colorScale>
    </cfRule>
    <cfRule type="colorScale" priority="312">
      <colorScale>
        <cfvo type="num" val="0"/>
        <cfvo type="num" val="100"/>
        <color theme="8" tint="0.79998168889431442"/>
        <color theme="8" tint="-0.249977111117893"/>
      </colorScale>
    </cfRule>
  </conditionalFormatting>
  <conditionalFormatting sqref="C3">
    <cfRule type="duplicateValues" dxfId="9" priority="1"/>
  </conditionalFormatting>
  <conditionalFormatting sqref="E1:E1048576">
    <cfRule type="colorScale" priority="3">
      <colorScale>
        <cfvo type="num" val="0.48"/>
        <cfvo type="num" val="1.57"/>
        <color theme="8" tint="0.79998168889431442"/>
        <color theme="8" tint="-0.249977111117893"/>
      </colorScale>
    </cfRule>
  </conditionalFormatting>
  <conditionalFormatting sqref="E139:E1048576 E1:E132">
    <cfRule type="colorScale" priority="6">
      <colorScale>
        <cfvo type="min"/>
        <cfvo type="max"/>
        <color theme="8" tint="0.79998168889431442"/>
        <color theme="8" tint="-0.249977111117893"/>
      </colorScale>
    </cfRule>
  </conditionalFormatting>
  <conditionalFormatting sqref="O20">
    <cfRule type="colorScale" priority="2">
      <colorScale>
        <cfvo type="min"/>
        <cfvo type="max"/>
        <color theme="8" tint="0.79998168889431442"/>
        <color theme="8" tint="-0.249977111117893"/>
      </colorScale>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9B6FF-0EC2-402E-BEF3-C03EF9D62881}">
  <dimension ref="A1:R138"/>
  <sheetViews>
    <sheetView zoomScale="82" workbookViewId="0">
      <selection activeCell="M95" sqref="M95"/>
    </sheetView>
  </sheetViews>
  <sheetFormatPr defaultRowHeight="14.5" x14ac:dyDescent="0.35"/>
  <cols>
    <col min="1" max="1" width="14.08984375" style="5" customWidth="1"/>
    <col min="2" max="2" width="13.453125" style="5" customWidth="1"/>
    <col min="3" max="3" width="16.08984375" style="5" customWidth="1"/>
    <col min="4" max="4" width="22.453125" style="5" bestFit="1" customWidth="1"/>
    <col min="5" max="5" width="13.6328125" style="8" bestFit="1" customWidth="1"/>
    <col min="6" max="6" width="12.90625" style="5" customWidth="1"/>
    <col min="7" max="7" width="13.54296875" style="5" bestFit="1" customWidth="1"/>
    <col min="8" max="8" width="17.36328125" bestFit="1" customWidth="1"/>
    <col min="9" max="9" width="14.36328125" bestFit="1" customWidth="1"/>
    <col min="10" max="10" width="19" bestFit="1" customWidth="1"/>
    <col min="11" max="11" width="15.81640625" bestFit="1" customWidth="1"/>
    <col min="12" max="12" width="21.6328125" bestFit="1" customWidth="1"/>
    <col min="13" max="13" width="12.26953125" bestFit="1" customWidth="1"/>
    <col min="14" max="14" width="30.08984375" customWidth="1"/>
    <col min="15" max="15" width="11.81640625" bestFit="1" customWidth="1"/>
    <col min="16" max="16" width="11.81640625" customWidth="1"/>
  </cols>
  <sheetData>
    <row r="1" spans="1:18" s="7" customFormat="1" x14ac:dyDescent="0.35">
      <c r="A1" s="7" t="s">
        <v>0</v>
      </c>
      <c r="B1" s="7" t="s">
        <v>1</v>
      </c>
      <c r="C1" s="7" t="s">
        <v>2</v>
      </c>
      <c r="D1" s="7" t="s">
        <v>3</v>
      </c>
      <c r="E1" s="8" t="s">
        <v>4</v>
      </c>
      <c r="F1" s="7" t="s">
        <v>5</v>
      </c>
      <c r="G1" s="7" t="s">
        <v>6</v>
      </c>
      <c r="H1" s="7" t="s">
        <v>1335</v>
      </c>
      <c r="I1" s="7" t="s">
        <v>1336</v>
      </c>
      <c r="J1" s="7" t="s">
        <v>1337</v>
      </c>
      <c r="K1" s="7" t="s">
        <v>25</v>
      </c>
    </row>
    <row r="2" spans="1:18" x14ac:dyDescent="0.35">
      <c r="A2" s="5">
        <v>536370</v>
      </c>
      <c r="B2" s="5">
        <v>10002</v>
      </c>
      <c r="C2" s="5">
        <v>48</v>
      </c>
      <c r="D2" s="6">
        <v>40513.364583333336</v>
      </c>
      <c r="E2" s="8">
        <v>0.85</v>
      </c>
      <c r="F2" s="5">
        <v>12583</v>
      </c>
      <c r="G2" s="5" t="s">
        <v>7</v>
      </c>
      <c r="H2" s="5" t="b">
        <f t="shared" ref="H2:H33" si="0">OR(C2&lt;-28.5, C2&gt;55.5)</f>
        <v>0</v>
      </c>
      <c r="I2" s="5" t="b">
        <f t="shared" ref="I2:I33" si="1">OR(E2&lt;0.6, E2&gt;1.75)</f>
        <v>0</v>
      </c>
      <c r="J2" s="5">
        <f t="shared" ref="J2:J33" si="2">IF(ISBLANK(C2), $O$6, C2)</f>
        <v>48</v>
      </c>
      <c r="K2" s="5">
        <f t="shared" ref="K2:K33" si="3">IF(ISBLANK(E2), $O$7, E2)</f>
        <v>0.85</v>
      </c>
    </row>
    <row r="3" spans="1:18" x14ac:dyDescent="0.35">
      <c r="A3" s="5">
        <v>536382</v>
      </c>
      <c r="B3" s="5">
        <v>10002</v>
      </c>
      <c r="C3" s="5">
        <v>12</v>
      </c>
      <c r="D3" s="6">
        <v>40513.40625</v>
      </c>
      <c r="E3" s="8">
        <v>0.85</v>
      </c>
      <c r="F3" s="5">
        <v>16098</v>
      </c>
      <c r="G3" s="5" t="s">
        <v>8</v>
      </c>
      <c r="H3" s="5" t="b">
        <f t="shared" si="0"/>
        <v>0</v>
      </c>
      <c r="I3" s="5" t="b">
        <f t="shared" si="1"/>
        <v>0</v>
      </c>
      <c r="J3" s="5">
        <f t="shared" si="2"/>
        <v>12</v>
      </c>
      <c r="K3" s="5">
        <f t="shared" si="3"/>
        <v>0.85</v>
      </c>
    </row>
    <row r="4" spans="1:18" x14ac:dyDescent="0.35">
      <c r="A4" s="5">
        <v>536446</v>
      </c>
      <c r="B4" s="5">
        <v>10133</v>
      </c>
      <c r="C4" s="5">
        <v>5</v>
      </c>
      <c r="D4" s="6">
        <v>40513.510416666664</v>
      </c>
      <c r="E4" s="8">
        <v>0.85</v>
      </c>
      <c r="F4" s="5">
        <v>15983</v>
      </c>
      <c r="G4" s="5" t="s">
        <v>8</v>
      </c>
      <c r="H4" s="5" t="b">
        <f t="shared" si="0"/>
        <v>0</v>
      </c>
      <c r="I4" s="5" t="b">
        <f t="shared" si="1"/>
        <v>0</v>
      </c>
      <c r="J4" s="5">
        <f t="shared" si="2"/>
        <v>5</v>
      </c>
      <c r="K4" s="5">
        <f t="shared" si="3"/>
        <v>0.85</v>
      </c>
    </row>
    <row r="5" spans="1:18" x14ac:dyDescent="0.35">
      <c r="A5" s="5">
        <v>536756</v>
      </c>
      <c r="B5" s="5">
        <v>10002</v>
      </c>
      <c r="C5" s="5">
        <v>1</v>
      </c>
      <c r="D5" s="6">
        <v>40514.599305555559</v>
      </c>
      <c r="E5" s="8">
        <v>0.85</v>
      </c>
      <c r="F5" s="5" t="s">
        <v>1331</v>
      </c>
      <c r="G5" s="5" t="s">
        <v>8</v>
      </c>
      <c r="H5" s="5" t="b">
        <f t="shared" si="0"/>
        <v>0</v>
      </c>
      <c r="I5" s="5" t="b">
        <f t="shared" si="1"/>
        <v>0</v>
      </c>
      <c r="J5" s="5">
        <f t="shared" si="2"/>
        <v>1</v>
      </c>
      <c r="K5" s="5">
        <f t="shared" si="3"/>
        <v>0.85</v>
      </c>
      <c r="M5" s="7"/>
      <c r="N5" s="7"/>
      <c r="O5" s="7"/>
      <c r="P5" s="7"/>
      <c r="Q5" s="7"/>
      <c r="R5" s="7"/>
    </row>
    <row r="6" spans="1:18" x14ac:dyDescent="0.35">
      <c r="A6" s="5">
        <v>536863</v>
      </c>
      <c r="B6" s="5">
        <v>10002</v>
      </c>
      <c r="C6" s="5">
        <v>1</v>
      </c>
      <c r="D6" s="6">
        <v>40515.47152777778</v>
      </c>
      <c r="E6" s="8">
        <v>0.85</v>
      </c>
      <c r="F6" s="5">
        <v>17967</v>
      </c>
      <c r="G6" s="5" t="s">
        <v>8</v>
      </c>
      <c r="H6" s="5" t="b">
        <f t="shared" si="0"/>
        <v>0</v>
      </c>
      <c r="I6" s="5" t="b">
        <f t="shared" si="1"/>
        <v>0</v>
      </c>
      <c r="J6" s="5">
        <f t="shared" si="2"/>
        <v>1</v>
      </c>
      <c r="K6" s="5">
        <f t="shared" si="3"/>
        <v>0.85</v>
      </c>
      <c r="N6" s="20" t="s">
        <v>26</v>
      </c>
      <c r="O6" s="20">
        <f>AVERAGE(C:C)</f>
        <v>11.283464566929133</v>
      </c>
    </row>
    <row r="7" spans="1:18" x14ac:dyDescent="0.35">
      <c r="A7" s="5">
        <v>536865</v>
      </c>
      <c r="B7" s="5">
        <v>10002</v>
      </c>
      <c r="C7" s="11">
        <v>11</v>
      </c>
      <c r="D7" s="6">
        <v>40515.477777777778</v>
      </c>
      <c r="E7" s="8">
        <v>1.66</v>
      </c>
      <c r="F7" s="5" t="s">
        <v>1331</v>
      </c>
      <c r="G7" s="5" t="s">
        <v>8</v>
      </c>
      <c r="H7" s="5" t="b">
        <f t="shared" si="0"/>
        <v>0</v>
      </c>
      <c r="I7" s="5" t="b">
        <f t="shared" si="1"/>
        <v>0</v>
      </c>
      <c r="J7" s="5">
        <f t="shared" si="2"/>
        <v>11</v>
      </c>
      <c r="K7" s="5">
        <f t="shared" si="3"/>
        <v>1.66</v>
      </c>
      <c r="N7" s="20" t="s">
        <v>27</v>
      </c>
      <c r="O7" s="21">
        <f>AVERAGE(E:E)</f>
        <v>0.99212598425196663</v>
      </c>
    </row>
    <row r="8" spans="1:18" x14ac:dyDescent="0.35">
      <c r="A8" s="5">
        <v>536876</v>
      </c>
      <c r="B8" s="5">
        <v>10002</v>
      </c>
      <c r="C8" s="5">
        <v>2</v>
      </c>
      <c r="D8" s="6">
        <v>40515.48333333333</v>
      </c>
      <c r="E8" s="8">
        <v>1.66</v>
      </c>
      <c r="F8" s="5" t="s">
        <v>1331</v>
      </c>
      <c r="G8" s="5" t="s">
        <v>8</v>
      </c>
      <c r="H8" s="5" t="b">
        <f t="shared" si="0"/>
        <v>0</v>
      </c>
      <c r="I8" s="5" t="b">
        <f t="shared" si="1"/>
        <v>0</v>
      </c>
      <c r="J8" s="5">
        <f t="shared" si="2"/>
        <v>2</v>
      </c>
      <c r="K8" s="5">
        <f t="shared" si="3"/>
        <v>1.66</v>
      </c>
      <c r="N8" s="20"/>
      <c r="O8" s="20"/>
    </row>
    <row r="9" spans="1:18" x14ac:dyDescent="0.35">
      <c r="A9" s="5">
        <v>536876</v>
      </c>
      <c r="B9" s="5">
        <v>10133</v>
      </c>
      <c r="C9" s="5">
        <v>1</v>
      </c>
      <c r="D9" s="6">
        <v>40515.48333333333</v>
      </c>
      <c r="E9" s="8">
        <v>1.66</v>
      </c>
      <c r="F9" s="5" t="s">
        <v>1331</v>
      </c>
      <c r="G9" s="5" t="s">
        <v>8</v>
      </c>
      <c r="H9" s="5" t="b">
        <f t="shared" si="0"/>
        <v>0</v>
      </c>
      <c r="I9" s="5" t="b">
        <f t="shared" si="1"/>
        <v>0</v>
      </c>
      <c r="J9" s="5">
        <f t="shared" si="2"/>
        <v>1</v>
      </c>
      <c r="K9" s="5">
        <f t="shared" si="3"/>
        <v>1.66</v>
      </c>
      <c r="N9" s="20"/>
      <c r="O9" s="20"/>
    </row>
    <row r="10" spans="1:18" x14ac:dyDescent="0.35">
      <c r="A10" s="5">
        <v>537225</v>
      </c>
      <c r="B10" s="5">
        <v>10133</v>
      </c>
      <c r="C10" s="5">
        <v>10</v>
      </c>
      <c r="D10" s="10">
        <v>40517</v>
      </c>
      <c r="E10" s="8">
        <v>0.85</v>
      </c>
      <c r="F10" s="5">
        <v>12748</v>
      </c>
      <c r="G10" s="5" t="s">
        <v>8</v>
      </c>
      <c r="H10" s="5" t="b">
        <f t="shared" si="0"/>
        <v>0</v>
      </c>
      <c r="I10" s="5" t="b">
        <f t="shared" si="1"/>
        <v>0</v>
      </c>
      <c r="J10" s="5">
        <f t="shared" si="2"/>
        <v>10</v>
      </c>
      <c r="K10" s="5">
        <f t="shared" si="3"/>
        <v>0.85</v>
      </c>
      <c r="N10" s="20" t="s">
        <v>28</v>
      </c>
      <c r="O10" s="20">
        <f>MAX(C:C)</f>
        <v>48</v>
      </c>
    </row>
    <row r="11" spans="1:18" x14ac:dyDescent="0.35">
      <c r="A11" s="5">
        <v>537047</v>
      </c>
      <c r="B11" s="5">
        <v>10002</v>
      </c>
      <c r="C11" s="5">
        <v>1</v>
      </c>
      <c r="D11" s="6">
        <v>40517.459722222222</v>
      </c>
      <c r="E11" s="8">
        <v>0.85</v>
      </c>
      <c r="F11" s="5">
        <v>13069</v>
      </c>
      <c r="G11" s="5" t="s">
        <v>8</v>
      </c>
      <c r="H11" s="5" t="b">
        <f t="shared" si="0"/>
        <v>0</v>
      </c>
      <c r="I11" s="5" t="b">
        <f t="shared" si="1"/>
        <v>0</v>
      </c>
      <c r="J11" s="5">
        <f t="shared" si="2"/>
        <v>1</v>
      </c>
      <c r="K11" s="5">
        <f t="shared" si="3"/>
        <v>0.85</v>
      </c>
      <c r="N11" s="20" t="s">
        <v>29</v>
      </c>
      <c r="O11" s="20">
        <f>MIN(C:C)</f>
        <v>1</v>
      </c>
    </row>
    <row r="12" spans="1:18" x14ac:dyDescent="0.35">
      <c r="A12" s="5">
        <v>537126</v>
      </c>
      <c r="B12" s="5">
        <v>10133</v>
      </c>
      <c r="C12" s="5">
        <v>1</v>
      </c>
      <c r="D12" s="6">
        <v>40517.509027777778</v>
      </c>
      <c r="E12" s="8">
        <v>0.85</v>
      </c>
      <c r="F12" s="5">
        <v>18118</v>
      </c>
      <c r="G12" s="5" t="s">
        <v>8</v>
      </c>
      <c r="H12" s="5" t="b">
        <f t="shared" si="0"/>
        <v>0</v>
      </c>
      <c r="I12" s="5" t="b">
        <f t="shared" si="1"/>
        <v>0</v>
      </c>
      <c r="J12" s="5">
        <f t="shared" si="2"/>
        <v>1</v>
      </c>
      <c r="K12" s="5">
        <f t="shared" si="3"/>
        <v>0.85</v>
      </c>
      <c r="N12" s="20"/>
      <c r="O12" s="20"/>
    </row>
    <row r="13" spans="1:18" x14ac:dyDescent="0.35">
      <c r="A13" s="5">
        <v>537155</v>
      </c>
      <c r="B13" s="5">
        <v>10133</v>
      </c>
      <c r="C13" s="5">
        <v>3</v>
      </c>
      <c r="D13" s="6">
        <v>40517.545138888891</v>
      </c>
      <c r="E13" s="8">
        <v>0.85</v>
      </c>
      <c r="F13" s="5">
        <v>12748</v>
      </c>
      <c r="G13" s="5" t="s">
        <v>8</v>
      </c>
      <c r="H13" s="5" t="b">
        <f t="shared" si="0"/>
        <v>0</v>
      </c>
      <c r="I13" s="5" t="b">
        <f t="shared" si="1"/>
        <v>0</v>
      </c>
      <c r="J13" s="5">
        <f t="shared" si="2"/>
        <v>3</v>
      </c>
      <c r="K13" s="5">
        <f t="shared" si="3"/>
        <v>0.85</v>
      </c>
      <c r="N13" s="20" t="s">
        <v>30</v>
      </c>
      <c r="O13" s="20">
        <f>_xlfn.STDEV.S(C:C)</f>
        <v>11.010743410015277</v>
      </c>
    </row>
    <row r="14" spans="1:18" x14ac:dyDescent="0.35">
      <c r="A14" s="5">
        <v>537227</v>
      </c>
      <c r="B14" s="5">
        <v>10002</v>
      </c>
      <c r="C14" s="5">
        <v>24</v>
      </c>
      <c r="D14" s="6">
        <v>40518.362500000003</v>
      </c>
      <c r="E14" s="8">
        <v>0.85</v>
      </c>
      <c r="F14" s="5">
        <v>17677</v>
      </c>
      <c r="G14" s="5" t="s">
        <v>8</v>
      </c>
      <c r="H14" s="5" t="b">
        <f t="shared" si="0"/>
        <v>0</v>
      </c>
      <c r="I14" s="5" t="b">
        <f t="shared" si="1"/>
        <v>0</v>
      </c>
      <c r="J14" s="5">
        <f t="shared" si="2"/>
        <v>24</v>
      </c>
      <c r="K14" s="5">
        <f t="shared" si="3"/>
        <v>0.85</v>
      </c>
      <c r="N14" s="20" t="s">
        <v>31</v>
      </c>
      <c r="O14" s="20">
        <f>_xlfn.STDEV.S(E:E)</f>
        <v>0.32961649173099689</v>
      </c>
    </row>
    <row r="15" spans="1:18" x14ac:dyDescent="0.35">
      <c r="A15" s="5">
        <v>537240</v>
      </c>
      <c r="B15" s="5">
        <v>10002</v>
      </c>
      <c r="C15" s="5">
        <v>1</v>
      </c>
      <c r="D15" s="6">
        <v>40518.422222222223</v>
      </c>
      <c r="E15" s="8">
        <v>1.66</v>
      </c>
      <c r="F15" s="5" t="s">
        <v>1331</v>
      </c>
      <c r="G15" s="5" t="s">
        <v>8</v>
      </c>
      <c r="H15" s="5" t="b">
        <f t="shared" si="0"/>
        <v>0</v>
      </c>
      <c r="I15" s="5" t="b">
        <f t="shared" si="1"/>
        <v>0</v>
      </c>
      <c r="J15" s="5">
        <f t="shared" si="2"/>
        <v>1</v>
      </c>
      <c r="K15" s="5">
        <f t="shared" si="3"/>
        <v>1.66</v>
      </c>
    </row>
    <row r="16" spans="1:18" x14ac:dyDescent="0.35">
      <c r="A16" s="5">
        <v>537374</v>
      </c>
      <c r="B16" s="5">
        <v>10133</v>
      </c>
      <c r="C16" s="5">
        <v>2</v>
      </c>
      <c r="D16" s="6">
        <v>40518.538194444445</v>
      </c>
      <c r="E16" s="8">
        <v>0.85</v>
      </c>
      <c r="F16" s="5">
        <v>17259</v>
      </c>
      <c r="G16" s="5" t="s">
        <v>8</v>
      </c>
      <c r="H16" s="5" t="b">
        <f t="shared" si="0"/>
        <v>0</v>
      </c>
      <c r="I16" s="5" t="b">
        <f t="shared" si="1"/>
        <v>0</v>
      </c>
      <c r="J16" s="5">
        <f t="shared" si="2"/>
        <v>2</v>
      </c>
      <c r="K16" s="5">
        <f t="shared" si="3"/>
        <v>0.85</v>
      </c>
    </row>
    <row r="17" spans="1:16" x14ac:dyDescent="0.35">
      <c r="A17" s="5">
        <v>537638</v>
      </c>
      <c r="B17" s="5">
        <v>10002</v>
      </c>
      <c r="C17" s="5">
        <v>5</v>
      </c>
      <c r="D17" s="6">
        <v>40519.644444444442</v>
      </c>
      <c r="E17" s="8">
        <v>1.66</v>
      </c>
      <c r="F17" s="5" t="s">
        <v>1331</v>
      </c>
      <c r="G17" s="5" t="s">
        <v>8</v>
      </c>
      <c r="H17" s="5" t="b">
        <f t="shared" si="0"/>
        <v>0</v>
      </c>
      <c r="I17" s="5" t="b">
        <f t="shared" si="1"/>
        <v>0</v>
      </c>
      <c r="J17" s="5">
        <f t="shared" si="2"/>
        <v>5</v>
      </c>
      <c r="K17" s="5">
        <f t="shared" si="3"/>
        <v>1.66</v>
      </c>
    </row>
    <row r="18" spans="1:16" x14ac:dyDescent="0.35">
      <c r="A18" s="5">
        <v>538064</v>
      </c>
      <c r="B18" s="5">
        <v>10133</v>
      </c>
      <c r="C18" s="5">
        <v>2</v>
      </c>
      <c r="D18" s="6">
        <v>40521.574305555558</v>
      </c>
      <c r="E18" s="8">
        <v>0.85</v>
      </c>
      <c r="F18" s="5">
        <v>15271</v>
      </c>
      <c r="G18" s="5" t="s">
        <v>8</v>
      </c>
      <c r="H18" s="5" t="b">
        <f t="shared" si="0"/>
        <v>0</v>
      </c>
      <c r="I18" s="5" t="b">
        <f t="shared" si="1"/>
        <v>0</v>
      </c>
      <c r="J18" s="5">
        <f t="shared" si="2"/>
        <v>2</v>
      </c>
      <c r="K18" s="5">
        <f t="shared" si="3"/>
        <v>0.85</v>
      </c>
    </row>
    <row r="19" spans="1:16" x14ac:dyDescent="0.35">
      <c r="A19" s="5">
        <v>538070</v>
      </c>
      <c r="B19" s="5">
        <v>10133</v>
      </c>
      <c r="C19" s="5">
        <v>10</v>
      </c>
      <c r="D19" s="6">
        <v>40521.588888888888</v>
      </c>
      <c r="E19" s="8">
        <v>0.85</v>
      </c>
      <c r="F19" s="5">
        <v>16519</v>
      </c>
      <c r="G19" s="5" t="s">
        <v>8</v>
      </c>
      <c r="H19" s="5" t="b">
        <f t="shared" si="0"/>
        <v>0</v>
      </c>
      <c r="I19" s="5" t="b">
        <f t="shared" si="1"/>
        <v>0</v>
      </c>
      <c r="J19" s="5">
        <f t="shared" si="2"/>
        <v>10</v>
      </c>
      <c r="K19" s="5">
        <f t="shared" si="3"/>
        <v>0.85</v>
      </c>
    </row>
    <row r="20" spans="1:16" x14ac:dyDescent="0.35">
      <c r="A20" s="5">
        <v>539222</v>
      </c>
      <c r="B20" s="5">
        <v>10133</v>
      </c>
      <c r="C20" s="5">
        <v>10</v>
      </c>
      <c r="D20" s="6">
        <v>40528.541666666664</v>
      </c>
      <c r="E20" s="8">
        <v>0.85</v>
      </c>
      <c r="F20" s="5">
        <v>14621</v>
      </c>
      <c r="G20" s="5" t="s">
        <v>1331</v>
      </c>
      <c r="H20" s="5" t="b">
        <f t="shared" si="0"/>
        <v>0</v>
      </c>
      <c r="I20" s="5" t="b">
        <f t="shared" si="1"/>
        <v>0</v>
      </c>
      <c r="J20" s="5">
        <f t="shared" si="2"/>
        <v>10</v>
      </c>
      <c r="K20" s="5">
        <f t="shared" si="3"/>
        <v>0.85</v>
      </c>
      <c r="N20" s="19"/>
      <c r="O20" s="22" t="s">
        <v>1329</v>
      </c>
      <c r="P20" s="19" t="s">
        <v>1330</v>
      </c>
    </row>
    <row r="21" spans="1:16" x14ac:dyDescent="0.35">
      <c r="A21" s="5">
        <v>539477</v>
      </c>
      <c r="B21" s="5">
        <v>10133</v>
      </c>
      <c r="C21" s="5">
        <v>10</v>
      </c>
      <c r="D21" s="6">
        <v>40531.623611111114</v>
      </c>
      <c r="E21" s="8">
        <v>0.85</v>
      </c>
      <c r="F21" s="5">
        <v>18245</v>
      </c>
      <c r="G21" s="5" t="s">
        <v>8</v>
      </c>
      <c r="H21" s="5" t="b">
        <f t="shared" si="0"/>
        <v>0</v>
      </c>
      <c r="I21" s="5" t="b">
        <f t="shared" si="1"/>
        <v>0</v>
      </c>
      <c r="J21" s="5">
        <f t="shared" si="2"/>
        <v>10</v>
      </c>
      <c r="K21" s="5">
        <f t="shared" si="3"/>
        <v>0.85</v>
      </c>
      <c r="N21" s="19" t="s">
        <v>1326</v>
      </c>
      <c r="O21" s="22">
        <f>_xlfn.QUARTILE.INC(C:C,1)</f>
        <v>2</v>
      </c>
      <c r="P21" s="19">
        <f>_xlfn.QUARTILE.INC(E:E,1)</f>
        <v>0.83</v>
      </c>
    </row>
    <row r="22" spans="1:16" x14ac:dyDescent="0.35">
      <c r="A22" s="5">
        <v>539933</v>
      </c>
      <c r="B22" s="5">
        <v>10133</v>
      </c>
      <c r="C22" s="5">
        <v>10</v>
      </c>
      <c r="D22" s="6">
        <v>40535.474999999999</v>
      </c>
      <c r="E22" s="8">
        <v>0.85</v>
      </c>
      <c r="F22" s="5">
        <v>15235</v>
      </c>
      <c r="G22" s="5" t="s">
        <v>8</v>
      </c>
      <c r="H22" s="5" t="b">
        <f t="shared" si="0"/>
        <v>0</v>
      </c>
      <c r="I22" s="5" t="b">
        <f t="shared" si="1"/>
        <v>0</v>
      </c>
      <c r="J22" s="5">
        <f t="shared" si="2"/>
        <v>10</v>
      </c>
      <c r="K22" s="5">
        <f t="shared" si="3"/>
        <v>0.85</v>
      </c>
      <c r="N22" s="19" t="s">
        <v>1327</v>
      </c>
      <c r="O22" s="22">
        <f>_xlfn.QUARTILE.INC(C:C,3)</f>
        <v>18.5</v>
      </c>
      <c r="P22" s="19">
        <f>_xlfn.QUARTILE.INC(E:E, 3)</f>
        <v>0.85</v>
      </c>
    </row>
    <row r="23" spans="1:16" x14ac:dyDescent="0.35">
      <c r="A23" s="5">
        <v>539958</v>
      </c>
      <c r="B23" s="5">
        <v>10133</v>
      </c>
      <c r="C23" s="5">
        <v>6</v>
      </c>
      <c r="D23" s="6">
        <v>40535.55972222222</v>
      </c>
      <c r="E23" s="8">
        <v>0.81</v>
      </c>
      <c r="F23" s="5" t="s">
        <v>1331</v>
      </c>
      <c r="G23" s="5" t="s">
        <v>8</v>
      </c>
      <c r="H23" s="5" t="b">
        <f t="shared" si="0"/>
        <v>0</v>
      </c>
      <c r="I23" s="5" t="b">
        <f t="shared" si="1"/>
        <v>0</v>
      </c>
      <c r="J23" s="5">
        <f t="shared" si="2"/>
        <v>6</v>
      </c>
      <c r="K23" s="5">
        <f t="shared" si="3"/>
        <v>0.81</v>
      </c>
      <c r="N23" s="19" t="s">
        <v>1332</v>
      </c>
      <c r="O23" s="22">
        <f>O22-O21</f>
        <v>16.5</v>
      </c>
      <c r="P23" s="19">
        <f>P22-P21</f>
        <v>2.0000000000000018E-2</v>
      </c>
    </row>
    <row r="24" spans="1:16" x14ac:dyDescent="0.35">
      <c r="A24" s="5">
        <v>540026</v>
      </c>
      <c r="B24" s="5">
        <v>10133</v>
      </c>
      <c r="C24" s="5">
        <v>1</v>
      </c>
      <c r="D24" s="6">
        <v>40547.559027777781</v>
      </c>
      <c r="E24" s="8">
        <v>0.81</v>
      </c>
      <c r="F24" s="5" t="s">
        <v>1331</v>
      </c>
      <c r="G24" s="5" t="s">
        <v>8</v>
      </c>
      <c r="H24" s="5" t="b">
        <f t="shared" si="0"/>
        <v>0</v>
      </c>
      <c r="I24" s="5" t="b">
        <f t="shared" si="1"/>
        <v>0</v>
      </c>
      <c r="J24" s="5">
        <f t="shared" si="2"/>
        <v>1</v>
      </c>
      <c r="K24" s="5">
        <f t="shared" si="3"/>
        <v>0.81</v>
      </c>
      <c r="N24" s="19" t="s">
        <v>67</v>
      </c>
      <c r="O24" s="22">
        <f>O21-1.5*O23</f>
        <v>-22.75</v>
      </c>
      <c r="P24" s="19">
        <f>P21-1.5*P23</f>
        <v>0.79999999999999993</v>
      </c>
    </row>
    <row r="25" spans="1:16" x14ac:dyDescent="0.35">
      <c r="A25" s="5">
        <v>540154</v>
      </c>
      <c r="B25" s="5">
        <v>10133</v>
      </c>
      <c r="C25" s="5">
        <v>1</v>
      </c>
      <c r="D25" s="6">
        <v>40548.479166666664</v>
      </c>
      <c r="E25" s="8">
        <v>0.81</v>
      </c>
      <c r="F25" s="5" t="s">
        <v>1331</v>
      </c>
      <c r="G25" s="5" t="s">
        <v>8</v>
      </c>
      <c r="H25" s="5" t="b">
        <f t="shared" si="0"/>
        <v>0</v>
      </c>
      <c r="I25" s="5" t="b">
        <f t="shared" si="1"/>
        <v>0</v>
      </c>
      <c r="J25" s="5">
        <f t="shared" si="2"/>
        <v>1</v>
      </c>
      <c r="K25" s="5">
        <f t="shared" si="3"/>
        <v>0.81</v>
      </c>
      <c r="N25" s="19" t="s">
        <v>68</v>
      </c>
      <c r="O25" s="22">
        <f>O22+1.5*O23</f>
        <v>43.25</v>
      </c>
      <c r="P25" s="19">
        <f>P22+1.5*P24</f>
        <v>2.0499999999999998</v>
      </c>
    </row>
    <row r="26" spans="1:16" x14ac:dyDescent="0.35">
      <c r="A26" s="5">
        <v>540352</v>
      </c>
      <c r="B26" s="5">
        <v>10133</v>
      </c>
      <c r="C26" s="5">
        <v>1</v>
      </c>
      <c r="D26" s="6">
        <v>40549.602083333331</v>
      </c>
      <c r="E26" s="8">
        <v>0.81</v>
      </c>
      <c r="F26" s="5" t="s">
        <v>1331</v>
      </c>
      <c r="G26" s="5" t="s">
        <v>8</v>
      </c>
      <c r="H26" s="5" t="b">
        <f t="shared" si="0"/>
        <v>0</v>
      </c>
      <c r="I26" s="5" t="b">
        <f t="shared" si="1"/>
        <v>0</v>
      </c>
      <c r="J26" s="5">
        <f t="shared" si="2"/>
        <v>1</v>
      </c>
      <c r="K26" s="5">
        <f t="shared" si="3"/>
        <v>0.81</v>
      </c>
      <c r="N26" s="19" t="s">
        <v>76</v>
      </c>
      <c r="O26" s="20">
        <f>MEDIAN(C:C)</f>
        <v>10</v>
      </c>
      <c r="P26" s="23">
        <f>MEDIAN(E:E)</f>
        <v>0.85</v>
      </c>
    </row>
    <row r="27" spans="1:16" x14ac:dyDescent="0.35">
      <c r="A27" s="5">
        <v>540468</v>
      </c>
      <c r="B27" s="5">
        <v>10133</v>
      </c>
      <c r="C27" s="5">
        <v>5</v>
      </c>
      <c r="D27" s="10">
        <v>40550</v>
      </c>
      <c r="E27" s="8">
        <v>0.81</v>
      </c>
      <c r="F27" s="5" t="s">
        <v>1331</v>
      </c>
      <c r="G27" s="5" t="s">
        <v>8</v>
      </c>
      <c r="H27" s="5" t="b">
        <f t="shared" si="0"/>
        <v>0</v>
      </c>
      <c r="I27" s="5" t="b">
        <f t="shared" si="1"/>
        <v>0</v>
      </c>
      <c r="J27" s="5">
        <f t="shared" si="2"/>
        <v>5</v>
      </c>
      <c r="K27" s="5">
        <f t="shared" si="3"/>
        <v>0.81</v>
      </c>
    </row>
    <row r="28" spans="1:16" x14ac:dyDescent="0.35">
      <c r="A28" s="5">
        <v>540418</v>
      </c>
      <c r="B28" s="5">
        <v>10133</v>
      </c>
      <c r="C28" s="5">
        <v>3</v>
      </c>
      <c r="D28" s="6">
        <v>40550.461111111108</v>
      </c>
      <c r="E28" s="8">
        <v>0.81</v>
      </c>
      <c r="F28" s="5" t="s">
        <v>1331</v>
      </c>
      <c r="G28" s="5" t="s">
        <v>8</v>
      </c>
      <c r="H28" s="5" t="b">
        <f t="shared" si="0"/>
        <v>0</v>
      </c>
      <c r="I28" s="5" t="b">
        <f t="shared" si="1"/>
        <v>0</v>
      </c>
      <c r="J28" s="5">
        <f t="shared" si="2"/>
        <v>3</v>
      </c>
      <c r="K28" s="5">
        <f t="shared" si="3"/>
        <v>0.81</v>
      </c>
      <c r="N28" s="7" t="s">
        <v>1333</v>
      </c>
    </row>
    <row r="29" spans="1:16" x14ac:dyDescent="0.35">
      <c r="A29" s="5">
        <v>540551</v>
      </c>
      <c r="B29" s="5">
        <v>10133</v>
      </c>
      <c r="C29" s="5">
        <v>1</v>
      </c>
      <c r="D29" s="6">
        <v>40553.404861111114</v>
      </c>
      <c r="E29" s="8">
        <v>0.81</v>
      </c>
      <c r="F29" s="5" t="s">
        <v>1331</v>
      </c>
      <c r="G29" s="5" t="s">
        <v>8</v>
      </c>
      <c r="H29" s="5" t="b">
        <f t="shared" si="0"/>
        <v>0</v>
      </c>
      <c r="I29" s="5" t="b">
        <f t="shared" si="1"/>
        <v>0</v>
      </c>
      <c r="J29" s="5">
        <f t="shared" si="2"/>
        <v>1</v>
      </c>
      <c r="K29" s="5">
        <f t="shared" si="3"/>
        <v>0.81</v>
      </c>
      <c r="N29" s="7" t="s">
        <v>1334</v>
      </c>
    </row>
    <row r="30" spans="1:16" x14ac:dyDescent="0.35">
      <c r="A30" s="5">
        <v>540646</v>
      </c>
      <c r="B30" s="5">
        <v>10133</v>
      </c>
      <c r="C30" s="5">
        <v>6</v>
      </c>
      <c r="D30" s="6">
        <v>40553.605555555558</v>
      </c>
      <c r="E30" s="8">
        <v>0.81</v>
      </c>
      <c r="F30" s="5" t="s">
        <v>1331</v>
      </c>
      <c r="G30" s="5" t="s">
        <v>8</v>
      </c>
      <c r="H30" s="5" t="b">
        <f t="shared" si="0"/>
        <v>0</v>
      </c>
      <c r="I30" s="5" t="b">
        <f t="shared" si="1"/>
        <v>0</v>
      </c>
      <c r="J30" s="5">
        <f t="shared" si="2"/>
        <v>6</v>
      </c>
      <c r="K30" s="5">
        <f t="shared" si="3"/>
        <v>0.81</v>
      </c>
    </row>
    <row r="31" spans="1:16" x14ac:dyDescent="0.35">
      <c r="A31" s="5">
        <v>540821</v>
      </c>
      <c r="B31" s="5">
        <v>10133</v>
      </c>
      <c r="C31" s="5">
        <v>3</v>
      </c>
      <c r="D31" s="6">
        <v>40554.552777777775</v>
      </c>
      <c r="E31" s="8">
        <v>0.81</v>
      </c>
      <c r="F31" s="5" t="s">
        <v>1331</v>
      </c>
      <c r="G31" s="5" t="s">
        <v>8</v>
      </c>
      <c r="H31" s="5" t="b">
        <f t="shared" si="0"/>
        <v>0</v>
      </c>
      <c r="I31" s="5" t="b">
        <f t="shared" si="1"/>
        <v>0</v>
      </c>
      <c r="J31" s="5">
        <f t="shared" si="2"/>
        <v>3</v>
      </c>
      <c r="K31" s="5">
        <f t="shared" si="3"/>
        <v>0.81</v>
      </c>
    </row>
    <row r="32" spans="1:16" x14ac:dyDescent="0.35">
      <c r="A32" s="5">
        <v>540848</v>
      </c>
      <c r="B32" s="5">
        <v>10133</v>
      </c>
      <c r="C32" s="5">
        <v>7</v>
      </c>
      <c r="D32" s="6">
        <v>40555.393055555556</v>
      </c>
      <c r="E32" s="8">
        <v>0.81</v>
      </c>
      <c r="F32" s="5" t="s">
        <v>1331</v>
      </c>
      <c r="G32" s="5" t="s">
        <v>8</v>
      </c>
      <c r="H32" s="5" t="b">
        <f t="shared" si="0"/>
        <v>0</v>
      </c>
      <c r="I32" s="5" t="b">
        <f t="shared" si="1"/>
        <v>0</v>
      </c>
      <c r="J32" s="5">
        <f t="shared" si="2"/>
        <v>7</v>
      </c>
      <c r="K32" s="5">
        <f t="shared" si="3"/>
        <v>0.81</v>
      </c>
    </row>
    <row r="33" spans="1:11" x14ac:dyDescent="0.35">
      <c r="A33" s="5">
        <v>540977</v>
      </c>
      <c r="B33" s="5">
        <v>10133</v>
      </c>
      <c r="C33" s="5">
        <v>1</v>
      </c>
      <c r="D33" s="6">
        <v>40555.625694444447</v>
      </c>
      <c r="E33" s="8">
        <v>0.81</v>
      </c>
      <c r="F33" s="5" t="s">
        <v>1331</v>
      </c>
      <c r="G33" s="5" t="s">
        <v>8</v>
      </c>
      <c r="H33" s="5" t="b">
        <f t="shared" si="0"/>
        <v>0</v>
      </c>
      <c r="I33" s="5" t="b">
        <f t="shared" si="1"/>
        <v>0</v>
      </c>
      <c r="J33" s="5">
        <f t="shared" si="2"/>
        <v>1</v>
      </c>
      <c r="K33" s="5">
        <f t="shared" si="3"/>
        <v>0.81</v>
      </c>
    </row>
    <row r="34" spans="1:11" x14ac:dyDescent="0.35">
      <c r="A34" s="5">
        <v>541104</v>
      </c>
      <c r="B34" s="5">
        <v>10133</v>
      </c>
      <c r="C34" s="5">
        <v>4</v>
      </c>
      <c r="D34" s="6">
        <v>40556.603472222225</v>
      </c>
      <c r="E34" s="8">
        <v>0.79</v>
      </c>
      <c r="F34" s="5" t="s">
        <v>1331</v>
      </c>
      <c r="G34" s="5" t="s">
        <v>8</v>
      </c>
      <c r="H34" s="5" t="b">
        <f t="shared" ref="H34:H65" si="4">OR(C34&lt;-28.5, C34&gt;55.5)</f>
        <v>0</v>
      </c>
      <c r="I34" s="5" t="b">
        <f t="shared" ref="I34:I65" si="5">OR(E34&lt;0.6, E34&gt;1.75)</f>
        <v>0</v>
      </c>
      <c r="J34" s="5">
        <f t="shared" ref="J34:J65" si="6">IF(ISBLANK(C34), $O$6, C34)</f>
        <v>4</v>
      </c>
      <c r="K34" s="5">
        <f t="shared" ref="K34:K65" si="7">IF(ISBLANK(E34), $O$7, E34)</f>
        <v>0.79</v>
      </c>
    </row>
    <row r="35" spans="1:11" x14ac:dyDescent="0.35">
      <c r="A35" s="5">
        <v>541219</v>
      </c>
      <c r="B35" s="5">
        <v>10133</v>
      </c>
      <c r="C35" s="5">
        <v>22</v>
      </c>
      <c r="D35" s="6">
        <v>40557.587500000001</v>
      </c>
      <c r="E35" s="8">
        <v>0.79</v>
      </c>
      <c r="F35" s="5" t="s">
        <v>1331</v>
      </c>
      <c r="G35" s="5" t="s">
        <v>8</v>
      </c>
      <c r="H35" s="5" t="b">
        <f t="shared" si="4"/>
        <v>0</v>
      </c>
      <c r="I35" s="5" t="b">
        <f t="shared" si="5"/>
        <v>0</v>
      </c>
      <c r="J35" s="5">
        <f t="shared" si="6"/>
        <v>22</v>
      </c>
      <c r="K35" s="5">
        <f t="shared" si="7"/>
        <v>0.79</v>
      </c>
    </row>
    <row r="36" spans="1:11" x14ac:dyDescent="0.35">
      <c r="A36" s="5">
        <v>541422</v>
      </c>
      <c r="B36" s="5">
        <v>10133</v>
      </c>
      <c r="C36" s="5">
        <v>12</v>
      </c>
      <c r="D36" s="6">
        <v>40560.741666666669</v>
      </c>
      <c r="E36" s="8">
        <v>0.79</v>
      </c>
      <c r="F36" s="5" t="s">
        <v>1331</v>
      </c>
      <c r="G36" s="5" t="s">
        <v>8</v>
      </c>
      <c r="H36" s="5" t="b">
        <f t="shared" si="4"/>
        <v>0</v>
      </c>
      <c r="I36" s="5" t="b">
        <f t="shared" si="5"/>
        <v>0</v>
      </c>
      <c r="J36" s="5">
        <f t="shared" si="6"/>
        <v>12</v>
      </c>
      <c r="K36" s="5">
        <f t="shared" si="7"/>
        <v>0.79</v>
      </c>
    </row>
    <row r="37" spans="1:11" x14ac:dyDescent="0.35">
      <c r="A37" s="5">
        <v>545060</v>
      </c>
      <c r="B37" s="5">
        <v>10080</v>
      </c>
      <c r="C37" s="5">
        <v>2</v>
      </c>
      <c r="D37" s="6">
        <v>40601.574305555558</v>
      </c>
      <c r="E37" s="8">
        <v>0.85</v>
      </c>
      <c r="F37" s="5">
        <v>15547</v>
      </c>
      <c r="G37" s="5" t="s">
        <v>8</v>
      </c>
      <c r="H37" s="5" t="b">
        <f t="shared" si="4"/>
        <v>0</v>
      </c>
      <c r="I37" s="5" t="b">
        <f t="shared" si="5"/>
        <v>0</v>
      </c>
      <c r="J37" s="5">
        <f t="shared" si="6"/>
        <v>2</v>
      </c>
      <c r="K37" s="5">
        <f t="shared" si="7"/>
        <v>0.85</v>
      </c>
    </row>
    <row r="38" spans="1:11" x14ac:dyDescent="0.35">
      <c r="A38" s="5">
        <v>546429</v>
      </c>
      <c r="B38" s="5">
        <v>15036</v>
      </c>
      <c r="C38" s="5">
        <v>12</v>
      </c>
      <c r="D38" s="6">
        <v>40615.642361111109</v>
      </c>
      <c r="E38" s="8">
        <v>0.75</v>
      </c>
      <c r="F38" s="5">
        <v>17611</v>
      </c>
      <c r="G38" s="5" t="s">
        <v>8</v>
      </c>
      <c r="H38" s="5" t="b">
        <f t="shared" si="4"/>
        <v>0</v>
      </c>
      <c r="I38" s="5" t="b">
        <f t="shared" si="5"/>
        <v>0</v>
      </c>
      <c r="J38" s="5">
        <f t="shared" si="6"/>
        <v>12</v>
      </c>
      <c r="K38" s="5">
        <f t="shared" si="7"/>
        <v>0.75</v>
      </c>
    </row>
    <row r="39" spans="1:11" x14ac:dyDescent="0.35">
      <c r="A39" s="5">
        <v>546530</v>
      </c>
      <c r="B39" s="5">
        <v>15036</v>
      </c>
      <c r="C39" s="5">
        <v>12</v>
      </c>
      <c r="D39" s="6">
        <v>40616.559027777781</v>
      </c>
      <c r="E39" s="8">
        <v>0.75</v>
      </c>
      <c r="F39" s="5">
        <v>17404</v>
      </c>
      <c r="G39" s="5" t="s">
        <v>18</v>
      </c>
      <c r="H39" s="5" t="b">
        <f t="shared" si="4"/>
        <v>0</v>
      </c>
      <c r="I39" s="5" t="b">
        <f t="shared" si="5"/>
        <v>0</v>
      </c>
      <c r="J39" s="5">
        <f t="shared" si="6"/>
        <v>12</v>
      </c>
      <c r="K39" s="5">
        <f t="shared" si="7"/>
        <v>0.75</v>
      </c>
    </row>
    <row r="40" spans="1:11" x14ac:dyDescent="0.35">
      <c r="A40" s="5">
        <v>546731</v>
      </c>
      <c r="B40" s="5">
        <v>15036</v>
      </c>
      <c r="C40" s="5">
        <v>12</v>
      </c>
      <c r="D40" s="6">
        <v>40618.48541666667</v>
      </c>
      <c r="E40" s="8">
        <v>0.75</v>
      </c>
      <c r="F40" s="5">
        <v>13089</v>
      </c>
      <c r="G40" s="5" t="s">
        <v>8</v>
      </c>
      <c r="H40" s="5" t="b">
        <f t="shared" si="4"/>
        <v>0</v>
      </c>
      <c r="I40" s="5" t="b">
        <f t="shared" si="5"/>
        <v>0</v>
      </c>
      <c r="J40" s="5">
        <f t="shared" si="6"/>
        <v>12</v>
      </c>
      <c r="K40" s="5">
        <f t="shared" si="7"/>
        <v>0.75</v>
      </c>
    </row>
    <row r="41" spans="1:11" x14ac:dyDescent="0.35">
      <c r="A41" s="5">
        <v>546731</v>
      </c>
      <c r="B41" s="5">
        <v>15036</v>
      </c>
      <c r="C41" s="5">
        <v>24</v>
      </c>
      <c r="D41" s="6">
        <v>40618.48541666667</v>
      </c>
      <c r="E41" s="8">
        <v>0.75</v>
      </c>
      <c r="F41" s="5">
        <v>13089</v>
      </c>
      <c r="G41" s="5" t="s">
        <v>8</v>
      </c>
      <c r="H41" s="5" t="b">
        <f t="shared" si="4"/>
        <v>0</v>
      </c>
      <c r="I41" s="5" t="b">
        <f t="shared" si="5"/>
        <v>0</v>
      </c>
      <c r="J41" s="5">
        <f t="shared" si="6"/>
        <v>24</v>
      </c>
      <c r="K41" s="5">
        <f t="shared" si="7"/>
        <v>0.75</v>
      </c>
    </row>
    <row r="42" spans="1:11" x14ac:dyDescent="0.35">
      <c r="A42" s="5">
        <v>546774</v>
      </c>
      <c r="B42" s="5">
        <v>15036</v>
      </c>
      <c r="C42" s="5">
        <v>12</v>
      </c>
      <c r="D42" s="6">
        <v>40618.65625</v>
      </c>
      <c r="E42" s="8">
        <v>0.75</v>
      </c>
      <c r="F42" s="5">
        <v>14505</v>
      </c>
      <c r="G42" s="5" t="s">
        <v>8</v>
      </c>
      <c r="H42" s="5" t="b">
        <f t="shared" si="4"/>
        <v>0</v>
      </c>
      <c r="I42" s="5" t="b">
        <f t="shared" si="5"/>
        <v>0</v>
      </c>
      <c r="J42" s="5">
        <f t="shared" si="6"/>
        <v>12</v>
      </c>
      <c r="K42" s="5">
        <f t="shared" si="7"/>
        <v>0.75</v>
      </c>
    </row>
    <row r="43" spans="1:11" x14ac:dyDescent="0.35">
      <c r="A43" s="5">
        <v>546884</v>
      </c>
      <c r="B43" s="5">
        <v>15036</v>
      </c>
      <c r="C43" s="5">
        <v>1</v>
      </c>
      <c r="D43" s="6">
        <v>40619.755555555559</v>
      </c>
      <c r="E43" s="8">
        <v>1.63</v>
      </c>
      <c r="F43" s="5" t="s">
        <v>1331</v>
      </c>
      <c r="G43" s="5" t="s">
        <v>8</v>
      </c>
      <c r="H43" s="5" t="b">
        <f t="shared" si="4"/>
        <v>0</v>
      </c>
      <c r="I43" s="5" t="b">
        <f t="shared" si="5"/>
        <v>0</v>
      </c>
      <c r="J43" s="5">
        <f t="shared" si="6"/>
        <v>1</v>
      </c>
      <c r="K43" s="5">
        <f t="shared" si="7"/>
        <v>1.63</v>
      </c>
    </row>
    <row r="44" spans="1:11" x14ac:dyDescent="0.35">
      <c r="A44" s="5">
        <v>546891</v>
      </c>
      <c r="B44" s="5">
        <v>15036</v>
      </c>
      <c r="C44" s="5">
        <v>12</v>
      </c>
      <c r="D44" s="6">
        <v>40619.762499999997</v>
      </c>
      <c r="E44" s="8">
        <v>1.63</v>
      </c>
      <c r="F44" s="5" t="s">
        <v>1331</v>
      </c>
      <c r="G44" s="5" t="s">
        <v>8</v>
      </c>
      <c r="H44" s="5" t="b">
        <f t="shared" si="4"/>
        <v>0</v>
      </c>
      <c r="I44" s="5" t="b">
        <f t="shared" si="5"/>
        <v>0</v>
      </c>
      <c r="J44" s="5">
        <f t="shared" si="6"/>
        <v>12</v>
      </c>
      <c r="K44" s="5">
        <f t="shared" si="7"/>
        <v>1.63</v>
      </c>
    </row>
    <row r="45" spans="1:11" x14ac:dyDescent="0.35">
      <c r="A45" s="5">
        <v>546892</v>
      </c>
      <c r="B45" s="5">
        <v>15036</v>
      </c>
      <c r="C45" s="5">
        <v>4</v>
      </c>
      <c r="D45" s="6">
        <v>40619.763888888891</v>
      </c>
      <c r="E45" s="8">
        <v>1.63</v>
      </c>
      <c r="F45" s="5" t="s">
        <v>1331</v>
      </c>
      <c r="G45" s="5" t="s">
        <v>8</v>
      </c>
      <c r="H45" s="5" t="b">
        <f t="shared" si="4"/>
        <v>0</v>
      </c>
      <c r="I45" s="5" t="b">
        <f t="shared" si="5"/>
        <v>0</v>
      </c>
      <c r="J45" s="5">
        <f t="shared" si="6"/>
        <v>4</v>
      </c>
      <c r="K45" s="5">
        <f t="shared" si="7"/>
        <v>1.63</v>
      </c>
    </row>
    <row r="46" spans="1:11" x14ac:dyDescent="0.35">
      <c r="A46" s="5">
        <v>546896</v>
      </c>
      <c r="B46" s="5">
        <v>15036</v>
      </c>
      <c r="C46" s="5">
        <v>17</v>
      </c>
      <c r="D46" s="6">
        <v>40619.76666666667</v>
      </c>
      <c r="E46" s="12">
        <v>0.99</v>
      </c>
      <c r="F46" s="5" t="s">
        <v>1331</v>
      </c>
      <c r="G46" s="5" t="s">
        <v>8</v>
      </c>
      <c r="H46" s="5" t="b">
        <f t="shared" si="4"/>
        <v>0</v>
      </c>
      <c r="I46" s="5" t="b">
        <f t="shared" si="5"/>
        <v>0</v>
      </c>
      <c r="J46" s="5">
        <f t="shared" si="6"/>
        <v>17</v>
      </c>
      <c r="K46" s="5">
        <f t="shared" si="7"/>
        <v>0.99</v>
      </c>
    </row>
    <row r="47" spans="1:11" x14ac:dyDescent="0.35">
      <c r="A47" s="5">
        <v>547000</v>
      </c>
      <c r="B47" s="5">
        <v>15036</v>
      </c>
      <c r="C47" s="5">
        <v>12</v>
      </c>
      <c r="D47" s="6">
        <v>40620.57708333333</v>
      </c>
      <c r="E47" s="8">
        <v>0.75</v>
      </c>
      <c r="F47" s="5">
        <v>14282</v>
      </c>
      <c r="G47" s="5" t="s">
        <v>8</v>
      </c>
      <c r="H47" s="5" t="b">
        <f t="shared" si="4"/>
        <v>0</v>
      </c>
      <c r="I47" s="5" t="b">
        <f t="shared" si="5"/>
        <v>0</v>
      </c>
      <c r="J47" s="5">
        <f t="shared" si="6"/>
        <v>12</v>
      </c>
      <c r="K47" s="5">
        <f t="shared" si="7"/>
        <v>0.75</v>
      </c>
    </row>
    <row r="48" spans="1:11" x14ac:dyDescent="0.35">
      <c r="A48" s="5">
        <v>547062</v>
      </c>
      <c r="B48" s="5">
        <v>15036</v>
      </c>
      <c r="C48" s="5">
        <v>12</v>
      </c>
      <c r="D48" s="6">
        <v>40622.561111111114</v>
      </c>
      <c r="E48" s="8">
        <v>0.75</v>
      </c>
      <c r="F48" s="5">
        <v>16728</v>
      </c>
      <c r="G48" s="5" t="s">
        <v>8</v>
      </c>
      <c r="H48" s="5" t="b">
        <f t="shared" si="4"/>
        <v>0</v>
      </c>
      <c r="I48" s="5" t="b">
        <f t="shared" si="5"/>
        <v>0</v>
      </c>
      <c r="J48" s="5">
        <f t="shared" si="6"/>
        <v>12</v>
      </c>
      <c r="K48" s="5">
        <f t="shared" si="7"/>
        <v>0.75</v>
      </c>
    </row>
    <row r="49" spans="1:11" x14ac:dyDescent="0.35">
      <c r="A49" s="5">
        <v>547078</v>
      </c>
      <c r="B49" s="5">
        <v>15036</v>
      </c>
      <c r="C49" s="5">
        <v>24</v>
      </c>
      <c r="D49" s="6">
        <v>40622.611805555556</v>
      </c>
      <c r="E49" s="8">
        <v>0.75</v>
      </c>
      <c r="F49" s="5">
        <v>14408</v>
      </c>
      <c r="G49" s="5" t="s">
        <v>8</v>
      </c>
      <c r="H49" s="5" t="b">
        <f t="shared" si="4"/>
        <v>0</v>
      </c>
      <c r="I49" s="5" t="b">
        <f t="shared" si="5"/>
        <v>0</v>
      </c>
      <c r="J49" s="5">
        <f t="shared" si="6"/>
        <v>24</v>
      </c>
      <c r="K49" s="5">
        <f t="shared" si="7"/>
        <v>0.75</v>
      </c>
    </row>
    <row r="50" spans="1:11" x14ac:dyDescent="0.35">
      <c r="A50" s="5">
        <v>547200</v>
      </c>
      <c r="B50" s="5">
        <v>15036</v>
      </c>
      <c r="C50" s="5">
        <v>24</v>
      </c>
      <c r="D50" s="6">
        <v>40623.542361111111</v>
      </c>
      <c r="E50" s="8">
        <v>0.75</v>
      </c>
      <c r="F50" s="5">
        <v>16036</v>
      </c>
      <c r="G50" s="5" t="s">
        <v>8</v>
      </c>
      <c r="H50" s="5" t="b">
        <f t="shared" si="4"/>
        <v>0</v>
      </c>
      <c r="I50" s="5" t="b">
        <f t="shared" si="5"/>
        <v>0</v>
      </c>
      <c r="J50" s="5">
        <f t="shared" si="6"/>
        <v>24</v>
      </c>
      <c r="K50" s="5">
        <f t="shared" si="7"/>
        <v>0.75</v>
      </c>
    </row>
    <row r="51" spans="1:11" x14ac:dyDescent="0.35">
      <c r="A51" s="5">
        <v>547248</v>
      </c>
      <c r="B51" s="5">
        <v>15036</v>
      </c>
      <c r="C51" s="5">
        <v>11</v>
      </c>
      <c r="D51" s="6">
        <v>40624.390972222223</v>
      </c>
      <c r="E51" s="8">
        <v>1.63</v>
      </c>
      <c r="F51" s="5" t="s">
        <v>1331</v>
      </c>
      <c r="G51" s="5" t="s">
        <v>8</v>
      </c>
      <c r="H51" s="5" t="b">
        <f t="shared" si="4"/>
        <v>0</v>
      </c>
      <c r="I51" s="5" t="b">
        <f t="shared" si="5"/>
        <v>0</v>
      </c>
      <c r="J51" s="5">
        <f t="shared" si="6"/>
        <v>11</v>
      </c>
      <c r="K51" s="5">
        <f t="shared" si="7"/>
        <v>1.63</v>
      </c>
    </row>
    <row r="52" spans="1:11" x14ac:dyDescent="0.35">
      <c r="A52" s="5">
        <v>547249</v>
      </c>
      <c r="B52" s="5">
        <v>15036</v>
      </c>
      <c r="C52" s="5">
        <v>12</v>
      </c>
      <c r="D52" s="6">
        <v>40624.393750000003</v>
      </c>
      <c r="E52" s="8">
        <v>1.63</v>
      </c>
      <c r="F52" s="5" t="s">
        <v>1331</v>
      </c>
      <c r="G52" s="5" t="s">
        <v>8</v>
      </c>
      <c r="H52" s="5" t="b">
        <f t="shared" si="4"/>
        <v>0</v>
      </c>
      <c r="I52" s="5" t="b">
        <f t="shared" si="5"/>
        <v>0</v>
      </c>
      <c r="J52" s="5">
        <f t="shared" si="6"/>
        <v>12</v>
      </c>
      <c r="K52" s="5">
        <f t="shared" si="7"/>
        <v>1.63</v>
      </c>
    </row>
    <row r="53" spans="1:11" x14ac:dyDescent="0.35">
      <c r="A53" s="5">
        <v>547385</v>
      </c>
      <c r="B53" s="5">
        <v>15036</v>
      </c>
      <c r="C53" s="5">
        <v>22</v>
      </c>
      <c r="D53" s="6">
        <v>40624.658333333333</v>
      </c>
      <c r="E53" s="8">
        <v>1.63</v>
      </c>
      <c r="F53" s="5" t="s">
        <v>1331</v>
      </c>
      <c r="G53" s="5" t="s">
        <v>8</v>
      </c>
      <c r="H53" s="5" t="b">
        <f t="shared" si="4"/>
        <v>0</v>
      </c>
      <c r="I53" s="5" t="b">
        <f t="shared" si="5"/>
        <v>0</v>
      </c>
      <c r="J53" s="5">
        <f t="shared" si="6"/>
        <v>22</v>
      </c>
      <c r="K53" s="5">
        <f t="shared" si="7"/>
        <v>1.63</v>
      </c>
    </row>
    <row r="54" spans="1:11" x14ac:dyDescent="0.35">
      <c r="A54" s="5">
        <v>547386</v>
      </c>
      <c r="B54" s="5">
        <v>15036</v>
      </c>
      <c r="C54" s="5">
        <v>6</v>
      </c>
      <c r="D54" s="6">
        <v>40624.661111111112</v>
      </c>
      <c r="E54" s="8">
        <v>1.63</v>
      </c>
      <c r="F54" s="5" t="s">
        <v>1331</v>
      </c>
      <c r="G54" s="5" t="s">
        <v>8</v>
      </c>
      <c r="H54" s="5" t="b">
        <f t="shared" si="4"/>
        <v>0</v>
      </c>
      <c r="I54" s="5" t="b">
        <f t="shared" si="5"/>
        <v>0</v>
      </c>
      <c r="J54" s="5">
        <f t="shared" si="6"/>
        <v>6</v>
      </c>
      <c r="K54" s="5">
        <f t="shared" si="7"/>
        <v>1.63</v>
      </c>
    </row>
    <row r="55" spans="1:11" x14ac:dyDescent="0.35">
      <c r="A55" s="5">
        <v>547862</v>
      </c>
      <c r="B55" s="5" t="s">
        <v>1331</v>
      </c>
      <c r="C55" s="5">
        <v>12</v>
      </c>
      <c r="D55" s="6">
        <v>40629.537499999999</v>
      </c>
      <c r="E55" s="8">
        <v>0.75</v>
      </c>
      <c r="F55" s="5">
        <v>12841</v>
      </c>
      <c r="G55" s="5" t="s">
        <v>8</v>
      </c>
      <c r="H55" s="5" t="b">
        <f t="shared" si="4"/>
        <v>0</v>
      </c>
      <c r="I55" s="5" t="b">
        <f t="shared" si="5"/>
        <v>0</v>
      </c>
      <c r="J55" s="5">
        <f t="shared" si="6"/>
        <v>12</v>
      </c>
      <c r="K55" s="5">
        <f t="shared" si="7"/>
        <v>0.75</v>
      </c>
    </row>
    <row r="56" spans="1:11" x14ac:dyDescent="0.35">
      <c r="A56" s="5">
        <v>547879</v>
      </c>
      <c r="B56" s="5">
        <v>15036</v>
      </c>
      <c r="C56" s="5">
        <v>12</v>
      </c>
      <c r="D56" s="6">
        <v>40629.668749999997</v>
      </c>
      <c r="E56" s="8">
        <v>0.75</v>
      </c>
      <c r="F56" s="5">
        <v>12877</v>
      </c>
      <c r="G56" s="5" t="s">
        <v>8</v>
      </c>
      <c r="H56" s="5" t="b">
        <f t="shared" si="4"/>
        <v>0</v>
      </c>
      <c r="I56" s="5" t="b">
        <f t="shared" si="5"/>
        <v>0</v>
      </c>
      <c r="J56" s="5">
        <f t="shared" si="6"/>
        <v>12</v>
      </c>
      <c r="K56" s="5">
        <f t="shared" si="7"/>
        <v>0.75</v>
      </c>
    </row>
    <row r="57" spans="1:11" x14ac:dyDescent="0.35">
      <c r="A57" s="5">
        <v>547925</v>
      </c>
      <c r="B57" s="5">
        <v>15036</v>
      </c>
      <c r="C57" s="5">
        <v>24</v>
      </c>
      <c r="D57" s="6">
        <v>40630.581250000003</v>
      </c>
      <c r="E57" s="8">
        <v>0.75</v>
      </c>
      <c r="F57" s="5">
        <v>12481</v>
      </c>
      <c r="G57" s="5" t="s">
        <v>21</v>
      </c>
      <c r="H57" s="5" t="b">
        <f t="shared" si="4"/>
        <v>0</v>
      </c>
      <c r="I57" s="5" t="b">
        <f t="shared" si="5"/>
        <v>0</v>
      </c>
      <c r="J57" s="5">
        <f t="shared" si="6"/>
        <v>24</v>
      </c>
      <c r="K57" s="5">
        <f t="shared" si="7"/>
        <v>0.75</v>
      </c>
    </row>
    <row r="58" spans="1:11" x14ac:dyDescent="0.35">
      <c r="A58" s="5">
        <v>547967</v>
      </c>
      <c r="B58" s="5">
        <v>15036</v>
      </c>
      <c r="C58" s="5">
        <v>4</v>
      </c>
      <c r="D58" s="6">
        <v>40630.65902777778</v>
      </c>
      <c r="E58" s="8">
        <v>1.63</v>
      </c>
      <c r="F58" s="5" t="s">
        <v>1331</v>
      </c>
      <c r="G58" s="5" t="s">
        <v>8</v>
      </c>
      <c r="H58" s="5" t="b">
        <f t="shared" si="4"/>
        <v>0</v>
      </c>
      <c r="I58" s="5" t="b">
        <f t="shared" si="5"/>
        <v>0</v>
      </c>
      <c r="J58" s="5">
        <f t="shared" si="6"/>
        <v>4</v>
      </c>
      <c r="K58" s="5">
        <f t="shared" si="7"/>
        <v>1.63</v>
      </c>
    </row>
    <row r="59" spans="1:11" x14ac:dyDescent="0.35">
      <c r="A59" s="5">
        <v>548310</v>
      </c>
      <c r="B59" s="5">
        <v>15036</v>
      </c>
      <c r="C59" s="5">
        <v>12</v>
      </c>
      <c r="D59" s="6">
        <v>40632.50277777778</v>
      </c>
      <c r="E59" s="8">
        <v>0.83</v>
      </c>
      <c r="F59" s="5" t="s">
        <v>1331</v>
      </c>
      <c r="G59" s="5" t="s">
        <v>8</v>
      </c>
      <c r="H59" s="5" t="b">
        <f t="shared" si="4"/>
        <v>0</v>
      </c>
      <c r="I59" s="5" t="b">
        <f t="shared" si="5"/>
        <v>0</v>
      </c>
      <c r="J59" s="5">
        <f t="shared" si="6"/>
        <v>12</v>
      </c>
      <c r="K59" s="5">
        <f t="shared" si="7"/>
        <v>0.83</v>
      </c>
    </row>
    <row r="60" spans="1:11" x14ac:dyDescent="0.35">
      <c r="A60" s="5">
        <v>548522</v>
      </c>
      <c r="B60" s="5">
        <v>15036</v>
      </c>
      <c r="C60" s="5">
        <v>1</v>
      </c>
      <c r="D60" s="6">
        <v>40633.696527777778</v>
      </c>
      <c r="E60" s="8">
        <v>1.63</v>
      </c>
      <c r="F60" s="5" t="s">
        <v>1331</v>
      </c>
      <c r="G60" s="5" t="s">
        <v>8</v>
      </c>
      <c r="H60" s="5" t="b">
        <f t="shared" si="4"/>
        <v>0</v>
      </c>
      <c r="I60" s="5" t="b">
        <f t="shared" si="5"/>
        <v>0</v>
      </c>
      <c r="J60" s="5">
        <f t="shared" si="6"/>
        <v>1</v>
      </c>
      <c r="K60" s="5">
        <f t="shared" si="7"/>
        <v>1.63</v>
      </c>
    </row>
    <row r="61" spans="1:11" x14ac:dyDescent="0.35">
      <c r="A61" s="5">
        <v>548617</v>
      </c>
      <c r="B61" s="5">
        <v>15036</v>
      </c>
      <c r="C61" s="5">
        <v>12</v>
      </c>
      <c r="D61" s="6">
        <v>40634.493055555555</v>
      </c>
      <c r="E61" s="8">
        <v>0.83</v>
      </c>
      <c r="F61" s="5">
        <v>16592</v>
      </c>
      <c r="G61" s="5" t="s">
        <v>8</v>
      </c>
      <c r="H61" s="5" t="b">
        <f t="shared" si="4"/>
        <v>0</v>
      </c>
      <c r="I61" s="5" t="b">
        <f t="shared" si="5"/>
        <v>0</v>
      </c>
      <c r="J61" s="5">
        <f t="shared" si="6"/>
        <v>12</v>
      </c>
      <c r="K61" s="5">
        <f t="shared" si="7"/>
        <v>0.83</v>
      </c>
    </row>
    <row r="62" spans="1:11" x14ac:dyDescent="0.35">
      <c r="A62" s="5">
        <v>548893</v>
      </c>
      <c r="B62" s="5">
        <v>15036</v>
      </c>
      <c r="C62" s="5">
        <v>6</v>
      </c>
      <c r="D62" s="6">
        <v>40637.662499999999</v>
      </c>
      <c r="E62" s="8">
        <v>1.63</v>
      </c>
      <c r="F62" s="5" t="s">
        <v>1331</v>
      </c>
      <c r="G62" s="5" t="s">
        <v>8</v>
      </c>
      <c r="H62" s="5" t="b">
        <f t="shared" si="4"/>
        <v>0</v>
      </c>
      <c r="I62" s="5" t="b">
        <f t="shared" si="5"/>
        <v>0</v>
      </c>
      <c r="J62" s="5">
        <f t="shared" si="6"/>
        <v>6</v>
      </c>
      <c r="K62" s="5">
        <f t="shared" si="7"/>
        <v>1.63</v>
      </c>
    </row>
    <row r="63" spans="1:11" x14ac:dyDescent="0.35">
      <c r="A63" s="5">
        <v>549259</v>
      </c>
      <c r="B63" s="5">
        <v>15036</v>
      </c>
      <c r="C63" s="5">
        <v>48</v>
      </c>
      <c r="D63" s="6">
        <v>40640.522916666669</v>
      </c>
      <c r="E63" s="8">
        <v>0.75</v>
      </c>
      <c r="F63" s="5">
        <v>13712</v>
      </c>
      <c r="G63" s="5" t="s">
        <v>8</v>
      </c>
      <c r="H63" s="5" t="b">
        <f t="shared" si="4"/>
        <v>0</v>
      </c>
      <c r="I63" s="5" t="b">
        <f t="shared" si="5"/>
        <v>0</v>
      </c>
      <c r="J63" s="5">
        <f t="shared" si="6"/>
        <v>48</v>
      </c>
      <c r="K63" s="5">
        <f t="shared" si="7"/>
        <v>0.75</v>
      </c>
    </row>
    <row r="64" spans="1:11" x14ac:dyDescent="0.35">
      <c r="A64" s="5">
        <v>549316</v>
      </c>
      <c r="B64" s="5">
        <v>15036</v>
      </c>
      <c r="C64" s="5">
        <v>36</v>
      </c>
      <c r="D64" s="6">
        <v>40641.412499999999</v>
      </c>
      <c r="E64" s="8">
        <v>0.75</v>
      </c>
      <c r="F64" s="5">
        <v>12705</v>
      </c>
      <c r="G64" s="5" t="s">
        <v>21</v>
      </c>
      <c r="H64" s="5" t="b">
        <f t="shared" si="4"/>
        <v>0</v>
      </c>
      <c r="I64" s="5" t="b">
        <f t="shared" si="5"/>
        <v>0</v>
      </c>
      <c r="J64" s="5">
        <f t="shared" si="6"/>
        <v>36</v>
      </c>
      <c r="K64" s="5">
        <f t="shared" si="7"/>
        <v>0.75</v>
      </c>
    </row>
    <row r="65" spans="1:11" x14ac:dyDescent="0.35">
      <c r="A65" s="5">
        <v>549431</v>
      </c>
      <c r="B65" s="5">
        <v>15036</v>
      </c>
      <c r="C65" s="5">
        <v>36</v>
      </c>
      <c r="D65" s="6">
        <v>40641.511805555558</v>
      </c>
      <c r="E65" s="8">
        <v>0.83</v>
      </c>
      <c r="F65" s="5">
        <v>15874</v>
      </c>
      <c r="G65" s="5" t="s">
        <v>8</v>
      </c>
      <c r="H65" s="5" t="b">
        <f t="shared" si="4"/>
        <v>0</v>
      </c>
      <c r="I65" s="5" t="b">
        <f t="shared" si="5"/>
        <v>0</v>
      </c>
      <c r="J65" s="5">
        <f t="shared" si="6"/>
        <v>36</v>
      </c>
      <c r="K65" s="5">
        <f t="shared" si="7"/>
        <v>0.83</v>
      </c>
    </row>
    <row r="66" spans="1:11" x14ac:dyDescent="0.35">
      <c r="A66" s="5">
        <v>549524</v>
      </c>
      <c r="B66" s="5">
        <v>15036</v>
      </c>
      <c r="C66" s="5">
        <v>1</v>
      </c>
      <c r="D66" s="6">
        <v>40641.65347222222</v>
      </c>
      <c r="E66" s="8">
        <v>1.63</v>
      </c>
      <c r="F66" s="5" t="s">
        <v>1331</v>
      </c>
      <c r="G66" s="5" t="s">
        <v>8</v>
      </c>
      <c r="H66" s="5" t="b">
        <f t="shared" ref="H66:H97" si="8">OR(C66&lt;-28.5, C66&gt;55.5)</f>
        <v>0</v>
      </c>
      <c r="I66" s="5" t="b">
        <f t="shared" ref="I66:I97" si="9">OR(E66&lt;0.6, E66&gt;1.75)</f>
        <v>0</v>
      </c>
      <c r="J66" s="5">
        <f t="shared" ref="J66:J97" si="10">IF(ISBLANK(C66), $O$6, C66)</f>
        <v>1</v>
      </c>
      <c r="K66" s="5">
        <f t="shared" ref="K66:K97" si="11">IF(ISBLANK(E66), $O$7, E66)</f>
        <v>1.63</v>
      </c>
    </row>
    <row r="67" spans="1:11" x14ac:dyDescent="0.35">
      <c r="A67" s="5">
        <v>549525</v>
      </c>
      <c r="B67" s="5">
        <v>15036</v>
      </c>
      <c r="C67" s="5">
        <v>17</v>
      </c>
      <c r="D67" s="6">
        <v>40641.655555555553</v>
      </c>
      <c r="E67" s="8">
        <v>1.63</v>
      </c>
      <c r="F67" s="5" t="s">
        <v>1331</v>
      </c>
      <c r="G67" s="5" t="s">
        <v>8</v>
      </c>
      <c r="H67" s="5" t="b">
        <f t="shared" si="8"/>
        <v>0</v>
      </c>
      <c r="I67" s="5" t="b">
        <f t="shared" si="9"/>
        <v>0</v>
      </c>
      <c r="J67" s="5">
        <f t="shared" si="10"/>
        <v>17</v>
      </c>
      <c r="K67" s="5">
        <f t="shared" si="11"/>
        <v>1.63</v>
      </c>
    </row>
    <row r="68" spans="1:11" x14ac:dyDescent="0.35">
      <c r="A68" s="5">
        <v>549538</v>
      </c>
      <c r="B68" s="5">
        <v>15036</v>
      </c>
      <c r="C68" s="5">
        <v>3</v>
      </c>
      <c r="D68" s="6">
        <v>40641.725694444445</v>
      </c>
      <c r="E68" s="8">
        <v>0.83</v>
      </c>
      <c r="F68" s="5">
        <v>17961</v>
      </c>
      <c r="G68" s="5" t="s">
        <v>8</v>
      </c>
      <c r="H68" s="5" t="b">
        <f t="shared" si="8"/>
        <v>0</v>
      </c>
      <c r="I68" s="5" t="b">
        <f t="shared" si="9"/>
        <v>0</v>
      </c>
      <c r="J68" s="5">
        <f t="shared" si="10"/>
        <v>3</v>
      </c>
      <c r="K68" s="5">
        <f t="shared" si="11"/>
        <v>0.83</v>
      </c>
    </row>
    <row r="69" spans="1:11" x14ac:dyDescent="0.35">
      <c r="A69" s="5">
        <v>549711</v>
      </c>
      <c r="B69" s="5">
        <v>15036</v>
      </c>
      <c r="C69" s="5">
        <v>12</v>
      </c>
      <c r="D69" s="6">
        <v>40644.588194444441</v>
      </c>
      <c r="E69" s="8">
        <v>0.83</v>
      </c>
      <c r="F69" s="5">
        <v>13654</v>
      </c>
      <c r="G69" s="5" t="s">
        <v>8</v>
      </c>
      <c r="H69" s="5" t="b">
        <f t="shared" si="8"/>
        <v>0</v>
      </c>
      <c r="I69" s="5" t="b">
        <f t="shared" si="9"/>
        <v>0</v>
      </c>
      <c r="J69" s="5">
        <f t="shared" si="10"/>
        <v>12</v>
      </c>
      <c r="K69" s="5">
        <f t="shared" si="11"/>
        <v>0.83</v>
      </c>
    </row>
    <row r="70" spans="1:11" x14ac:dyDescent="0.35">
      <c r="A70" s="5">
        <v>549743</v>
      </c>
      <c r="B70" s="5">
        <v>15036</v>
      </c>
      <c r="C70" s="5">
        <v>12</v>
      </c>
      <c r="D70" s="6">
        <v>40645.420138888891</v>
      </c>
      <c r="E70" s="8">
        <v>0.83</v>
      </c>
      <c r="F70" s="5">
        <v>16186</v>
      </c>
      <c r="G70" s="5" t="s">
        <v>8</v>
      </c>
      <c r="H70" s="5" t="b">
        <f t="shared" si="8"/>
        <v>0</v>
      </c>
      <c r="I70" s="5" t="b">
        <f t="shared" si="9"/>
        <v>0</v>
      </c>
      <c r="J70" s="5">
        <f t="shared" si="10"/>
        <v>12</v>
      </c>
      <c r="K70" s="5">
        <f t="shared" si="11"/>
        <v>0.83</v>
      </c>
    </row>
    <row r="71" spans="1:11" x14ac:dyDescent="0.35">
      <c r="A71" s="5">
        <v>549964</v>
      </c>
      <c r="B71" s="5">
        <v>15036</v>
      </c>
      <c r="C71" s="5">
        <v>12</v>
      </c>
      <c r="D71" s="6">
        <v>40646.591666666667</v>
      </c>
      <c r="E71" s="8">
        <v>0.83</v>
      </c>
      <c r="F71" s="5">
        <v>13122</v>
      </c>
      <c r="G71" s="5" t="s">
        <v>8</v>
      </c>
      <c r="H71" s="5" t="b">
        <f t="shared" si="8"/>
        <v>0</v>
      </c>
      <c r="I71" s="5" t="b">
        <f t="shared" si="9"/>
        <v>0</v>
      </c>
      <c r="J71" s="5">
        <f t="shared" si="10"/>
        <v>12</v>
      </c>
      <c r="K71" s="5">
        <f t="shared" si="11"/>
        <v>0.83</v>
      </c>
    </row>
    <row r="72" spans="1:11" x14ac:dyDescent="0.35">
      <c r="A72" s="5">
        <v>549975</v>
      </c>
      <c r="B72" s="5">
        <v>15036</v>
      </c>
      <c r="C72" s="5">
        <v>12</v>
      </c>
      <c r="D72" s="6">
        <v>40646.609722222223</v>
      </c>
      <c r="E72" s="8">
        <v>0.83</v>
      </c>
      <c r="F72" s="5">
        <v>16175</v>
      </c>
      <c r="G72" s="5" t="s">
        <v>8</v>
      </c>
      <c r="H72" s="5" t="b">
        <f t="shared" si="8"/>
        <v>0</v>
      </c>
      <c r="I72" s="5" t="b">
        <f t="shared" si="9"/>
        <v>0</v>
      </c>
      <c r="J72" s="5">
        <f t="shared" si="10"/>
        <v>12</v>
      </c>
      <c r="K72" s="5">
        <f t="shared" si="11"/>
        <v>0.83</v>
      </c>
    </row>
    <row r="73" spans="1:11" x14ac:dyDescent="0.35">
      <c r="A73" s="5">
        <v>550138</v>
      </c>
      <c r="B73" s="5">
        <v>15036</v>
      </c>
      <c r="C73" s="5">
        <v>24</v>
      </c>
      <c r="D73" s="6">
        <v>40647.584722222222</v>
      </c>
      <c r="E73" s="8">
        <v>0.83</v>
      </c>
      <c r="F73" s="5">
        <v>12841</v>
      </c>
      <c r="G73" s="5" t="s">
        <v>8</v>
      </c>
      <c r="H73" s="5" t="b">
        <f t="shared" si="8"/>
        <v>0</v>
      </c>
      <c r="I73" s="5" t="b">
        <f t="shared" si="9"/>
        <v>0</v>
      </c>
      <c r="J73" s="5">
        <f t="shared" si="10"/>
        <v>24</v>
      </c>
      <c r="K73" s="5">
        <f t="shared" si="11"/>
        <v>0.83</v>
      </c>
    </row>
    <row r="74" spans="1:11" x14ac:dyDescent="0.35">
      <c r="A74" s="5">
        <v>550218</v>
      </c>
      <c r="B74" s="5">
        <v>15036</v>
      </c>
      <c r="C74" s="5">
        <v>12</v>
      </c>
      <c r="D74" s="6">
        <v>40648.46875</v>
      </c>
      <c r="E74" s="8">
        <v>0.83</v>
      </c>
      <c r="F74" s="5">
        <v>14408</v>
      </c>
      <c r="G74" s="5" t="s">
        <v>1331</v>
      </c>
      <c r="H74" s="5" t="b">
        <f t="shared" si="8"/>
        <v>0</v>
      </c>
      <c r="I74" s="5" t="b">
        <f t="shared" si="9"/>
        <v>0</v>
      </c>
      <c r="J74" s="5">
        <f t="shared" si="10"/>
        <v>12</v>
      </c>
      <c r="K74" s="5">
        <f t="shared" si="11"/>
        <v>0.83</v>
      </c>
    </row>
    <row r="75" spans="1:11" x14ac:dyDescent="0.35">
      <c r="A75" s="5">
        <v>550315</v>
      </c>
      <c r="B75" s="5">
        <v>15036</v>
      </c>
      <c r="C75" s="5">
        <v>24</v>
      </c>
      <c r="D75" s="6">
        <v>40650.488888888889</v>
      </c>
      <c r="E75" s="8">
        <v>0.83</v>
      </c>
      <c r="F75" s="5">
        <v>17990</v>
      </c>
      <c r="G75" s="5" t="s">
        <v>1331</v>
      </c>
      <c r="H75" s="5" t="b">
        <f t="shared" si="8"/>
        <v>0</v>
      </c>
      <c r="I75" s="5" t="b">
        <f t="shared" si="9"/>
        <v>0</v>
      </c>
      <c r="J75" s="5">
        <f t="shared" si="10"/>
        <v>24</v>
      </c>
      <c r="K75" s="5">
        <f t="shared" si="11"/>
        <v>0.83</v>
      </c>
    </row>
    <row r="76" spans="1:11" x14ac:dyDescent="0.35">
      <c r="A76" s="5">
        <v>550323</v>
      </c>
      <c r="B76" s="5">
        <v>15036</v>
      </c>
      <c r="C76" s="5">
        <v>48</v>
      </c>
      <c r="D76" s="6">
        <v>40650.539583333331</v>
      </c>
      <c r="E76" s="8">
        <v>0.83</v>
      </c>
      <c r="F76" s="5">
        <v>13692</v>
      </c>
      <c r="G76" s="5" t="s">
        <v>8</v>
      </c>
      <c r="H76" s="5" t="b">
        <f t="shared" si="8"/>
        <v>0</v>
      </c>
      <c r="I76" s="5" t="b">
        <f t="shared" si="9"/>
        <v>0</v>
      </c>
      <c r="J76" s="5">
        <f t="shared" si="10"/>
        <v>48</v>
      </c>
      <c r="K76" s="5">
        <f t="shared" si="11"/>
        <v>0.83</v>
      </c>
    </row>
    <row r="77" spans="1:11" x14ac:dyDescent="0.35">
      <c r="A77" s="5">
        <v>550336</v>
      </c>
      <c r="B77" s="5">
        <v>15036</v>
      </c>
      <c r="C77" s="5">
        <v>48</v>
      </c>
      <c r="D77" s="6">
        <v>40650.621527777781</v>
      </c>
      <c r="E77" s="8">
        <v>0.83</v>
      </c>
      <c r="F77" s="5">
        <v>13089</v>
      </c>
      <c r="G77" s="5" t="s">
        <v>8</v>
      </c>
      <c r="H77" s="5" t="b">
        <f t="shared" si="8"/>
        <v>0</v>
      </c>
      <c r="I77" s="5" t="b">
        <f t="shared" si="9"/>
        <v>0</v>
      </c>
      <c r="J77" s="5">
        <f t="shared" si="10"/>
        <v>48</v>
      </c>
      <c r="K77" s="5">
        <f t="shared" si="11"/>
        <v>0.83</v>
      </c>
    </row>
    <row r="78" spans="1:11" x14ac:dyDescent="0.35">
      <c r="A78" s="5">
        <v>550452</v>
      </c>
      <c r="B78" s="5">
        <v>10002</v>
      </c>
      <c r="C78" s="5">
        <v>1</v>
      </c>
      <c r="D78" s="6">
        <v>40651.538888888892</v>
      </c>
      <c r="E78" s="8">
        <v>0.85</v>
      </c>
      <c r="F78" s="5">
        <v>14525</v>
      </c>
      <c r="G78" s="5" t="s">
        <v>8</v>
      </c>
      <c r="H78" s="5" t="b">
        <f t="shared" si="8"/>
        <v>0</v>
      </c>
      <c r="I78" s="5" t="b">
        <f t="shared" si="9"/>
        <v>0</v>
      </c>
      <c r="J78" s="5">
        <f t="shared" si="10"/>
        <v>1</v>
      </c>
      <c r="K78" s="5">
        <f t="shared" si="11"/>
        <v>0.85</v>
      </c>
    </row>
    <row r="79" spans="1:11" x14ac:dyDescent="0.35">
      <c r="A79" s="5">
        <v>550458</v>
      </c>
      <c r="B79" s="5">
        <v>15036</v>
      </c>
      <c r="C79" s="5">
        <v>2</v>
      </c>
      <c r="D79" s="6">
        <v>40651.550694444442</v>
      </c>
      <c r="E79" s="8">
        <v>1.63</v>
      </c>
      <c r="F79" s="5" t="s">
        <v>1331</v>
      </c>
      <c r="G79" s="5" t="s">
        <v>8</v>
      </c>
      <c r="H79" s="5" t="b">
        <f t="shared" si="8"/>
        <v>0</v>
      </c>
      <c r="I79" s="5" t="b">
        <f t="shared" si="9"/>
        <v>0</v>
      </c>
      <c r="J79" s="5">
        <f t="shared" si="10"/>
        <v>2</v>
      </c>
      <c r="K79" s="5">
        <f t="shared" si="11"/>
        <v>1.63</v>
      </c>
    </row>
    <row r="80" spans="1:11" x14ac:dyDescent="0.35">
      <c r="A80" s="5">
        <v>550468</v>
      </c>
      <c r="B80" s="5">
        <v>15036</v>
      </c>
      <c r="C80" s="5">
        <v>12</v>
      </c>
      <c r="D80" s="6">
        <v>40651.571527777778</v>
      </c>
      <c r="E80" s="8">
        <v>0.83</v>
      </c>
      <c r="F80" s="5">
        <v>16700</v>
      </c>
      <c r="G80" s="5" t="s">
        <v>8</v>
      </c>
      <c r="H80" s="5" t="b">
        <f t="shared" si="8"/>
        <v>0</v>
      </c>
      <c r="I80" s="5" t="b">
        <f t="shared" si="9"/>
        <v>0</v>
      </c>
      <c r="J80" s="5">
        <f t="shared" si="10"/>
        <v>12</v>
      </c>
      <c r="K80" s="5">
        <f t="shared" si="11"/>
        <v>0.83</v>
      </c>
    </row>
    <row r="81" spans="1:11" x14ac:dyDescent="0.35">
      <c r="A81" s="5">
        <v>550470</v>
      </c>
      <c r="B81" s="5">
        <v>15036</v>
      </c>
      <c r="C81" s="5">
        <v>4</v>
      </c>
      <c r="D81" s="6">
        <v>40651.575694444444</v>
      </c>
      <c r="E81" s="8">
        <v>1.63</v>
      </c>
      <c r="F81" s="5" t="s">
        <v>1331</v>
      </c>
      <c r="G81" s="5" t="s">
        <v>8</v>
      </c>
      <c r="H81" s="5" t="b">
        <f t="shared" si="8"/>
        <v>0</v>
      </c>
      <c r="I81" s="5" t="b">
        <f t="shared" si="9"/>
        <v>0</v>
      </c>
      <c r="J81" s="5">
        <f t="shared" si="10"/>
        <v>4</v>
      </c>
      <c r="K81" s="5">
        <f t="shared" si="11"/>
        <v>1.63</v>
      </c>
    </row>
    <row r="82" spans="1:11" x14ac:dyDescent="0.35">
      <c r="A82" s="5">
        <v>550471</v>
      </c>
      <c r="B82" s="5">
        <v>15036</v>
      </c>
      <c r="C82" s="5">
        <v>3</v>
      </c>
      <c r="D82" s="6">
        <v>40651.577777777777</v>
      </c>
      <c r="E82" s="8">
        <v>1.63</v>
      </c>
      <c r="F82" s="5" t="s">
        <v>1331</v>
      </c>
      <c r="G82" s="5" t="s">
        <v>8</v>
      </c>
      <c r="H82" s="5" t="b">
        <f t="shared" si="8"/>
        <v>0</v>
      </c>
      <c r="I82" s="5" t="b">
        <f t="shared" si="9"/>
        <v>0</v>
      </c>
      <c r="J82" s="5">
        <f t="shared" si="10"/>
        <v>3</v>
      </c>
      <c r="K82" s="5">
        <f t="shared" si="11"/>
        <v>1.63</v>
      </c>
    </row>
    <row r="83" spans="1:11" x14ac:dyDescent="0.35">
      <c r="A83" s="5">
        <v>550474</v>
      </c>
      <c r="B83" s="5">
        <v>15036</v>
      </c>
      <c r="C83" s="5">
        <v>2</v>
      </c>
      <c r="D83" s="6">
        <v>40651.581944444442</v>
      </c>
      <c r="E83" s="8">
        <v>1.63</v>
      </c>
      <c r="F83" s="5" t="s">
        <v>1331</v>
      </c>
      <c r="G83" s="5" t="s">
        <v>8</v>
      </c>
      <c r="H83" s="5" t="b">
        <f t="shared" si="8"/>
        <v>0</v>
      </c>
      <c r="I83" s="5" t="b">
        <f t="shared" si="9"/>
        <v>0</v>
      </c>
      <c r="J83" s="5">
        <f t="shared" si="10"/>
        <v>2</v>
      </c>
      <c r="K83" s="5">
        <f t="shared" si="11"/>
        <v>1.63</v>
      </c>
    </row>
    <row r="84" spans="1:11" x14ac:dyDescent="0.35">
      <c r="A84" s="5">
        <v>550479</v>
      </c>
      <c r="B84" s="5">
        <v>15036</v>
      </c>
      <c r="C84" s="5">
        <v>24</v>
      </c>
      <c r="D84" s="6">
        <v>40651.584027777775</v>
      </c>
      <c r="E84" s="8">
        <v>0.83</v>
      </c>
      <c r="F84" s="5">
        <v>15625</v>
      </c>
      <c r="G84" s="5" t="s">
        <v>8</v>
      </c>
      <c r="H84" s="5" t="b">
        <f t="shared" si="8"/>
        <v>0</v>
      </c>
      <c r="I84" s="5" t="b">
        <f t="shared" si="9"/>
        <v>0</v>
      </c>
      <c r="J84" s="5">
        <f t="shared" si="10"/>
        <v>24</v>
      </c>
      <c r="K84" s="5">
        <f t="shared" si="11"/>
        <v>0.83</v>
      </c>
    </row>
    <row r="85" spans="1:11" x14ac:dyDescent="0.35">
      <c r="A85" s="5">
        <v>550517</v>
      </c>
      <c r="B85" s="5">
        <v>15036</v>
      </c>
      <c r="C85" s="5">
        <v>24</v>
      </c>
      <c r="D85" s="6">
        <v>40652.345138888886</v>
      </c>
      <c r="E85" s="8">
        <v>0.83</v>
      </c>
      <c r="F85" s="5">
        <v>14352</v>
      </c>
      <c r="G85" s="5" t="s">
        <v>8</v>
      </c>
      <c r="H85" s="5" t="b">
        <f t="shared" si="8"/>
        <v>0</v>
      </c>
      <c r="I85" s="5" t="b">
        <f t="shared" si="9"/>
        <v>0</v>
      </c>
      <c r="J85" s="5">
        <f t="shared" si="10"/>
        <v>24</v>
      </c>
      <c r="K85" s="5">
        <f t="shared" si="11"/>
        <v>0.83</v>
      </c>
    </row>
    <row r="86" spans="1:11" x14ac:dyDescent="0.35">
      <c r="A86" s="5">
        <v>550519</v>
      </c>
      <c r="B86" s="5">
        <v>15036</v>
      </c>
      <c r="C86" s="5">
        <v>24</v>
      </c>
      <c r="D86" s="6">
        <v>40652.396527777775</v>
      </c>
      <c r="E86" s="8">
        <v>0.83</v>
      </c>
      <c r="F86" s="5">
        <v>13141</v>
      </c>
      <c r="G86" s="5" t="s">
        <v>8</v>
      </c>
      <c r="H86" s="5" t="b">
        <f t="shared" si="8"/>
        <v>0</v>
      </c>
      <c r="I86" s="5" t="b">
        <f t="shared" si="9"/>
        <v>0</v>
      </c>
      <c r="J86" s="5">
        <f t="shared" si="10"/>
        <v>24</v>
      </c>
      <c r="K86" s="5">
        <f t="shared" si="11"/>
        <v>0.83</v>
      </c>
    </row>
    <row r="87" spans="1:11" x14ac:dyDescent="0.35">
      <c r="A87" s="5">
        <v>550521</v>
      </c>
      <c r="B87" s="5">
        <v>15036</v>
      </c>
      <c r="C87" s="5">
        <v>24</v>
      </c>
      <c r="D87" s="6">
        <v>40652.40902777778</v>
      </c>
      <c r="E87" s="8">
        <v>0.83</v>
      </c>
      <c r="F87" s="5">
        <v>13647</v>
      </c>
      <c r="G87" s="5" t="s">
        <v>8</v>
      </c>
      <c r="H87" s="5" t="b">
        <f t="shared" si="8"/>
        <v>0</v>
      </c>
      <c r="I87" s="5" t="b">
        <f t="shared" si="9"/>
        <v>0</v>
      </c>
      <c r="J87" s="5">
        <f t="shared" si="10"/>
        <v>24</v>
      </c>
      <c r="K87" s="5">
        <f t="shared" si="11"/>
        <v>0.83</v>
      </c>
    </row>
    <row r="88" spans="1:11" x14ac:dyDescent="0.35">
      <c r="A88" s="5">
        <v>550542</v>
      </c>
      <c r="B88" s="5">
        <v>15036</v>
      </c>
      <c r="C88" s="5">
        <v>5</v>
      </c>
      <c r="D88" s="6">
        <v>40652.484027777777</v>
      </c>
      <c r="E88" s="8">
        <v>1.63</v>
      </c>
      <c r="F88" s="5" t="s">
        <v>1331</v>
      </c>
      <c r="G88" s="5" t="s">
        <v>8</v>
      </c>
      <c r="H88" s="5" t="b">
        <f t="shared" si="8"/>
        <v>0</v>
      </c>
      <c r="I88" s="5" t="b">
        <f t="shared" si="9"/>
        <v>0</v>
      </c>
      <c r="J88" s="5">
        <f t="shared" si="10"/>
        <v>5</v>
      </c>
      <c r="K88" s="5">
        <f t="shared" si="11"/>
        <v>1.63</v>
      </c>
    </row>
    <row r="89" spans="1:11" x14ac:dyDescent="0.35">
      <c r="A89" s="5">
        <v>550636</v>
      </c>
      <c r="B89" s="5">
        <v>15036</v>
      </c>
      <c r="C89" s="5">
        <v>1</v>
      </c>
      <c r="D89" s="6">
        <v>40652.650694444441</v>
      </c>
      <c r="E89" s="8">
        <v>1.63</v>
      </c>
      <c r="F89" s="5" t="s">
        <v>1331</v>
      </c>
      <c r="G89" s="5" t="s">
        <v>8</v>
      </c>
      <c r="H89" s="5" t="b">
        <f t="shared" si="8"/>
        <v>0</v>
      </c>
      <c r="I89" s="5" t="b">
        <f t="shared" si="9"/>
        <v>0</v>
      </c>
      <c r="J89" s="5">
        <f t="shared" si="10"/>
        <v>1</v>
      </c>
      <c r="K89" s="5">
        <f t="shared" si="11"/>
        <v>1.63</v>
      </c>
    </row>
    <row r="90" spans="1:11" x14ac:dyDescent="0.35">
      <c r="A90" s="5">
        <v>550659</v>
      </c>
      <c r="B90" s="5">
        <v>15036</v>
      </c>
      <c r="C90" s="5">
        <v>12</v>
      </c>
      <c r="D90" s="6">
        <v>40653.376388888886</v>
      </c>
      <c r="E90" s="8">
        <v>0.83</v>
      </c>
      <c r="F90" s="5">
        <v>17730</v>
      </c>
      <c r="G90" s="5" t="s">
        <v>8</v>
      </c>
      <c r="H90" s="5" t="b">
        <f t="shared" si="8"/>
        <v>0</v>
      </c>
      <c r="I90" s="5" t="b">
        <f t="shared" si="9"/>
        <v>0</v>
      </c>
      <c r="J90" s="5">
        <f t="shared" si="10"/>
        <v>12</v>
      </c>
      <c r="K90" s="5">
        <f t="shared" si="11"/>
        <v>0.83</v>
      </c>
    </row>
    <row r="91" spans="1:11" x14ac:dyDescent="0.35">
      <c r="A91" s="5">
        <v>550775</v>
      </c>
      <c r="B91" s="5">
        <v>15036</v>
      </c>
      <c r="C91" s="5">
        <v>12</v>
      </c>
      <c r="D91" s="6">
        <v>40653.554166666669</v>
      </c>
      <c r="E91" s="8">
        <v>0.83</v>
      </c>
      <c r="F91" s="5">
        <v>15805</v>
      </c>
      <c r="G91" s="5" t="s">
        <v>8</v>
      </c>
      <c r="H91" s="5" t="b">
        <f t="shared" si="8"/>
        <v>0</v>
      </c>
      <c r="I91" s="5" t="b">
        <f t="shared" si="9"/>
        <v>0</v>
      </c>
      <c r="J91" s="5">
        <f t="shared" si="10"/>
        <v>12</v>
      </c>
      <c r="K91" s="5">
        <f t="shared" si="11"/>
        <v>0.83</v>
      </c>
    </row>
    <row r="92" spans="1:11" x14ac:dyDescent="0.35">
      <c r="A92" s="5">
        <v>550785</v>
      </c>
      <c r="B92" s="5">
        <v>15036</v>
      </c>
      <c r="C92" s="5">
        <v>12</v>
      </c>
      <c r="D92" s="6">
        <v>40653.584722222222</v>
      </c>
      <c r="E92" s="8">
        <v>0.83</v>
      </c>
      <c r="F92" s="5">
        <v>15517</v>
      </c>
      <c r="G92" s="5" t="s">
        <v>8</v>
      </c>
      <c r="H92" s="5" t="b">
        <f t="shared" si="8"/>
        <v>0</v>
      </c>
      <c r="I92" s="5" t="b">
        <f t="shared" si="9"/>
        <v>0</v>
      </c>
      <c r="J92" s="5">
        <f t="shared" si="10"/>
        <v>12</v>
      </c>
      <c r="K92" s="5">
        <f t="shared" si="11"/>
        <v>0.83</v>
      </c>
    </row>
    <row r="93" spans="1:11" x14ac:dyDescent="0.35">
      <c r="A93" s="5">
        <v>550802</v>
      </c>
      <c r="B93" s="5">
        <v>15036</v>
      </c>
      <c r="C93" s="5">
        <v>12</v>
      </c>
      <c r="D93" s="6">
        <v>40653.63958333333</v>
      </c>
      <c r="E93" s="8">
        <v>0.83</v>
      </c>
      <c r="F93" s="5">
        <v>17120</v>
      </c>
      <c r="G93" s="5" t="s">
        <v>8</v>
      </c>
      <c r="H93" s="5" t="b">
        <f t="shared" si="8"/>
        <v>0</v>
      </c>
      <c r="I93" s="5" t="b">
        <f t="shared" si="9"/>
        <v>0</v>
      </c>
      <c r="J93" s="5">
        <f t="shared" si="10"/>
        <v>12</v>
      </c>
      <c r="K93" s="5">
        <f t="shared" si="11"/>
        <v>0.83</v>
      </c>
    </row>
    <row r="94" spans="1:11" x14ac:dyDescent="0.35">
      <c r="A94" s="5">
        <v>550972</v>
      </c>
      <c r="B94" s="5">
        <v>15036</v>
      </c>
      <c r="C94" s="5">
        <v>1</v>
      </c>
      <c r="D94" s="6">
        <v>40654.711805555555</v>
      </c>
      <c r="E94" s="8">
        <v>0.83</v>
      </c>
      <c r="F94" s="5">
        <v>14031</v>
      </c>
      <c r="G94" s="5" t="s">
        <v>8</v>
      </c>
      <c r="H94" s="5" t="b">
        <f t="shared" si="8"/>
        <v>0</v>
      </c>
      <c r="I94" s="5" t="b">
        <f t="shared" si="9"/>
        <v>0</v>
      </c>
      <c r="J94" s="5">
        <f t="shared" si="10"/>
        <v>1</v>
      </c>
      <c r="K94" s="5">
        <f t="shared" si="11"/>
        <v>0.83</v>
      </c>
    </row>
    <row r="95" spans="1:11" x14ac:dyDescent="0.35">
      <c r="A95" s="5">
        <v>551174</v>
      </c>
      <c r="B95" s="5">
        <v>15036</v>
      </c>
      <c r="C95" s="5">
        <v>15</v>
      </c>
      <c r="D95" s="6">
        <v>40659.709722222222</v>
      </c>
      <c r="E95" s="8">
        <v>0.83</v>
      </c>
      <c r="F95" s="5" t="s">
        <v>1331</v>
      </c>
      <c r="G95" s="5" t="s">
        <v>8</v>
      </c>
      <c r="H95" s="5" t="b">
        <f t="shared" si="8"/>
        <v>0</v>
      </c>
      <c r="I95" s="5" t="b">
        <f t="shared" si="9"/>
        <v>0</v>
      </c>
      <c r="J95" s="5">
        <f t="shared" si="10"/>
        <v>15</v>
      </c>
      <c r="K95" s="5">
        <f t="shared" si="11"/>
        <v>0.83</v>
      </c>
    </row>
    <row r="96" spans="1:11" x14ac:dyDescent="0.35">
      <c r="A96" s="5">
        <v>551182</v>
      </c>
      <c r="B96" s="5">
        <v>15036</v>
      </c>
      <c r="C96" s="5">
        <v>24</v>
      </c>
      <c r="D96" s="6">
        <v>40660.363194444442</v>
      </c>
      <c r="E96" s="8">
        <v>0.83</v>
      </c>
      <c r="F96" s="5">
        <v>14282</v>
      </c>
      <c r="G96" s="5" t="s">
        <v>8</v>
      </c>
      <c r="H96" s="5" t="b">
        <f t="shared" si="8"/>
        <v>0</v>
      </c>
      <c r="I96" s="5" t="b">
        <f t="shared" si="9"/>
        <v>0</v>
      </c>
      <c r="J96" s="5">
        <f t="shared" si="10"/>
        <v>24</v>
      </c>
      <c r="K96" s="5">
        <f t="shared" si="11"/>
        <v>0.83</v>
      </c>
    </row>
    <row r="97" spans="1:11" x14ac:dyDescent="0.35">
      <c r="A97" s="5">
        <v>551391</v>
      </c>
      <c r="B97" s="5">
        <v>10125</v>
      </c>
      <c r="C97" s="5">
        <v>1</v>
      </c>
      <c r="D97" s="6">
        <v>40661.504166666666</v>
      </c>
      <c r="E97" s="8">
        <v>0.85</v>
      </c>
      <c r="F97" s="5">
        <v>15514</v>
      </c>
      <c r="G97" s="5" t="s">
        <v>8</v>
      </c>
      <c r="H97" s="5" t="b">
        <f t="shared" si="8"/>
        <v>0</v>
      </c>
      <c r="I97" s="5" t="b">
        <f t="shared" si="9"/>
        <v>0</v>
      </c>
      <c r="J97" s="5">
        <f t="shared" si="10"/>
        <v>1</v>
      </c>
      <c r="K97" s="5">
        <f t="shared" si="11"/>
        <v>0.85</v>
      </c>
    </row>
    <row r="98" spans="1:11" x14ac:dyDescent="0.35">
      <c r="A98" s="5">
        <v>551616</v>
      </c>
      <c r="B98" s="5">
        <v>10125</v>
      </c>
      <c r="C98" s="5">
        <v>1</v>
      </c>
      <c r="D98" s="6">
        <v>40666.486111111109</v>
      </c>
      <c r="E98" s="8">
        <v>0.85</v>
      </c>
      <c r="F98" s="5">
        <v>15048</v>
      </c>
      <c r="G98" s="5" t="s">
        <v>8</v>
      </c>
      <c r="H98" s="5" t="b">
        <f t="shared" ref="H98:H128" si="12">OR(C98&lt;-28.5, C98&gt;55.5)</f>
        <v>0</v>
      </c>
      <c r="I98" s="5" t="b">
        <f t="shared" ref="I98:I128" si="13">OR(E98&lt;0.6, E98&gt;1.75)</f>
        <v>0</v>
      </c>
      <c r="J98" s="5">
        <f t="shared" ref="J98:J128" si="14">IF(ISBLANK(C98), $O$6, C98)</f>
        <v>1</v>
      </c>
      <c r="K98" s="5">
        <f t="shared" ref="K98:K128" si="15">IF(ISBLANK(E98), $O$7, E98)</f>
        <v>0.85</v>
      </c>
    </row>
    <row r="99" spans="1:11" x14ac:dyDescent="0.35">
      <c r="A99" s="5">
        <v>552269</v>
      </c>
      <c r="B99" s="5">
        <v>10125</v>
      </c>
      <c r="C99" s="5">
        <v>1</v>
      </c>
      <c r="D99" s="6">
        <v>40671.494444444441</v>
      </c>
      <c r="E99" s="8">
        <v>0.85</v>
      </c>
      <c r="F99" s="5">
        <v>16121</v>
      </c>
      <c r="G99" s="5" t="s">
        <v>8</v>
      </c>
      <c r="H99" s="5" t="b">
        <f t="shared" si="12"/>
        <v>0</v>
      </c>
      <c r="I99" s="5" t="b">
        <f t="shared" si="13"/>
        <v>0</v>
      </c>
      <c r="J99" s="5">
        <f t="shared" si="14"/>
        <v>1</v>
      </c>
      <c r="K99" s="5">
        <f t="shared" si="15"/>
        <v>0.85</v>
      </c>
    </row>
    <row r="100" spans="1:11" x14ac:dyDescent="0.35">
      <c r="A100" s="5">
        <v>552310</v>
      </c>
      <c r="B100" s="5">
        <v>10125</v>
      </c>
      <c r="C100" s="5">
        <v>3</v>
      </c>
      <c r="D100" s="6">
        <v>40671.640277777777</v>
      </c>
      <c r="E100" s="8">
        <v>0.85</v>
      </c>
      <c r="F100" s="5">
        <v>17323</v>
      </c>
      <c r="G100" s="5" t="s">
        <v>8</v>
      </c>
      <c r="H100" s="5" t="b">
        <f t="shared" si="12"/>
        <v>0</v>
      </c>
      <c r="I100" s="5" t="b">
        <f t="shared" si="13"/>
        <v>0</v>
      </c>
      <c r="J100" s="5">
        <f t="shared" si="14"/>
        <v>3</v>
      </c>
      <c r="K100" s="5">
        <f t="shared" si="15"/>
        <v>0.85</v>
      </c>
    </row>
    <row r="101" spans="1:11" x14ac:dyDescent="0.35">
      <c r="A101" s="5">
        <v>553385</v>
      </c>
      <c r="B101" s="5">
        <v>10125</v>
      </c>
      <c r="C101" s="5">
        <v>1</v>
      </c>
      <c r="D101" s="6">
        <v>40679.661805555559</v>
      </c>
      <c r="E101" s="8">
        <v>0.85</v>
      </c>
      <c r="F101" s="5">
        <v>16710</v>
      </c>
      <c r="G101" s="5" t="s">
        <v>8</v>
      </c>
      <c r="H101" s="5" t="b">
        <f t="shared" si="12"/>
        <v>0</v>
      </c>
      <c r="I101" s="5" t="b">
        <f t="shared" si="13"/>
        <v>0</v>
      </c>
      <c r="J101" s="5">
        <f t="shared" si="14"/>
        <v>1</v>
      </c>
      <c r="K101" s="5">
        <f t="shared" si="15"/>
        <v>0.85</v>
      </c>
    </row>
    <row r="102" spans="1:11" x14ac:dyDescent="0.35">
      <c r="A102" s="5">
        <v>554117</v>
      </c>
      <c r="B102" s="5">
        <v>10125</v>
      </c>
      <c r="C102" s="5">
        <v>1</v>
      </c>
      <c r="D102" s="6">
        <v>40685.633333333331</v>
      </c>
      <c r="E102" s="8">
        <v>0.85</v>
      </c>
      <c r="F102" s="5">
        <v>13758</v>
      </c>
      <c r="G102" s="5" t="s">
        <v>8</v>
      </c>
      <c r="H102" s="5" t="b">
        <f t="shared" si="12"/>
        <v>0</v>
      </c>
      <c r="I102" s="5" t="b">
        <f t="shared" si="13"/>
        <v>0</v>
      </c>
      <c r="J102" s="5">
        <f t="shared" si="14"/>
        <v>1</v>
      </c>
      <c r="K102" s="5">
        <f t="shared" si="15"/>
        <v>0.85</v>
      </c>
    </row>
    <row r="103" spans="1:11" x14ac:dyDescent="0.35">
      <c r="A103" s="5">
        <v>555579</v>
      </c>
      <c r="B103" s="5">
        <v>10125</v>
      </c>
      <c r="C103" s="5">
        <v>1</v>
      </c>
      <c r="D103" s="6">
        <v>40699.668055555558</v>
      </c>
      <c r="E103" s="8">
        <v>0.85</v>
      </c>
      <c r="F103" s="5">
        <v>13983</v>
      </c>
      <c r="G103" s="5" t="s">
        <v>8</v>
      </c>
      <c r="H103" s="5" t="b">
        <f t="shared" si="12"/>
        <v>0</v>
      </c>
      <c r="I103" s="5" t="b">
        <f t="shared" si="13"/>
        <v>0</v>
      </c>
      <c r="J103" s="5">
        <f t="shared" si="14"/>
        <v>1</v>
      </c>
      <c r="K103" s="5">
        <f t="shared" si="15"/>
        <v>0.85</v>
      </c>
    </row>
    <row r="104" spans="1:11" x14ac:dyDescent="0.35">
      <c r="A104" s="5">
        <v>556222</v>
      </c>
      <c r="B104" s="5">
        <v>10125</v>
      </c>
      <c r="C104" s="5">
        <v>12</v>
      </c>
      <c r="D104" s="6">
        <v>40703.599305555559</v>
      </c>
      <c r="E104" s="8">
        <v>0.85</v>
      </c>
      <c r="F104" s="5">
        <v>17522</v>
      </c>
      <c r="G104" s="5" t="s">
        <v>8</v>
      </c>
      <c r="H104" s="5" t="b">
        <f t="shared" si="12"/>
        <v>0</v>
      </c>
      <c r="I104" s="5" t="b">
        <f t="shared" si="13"/>
        <v>0</v>
      </c>
      <c r="J104" s="5">
        <f t="shared" si="14"/>
        <v>12</v>
      </c>
      <c r="K104" s="5">
        <f t="shared" si="15"/>
        <v>0.85</v>
      </c>
    </row>
    <row r="105" spans="1:11" x14ac:dyDescent="0.35">
      <c r="A105" s="5">
        <v>557938</v>
      </c>
      <c r="B105" s="5">
        <v>10125</v>
      </c>
      <c r="C105" s="5">
        <v>2</v>
      </c>
      <c r="D105" s="6">
        <v>40717.649305555555</v>
      </c>
      <c r="E105" s="8">
        <v>1.63</v>
      </c>
      <c r="F105" s="5" t="s">
        <v>1331</v>
      </c>
      <c r="G105" s="5" t="s">
        <v>8</v>
      </c>
      <c r="H105" s="5" t="b">
        <f t="shared" si="12"/>
        <v>0</v>
      </c>
      <c r="I105" s="5" t="b">
        <f t="shared" si="13"/>
        <v>0</v>
      </c>
      <c r="J105" s="5">
        <f t="shared" si="14"/>
        <v>2</v>
      </c>
      <c r="K105" s="5">
        <f t="shared" si="15"/>
        <v>1.63</v>
      </c>
    </row>
    <row r="106" spans="1:11" x14ac:dyDescent="0.35">
      <c r="A106" s="5">
        <v>558700</v>
      </c>
      <c r="B106" s="5">
        <v>10125</v>
      </c>
      <c r="C106" s="5">
        <v>1</v>
      </c>
      <c r="D106" s="6">
        <v>40725.522916666669</v>
      </c>
      <c r="E106" s="8">
        <v>0.85</v>
      </c>
      <c r="F106" s="5">
        <v>17920</v>
      </c>
      <c r="G106" s="5" t="s">
        <v>8</v>
      </c>
      <c r="H106" s="5" t="b">
        <f t="shared" si="12"/>
        <v>0</v>
      </c>
      <c r="I106" s="5" t="b">
        <f t="shared" si="13"/>
        <v>0</v>
      </c>
      <c r="J106" s="5">
        <f t="shared" si="14"/>
        <v>1</v>
      </c>
      <c r="K106" s="5">
        <f t="shared" si="15"/>
        <v>0.85</v>
      </c>
    </row>
    <row r="107" spans="1:11" x14ac:dyDescent="0.35">
      <c r="A107" s="5">
        <v>558700</v>
      </c>
      <c r="B107" s="5">
        <v>10125</v>
      </c>
      <c r="C107" s="5">
        <v>3</v>
      </c>
      <c r="D107" s="6">
        <v>40725.522916666669</v>
      </c>
      <c r="E107" s="8">
        <v>0.85</v>
      </c>
      <c r="F107" s="5">
        <v>17920</v>
      </c>
      <c r="G107" s="5" t="s">
        <v>8</v>
      </c>
      <c r="H107" s="5" t="b">
        <f t="shared" si="12"/>
        <v>0</v>
      </c>
      <c r="I107" s="5" t="b">
        <f t="shared" si="13"/>
        <v>0</v>
      </c>
      <c r="J107" s="5">
        <f t="shared" si="14"/>
        <v>3</v>
      </c>
      <c r="K107" s="5">
        <f t="shared" si="15"/>
        <v>0.85</v>
      </c>
    </row>
    <row r="108" spans="1:11" x14ac:dyDescent="0.35">
      <c r="A108" s="5">
        <v>558860</v>
      </c>
      <c r="B108" s="5">
        <v>10125</v>
      </c>
      <c r="C108" s="5">
        <v>1</v>
      </c>
      <c r="D108" s="6">
        <v>40728.512499999997</v>
      </c>
      <c r="E108" s="8">
        <v>0.85</v>
      </c>
      <c r="F108" s="5">
        <v>17975</v>
      </c>
      <c r="G108" s="5" t="s">
        <v>8</v>
      </c>
      <c r="H108" s="5" t="b">
        <f t="shared" si="12"/>
        <v>0</v>
      </c>
      <c r="I108" s="5" t="b">
        <f t="shared" si="13"/>
        <v>0</v>
      </c>
      <c r="J108" s="5">
        <f t="shared" si="14"/>
        <v>1</v>
      </c>
      <c r="K108" s="5">
        <f t="shared" si="15"/>
        <v>0.85</v>
      </c>
    </row>
    <row r="109" spans="1:11" x14ac:dyDescent="0.35">
      <c r="A109" s="5">
        <v>558868</v>
      </c>
      <c r="B109" s="5">
        <v>10125</v>
      </c>
      <c r="C109" s="5">
        <v>20</v>
      </c>
      <c r="D109" s="6">
        <v>40728.532638888886</v>
      </c>
      <c r="E109" s="8">
        <v>0.85</v>
      </c>
      <c r="F109" s="5">
        <v>13266</v>
      </c>
      <c r="G109" s="5" t="s">
        <v>8</v>
      </c>
      <c r="H109" s="5" t="b">
        <f t="shared" si="12"/>
        <v>0</v>
      </c>
      <c r="I109" s="5" t="b">
        <f t="shared" si="13"/>
        <v>0</v>
      </c>
      <c r="J109" s="5">
        <f t="shared" si="14"/>
        <v>20</v>
      </c>
      <c r="K109" s="5">
        <f t="shared" si="15"/>
        <v>0.85</v>
      </c>
    </row>
    <row r="110" spans="1:11" x14ac:dyDescent="0.35">
      <c r="A110" s="5">
        <v>559337</v>
      </c>
      <c r="B110" s="5">
        <v>10125</v>
      </c>
      <c r="C110" s="5">
        <v>1</v>
      </c>
      <c r="D110" s="6">
        <v>40731.685416666667</v>
      </c>
      <c r="E110" s="8">
        <v>1.63</v>
      </c>
      <c r="F110" s="5" t="s">
        <v>1331</v>
      </c>
      <c r="G110" s="5" t="s">
        <v>8</v>
      </c>
      <c r="H110" s="5" t="b">
        <f t="shared" si="12"/>
        <v>0</v>
      </c>
      <c r="I110" s="5" t="b">
        <f t="shared" si="13"/>
        <v>0</v>
      </c>
      <c r="J110" s="5">
        <f t="shared" si="14"/>
        <v>1</v>
      </c>
      <c r="K110" s="5">
        <f t="shared" si="15"/>
        <v>1.63</v>
      </c>
    </row>
    <row r="111" spans="1:11" x14ac:dyDescent="0.35">
      <c r="A111" s="5">
        <v>559536</v>
      </c>
      <c r="B111" s="5">
        <v>10125</v>
      </c>
      <c r="C111" s="5">
        <v>5</v>
      </c>
      <c r="D111" s="6">
        <v>40734.511805555558</v>
      </c>
      <c r="E111" s="8">
        <v>0.85</v>
      </c>
      <c r="F111" s="5">
        <v>16283</v>
      </c>
      <c r="G111" s="5" t="s">
        <v>8</v>
      </c>
      <c r="H111" s="5" t="b">
        <f t="shared" si="12"/>
        <v>0</v>
      </c>
      <c r="I111" s="5" t="b">
        <f t="shared" si="13"/>
        <v>0</v>
      </c>
      <c r="J111" s="5">
        <f t="shared" si="14"/>
        <v>5</v>
      </c>
      <c r="K111" s="5">
        <f t="shared" si="15"/>
        <v>0.85</v>
      </c>
    </row>
    <row r="112" spans="1:11" x14ac:dyDescent="0.35">
      <c r="A112" s="5">
        <v>559979</v>
      </c>
      <c r="B112" s="5">
        <v>10125</v>
      </c>
      <c r="C112" s="5">
        <v>20</v>
      </c>
      <c r="D112" s="6">
        <v>40738.472222222219</v>
      </c>
      <c r="E112" s="8">
        <v>0.85</v>
      </c>
      <c r="F112" s="5">
        <v>14862</v>
      </c>
      <c r="G112" s="5" t="s">
        <v>8</v>
      </c>
      <c r="H112" s="5" t="b">
        <f t="shared" si="12"/>
        <v>0</v>
      </c>
      <c r="I112" s="5" t="b">
        <f t="shared" si="13"/>
        <v>0</v>
      </c>
      <c r="J112" s="5">
        <f t="shared" si="14"/>
        <v>20</v>
      </c>
      <c r="K112" s="5">
        <f t="shared" si="15"/>
        <v>0.85</v>
      </c>
    </row>
    <row r="113" spans="1:11" x14ac:dyDescent="0.35">
      <c r="A113" s="5">
        <v>559984</v>
      </c>
      <c r="B113" s="5">
        <v>10125</v>
      </c>
      <c r="C113" s="5">
        <v>5</v>
      </c>
      <c r="D113" s="6">
        <v>40738.489583333336</v>
      </c>
      <c r="E113" s="8">
        <v>0.85</v>
      </c>
      <c r="F113" s="5">
        <v>16657</v>
      </c>
      <c r="G113" s="5" t="s">
        <v>8</v>
      </c>
      <c r="H113" s="5" t="b">
        <f t="shared" si="12"/>
        <v>0</v>
      </c>
      <c r="I113" s="5" t="b">
        <f t="shared" si="13"/>
        <v>0</v>
      </c>
      <c r="J113" s="5">
        <f t="shared" si="14"/>
        <v>5</v>
      </c>
      <c r="K113" s="5">
        <f t="shared" si="15"/>
        <v>0.85</v>
      </c>
    </row>
    <row r="114" spans="1:11" x14ac:dyDescent="0.35">
      <c r="A114" s="5">
        <v>560366</v>
      </c>
      <c r="B114" s="5">
        <v>10125</v>
      </c>
      <c r="C114" s="5">
        <v>20</v>
      </c>
      <c r="D114" s="6">
        <v>40742.513194444444</v>
      </c>
      <c r="E114" s="8">
        <v>0.85</v>
      </c>
      <c r="F114" s="5">
        <v>16859</v>
      </c>
      <c r="G114" s="5" t="s">
        <v>8</v>
      </c>
      <c r="H114" s="5" t="b">
        <f t="shared" si="12"/>
        <v>0</v>
      </c>
      <c r="I114" s="5" t="b">
        <f t="shared" si="13"/>
        <v>0</v>
      </c>
      <c r="J114" s="5">
        <f t="shared" si="14"/>
        <v>20</v>
      </c>
      <c r="K114" s="5">
        <f t="shared" si="15"/>
        <v>0.85</v>
      </c>
    </row>
    <row r="115" spans="1:11" x14ac:dyDescent="0.35">
      <c r="A115" s="5">
        <v>563034</v>
      </c>
      <c r="B115" s="5">
        <v>10125</v>
      </c>
      <c r="C115" s="5">
        <v>40</v>
      </c>
      <c r="D115" s="6">
        <v>40766.620138888888</v>
      </c>
      <c r="E115" s="8">
        <v>0.85</v>
      </c>
      <c r="F115" s="5">
        <v>17644</v>
      </c>
      <c r="G115" s="5" t="s">
        <v>8</v>
      </c>
      <c r="H115" s="5" t="b">
        <f t="shared" si="12"/>
        <v>0</v>
      </c>
      <c r="I115" s="5" t="b">
        <f t="shared" si="13"/>
        <v>0</v>
      </c>
      <c r="J115" s="5">
        <f t="shared" si="14"/>
        <v>40</v>
      </c>
      <c r="K115" s="5">
        <f t="shared" si="15"/>
        <v>0.85</v>
      </c>
    </row>
    <row r="116" spans="1:11" x14ac:dyDescent="0.35">
      <c r="A116" s="5">
        <v>563744</v>
      </c>
      <c r="B116" s="5">
        <v>10125</v>
      </c>
      <c r="C116" s="5">
        <v>20</v>
      </c>
      <c r="D116" s="6">
        <v>40774.399305555555</v>
      </c>
      <c r="E116" s="8">
        <v>0.85</v>
      </c>
      <c r="F116" s="5">
        <v>13266</v>
      </c>
      <c r="G116" s="5" t="s">
        <v>8</v>
      </c>
      <c r="H116" s="5" t="b">
        <f t="shared" si="12"/>
        <v>0</v>
      </c>
      <c r="I116" s="5" t="b">
        <f t="shared" si="13"/>
        <v>0</v>
      </c>
      <c r="J116" s="5">
        <f t="shared" si="14"/>
        <v>20</v>
      </c>
      <c r="K116" s="5">
        <f t="shared" si="15"/>
        <v>0.85</v>
      </c>
    </row>
    <row r="117" spans="1:11" x14ac:dyDescent="0.35">
      <c r="A117" s="5">
        <v>564300</v>
      </c>
      <c r="B117" s="5">
        <v>10125</v>
      </c>
      <c r="C117" s="5">
        <v>5</v>
      </c>
      <c r="D117" s="6">
        <v>40779.479861111111</v>
      </c>
      <c r="E117" s="8">
        <v>0.85</v>
      </c>
      <c r="F117" s="5">
        <v>16723</v>
      </c>
      <c r="G117" s="5" t="s">
        <v>8</v>
      </c>
      <c r="H117" s="5" t="b">
        <f t="shared" si="12"/>
        <v>0</v>
      </c>
      <c r="I117" s="5" t="b">
        <f t="shared" si="13"/>
        <v>0</v>
      </c>
      <c r="J117" s="5">
        <f t="shared" si="14"/>
        <v>5</v>
      </c>
      <c r="K117" s="5">
        <f t="shared" si="15"/>
        <v>0.85</v>
      </c>
    </row>
    <row r="118" spans="1:11" x14ac:dyDescent="0.35">
      <c r="A118" s="5">
        <v>564337</v>
      </c>
      <c r="B118" s="5">
        <v>10125</v>
      </c>
      <c r="C118" s="5">
        <v>20</v>
      </c>
      <c r="D118" s="6">
        <v>40779.611111111109</v>
      </c>
      <c r="E118" s="8">
        <v>0.85</v>
      </c>
      <c r="F118" s="5">
        <v>12649</v>
      </c>
      <c r="G118" s="5" t="s">
        <v>21</v>
      </c>
      <c r="H118" s="5" t="b">
        <f t="shared" si="12"/>
        <v>0</v>
      </c>
      <c r="I118" s="5" t="b">
        <f t="shared" si="13"/>
        <v>0</v>
      </c>
      <c r="J118" s="5">
        <f t="shared" si="14"/>
        <v>20</v>
      </c>
      <c r="K118" s="5">
        <f t="shared" si="15"/>
        <v>0.85</v>
      </c>
    </row>
    <row r="119" spans="1:11" x14ac:dyDescent="0.35">
      <c r="A119" s="5">
        <v>565585</v>
      </c>
      <c r="B119" s="5">
        <v>10125</v>
      </c>
      <c r="C119" s="5">
        <v>20</v>
      </c>
      <c r="D119" s="6">
        <v>40791.556944444441</v>
      </c>
      <c r="E119" s="8">
        <v>0.85</v>
      </c>
      <c r="F119" s="5">
        <v>16172</v>
      </c>
      <c r="G119" s="5" t="s">
        <v>8</v>
      </c>
      <c r="H119" s="5" t="b">
        <f t="shared" si="12"/>
        <v>0</v>
      </c>
      <c r="I119" s="5" t="b">
        <f t="shared" si="13"/>
        <v>0</v>
      </c>
      <c r="J119" s="5">
        <f t="shared" si="14"/>
        <v>20</v>
      </c>
      <c r="K119" s="5">
        <f t="shared" si="15"/>
        <v>0.85</v>
      </c>
    </row>
    <row r="120" spans="1:11" x14ac:dyDescent="0.35">
      <c r="A120" s="5">
        <v>568568</v>
      </c>
      <c r="B120" s="5">
        <v>10125</v>
      </c>
      <c r="C120" s="5">
        <v>20</v>
      </c>
      <c r="D120" s="6">
        <v>40814.366666666669</v>
      </c>
      <c r="E120" s="8">
        <v>0.85</v>
      </c>
      <c r="F120" s="5">
        <v>14412</v>
      </c>
      <c r="G120" s="5" t="s">
        <v>8</v>
      </c>
      <c r="H120" s="5" t="b">
        <f t="shared" si="12"/>
        <v>0</v>
      </c>
      <c r="I120" s="5" t="b">
        <f t="shared" si="13"/>
        <v>0</v>
      </c>
      <c r="J120" s="5">
        <f t="shared" si="14"/>
        <v>20</v>
      </c>
      <c r="K120" s="5">
        <f t="shared" si="15"/>
        <v>0.85</v>
      </c>
    </row>
    <row r="121" spans="1:11" x14ac:dyDescent="0.35">
      <c r="A121" s="5">
        <v>568650</v>
      </c>
      <c r="B121" s="5">
        <v>10125</v>
      </c>
      <c r="C121" s="5">
        <v>20</v>
      </c>
      <c r="D121" s="6">
        <v>40814.49722222222</v>
      </c>
      <c r="E121" s="8">
        <v>0.85</v>
      </c>
      <c r="F121" s="5">
        <v>13505</v>
      </c>
      <c r="G121" s="5" t="s">
        <v>16</v>
      </c>
      <c r="H121" s="5" t="b">
        <f t="shared" si="12"/>
        <v>0</v>
      </c>
      <c r="I121" s="5" t="b">
        <f t="shared" si="13"/>
        <v>0</v>
      </c>
      <c r="J121" s="5">
        <f t="shared" si="14"/>
        <v>20</v>
      </c>
      <c r="K121" s="5">
        <f t="shared" si="15"/>
        <v>0.85</v>
      </c>
    </row>
    <row r="122" spans="1:11" x14ac:dyDescent="0.35">
      <c r="A122" s="5">
        <v>569223</v>
      </c>
      <c r="B122" s="5">
        <v>10125</v>
      </c>
      <c r="C122" s="5">
        <v>7</v>
      </c>
      <c r="D122" s="6">
        <v>40818.575694444444</v>
      </c>
      <c r="E122" s="8">
        <v>0.85</v>
      </c>
      <c r="F122" s="5">
        <v>16283</v>
      </c>
      <c r="G122" s="5" t="s">
        <v>8</v>
      </c>
      <c r="H122" s="5" t="b">
        <f t="shared" si="12"/>
        <v>0</v>
      </c>
      <c r="I122" s="5" t="b">
        <f t="shared" si="13"/>
        <v>0</v>
      </c>
      <c r="J122" s="5">
        <f t="shared" si="14"/>
        <v>7</v>
      </c>
      <c r="K122" s="5">
        <f t="shared" si="15"/>
        <v>0.85</v>
      </c>
    </row>
    <row r="123" spans="1:11" x14ac:dyDescent="0.35">
      <c r="A123" s="5">
        <v>569897</v>
      </c>
      <c r="B123" s="5">
        <v>10125</v>
      </c>
      <c r="C123" s="5">
        <v>3</v>
      </c>
      <c r="D123" s="6">
        <v>40822.667361111111</v>
      </c>
      <c r="E123" s="8">
        <v>0.85</v>
      </c>
      <c r="F123" s="5">
        <v>17813</v>
      </c>
      <c r="G123" s="5" t="s">
        <v>8</v>
      </c>
      <c r="H123" s="5" t="b">
        <f t="shared" si="12"/>
        <v>0</v>
      </c>
      <c r="I123" s="5" t="b">
        <f t="shared" si="13"/>
        <v>0</v>
      </c>
      <c r="J123" s="5">
        <f t="shared" si="14"/>
        <v>3</v>
      </c>
      <c r="K123" s="5">
        <f t="shared" si="15"/>
        <v>0.85</v>
      </c>
    </row>
    <row r="124" spans="1:11" x14ac:dyDescent="0.35">
      <c r="A124" s="5">
        <v>570187</v>
      </c>
      <c r="B124" s="5">
        <v>10125</v>
      </c>
      <c r="C124" s="5">
        <v>1</v>
      </c>
      <c r="D124" s="6">
        <v>40823.631249999999</v>
      </c>
      <c r="E124" s="8">
        <v>1.63</v>
      </c>
      <c r="F124" s="5" t="s">
        <v>1331</v>
      </c>
      <c r="G124" s="5" t="s">
        <v>8</v>
      </c>
      <c r="H124" s="5" t="b">
        <f t="shared" si="12"/>
        <v>0</v>
      </c>
      <c r="I124" s="5" t="b">
        <f t="shared" si="13"/>
        <v>0</v>
      </c>
      <c r="J124" s="5">
        <f t="shared" si="14"/>
        <v>1</v>
      </c>
      <c r="K124" s="5">
        <f t="shared" si="15"/>
        <v>1.63</v>
      </c>
    </row>
    <row r="125" spans="1:11" x14ac:dyDescent="0.35">
      <c r="A125" s="5">
        <v>571328</v>
      </c>
      <c r="B125" s="5">
        <v>10125</v>
      </c>
      <c r="C125" s="5">
        <v>20</v>
      </c>
      <c r="D125" s="6">
        <v>40833.477083333331</v>
      </c>
      <c r="E125" s="8">
        <v>0.85</v>
      </c>
      <c r="F125" s="5">
        <v>12473</v>
      </c>
      <c r="G125" s="5" t="s">
        <v>21</v>
      </c>
      <c r="H125" s="5" t="b">
        <f t="shared" si="12"/>
        <v>0</v>
      </c>
      <c r="I125" s="5" t="b">
        <f t="shared" si="13"/>
        <v>0</v>
      </c>
      <c r="J125" s="5">
        <f t="shared" si="14"/>
        <v>20</v>
      </c>
      <c r="K125" s="5">
        <f t="shared" si="15"/>
        <v>0.85</v>
      </c>
    </row>
    <row r="126" spans="1:11" x14ac:dyDescent="0.35">
      <c r="A126" s="5">
        <v>572558</v>
      </c>
      <c r="B126" s="5">
        <v>10125</v>
      </c>
      <c r="C126" s="5">
        <v>20</v>
      </c>
      <c r="D126" s="6">
        <v>40841.351388888892</v>
      </c>
      <c r="E126" s="8">
        <v>0.85</v>
      </c>
      <c r="F126" s="5">
        <v>14286</v>
      </c>
      <c r="G126" s="5" t="s">
        <v>8</v>
      </c>
      <c r="H126" s="5" t="b">
        <f t="shared" si="12"/>
        <v>0</v>
      </c>
      <c r="I126" s="5" t="b">
        <f t="shared" si="13"/>
        <v>0</v>
      </c>
      <c r="J126" s="5">
        <f t="shared" si="14"/>
        <v>20</v>
      </c>
      <c r="K126" s="5">
        <f t="shared" si="15"/>
        <v>0.85</v>
      </c>
    </row>
    <row r="127" spans="1:11" x14ac:dyDescent="0.35">
      <c r="A127" s="5">
        <v>574530</v>
      </c>
      <c r="B127" s="5">
        <v>10125</v>
      </c>
      <c r="C127" s="5">
        <v>2</v>
      </c>
      <c r="D127" s="6">
        <v>40851.588194444441</v>
      </c>
      <c r="E127" s="8">
        <v>0.85</v>
      </c>
      <c r="F127" s="5">
        <v>16887</v>
      </c>
      <c r="G127" s="5" t="s">
        <v>8</v>
      </c>
      <c r="H127" s="5" t="b">
        <f t="shared" si="12"/>
        <v>0</v>
      </c>
      <c r="I127" s="5" t="b">
        <f t="shared" si="13"/>
        <v>0</v>
      </c>
      <c r="J127" s="5">
        <f t="shared" si="14"/>
        <v>2</v>
      </c>
      <c r="K127" s="5">
        <f t="shared" si="15"/>
        <v>0.85</v>
      </c>
    </row>
    <row r="128" spans="1:11" x14ac:dyDescent="0.35">
      <c r="A128" s="5">
        <v>581494</v>
      </c>
      <c r="B128" s="5">
        <v>10125</v>
      </c>
      <c r="C128" s="5">
        <v>20</v>
      </c>
      <c r="D128" s="6">
        <v>40886.425694444442</v>
      </c>
      <c r="E128" s="8">
        <v>0.85</v>
      </c>
      <c r="F128" s="5">
        <v>12518</v>
      </c>
      <c r="G128" s="5" t="s">
        <v>21</v>
      </c>
      <c r="H128" s="5" t="b">
        <f t="shared" si="12"/>
        <v>0</v>
      </c>
      <c r="I128" s="5" t="b">
        <f t="shared" si="13"/>
        <v>0</v>
      </c>
      <c r="J128" s="5">
        <f t="shared" si="14"/>
        <v>20</v>
      </c>
      <c r="K128" s="5">
        <f t="shared" si="15"/>
        <v>0.85</v>
      </c>
    </row>
    <row r="132" spans="5:10" x14ac:dyDescent="0.35">
      <c r="J132" t="s">
        <v>1338</v>
      </c>
    </row>
    <row r="133" spans="5:10" x14ac:dyDescent="0.35">
      <c r="E133"/>
      <c r="F133"/>
      <c r="G133"/>
    </row>
    <row r="134" spans="5:10" x14ac:dyDescent="0.35">
      <c r="E134"/>
      <c r="F134"/>
      <c r="G134"/>
    </row>
    <row r="135" spans="5:10" x14ac:dyDescent="0.35">
      <c r="E135"/>
      <c r="F135"/>
      <c r="G135"/>
    </row>
    <row r="136" spans="5:10" x14ac:dyDescent="0.35">
      <c r="E136"/>
      <c r="F136"/>
      <c r="G136"/>
    </row>
    <row r="137" spans="5:10" x14ac:dyDescent="0.35">
      <c r="E137"/>
      <c r="F137"/>
      <c r="G137"/>
    </row>
    <row r="138" spans="5:10" x14ac:dyDescent="0.35">
      <c r="E138"/>
      <c r="F138"/>
      <c r="G138"/>
    </row>
  </sheetData>
  <conditionalFormatting sqref="C1:C1048576">
    <cfRule type="colorScale" priority="4">
      <colorScale>
        <cfvo type="num" val="-28.5"/>
        <cfvo type="num" val="55.5"/>
        <color theme="8" tint="0.79998168889431442"/>
        <color theme="8" tint="-0.249977111117893"/>
      </colorScale>
    </cfRule>
    <cfRule type="colorScale" priority="6">
      <colorScale>
        <cfvo type="min"/>
        <cfvo type="max"/>
        <color theme="8" tint="0.79998168889431442"/>
        <color theme="8"/>
      </colorScale>
    </cfRule>
  </conditionalFormatting>
  <conditionalFormatting sqref="C2:C128">
    <cfRule type="colorScale" priority="319">
      <colorScale>
        <cfvo type="min"/>
        <cfvo type="max"/>
        <color theme="8" tint="0.79998168889431442"/>
        <color theme="8" tint="-0.249977111117893"/>
      </colorScale>
    </cfRule>
    <cfRule type="colorScale" priority="320">
      <colorScale>
        <cfvo type="num" val="0"/>
        <cfvo type="num" val="100"/>
        <color theme="8" tint="0.79998168889431442"/>
        <color theme="8" tint="-0.249977111117893"/>
      </colorScale>
    </cfRule>
  </conditionalFormatting>
  <conditionalFormatting sqref="C3">
    <cfRule type="duplicateValues" dxfId="8" priority="1"/>
  </conditionalFormatting>
  <conditionalFormatting sqref="E1:E1048576">
    <cfRule type="colorScale" priority="3">
      <colorScale>
        <cfvo type="num" val="0.48"/>
        <cfvo type="num" val="1.57"/>
        <color theme="8" tint="0.79998168889431442"/>
        <color theme="8" tint="-0.249977111117893"/>
      </colorScale>
    </cfRule>
  </conditionalFormatting>
  <conditionalFormatting sqref="E139:E1048576 E1:E132">
    <cfRule type="colorScale" priority="5">
      <colorScale>
        <cfvo type="min"/>
        <cfvo type="max"/>
        <color theme="8" tint="0.79998168889431442"/>
        <color theme="8" tint="-0.249977111117893"/>
      </colorScale>
    </cfRule>
  </conditionalFormatting>
  <conditionalFormatting sqref="O20">
    <cfRule type="colorScale" priority="2">
      <colorScale>
        <cfvo type="min"/>
        <cfvo type="max"/>
        <color theme="8" tint="0.79998168889431442"/>
        <color theme="8" tint="-0.249977111117893"/>
      </colorScale>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39C5E-3374-40B2-BD61-836C6CFD6D3D}">
  <dimension ref="A1:S138"/>
  <sheetViews>
    <sheetView zoomScale="83" workbookViewId="0">
      <selection activeCell="N33" sqref="N33"/>
    </sheetView>
  </sheetViews>
  <sheetFormatPr defaultRowHeight="14.5" x14ac:dyDescent="0.35"/>
  <cols>
    <col min="1" max="1" width="14.08984375" style="5" customWidth="1"/>
    <col min="2" max="2" width="13.453125" style="5" customWidth="1"/>
    <col min="3" max="3" width="16.08984375" style="5" customWidth="1"/>
    <col min="4" max="4" width="22.453125" style="5" bestFit="1" customWidth="1"/>
    <col min="5" max="5" width="13.6328125" style="8" bestFit="1" customWidth="1"/>
    <col min="6" max="6" width="12.90625" style="5" customWidth="1"/>
    <col min="7" max="7" width="13.54296875" style="5" bestFit="1" customWidth="1"/>
    <col min="8" max="12" width="13.54296875" style="5" customWidth="1"/>
    <col min="13" max="13" width="12.08984375" customWidth="1"/>
    <col min="14" max="14" width="12.26953125" bestFit="1" customWidth="1"/>
    <col min="15" max="15" width="30.08984375" customWidth="1"/>
    <col min="16" max="16" width="24.08984375" bestFit="1" customWidth="1"/>
    <col min="17" max="17" width="11.81640625" customWidth="1"/>
  </cols>
  <sheetData>
    <row r="1" spans="1:19" s="7" customFormat="1" x14ac:dyDescent="0.35">
      <c r="A1" s="7" t="s">
        <v>0</v>
      </c>
      <c r="B1" s="7" t="s">
        <v>1</v>
      </c>
      <c r="C1" s="7" t="s">
        <v>2</v>
      </c>
      <c r="D1" s="7" t="s">
        <v>3</v>
      </c>
      <c r="E1" s="8" t="s">
        <v>4</v>
      </c>
      <c r="F1" s="7" t="s">
        <v>5</v>
      </c>
      <c r="G1" s="7" t="s">
        <v>6</v>
      </c>
      <c r="H1" s="7" t="s">
        <v>48</v>
      </c>
      <c r="I1" s="7" t="s">
        <v>49</v>
      </c>
      <c r="J1" s="7" t="s">
        <v>50</v>
      </c>
      <c r="K1" s="7" t="s">
        <v>51</v>
      </c>
      <c r="L1" s="7" t="s">
        <v>52</v>
      </c>
      <c r="M1" s="7" t="s">
        <v>53</v>
      </c>
    </row>
    <row r="2" spans="1:19" x14ac:dyDescent="0.35">
      <c r="A2" s="5">
        <v>536370</v>
      </c>
      <c r="B2" s="5">
        <v>10002</v>
      </c>
      <c r="C2" s="5">
        <v>48</v>
      </c>
      <c r="D2" s="6">
        <v>40513.364583333336</v>
      </c>
      <c r="E2" s="8">
        <v>0.85</v>
      </c>
      <c r="F2" s="5">
        <v>12583</v>
      </c>
      <c r="G2" s="5" t="s">
        <v>7</v>
      </c>
      <c r="H2" s="5">
        <f t="shared" ref="H2:H33" si="0">(C2-1)/(48-1)</f>
        <v>1</v>
      </c>
      <c r="I2" s="5">
        <f t="shared" ref="I2:I33" si="1">(C2-$P$21)/$P$44</f>
        <v>3.3346100318416125</v>
      </c>
      <c r="J2" s="5" t="str">
        <f t="shared" ref="J2:J33" si="2">IF(C2&gt;$P$6, "HIGH", "LOW")</f>
        <v>HIGH</v>
      </c>
      <c r="K2" s="8">
        <f t="shared" ref="K2:K33" si="3">(E2-0.75)/(1.66-0.75)</f>
        <v>0.10989010989010987</v>
      </c>
      <c r="L2" s="8">
        <f t="shared" ref="L2:L33" si="4">(E2-$P$22)/$P$45</f>
        <v>-0.43118590185092137</v>
      </c>
      <c r="M2" s="5" t="str">
        <f t="shared" ref="M2:M33" si="5">IF(E2&gt;$P$7, "HIGH", "LOW")</f>
        <v>LOW</v>
      </c>
    </row>
    <row r="3" spans="1:19" x14ac:dyDescent="0.35">
      <c r="A3" s="5">
        <v>536382</v>
      </c>
      <c r="B3" s="5">
        <v>10002</v>
      </c>
      <c r="C3" s="5">
        <v>12</v>
      </c>
      <c r="D3" s="6">
        <v>40513.40625</v>
      </c>
      <c r="E3" s="8">
        <v>0.85</v>
      </c>
      <c r="F3" s="5">
        <v>16098</v>
      </c>
      <c r="G3" s="5" t="s">
        <v>8</v>
      </c>
      <c r="H3" s="5">
        <f t="shared" si="0"/>
        <v>0.23404255319148937</v>
      </c>
      <c r="I3" s="5">
        <f t="shared" si="1"/>
        <v>6.5076026784813848E-2</v>
      </c>
      <c r="J3" s="5" t="str">
        <f t="shared" si="2"/>
        <v>HIGH</v>
      </c>
      <c r="K3" s="8">
        <f t="shared" si="3"/>
        <v>0.10989010989010987</v>
      </c>
      <c r="L3" s="8">
        <f t="shared" si="4"/>
        <v>-0.43118590185092137</v>
      </c>
      <c r="M3" s="5" t="str">
        <f t="shared" si="5"/>
        <v>LOW</v>
      </c>
    </row>
    <row r="4" spans="1:19" x14ac:dyDescent="0.35">
      <c r="A4" s="5">
        <v>536446</v>
      </c>
      <c r="B4" s="5">
        <v>10133</v>
      </c>
      <c r="C4" s="5">
        <v>5</v>
      </c>
      <c r="D4" s="6">
        <v>40513.510416666664</v>
      </c>
      <c r="E4" s="8">
        <v>0.85</v>
      </c>
      <c r="F4" s="5">
        <v>15983</v>
      </c>
      <c r="G4" s="5" t="s">
        <v>8</v>
      </c>
      <c r="H4" s="5">
        <f t="shared" si="0"/>
        <v>8.5106382978723402E-2</v>
      </c>
      <c r="I4" s="5">
        <f t="shared" si="1"/>
        <v>-0.5706666964206748</v>
      </c>
      <c r="J4" s="5" t="str">
        <f t="shared" si="2"/>
        <v>LOW</v>
      </c>
      <c r="K4" s="8">
        <f t="shared" si="3"/>
        <v>0.10989010989010987</v>
      </c>
      <c r="L4" s="8">
        <f t="shared" si="4"/>
        <v>-0.43118590185092137</v>
      </c>
      <c r="M4" s="5" t="str">
        <f t="shared" si="5"/>
        <v>LOW</v>
      </c>
    </row>
    <row r="5" spans="1:19" x14ac:dyDescent="0.35">
      <c r="A5" s="5">
        <v>536756</v>
      </c>
      <c r="B5" s="5">
        <v>10002</v>
      </c>
      <c r="C5" s="5">
        <v>1</v>
      </c>
      <c r="D5" s="6">
        <v>40514.599305555559</v>
      </c>
      <c r="E5" s="8">
        <v>0.85</v>
      </c>
      <c r="F5" s="5" t="s">
        <v>1331</v>
      </c>
      <c r="G5" s="5" t="s">
        <v>8</v>
      </c>
      <c r="H5" s="5">
        <f t="shared" si="0"/>
        <v>0</v>
      </c>
      <c r="I5" s="5">
        <f t="shared" si="1"/>
        <v>-0.93394825253809688</v>
      </c>
      <c r="J5" s="5" t="str">
        <f t="shared" si="2"/>
        <v>LOW</v>
      </c>
      <c r="K5" s="8">
        <f t="shared" si="3"/>
        <v>0.10989010989010987</v>
      </c>
      <c r="L5" s="8">
        <f t="shared" si="4"/>
        <v>-0.43118590185092137</v>
      </c>
      <c r="M5" s="5" t="str">
        <f t="shared" si="5"/>
        <v>LOW</v>
      </c>
      <c r="N5" s="7"/>
      <c r="O5" s="7"/>
      <c r="P5" s="7"/>
      <c r="Q5" s="7"/>
      <c r="R5" s="7"/>
      <c r="S5" s="7"/>
    </row>
    <row r="6" spans="1:19" x14ac:dyDescent="0.35">
      <c r="A6" s="5">
        <v>536863</v>
      </c>
      <c r="B6" s="5">
        <v>10002</v>
      </c>
      <c r="C6" s="5">
        <v>1</v>
      </c>
      <c r="D6" s="6">
        <v>40515.47152777778</v>
      </c>
      <c r="E6" s="8">
        <v>0.85</v>
      </c>
      <c r="F6" s="5">
        <v>17967</v>
      </c>
      <c r="G6" s="5" t="s">
        <v>8</v>
      </c>
      <c r="H6" s="5">
        <f t="shared" si="0"/>
        <v>0</v>
      </c>
      <c r="I6" s="5">
        <f t="shared" si="1"/>
        <v>-0.93394825253809688</v>
      </c>
      <c r="J6" s="5" t="str">
        <f t="shared" si="2"/>
        <v>LOW</v>
      </c>
      <c r="K6" s="8">
        <f t="shared" si="3"/>
        <v>0.10989010989010987</v>
      </c>
      <c r="L6" s="8">
        <f t="shared" si="4"/>
        <v>-0.43118590185092137</v>
      </c>
      <c r="M6" s="5" t="str">
        <f t="shared" si="5"/>
        <v>LOW</v>
      </c>
      <c r="O6" s="20" t="s">
        <v>26</v>
      </c>
      <c r="P6" s="20">
        <f>AVERAGE(C:C)</f>
        <v>11.283464566929133</v>
      </c>
    </row>
    <row r="7" spans="1:19" x14ac:dyDescent="0.35">
      <c r="A7" s="5">
        <v>536865</v>
      </c>
      <c r="B7" s="5">
        <v>10002</v>
      </c>
      <c r="C7" s="11">
        <v>11</v>
      </c>
      <c r="D7" s="6">
        <v>40515.477777777778</v>
      </c>
      <c r="E7" s="8">
        <v>1.66</v>
      </c>
      <c r="F7" s="5" t="s">
        <v>1331</v>
      </c>
      <c r="G7" s="5" t="s">
        <v>8</v>
      </c>
      <c r="H7" s="5">
        <f t="shared" si="0"/>
        <v>0.21276595744680851</v>
      </c>
      <c r="I7" s="5">
        <f t="shared" si="1"/>
        <v>-2.5744362244541675E-2</v>
      </c>
      <c r="J7" s="5" t="str">
        <f t="shared" si="2"/>
        <v>LOW</v>
      </c>
      <c r="K7" s="8">
        <f t="shared" si="3"/>
        <v>1</v>
      </c>
      <c r="L7" s="8">
        <f t="shared" si="4"/>
        <v>2.0262154124651373</v>
      </c>
      <c r="M7" s="5" t="str">
        <f t="shared" si="5"/>
        <v>HIGH</v>
      </c>
      <c r="O7" s="20" t="s">
        <v>27</v>
      </c>
      <c r="P7" s="21">
        <f>AVERAGE(E:E)</f>
        <v>0.99212598425196663</v>
      </c>
    </row>
    <row r="8" spans="1:19" x14ac:dyDescent="0.35">
      <c r="A8" s="5">
        <v>536876</v>
      </c>
      <c r="B8" s="5">
        <v>10002</v>
      </c>
      <c r="C8" s="5">
        <v>2</v>
      </c>
      <c r="D8" s="6">
        <v>40515.48333333333</v>
      </c>
      <c r="E8" s="8">
        <v>1.66</v>
      </c>
      <c r="F8" s="5" t="s">
        <v>1331</v>
      </c>
      <c r="G8" s="5" t="s">
        <v>8</v>
      </c>
      <c r="H8" s="5">
        <f t="shared" si="0"/>
        <v>2.1276595744680851E-2</v>
      </c>
      <c r="I8" s="5">
        <f t="shared" si="1"/>
        <v>-0.84312786350874136</v>
      </c>
      <c r="J8" s="5" t="str">
        <f t="shared" si="2"/>
        <v>LOW</v>
      </c>
      <c r="K8" s="8">
        <f t="shared" si="3"/>
        <v>1</v>
      </c>
      <c r="L8" s="8">
        <f t="shared" si="4"/>
        <v>2.0262154124651373</v>
      </c>
      <c r="M8" s="5" t="str">
        <f t="shared" si="5"/>
        <v>HIGH</v>
      </c>
      <c r="O8" s="20"/>
      <c r="P8" s="20"/>
    </row>
    <row r="9" spans="1:19" x14ac:dyDescent="0.35">
      <c r="A9" s="5">
        <v>536876</v>
      </c>
      <c r="B9" s="5">
        <v>10133</v>
      </c>
      <c r="C9" s="5">
        <v>1</v>
      </c>
      <c r="D9" s="6">
        <v>40515.48333333333</v>
      </c>
      <c r="E9" s="8">
        <v>1.66</v>
      </c>
      <c r="F9" s="5" t="s">
        <v>1331</v>
      </c>
      <c r="G9" s="5" t="s">
        <v>8</v>
      </c>
      <c r="H9" s="5">
        <f t="shared" si="0"/>
        <v>0</v>
      </c>
      <c r="I9" s="5">
        <f t="shared" si="1"/>
        <v>-0.93394825253809688</v>
      </c>
      <c r="J9" s="5" t="str">
        <f t="shared" si="2"/>
        <v>LOW</v>
      </c>
      <c r="K9" s="8">
        <f t="shared" si="3"/>
        <v>1</v>
      </c>
      <c r="L9" s="8">
        <f t="shared" si="4"/>
        <v>2.0262154124651373</v>
      </c>
      <c r="M9" s="5" t="str">
        <f t="shared" si="5"/>
        <v>HIGH</v>
      </c>
      <c r="O9" s="20"/>
      <c r="P9" s="20"/>
    </row>
    <row r="10" spans="1:19" x14ac:dyDescent="0.35">
      <c r="A10" s="5">
        <v>537225</v>
      </c>
      <c r="B10" s="5">
        <v>10133</v>
      </c>
      <c r="C10" s="5">
        <v>10</v>
      </c>
      <c r="D10" s="10">
        <v>40517</v>
      </c>
      <c r="E10" s="8">
        <v>0.85</v>
      </c>
      <c r="F10" s="5">
        <v>12748</v>
      </c>
      <c r="G10" s="5" t="s">
        <v>8</v>
      </c>
      <c r="H10" s="5">
        <f t="shared" si="0"/>
        <v>0.19148936170212766</v>
      </c>
      <c r="I10" s="5">
        <f t="shared" si="1"/>
        <v>-0.11656475127389719</v>
      </c>
      <c r="J10" s="5" t="str">
        <f t="shared" si="2"/>
        <v>LOW</v>
      </c>
      <c r="K10" s="8">
        <f t="shared" si="3"/>
        <v>0.10989010989010987</v>
      </c>
      <c r="L10" s="8">
        <f t="shared" si="4"/>
        <v>-0.43118590185092137</v>
      </c>
      <c r="M10" s="5" t="str">
        <f t="shared" si="5"/>
        <v>LOW</v>
      </c>
      <c r="O10" s="20" t="s">
        <v>28</v>
      </c>
      <c r="P10" s="20">
        <f>MAX(C:C)</f>
        <v>48</v>
      </c>
    </row>
    <row r="11" spans="1:19" x14ac:dyDescent="0.35">
      <c r="A11" s="5">
        <v>537047</v>
      </c>
      <c r="B11" s="5">
        <v>10002</v>
      </c>
      <c r="C11" s="5">
        <v>1</v>
      </c>
      <c r="D11" s="6">
        <v>40517.459722222222</v>
      </c>
      <c r="E11" s="8">
        <v>0.85</v>
      </c>
      <c r="F11" s="5">
        <v>13069</v>
      </c>
      <c r="G11" s="5" t="s">
        <v>8</v>
      </c>
      <c r="H11" s="5">
        <f t="shared" si="0"/>
        <v>0</v>
      </c>
      <c r="I11" s="5">
        <f t="shared" si="1"/>
        <v>-0.93394825253809688</v>
      </c>
      <c r="J11" s="5" t="str">
        <f t="shared" si="2"/>
        <v>LOW</v>
      </c>
      <c r="K11" s="8">
        <f t="shared" si="3"/>
        <v>0.10989010989010987</v>
      </c>
      <c r="L11" s="8">
        <f t="shared" si="4"/>
        <v>-0.43118590185092137</v>
      </c>
      <c r="M11" s="5" t="str">
        <f t="shared" si="5"/>
        <v>LOW</v>
      </c>
      <c r="O11" s="20" t="s">
        <v>29</v>
      </c>
      <c r="P11" s="20">
        <f>MIN(C:C)</f>
        <v>1</v>
      </c>
    </row>
    <row r="12" spans="1:19" x14ac:dyDescent="0.35">
      <c r="A12" s="5">
        <v>537126</v>
      </c>
      <c r="B12" s="5">
        <v>10133</v>
      </c>
      <c r="C12" s="5">
        <v>1</v>
      </c>
      <c r="D12" s="6">
        <v>40517.509027777778</v>
      </c>
      <c r="E12" s="8">
        <v>0.85</v>
      </c>
      <c r="F12" s="5">
        <v>18118</v>
      </c>
      <c r="G12" s="5" t="s">
        <v>8</v>
      </c>
      <c r="H12" s="5">
        <f t="shared" si="0"/>
        <v>0</v>
      </c>
      <c r="I12" s="5">
        <f t="shared" si="1"/>
        <v>-0.93394825253809688</v>
      </c>
      <c r="J12" s="5" t="str">
        <f t="shared" si="2"/>
        <v>LOW</v>
      </c>
      <c r="K12" s="8">
        <f t="shared" si="3"/>
        <v>0.10989010989010987</v>
      </c>
      <c r="L12" s="8">
        <f t="shared" si="4"/>
        <v>-0.43118590185092137</v>
      </c>
      <c r="M12" s="5" t="str">
        <f t="shared" si="5"/>
        <v>LOW</v>
      </c>
      <c r="O12" s="20"/>
      <c r="P12" s="20"/>
    </row>
    <row r="13" spans="1:19" x14ac:dyDescent="0.35">
      <c r="A13" s="5">
        <v>537155</v>
      </c>
      <c r="B13" s="5">
        <v>10133</v>
      </c>
      <c r="C13" s="5">
        <v>3</v>
      </c>
      <c r="D13" s="6">
        <v>40517.545138888891</v>
      </c>
      <c r="E13" s="8">
        <v>0.85</v>
      </c>
      <c r="F13" s="5">
        <v>12748</v>
      </c>
      <c r="G13" s="5" t="s">
        <v>8</v>
      </c>
      <c r="H13" s="5">
        <f t="shared" si="0"/>
        <v>4.2553191489361701E-2</v>
      </c>
      <c r="I13" s="5">
        <f t="shared" si="1"/>
        <v>-0.75230747447938584</v>
      </c>
      <c r="J13" s="5" t="str">
        <f t="shared" si="2"/>
        <v>LOW</v>
      </c>
      <c r="K13" s="8">
        <f t="shared" si="3"/>
        <v>0.10989010989010987</v>
      </c>
      <c r="L13" s="8">
        <f t="shared" si="4"/>
        <v>-0.43118590185092137</v>
      </c>
      <c r="M13" s="5" t="str">
        <f t="shared" si="5"/>
        <v>LOW</v>
      </c>
      <c r="O13" s="20" t="s">
        <v>30</v>
      </c>
      <c r="P13" s="20">
        <f>_xlfn.STDEV.S(C:C)</f>
        <v>11.010743410015277</v>
      </c>
    </row>
    <row r="14" spans="1:19" x14ac:dyDescent="0.35">
      <c r="A14" s="5">
        <v>537227</v>
      </c>
      <c r="B14" s="5">
        <v>10002</v>
      </c>
      <c r="C14" s="5">
        <v>24</v>
      </c>
      <c r="D14" s="6">
        <v>40518.362500000003</v>
      </c>
      <c r="E14" s="8">
        <v>0.85</v>
      </c>
      <c r="F14" s="5">
        <v>17677</v>
      </c>
      <c r="G14" s="5" t="s">
        <v>8</v>
      </c>
      <c r="H14" s="5">
        <f t="shared" si="0"/>
        <v>0.48936170212765956</v>
      </c>
      <c r="I14" s="5">
        <f t="shared" si="1"/>
        <v>1.1549206951370801</v>
      </c>
      <c r="J14" s="5" t="str">
        <f t="shared" si="2"/>
        <v>HIGH</v>
      </c>
      <c r="K14" s="8">
        <f t="shared" si="3"/>
        <v>0.10989010989010987</v>
      </c>
      <c r="L14" s="8">
        <f t="shared" si="4"/>
        <v>-0.43118590185092137</v>
      </c>
      <c r="M14" s="5" t="str">
        <f t="shared" si="5"/>
        <v>LOW</v>
      </c>
      <c r="O14" s="20" t="s">
        <v>31</v>
      </c>
      <c r="P14" s="20">
        <f>_xlfn.STDEV.S(E:E)</f>
        <v>0.32961649173099689</v>
      </c>
    </row>
    <row r="15" spans="1:19" x14ac:dyDescent="0.35">
      <c r="A15" s="5">
        <v>537240</v>
      </c>
      <c r="B15" s="5">
        <v>10002</v>
      </c>
      <c r="C15" s="5">
        <v>1</v>
      </c>
      <c r="D15" s="6">
        <v>40518.422222222223</v>
      </c>
      <c r="E15" s="8">
        <v>1.66</v>
      </c>
      <c r="F15" s="5" t="s">
        <v>1331</v>
      </c>
      <c r="G15" s="5" t="s">
        <v>8</v>
      </c>
      <c r="H15" s="5">
        <f t="shared" si="0"/>
        <v>0</v>
      </c>
      <c r="I15" s="5">
        <f t="shared" si="1"/>
        <v>-0.93394825253809688</v>
      </c>
      <c r="J15" s="5" t="str">
        <f t="shared" si="2"/>
        <v>LOW</v>
      </c>
      <c r="K15" s="8">
        <f t="shared" si="3"/>
        <v>1</v>
      </c>
      <c r="L15" s="8">
        <f t="shared" si="4"/>
        <v>2.0262154124651373</v>
      </c>
      <c r="M15" s="5" t="str">
        <f t="shared" si="5"/>
        <v>HIGH</v>
      </c>
    </row>
    <row r="16" spans="1:19" x14ac:dyDescent="0.35">
      <c r="A16" s="5">
        <v>537374</v>
      </c>
      <c r="B16" s="5">
        <v>10133</v>
      </c>
      <c r="C16" s="5">
        <v>2</v>
      </c>
      <c r="D16" s="6">
        <v>40518.538194444445</v>
      </c>
      <c r="E16" s="8">
        <v>0.85</v>
      </c>
      <c r="F16" s="5">
        <v>17259</v>
      </c>
      <c r="G16" s="5" t="s">
        <v>8</v>
      </c>
      <c r="H16" s="5">
        <f t="shared" si="0"/>
        <v>2.1276595744680851E-2</v>
      </c>
      <c r="I16" s="5">
        <f t="shared" si="1"/>
        <v>-0.84312786350874136</v>
      </c>
      <c r="J16" s="5" t="str">
        <f t="shared" si="2"/>
        <v>LOW</v>
      </c>
      <c r="K16" s="8">
        <f t="shared" si="3"/>
        <v>0.10989010989010987</v>
      </c>
      <c r="L16" s="8">
        <f t="shared" si="4"/>
        <v>-0.43118590185092137</v>
      </c>
      <c r="M16" s="5" t="str">
        <f t="shared" si="5"/>
        <v>LOW</v>
      </c>
    </row>
    <row r="17" spans="1:16" x14ac:dyDescent="0.35">
      <c r="A17" s="5">
        <v>537638</v>
      </c>
      <c r="B17" s="5">
        <v>10002</v>
      </c>
      <c r="C17" s="5">
        <v>5</v>
      </c>
      <c r="D17" s="6">
        <v>40519.644444444442</v>
      </c>
      <c r="E17" s="8">
        <v>1.66</v>
      </c>
      <c r="F17" s="5" t="s">
        <v>1331</v>
      </c>
      <c r="G17" s="5" t="s">
        <v>8</v>
      </c>
      <c r="H17" s="5">
        <f t="shared" si="0"/>
        <v>8.5106382978723402E-2</v>
      </c>
      <c r="I17" s="5">
        <f t="shared" si="1"/>
        <v>-0.5706666964206748</v>
      </c>
      <c r="J17" s="5" t="str">
        <f t="shared" si="2"/>
        <v>LOW</v>
      </c>
      <c r="K17" s="8">
        <f t="shared" si="3"/>
        <v>1</v>
      </c>
      <c r="L17" s="8">
        <f t="shared" si="4"/>
        <v>2.0262154124651373</v>
      </c>
      <c r="M17" s="5" t="str">
        <f t="shared" si="5"/>
        <v>HIGH</v>
      </c>
    </row>
    <row r="18" spans="1:16" x14ac:dyDescent="0.35">
      <c r="A18" s="5">
        <v>538064</v>
      </c>
      <c r="B18" s="5">
        <v>10133</v>
      </c>
      <c r="C18" s="5">
        <v>2</v>
      </c>
      <c r="D18" s="6">
        <v>40521.574305555558</v>
      </c>
      <c r="E18" s="8">
        <v>0.85</v>
      </c>
      <c r="F18" s="5">
        <v>15271</v>
      </c>
      <c r="G18" s="5" t="s">
        <v>8</v>
      </c>
      <c r="H18" s="5">
        <f t="shared" si="0"/>
        <v>2.1276595744680851E-2</v>
      </c>
      <c r="I18" s="5">
        <f t="shared" si="1"/>
        <v>-0.84312786350874136</v>
      </c>
      <c r="J18" s="5" t="str">
        <f t="shared" si="2"/>
        <v>LOW</v>
      </c>
      <c r="K18" s="8">
        <f t="shared" si="3"/>
        <v>0.10989010989010987</v>
      </c>
      <c r="L18" s="8">
        <f t="shared" si="4"/>
        <v>-0.43118590185092137</v>
      </c>
      <c r="M18" s="5" t="str">
        <f t="shared" si="5"/>
        <v>LOW</v>
      </c>
    </row>
    <row r="19" spans="1:16" x14ac:dyDescent="0.35">
      <c r="A19" s="5">
        <v>538070</v>
      </c>
      <c r="B19" s="5">
        <v>10133</v>
      </c>
      <c r="C19" s="5">
        <v>10</v>
      </c>
      <c r="D19" s="6">
        <v>40521.588888888888</v>
      </c>
      <c r="E19" s="8">
        <v>0.85</v>
      </c>
      <c r="F19" s="5">
        <v>16519</v>
      </c>
      <c r="G19" s="5" t="s">
        <v>8</v>
      </c>
      <c r="H19" s="5">
        <f t="shared" si="0"/>
        <v>0.19148936170212766</v>
      </c>
      <c r="I19" s="5">
        <f t="shared" si="1"/>
        <v>-0.11656475127389719</v>
      </c>
      <c r="J19" s="5" t="str">
        <f t="shared" si="2"/>
        <v>LOW</v>
      </c>
      <c r="K19" s="8">
        <f t="shared" si="3"/>
        <v>0.10989010989010987</v>
      </c>
      <c r="L19" s="8">
        <f t="shared" si="4"/>
        <v>-0.43118590185092137</v>
      </c>
      <c r="M19" s="5" t="str">
        <f t="shared" si="5"/>
        <v>LOW</v>
      </c>
    </row>
    <row r="20" spans="1:16" x14ac:dyDescent="0.35">
      <c r="A20" s="5">
        <v>539222</v>
      </c>
      <c r="B20" s="5">
        <v>10133</v>
      </c>
      <c r="C20" s="5">
        <v>10</v>
      </c>
      <c r="D20" s="6">
        <v>40528.541666666664</v>
      </c>
      <c r="E20" s="8">
        <v>0.85</v>
      </c>
      <c r="F20" s="5">
        <v>14621</v>
      </c>
      <c r="G20" s="5" t="s">
        <v>1331</v>
      </c>
      <c r="H20" s="5">
        <f t="shared" si="0"/>
        <v>0.19148936170212766</v>
      </c>
      <c r="I20" s="5">
        <f t="shared" si="1"/>
        <v>-0.11656475127389719</v>
      </c>
      <c r="J20" s="5" t="str">
        <f t="shared" si="2"/>
        <v>LOW</v>
      </c>
      <c r="K20" s="8">
        <f t="shared" si="3"/>
        <v>0.10989010989010987</v>
      </c>
      <c r="L20" s="8">
        <f t="shared" si="4"/>
        <v>-0.43118590185092137</v>
      </c>
      <c r="M20" s="5" t="str">
        <f t="shared" si="5"/>
        <v>LOW</v>
      </c>
    </row>
    <row r="21" spans="1:16" x14ac:dyDescent="0.35">
      <c r="A21" s="5">
        <v>539477</v>
      </c>
      <c r="B21" s="5">
        <v>10133</v>
      </c>
      <c r="C21" s="5">
        <v>10</v>
      </c>
      <c r="D21" s="6">
        <v>40531.623611111114</v>
      </c>
      <c r="E21" s="8">
        <v>0.85</v>
      </c>
      <c r="F21" s="5">
        <v>18245</v>
      </c>
      <c r="G21" s="5" t="s">
        <v>8</v>
      </c>
      <c r="H21" s="5">
        <f t="shared" si="0"/>
        <v>0.19148936170212766</v>
      </c>
      <c r="I21" s="5">
        <f t="shared" si="1"/>
        <v>-0.11656475127389719</v>
      </c>
      <c r="J21" s="5" t="str">
        <f t="shared" si="2"/>
        <v>LOW</v>
      </c>
      <c r="K21" s="8">
        <f t="shared" si="3"/>
        <v>0.10989010989010987</v>
      </c>
      <c r="L21" s="8">
        <f t="shared" si="4"/>
        <v>-0.43118590185092137</v>
      </c>
      <c r="M21" s="5" t="str">
        <f t="shared" si="5"/>
        <v>LOW</v>
      </c>
      <c r="O21" s="30" t="s">
        <v>32</v>
      </c>
      <c r="P21" s="19">
        <f>AVERAGE(C:C)</f>
        <v>11.283464566929133</v>
      </c>
    </row>
    <row r="22" spans="1:16" x14ac:dyDescent="0.35">
      <c r="A22" s="5">
        <v>539933</v>
      </c>
      <c r="B22" s="5">
        <v>10133</v>
      </c>
      <c r="C22" s="5">
        <v>10</v>
      </c>
      <c r="D22" s="6">
        <v>40535.474999999999</v>
      </c>
      <c r="E22" s="8">
        <v>0.85</v>
      </c>
      <c r="F22" s="5">
        <v>15235</v>
      </c>
      <c r="G22" s="5" t="s">
        <v>8</v>
      </c>
      <c r="H22" s="5">
        <f t="shared" si="0"/>
        <v>0.19148936170212766</v>
      </c>
      <c r="I22" s="5">
        <f t="shared" si="1"/>
        <v>-0.11656475127389719</v>
      </c>
      <c r="J22" s="5" t="str">
        <f t="shared" si="2"/>
        <v>LOW</v>
      </c>
      <c r="K22" s="8">
        <f t="shared" si="3"/>
        <v>0.10989010989010987</v>
      </c>
      <c r="L22" s="8">
        <f t="shared" si="4"/>
        <v>-0.43118590185092137</v>
      </c>
      <c r="M22" s="5" t="str">
        <f t="shared" si="5"/>
        <v>LOW</v>
      </c>
      <c r="O22" s="30" t="s">
        <v>33</v>
      </c>
      <c r="P22" s="31">
        <f>AVERAGE(E:E)</f>
        <v>0.99212598425196663</v>
      </c>
    </row>
    <row r="23" spans="1:16" x14ac:dyDescent="0.35">
      <c r="A23" s="5">
        <v>539958</v>
      </c>
      <c r="B23" s="5">
        <v>10133</v>
      </c>
      <c r="C23" s="5">
        <v>6</v>
      </c>
      <c r="D23" s="6">
        <v>40535.55972222222</v>
      </c>
      <c r="E23" s="8">
        <v>0.81</v>
      </c>
      <c r="F23" s="5" t="s">
        <v>1331</v>
      </c>
      <c r="G23" s="5" t="s">
        <v>8</v>
      </c>
      <c r="H23" s="5">
        <f t="shared" si="0"/>
        <v>0.10638297872340426</v>
      </c>
      <c r="I23" s="5">
        <f t="shared" si="1"/>
        <v>-0.47984630739131928</v>
      </c>
      <c r="J23" s="5" t="str">
        <f t="shared" si="2"/>
        <v>LOW</v>
      </c>
      <c r="K23" s="8">
        <f t="shared" si="3"/>
        <v>6.5934065934066005E-2</v>
      </c>
      <c r="L23" s="8">
        <f t="shared" si="4"/>
        <v>-0.55253905317517094</v>
      </c>
      <c r="M23" s="5" t="str">
        <f t="shared" si="5"/>
        <v>LOW</v>
      </c>
      <c r="O23" s="13"/>
      <c r="P23" s="5"/>
    </row>
    <row r="24" spans="1:16" x14ac:dyDescent="0.35">
      <c r="A24" s="5">
        <v>540026</v>
      </c>
      <c r="B24" s="5">
        <v>10133</v>
      </c>
      <c r="C24" s="5">
        <v>1</v>
      </c>
      <c r="D24" s="6">
        <v>40547.559027777781</v>
      </c>
      <c r="E24" s="8">
        <v>0.81</v>
      </c>
      <c r="F24" s="5" t="s">
        <v>1331</v>
      </c>
      <c r="G24" s="5" t="s">
        <v>8</v>
      </c>
      <c r="H24" s="5">
        <f t="shared" si="0"/>
        <v>0</v>
      </c>
      <c r="I24" s="5">
        <f t="shared" si="1"/>
        <v>-0.93394825253809688</v>
      </c>
      <c r="J24" s="5" t="str">
        <f t="shared" si="2"/>
        <v>LOW</v>
      </c>
      <c r="K24" s="8">
        <f t="shared" si="3"/>
        <v>6.5934065934066005E-2</v>
      </c>
      <c r="L24" s="8">
        <f t="shared" si="4"/>
        <v>-0.55253905317517094</v>
      </c>
      <c r="M24" s="5" t="str">
        <f t="shared" si="5"/>
        <v>LOW</v>
      </c>
      <c r="O24" s="13"/>
      <c r="P24" s="5"/>
    </row>
    <row r="25" spans="1:16" x14ac:dyDescent="0.35">
      <c r="A25" s="5">
        <v>540154</v>
      </c>
      <c r="B25" s="5">
        <v>10133</v>
      </c>
      <c r="C25" s="5">
        <v>1</v>
      </c>
      <c r="D25" s="6">
        <v>40548.479166666664</v>
      </c>
      <c r="E25" s="8">
        <v>0.81</v>
      </c>
      <c r="F25" s="5" t="s">
        <v>1331</v>
      </c>
      <c r="G25" s="5" t="s">
        <v>8</v>
      </c>
      <c r="H25" s="5">
        <f t="shared" si="0"/>
        <v>0</v>
      </c>
      <c r="I25" s="5">
        <f t="shared" si="1"/>
        <v>-0.93394825253809688</v>
      </c>
      <c r="J25" s="5" t="str">
        <f t="shared" si="2"/>
        <v>LOW</v>
      </c>
      <c r="K25" s="8">
        <f t="shared" si="3"/>
        <v>6.5934065934066005E-2</v>
      </c>
      <c r="L25" s="8">
        <f t="shared" si="4"/>
        <v>-0.55253905317517094</v>
      </c>
      <c r="M25" s="5" t="str">
        <f t="shared" si="5"/>
        <v>LOW</v>
      </c>
      <c r="O25" s="13"/>
      <c r="P25" s="5"/>
    </row>
    <row r="26" spans="1:16" x14ac:dyDescent="0.35">
      <c r="A26" s="5">
        <v>540352</v>
      </c>
      <c r="B26" s="5">
        <v>10133</v>
      </c>
      <c r="C26" s="5">
        <v>1</v>
      </c>
      <c r="D26" s="6">
        <v>40549.602083333331</v>
      </c>
      <c r="E26" s="8">
        <v>0.81</v>
      </c>
      <c r="F26" s="5" t="s">
        <v>1331</v>
      </c>
      <c r="G26" s="5" t="s">
        <v>8</v>
      </c>
      <c r="H26" s="5">
        <f t="shared" si="0"/>
        <v>0</v>
      </c>
      <c r="I26" s="5">
        <f t="shared" si="1"/>
        <v>-0.93394825253809688</v>
      </c>
      <c r="J26" s="5" t="str">
        <f t="shared" si="2"/>
        <v>LOW</v>
      </c>
      <c r="K26" s="8">
        <f t="shared" si="3"/>
        <v>6.5934065934066005E-2</v>
      </c>
      <c r="L26" s="8">
        <f t="shared" si="4"/>
        <v>-0.55253905317517094</v>
      </c>
      <c r="M26" s="5" t="str">
        <f t="shared" si="5"/>
        <v>LOW</v>
      </c>
      <c r="O26" s="30" t="s">
        <v>34</v>
      </c>
      <c r="P26" s="19">
        <f>AVERAGE(C:C)</f>
        <v>11.283464566929133</v>
      </c>
    </row>
    <row r="27" spans="1:16" x14ac:dyDescent="0.35">
      <c r="A27" s="5">
        <v>540468</v>
      </c>
      <c r="B27" s="5">
        <v>10133</v>
      </c>
      <c r="C27" s="5">
        <v>5</v>
      </c>
      <c r="D27" s="10">
        <v>40550</v>
      </c>
      <c r="E27" s="8">
        <v>0.81</v>
      </c>
      <c r="F27" s="5" t="s">
        <v>1331</v>
      </c>
      <c r="G27" s="5" t="s">
        <v>8</v>
      </c>
      <c r="H27" s="5">
        <f t="shared" si="0"/>
        <v>8.5106382978723402E-2</v>
      </c>
      <c r="I27" s="5">
        <f t="shared" si="1"/>
        <v>-0.5706666964206748</v>
      </c>
      <c r="J27" s="5" t="str">
        <f t="shared" si="2"/>
        <v>LOW</v>
      </c>
      <c r="K27" s="8">
        <f t="shared" si="3"/>
        <v>6.5934065934066005E-2</v>
      </c>
      <c r="L27" s="8">
        <f t="shared" si="4"/>
        <v>-0.55253905317517094</v>
      </c>
      <c r="M27" s="5" t="str">
        <f t="shared" si="5"/>
        <v>LOW</v>
      </c>
      <c r="O27" s="30" t="s">
        <v>35</v>
      </c>
      <c r="P27" s="32">
        <f>AVERAGE(E:E)</f>
        <v>0.99212598425196663</v>
      </c>
    </row>
    <row r="28" spans="1:16" x14ac:dyDescent="0.35">
      <c r="A28" s="5">
        <v>540418</v>
      </c>
      <c r="B28" s="5">
        <v>10133</v>
      </c>
      <c r="C28" s="5">
        <v>3</v>
      </c>
      <c r="D28" s="6">
        <v>40550.461111111108</v>
      </c>
      <c r="E28" s="8">
        <v>0.81</v>
      </c>
      <c r="F28" s="5" t="s">
        <v>1331</v>
      </c>
      <c r="G28" s="5" t="s">
        <v>8</v>
      </c>
      <c r="H28" s="5">
        <f t="shared" si="0"/>
        <v>4.2553191489361701E-2</v>
      </c>
      <c r="I28" s="5">
        <f t="shared" si="1"/>
        <v>-0.75230747447938584</v>
      </c>
      <c r="J28" s="5" t="str">
        <f t="shared" si="2"/>
        <v>LOW</v>
      </c>
      <c r="K28" s="8">
        <f t="shared" si="3"/>
        <v>6.5934065934066005E-2</v>
      </c>
      <c r="L28" s="8">
        <f t="shared" si="4"/>
        <v>-0.55253905317517094</v>
      </c>
      <c r="M28" s="5" t="str">
        <f t="shared" si="5"/>
        <v>LOW</v>
      </c>
      <c r="O28" s="13"/>
      <c r="P28" s="5"/>
    </row>
    <row r="29" spans="1:16" x14ac:dyDescent="0.35">
      <c r="A29" s="5">
        <v>540551</v>
      </c>
      <c r="B29" s="5">
        <v>10133</v>
      </c>
      <c r="C29" s="5">
        <v>1</v>
      </c>
      <c r="D29" s="6">
        <v>40553.404861111114</v>
      </c>
      <c r="E29" s="8">
        <v>0.81</v>
      </c>
      <c r="F29" s="5" t="s">
        <v>1331</v>
      </c>
      <c r="G29" s="5" t="s">
        <v>8</v>
      </c>
      <c r="H29" s="5">
        <f t="shared" si="0"/>
        <v>0</v>
      </c>
      <c r="I29" s="5">
        <f t="shared" si="1"/>
        <v>-0.93394825253809688</v>
      </c>
      <c r="J29" s="5" t="str">
        <f t="shared" si="2"/>
        <v>LOW</v>
      </c>
      <c r="K29" s="8">
        <f t="shared" si="3"/>
        <v>6.5934065934066005E-2</v>
      </c>
      <c r="L29" s="8">
        <f t="shared" si="4"/>
        <v>-0.55253905317517094</v>
      </c>
      <c r="M29" s="5" t="str">
        <f t="shared" si="5"/>
        <v>LOW</v>
      </c>
      <c r="O29" s="30" t="s">
        <v>36</v>
      </c>
      <c r="P29" s="19">
        <f>MIN(C:C)</f>
        <v>1</v>
      </c>
    </row>
    <row r="30" spans="1:16" x14ac:dyDescent="0.35">
      <c r="A30" s="5">
        <v>540646</v>
      </c>
      <c r="B30" s="5">
        <v>10133</v>
      </c>
      <c r="C30" s="5">
        <v>6</v>
      </c>
      <c r="D30" s="6">
        <v>40553.605555555558</v>
      </c>
      <c r="E30" s="8">
        <v>0.81</v>
      </c>
      <c r="F30" s="5" t="s">
        <v>1331</v>
      </c>
      <c r="G30" s="5" t="s">
        <v>8</v>
      </c>
      <c r="H30" s="5">
        <f t="shared" si="0"/>
        <v>0.10638297872340426</v>
      </c>
      <c r="I30" s="5">
        <f t="shared" si="1"/>
        <v>-0.47984630739131928</v>
      </c>
      <c r="J30" s="5" t="str">
        <f t="shared" si="2"/>
        <v>LOW</v>
      </c>
      <c r="K30" s="8">
        <f t="shared" si="3"/>
        <v>6.5934065934066005E-2</v>
      </c>
      <c r="L30" s="8">
        <f t="shared" si="4"/>
        <v>-0.55253905317517094</v>
      </c>
      <c r="M30" s="5" t="str">
        <f t="shared" si="5"/>
        <v>LOW</v>
      </c>
      <c r="O30" s="30" t="s">
        <v>37</v>
      </c>
      <c r="P30" s="19">
        <f>MAX(C:C)</f>
        <v>48</v>
      </c>
    </row>
    <row r="31" spans="1:16" x14ac:dyDescent="0.35">
      <c r="A31" s="5">
        <v>540821</v>
      </c>
      <c r="B31" s="5">
        <v>10133</v>
      </c>
      <c r="C31" s="5">
        <v>3</v>
      </c>
      <c r="D31" s="6">
        <v>40554.552777777775</v>
      </c>
      <c r="E31" s="8">
        <v>0.81</v>
      </c>
      <c r="F31" s="5" t="s">
        <v>1331</v>
      </c>
      <c r="G31" s="5" t="s">
        <v>8</v>
      </c>
      <c r="H31" s="5">
        <f t="shared" si="0"/>
        <v>4.2553191489361701E-2</v>
      </c>
      <c r="I31" s="5">
        <f t="shared" si="1"/>
        <v>-0.75230747447938584</v>
      </c>
      <c r="J31" s="5" t="str">
        <f t="shared" si="2"/>
        <v>LOW</v>
      </c>
      <c r="K31" s="8">
        <f t="shared" si="3"/>
        <v>6.5934065934066005E-2</v>
      </c>
      <c r="L31" s="8">
        <f t="shared" si="4"/>
        <v>-0.55253905317517094</v>
      </c>
      <c r="M31" s="5" t="str">
        <f t="shared" si="5"/>
        <v>LOW</v>
      </c>
      <c r="O31" s="13"/>
      <c r="P31" s="5"/>
    </row>
    <row r="32" spans="1:16" x14ac:dyDescent="0.35">
      <c r="A32" s="5">
        <v>540848</v>
      </c>
      <c r="B32" s="5">
        <v>10133</v>
      </c>
      <c r="C32" s="5">
        <v>7</v>
      </c>
      <c r="D32" s="6">
        <v>40555.393055555556</v>
      </c>
      <c r="E32" s="8">
        <v>0.81</v>
      </c>
      <c r="F32" s="5" t="s">
        <v>1331</v>
      </c>
      <c r="G32" s="5" t="s">
        <v>8</v>
      </c>
      <c r="H32" s="5">
        <f t="shared" si="0"/>
        <v>0.1276595744680851</v>
      </c>
      <c r="I32" s="5">
        <f t="shared" si="1"/>
        <v>-0.38902591836196376</v>
      </c>
      <c r="J32" s="5" t="str">
        <f t="shared" si="2"/>
        <v>LOW</v>
      </c>
      <c r="K32" s="8">
        <f t="shared" si="3"/>
        <v>6.5934065934066005E-2</v>
      </c>
      <c r="L32" s="8">
        <f t="shared" si="4"/>
        <v>-0.55253905317517094</v>
      </c>
      <c r="M32" s="5" t="str">
        <f t="shared" si="5"/>
        <v>LOW</v>
      </c>
      <c r="O32" s="13"/>
      <c r="P32" s="5"/>
    </row>
    <row r="33" spans="1:16" x14ac:dyDescent="0.35">
      <c r="A33" s="5">
        <v>540977</v>
      </c>
      <c r="B33" s="5">
        <v>10133</v>
      </c>
      <c r="C33" s="5">
        <v>1</v>
      </c>
      <c r="D33" s="6">
        <v>40555.625694444447</v>
      </c>
      <c r="E33" s="8">
        <v>0.81</v>
      </c>
      <c r="F33" s="5" t="s">
        <v>1331</v>
      </c>
      <c r="G33" s="5" t="s">
        <v>8</v>
      </c>
      <c r="H33" s="5">
        <f t="shared" si="0"/>
        <v>0</v>
      </c>
      <c r="I33" s="5">
        <f t="shared" si="1"/>
        <v>-0.93394825253809688</v>
      </c>
      <c r="J33" s="5" t="str">
        <f t="shared" si="2"/>
        <v>LOW</v>
      </c>
      <c r="K33" s="8">
        <f t="shared" si="3"/>
        <v>6.5934065934066005E-2</v>
      </c>
      <c r="L33" s="8">
        <f t="shared" si="4"/>
        <v>-0.55253905317517094</v>
      </c>
      <c r="M33" s="5" t="str">
        <f t="shared" si="5"/>
        <v>LOW</v>
      </c>
      <c r="O33" s="30" t="s">
        <v>38</v>
      </c>
      <c r="P33" s="32">
        <f>MIN(E:E)</f>
        <v>0.75</v>
      </c>
    </row>
    <row r="34" spans="1:16" x14ac:dyDescent="0.35">
      <c r="A34" s="5">
        <v>541104</v>
      </c>
      <c r="B34" s="5">
        <v>10133</v>
      </c>
      <c r="C34" s="5">
        <v>4</v>
      </c>
      <c r="D34" s="6">
        <v>40556.603472222225</v>
      </c>
      <c r="E34" s="8">
        <v>0.79</v>
      </c>
      <c r="F34" s="5" t="s">
        <v>1331</v>
      </c>
      <c r="G34" s="5" t="s">
        <v>8</v>
      </c>
      <c r="H34" s="5">
        <f t="shared" ref="H34:H65" si="6">(C34-1)/(48-1)</f>
        <v>6.3829787234042548E-2</v>
      </c>
      <c r="I34" s="5">
        <f t="shared" ref="I34:I65" si="7">(C34-$P$21)/$P$44</f>
        <v>-0.66148708545003032</v>
      </c>
      <c r="J34" s="5" t="str">
        <f t="shared" ref="J34:J65" si="8">IF(C34&gt;$P$6, "HIGH", "LOW")</f>
        <v>LOW</v>
      </c>
      <c r="K34" s="8">
        <f t="shared" ref="K34:K65" si="9">(E34-0.75)/(1.66-0.75)</f>
        <v>4.3956043956044001E-2</v>
      </c>
      <c r="L34" s="8">
        <f t="shared" ref="L34:L65" si="10">(E34-$P$22)/$P$45</f>
        <v>-0.61321562883729586</v>
      </c>
      <c r="M34" s="5" t="str">
        <f t="shared" ref="M34:M65" si="11">IF(E34&gt;$P$7, "HIGH", "LOW")</f>
        <v>LOW</v>
      </c>
      <c r="O34" s="30" t="s">
        <v>39</v>
      </c>
      <c r="P34" s="33">
        <f>MAX(E:E)</f>
        <v>1.66</v>
      </c>
    </row>
    <row r="35" spans="1:16" x14ac:dyDescent="0.35">
      <c r="A35" s="5">
        <v>541219</v>
      </c>
      <c r="B35" s="5">
        <v>10133</v>
      </c>
      <c r="C35" s="5">
        <v>22</v>
      </c>
      <c r="D35" s="6">
        <v>40557.587500000001</v>
      </c>
      <c r="E35" s="8">
        <v>0.79</v>
      </c>
      <c r="F35" s="5" t="s">
        <v>1331</v>
      </c>
      <c r="G35" s="5" t="s">
        <v>8</v>
      </c>
      <c r="H35" s="5">
        <f t="shared" si="6"/>
        <v>0.44680851063829785</v>
      </c>
      <c r="I35" s="5">
        <f t="shared" si="7"/>
        <v>0.97327991707836903</v>
      </c>
      <c r="J35" s="5" t="str">
        <f t="shared" si="8"/>
        <v>HIGH</v>
      </c>
      <c r="K35" s="8">
        <f t="shared" si="9"/>
        <v>4.3956043956044001E-2</v>
      </c>
      <c r="L35" s="8">
        <f t="shared" si="10"/>
        <v>-0.61321562883729586</v>
      </c>
      <c r="M35" s="5" t="str">
        <f t="shared" si="11"/>
        <v>LOW</v>
      </c>
      <c r="O35" s="13"/>
      <c r="P35" s="5"/>
    </row>
    <row r="36" spans="1:16" x14ac:dyDescent="0.35">
      <c r="A36" s="5">
        <v>541422</v>
      </c>
      <c r="B36" s="5">
        <v>10133</v>
      </c>
      <c r="C36" s="5">
        <v>12</v>
      </c>
      <c r="D36" s="6">
        <v>40560.741666666669</v>
      </c>
      <c r="E36" s="8">
        <v>0.79</v>
      </c>
      <c r="F36" s="5" t="s">
        <v>1331</v>
      </c>
      <c r="G36" s="5" t="s">
        <v>8</v>
      </c>
      <c r="H36" s="5">
        <f t="shared" si="6"/>
        <v>0.23404255319148937</v>
      </c>
      <c r="I36" s="5">
        <f t="shared" si="7"/>
        <v>6.5076026784813848E-2</v>
      </c>
      <c r="J36" s="5" t="str">
        <f t="shared" si="8"/>
        <v>HIGH</v>
      </c>
      <c r="K36" s="8">
        <f t="shared" si="9"/>
        <v>4.3956043956044001E-2</v>
      </c>
      <c r="L36" s="8">
        <f t="shared" si="10"/>
        <v>-0.61321562883729586</v>
      </c>
      <c r="M36" s="5" t="str">
        <f t="shared" si="11"/>
        <v>LOW</v>
      </c>
      <c r="O36" s="13"/>
      <c r="P36" s="5"/>
    </row>
    <row r="37" spans="1:16" x14ac:dyDescent="0.35">
      <c r="A37" s="5">
        <v>545060</v>
      </c>
      <c r="B37" s="5">
        <v>10080</v>
      </c>
      <c r="C37" s="5">
        <v>2</v>
      </c>
      <c r="D37" s="6">
        <v>40601.574305555558</v>
      </c>
      <c r="E37" s="8">
        <v>0.85</v>
      </c>
      <c r="F37" s="5">
        <v>15547</v>
      </c>
      <c r="G37" s="5" t="s">
        <v>8</v>
      </c>
      <c r="H37" s="5">
        <f t="shared" si="6"/>
        <v>2.1276595744680851E-2</v>
      </c>
      <c r="I37" s="5">
        <f t="shared" si="7"/>
        <v>-0.84312786350874136</v>
      </c>
      <c r="J37" s="5" t="str">
        <f t="shared" si="8"/>
        <v>LOW</v>
      </c>
      <c r="K37" s="8">
        <f t="shared" si="9"/>
        <v>0.10989010989010987</v>
      </c>
      <c r="L37" s="8">
        <f t="shared" si="10"/>
        <v>-0.43118590185092137</v>
      </c>
      <c r="M37" s="5" t="str">
        <f t="shared" si="11"/>
        <v>LOW</v>
      </c>
      <c r="O37" s="30" t="s">
        <v>40</v>
      </c>
      <c r="P37" s="19" t="s">
        <v>1339</v>
      </c>
    </row>
    <row r="38" spans="1:16" x14ac:dyDescent="0.35">
      <c r="A38" s="5">
        <v>546429</v>
      </c>
      <c r="B38" s="5">
        <v>15036</v>
      </c>
      <c r="C38" s="5">
        <v>12</v>
      </c>
      <c r="D38" s="6">
        <v>40615.642361111109</v>
      </c>
      <c r="E38" s="8">
        <v>0.75</v>
      </c>
      <c r="F38" s="5">
        <v>17611</v>
      </c>
      <c r="G38" s="5" t="s">
        <v>8</v>
      </c>
      <c r="H38" s="5">
        <f t="shared" si="6"/>
        <v>0.23404255319148937</v>
      </c>
      <c r="I38" s="5">
        <f t="shared" si="7"/>
        <v>6.5076026784813848E-2</v>
      </c>
      <c r="J38" s="5" t="str">
        <f t="shared" si="8"/>
        <v>HIGH</v>
      </c>
      <c r="K38" s="8">
        <f t="shared" si="9"/>
        <v>0</v>
      </c>
      <c r="L38" s="8">
        <f t="shared" si="10"/>
        <v>-0.73456878016154581</v>
      </c>
      <c r="M38" s="5" t="str">
        <f t="shared" si="11"/>
        <v>LOW</v>
      </c>
      <c r="O38" s="30" t="s">
        <v>41</v>
      </c>
      <c r="P38" s="19" t="s">
        <v>1340</v>
      </c>
    </row>
    <row r="39" spans="1:16" x14ac:dyDescent="0.35">
      <c r="A39" s="5">
        <v>546530</v>
      </c>
      <c r="B39" s="5">
        <v>15036</v>
      </c>
      <c r="C39" s="5">
        <v>12</v>
      </c>
      <c r="D39" s="6">
        <v>40616.559027777781</v>
      </c>
      <c r="E39" s="8">
        <v>0.75</v>
      </c>
      <c r="F39" s="5">
        <v>17404</v>
      </c>
      <c r="G39" s="5" t="s">
        <v>18</v>
      </c>
      <c r="H39" s="5">
        <f t="shared" si="6"/>
        <v>0.23404255319148937</v>
      </c>
      <c r="I39" s="5">
        <f t="shared" si="7"/>
        <v>6.5076026784813848E-2</v>
      </c>
      <c r="J39" s="5" t="str">
        <f t="shared" si="8"/>
        <v>HIGH</v>
      </c>
      <c r="K39" s="8">
        <f t="shared" si="9"/>
        <v>0</v>
      </c>
      <c r="L39" s="8">
        <f t="shared" si="10"/>
        <v>-0.73456878016154581</v>
      </c>
      <c r="M39" s="5" t="str">
        <f t="shared" si="11"/>
        <v>LOW</v>
      </c>
      <c r="O39" s="13"/>
      <c r="P39" s="5"/>
    </row>
    <row r="40" spans="1:16" x14ac:dyDescent="0.35">
      <c r="A40" s="5">
        <v>546731</v>
      </c>
      <c r="B40" s="5">
        <v>15036</v>
      </c>
      <c r="C40" s="5">
        <v>12</v>
      </c>
      <c r="D40" s="6">
        <v>40618.48541666667</v>
      </c>
      <c r="E40" s="8">
        <v>0.75</v>
      </c>
      <c r="F40" s="5">
        <v>13089</v>
      </c>
      <c r="G40" s="5" t="s">
        <v>8</v>
      </c>
      <c r="H40" s="5">
        <f t="shared" si="6"/>
        <v>0.23404255319148937</v>
      </c>
      <c r="I40" s="5">
        <f t="shared" si="7"/>
        <v>6.5076026784813848E-2</v>
      </c>
      <c r="J40" s="5" t="str">
        <f t="shared" si="8"/>
        <v>HIGH</v>
      </c>
      <c r="K40" s="8">
        <f t="shared" si="9"/>
        <v>0</v>
      </c>
      <c r="L40" s="8">
        <f t="shared" si="10"/>
        <v>-0.73456878016154581</v>
      </c>
      <c r="M40" s="5" t="str">
        <f t="shared" si="11"/>
        <v>LOW</v>
      </c>
      <c r="O40" s="30" t="s">
        <v>42</v>
      </c>
      <c r="P40" s="19" t="s">
        <v>1341</v>
      </c>
    </row>
    <row r="41" spans="1:16" x14ac:dyDescent="0.35">
      <c r="A41" s="5">
        <v>546731</v>
      </c>
      <c r="B41" s="5">
        <v>15036</v>
      </c>
      <c r="C41" s="5">
        <v>24</v>
      </c>
      <c r="D41" s="6">
        <v>40618.48541666667</v>
      </c>
      <c r="E41" s="8">
        <v>0.75</v>
      </c>
      <c r="F41" s="5">
        <v>13089</v>
      </c>
      <c r="G41" s="5" t="s">
        <v>8</v>
      </c>
      <c r="H41" s="5">
        <f t="shared" si="6"/>
        <v>0.48936170212765956</v>
      </c>
      <c r="I41" s="5">
        <f t="shared" si="7"/>
        <v>1.1549206951370801</v>
      </c>
      <c r="J41" s="5" t="str">
        <f t="shared" si="8"/>
        <v>HIGH</v>
      </c>
      <c r="K41" s="8">
        <f t="shared" si="9"/>
        <v>0</v>
      </c>
      <c r="L41" s="8">
        <f t="shared" si="10"/>
        <v>-0.73456878016154581</v>
      </c>
      <c r="M41" s="5" t="str">
        <f t="shared" si="11"/>
        <v>LOW</v>
      </c>
      <c r="O41" s="30" t="s">
        <v>43</v>
      </c>
      <c r="P41" s="19" t="s">
        <v>1342</v>
      </c>
    </row>
    <row r="42" spans="1:16" x14ac:dyDescent="0.35">
      <c r="A42" s="5">
        <v>546774</v>
      </c>
      <c r="B42" s="5">
        <v>15036</v>
      </c>
      <c r="C42" s="5">
        <v>12</v>
      </c>
      <c r="D42" s="6">
        <v>40618.65625</v>
      </c>
      <c r="E42" s="8">
        <v>0.75</v>
      </c>
      <c r="F42" s="5">
        <v>14505</v>
      </c>
      <c r="G42" s="5" t="s">
        <v>8</v>
      </c>
      <c r="H42" s="5">
        <f t="shared" si="6"/>
        <v>0.23404255319148937</v>
      </c>
      <c r="I42" s="5">
        <f t="shared" si="7"/>
        <v>6.5076026784813848E-2</v>
      </c>
      <c r="J42" s="5" t="str">
        <f t="shared" si="8"/>
        <v>HIGH</v>
      </c>
      <c r="K42" s="8">
        <f t="shared" si="9"/>
        <v>0</v>
      </c>
      <c r="L42" s="8">
        <f t="shared" si="10"/>
        <v>-0.73456878016154581</v>
      </c>
      <c r="M42" s="5" t="str">
        <f t="shared" si="11"/>
        <v>LOW</v>
      </c>
      <c r="O42" s="13"/>
      <c r="P42" s="5"/>
    </row>
    <row r="43" spans="1:16" x14ac:dyDescent="0.35">
      <c r="A43" s="5">
        <v>546884</v>
      </c>
      <c r="B43" s="5">
        <v>15036</v>
      </c>
      <c r="C43" s="5">
        <v>1</v>
      </c>
      <c r="D43" s="6">
        <v>40619.755555555559</v>
      </c>
      <c r="E43" s="8">
        <v>1.63</v>
      </c>
      <c r="F43" s="5" t="s">
        <v>1331</v>
      </c>
      <c r="G43" s="5" t="s">
        <v>8</v>
      </c>
      <c r="H43" s="5">
        <f t="shared" si="6"/>
        <v>0</v>
      </c>
      <c r="I43" s="5">
        <f t="shared" si="7"/>
        <v>-0.93394825253809688</v>
      </c>
      <c r="J43" s="5" t="str">
        <f t="shared" si="8"/>
        <v>LOW</v>
      </c>
      <c r="K43" s="8">
        <f t="shared" si="9"/>
        <v>0.96703296703296704</v>
      </c>
      <c r="L43" s="8">
        <f t="shared" si="10"/>
        <v>1.9352005489719497</v>
      </c>
      <c r="M43" s="5" t="str">
        <f t="shared" si="11"/>
        <v>HIGH</v>
      </c>
      <c r="O43" s="13"/>
      <c r="P43" s="5"/>
    </row>
    <row r="44" spans="1:16" x14ac:dyDescent="0.35">
      <c r="A44" s="5">
        <v>546891</v>
      </c>
      <c r="B44" s="5">
        <v>15036</v>
      </c>
      <c r="C44" s="5">
        <v>12</v>
      </c>
      <c r="D44" s="6">
        <v>40619.762499999997</v>
      </c>
      <c r="E44" s="8">
        <v>1.63</v>
      </c>
      <c r="F44" s="5" t="s">
        <v>1331</v>
      </c>
      <c r="G44" s="5" t="s">
        <v>8</v>
      </c>
      <c r="H44" s="5">
        <f t="shared" si="6"/>
        <v>0.23404255319148937</v>
      </c>
      <c r="I44" s="5">
        <f t="shared" si="7"/>
        <v>6.5076026784813848E-2</v>
      </c>
      <c r="J44" s="5" t="str">
        <f t="shared" si="8"/>
        <v>HIGH</v>
      </c>
      <c r="K44" s="8">
        <f t="shared" si="9"/>
        <v>0.96703296703296704</v>
      </c>
      <c r="L44" s="8">
        <f t="shared" si="10"/>
        <v>1.9352005489719497</v>
      </c>
      <c r="M44" s="5" t="str">
        <f t="shared" si="11"/>
        <v>HIGH</v>
      </c>
      <c r="O44" s="30" t="s">
        <v>44</v>
      </c>
      <c r="P44" s="19">
        <f>_xlfn.STDEV.S(C:C)</f>
        <v>11.010743410015277</v>
      </c>
    </row>
    <row r="45" spans="1:16" x14ac:dyDescent="0.35">
      <c r="A45" s="5">
        <v>546892</v>
      </c>
      <c r="B45" s="5">
        <v>15036</v>
      </c>
      <c r="C45" s="5">
        <v>4</v>
      </c>
      <c r="D45" s="6">
        <v>40619.763888888891</v>
      </c>
      <c r="E45" s="8">
        <v>1.63</v>
      </c>
      <c r="F45" s="5" t="s">
        <v>1331</v>
      </c>
      <c r="G45" s="5" t="s">
        <v>8</v>
      </c>
      <c r="H45" s="5">
        <f t="shared" si="6"/>
        <v>6.3829787234042548E-2</v>
      </c>
      <c r="I45" s="5">
        <f t="shared" si="7"/>
        <v>-0.66148708545003032</v>
      </c>
      <c r="J45" s="5" t="str">
        <f t="shared" si="8"/>
        <v>LOW</v>
      </c>
      <c r="K45" s="8">
        <f t="shared" si="9"/>
        <v>0.96703296703296704</v>
      </c>
      <c r="L45" s="8">
        <f t="shared" si="10"/>
        <v>1.9352005489719497</v>
      </c>
      <c r="M45" s="5" t="str">
        <f t="shared" si="11"/>
        <v>HIGH</v>
      </c>
      <c r="O45" s="30" t="s">
        <v>45</v>
      </c>
      <c r="P45" s="19">
        <f>_xlfn.STDEV.S(E:E)</f>
        <v>0.32961649173099689</v>
      </c>
    </row>
    <row r="46" spans="1:16" x14ac:dyDescent="0.35">
      <c r="A46" s="5">
        <v>546896</v>
      </c>
      <c r="B46" s="5">
        <v>15036</v>
      </c>
      <c r="C46" s="5">
        <v>17</v>
      </c>
      <c r="D46" s="6">
        <v>40619.76666666667</v>
      </c>
      <c r="E46" s="12">
        <v>0.99</v>
      </c>
      <c r="F46" s="5" t="s">
        <v>1331</v>
      </c>
      <c r="G46" s="5" t="s">
        <v>8</v>
      </c>
      <c r="H46" s="5">
        <f t="shared" si="6"/>
        <v>0.34042553191489361</v>
      </c>
      <c r="I46" s="5">
        <f t="shared" si="7"/>
        <v>0.51917797193159143</v>
      </c>
      <c r="J46" s="5" t="str">
        <f t="shared" si="8"/>
        <v>HIGH</v>
      </c>
      <c r="K46" s="8">
        <f t="shared" si="9"/>
        <v>0.26373626373626374</v>
      </c>
      <c r="L46" s="8">
        <f t="shared" si="10"/>
        <v>-6.4498722160469908E-3</v>
      </c>
      <c r="M46" s="5" t="str">
        <f t="shared" si="11"/>
        <v>LOW</v>
      </c>
      <c r="O46" s="13"/>
      <c r="P46" s="5"/>
    </row>
    <row r="47" spans="1:16" x14ac:dyDescent="0.35">
      <c r="A47" s="5">
        <v>547000</v>
      </c>
      <c r="B47" s="5">
        <v>15036</v>
      </c>
      <c r="C47" s="5">
        <v>12</v>
      </c>
      <c r="D47" s="6">
        <v>40620.57708333333</v>
      </c>
      <c r="E47" s="8">
        <v>0.75</v>
      </c>
      <c r="F47" s="5">
        <v>14282</v>
      </c>
      <c r="G47" s="5" t="s">
        <v>8</v>
      </c>
      <c r="H47" s="5">
        <f t="shared" si="6"/>
        <v>0.23404255319148937</v>
      </c>
      <c r="I47" s="5">
        <f t="shared" si="7"/>
        <v>6.5076026784813848E-2</v>
      </c>
      <c r="J47" s="5" t="str">
        <f t="shared" si="8"/>
        <v>HIGH</v>
      </c>
      <c r="K47" s="8">
        <f t="shared" si="9"/>
        <v>0</v>
      </c>
      <c r="L47" s="8">
        <f t="shared" si="10"/>
        <v>-0.73456878016154581</v>
      </c>
      <c r="M47" s="5" t="str">
        <f t="shared" si="11"/>
        <v>LOW</v>
      </c>
      <c r="O47" s="30" t="s">
        <v>46</v>
      </c>
      <c r="P47" s="19">
        <f>($C$2-$P$21)/$P$44</f>
        <v>3.3346100318416125</v>
      </c>
    </row>
    <row r="48" spans="1:16" x14ac:dyDescent="0.35">
      <c r="A48" s="5">
        <v>547062</v>
      </c>
      <c r="B48" s="5">
        <v>15036</v>
      </c>
      <c r="C48" s="5">
        <v>12</v>
      </c>
      <c r="D48" s="6">
        <v>40622.561111111114</v>
      </c>
      <c r="E48" s="8">
        <v>0.75</v>
      </c>
      <c r="F48" s="5">
        <v>16728</v>
      </c>
      <c r="G48" s="5" t="s">
        <v>8</v>
      </c>
      <c r="H48" s="5">
        <f t="shared" si="6"/>
        <v>0.23404255319148937</v>
      </c>
      <c r="I48" s="5">
        <f t="shared" si="7"/>
        <v>6.5076026784813848E-2</v>
      </c>
      <c r="J48" s="5" t="str">
        <f t="shared" si="8"/>
        <v>HIGH</v>
      </c>
      <c r="K48" s="8">
        <f t="shared" si="9"/>
        <v>0</v>
      </c>
      <c r="L48" s="8">
        <f t="shared" si="10"/>
        <v>-0.73456878016154581</v>
      </c>
      <c r="M48" s="5" t="str">
        <f t="shared" si="11"/>
        <v>LOW</v>
      </c>
      <c r="O48" s="30" t="s">
        <v>47</v>
      </c>
      <c r="P48" s="31">
        <f>($E$2-$P$22)/$P$45</f>
        <v>-0.43118590185092137</v>
      </c>
    </row>
    <row r="49" spans="1:13" x14ac:dyDescent="0.35">
      <c r="A49" s="5">
        <v>547078</v>
      </c>
      <c r="B49" s="5">
        <v>15036</v>
      </c>
      <c r="C49" s="5">
        <v>24</v>
      </c>
      <c r="D49" s="6">
        <v>40622.611805555556</v>
      </c>
      <c r="E49" s="8">
        <v>0.75</v>
      </c>
      <c r="F49" s="5">
        <v>14408</v>
      </c>
      <c r="G49" s="5" t="s">
        <v>8</v>
      </c>
      <c r="H49" s="5">
        <f t="shared" si="6"/>
        <v>0.48936170212765956</v>
      </c>
      <c r="I49" s="5">
        <f t="shared" si="7"/>
        <v>1.1549206951370801</v>
      </c>
      <c r="J49" s="5" t="str">
        <f t="shared" si="8"/>
        <v>HIGH</v>
      </c>
      <c r="K49" s="8">
        <f t="shared" si="9"/>
        <v>0</v>
      </c>
      <c r="L49" s="8">
        <f t="shared" si="10"/>
        <v>-0.73456878016154581</v>
      </c>
      <c r="M49" s="5" t="str">
        <f t="shared" si="11"/>
        <v>LOW</v>
      </c>
    </row>
    <row r="50" spans="1:13" x14ac:dyDescent="0.35">
      <c r="A50" s="5">
        <v>547200</v>
      </c>
      <c r="B50" s="5">
        <v>15036</v>
      </c>
      <c r="C50" s="5">
        <v>24</v>
      </c>
      <c r="D50" s="6">
        <v>40623.542361111111</v>
      </c>
      <c r="E50" s="8">
        <v>0.75</v>
      </c>
      <c r="F50" s="5">
        <v>16036</v>
      </c>
      <c r="G50" s="5" t="s">
        <v>8</v>
      </c>
      <c r="H50" s="5">
        <f t="shared" si="6"/>
        <v>0.48936170212765956</v>
      </c>
      <c r="I50" s="5">
        <f t="shared" si="7"/>
        <v>1.1549206951370801</v>
      </c>
      <c r="J50" s="5" t="str">
        <f t="shared" si="8"/>
        <v>HIGH</v>
      </c>
      <c r="K50" s="8">
        <f t="shared" si="9"/>
        <v>0</v>
      </c>
      <c r="L50" s="8">
        <f t="shared" si="10"/>
        <v>-0.73456878016154581</v>
      </c>
      <c r="M50" s="5" t="str">
        <f t="shared" si="11"/>
        <v>LOW</v>
      </c>
    </row>
    <row r="51" spans="1:13" x14ac:dyDescent="0.35">
      <c r="A51" s="5">
        <v>547248</v>
      </c>
      <c r="B51" s="5">
        <v>15036</v>
      </c>
      <c r="C51" s="5">
        <v>11</v>
      </c>
      <c r="D51" s="6">
        <v>40624.390972222223</v>
      </c>
      <c r="E51" s="8">
        <v>1.63</v>
      </c>
      <c r="F51" s="5" t="s">
        <v>1331</v>
      </c>
      <c r="G51" s="5" t="s">
        <v>8</v>
      </c>
      <c r="H51" s="5">
        <f t="shared" si="6"/>
        <v>0.21276595744680851</v>
      </c>
      <c r="I51" s="5">
        <f t="shared" si="7"/>
        <v>-2.5744362244541675E-2</v>
      </c>
      <c r="J51" s="5" t="str">
        <f t="shared" si="8"/>
        <v>LOW</v>
      </c>
      <c r="K51" s="8">
        <f t="shared" si="9"/>
        <v>0.96703296703296704</v>
      </c>
      <c r="L51" s="8">
        <f t="shared" si="10"/>
        <v>1.9352005489719497</v>
      </c>
      <c r="M51" s="5" t="str">
        <f t="shared" si="11"/>
        <v>HIGH</v>
      </c>
    </row>
    <row r="52" spans="1:13" x14ac:dyDescent="0.35">
      <c r="A52" s="5">
        <v>547249</v>
      </c>
      <c r="B52" s="5">
        <v>15036</v>
      </c>
      <c r="C52" s="5">
        <v>12</v>
      </c>
      <c r="D52" s="6">
        <v>40624.393750000003</v>
      </c>
      <c r="E52" s="8">
        <v>1.63</v>
      </c>
      <c r="F52" s="5" t="s">
        <v>1331</v>
      </c>
      <c r="G52" s="5" t="s">
        <v>8</v>
      </c>
      <c r="H52" s="5">
        <f t="shared" si="6"/>
        <v>0.23404255319148937</v>
      </c>
      <c r="I52" s="5">
        <f t="shared" si="7"/>
        <v>6.5076026784813848E-2</v>
      </c>
      <c r="J52" s="5" t="str">
        <f t="shared" si="8"/>
        <v>HIGH</v>
      </c>
      <c r="K52" s="8">
        <f t="shared" si="9"/>
        <v>0.96703296703296704</v>
      </c>
      <c r="L52" s="8">
        <f t="shared" si="10"/>
        <v>1.9352005489719497</v>
      </c>
      <c r="M52" s="5" t="str">
        <f t="shared" si="11"/>
        <v>HIGH</v>
      </c>
    </row>
    <row r="53" spans="1:13" x14ac:dyDescent="0.35">
      <c r="A53" s="5">
        <v>547385</v>
      </c>
      <c r="B53" s="5">
        <v>15036</v>
      </c>
      <c r="C53" s="5">
        <v>22</v>
      </c>
      <c r="D53" s="6">
        <v>40624.658333333333</v>
      </c>
      <c r="E53" s="8">
        <v>1.63</v>
      </c>
      <c r="F53" s="5" t="s">
        <v>1331</v>
      </c>
      <c r="G53" s="5" t="s">
        <v>8</v>
      </c>
      <c r="H53" s="5">
        <f t="shared" si="6"/>
        <v>0.44680851063829785</v>
      </c>
      <c r="I53" s="5">
        <f t="shared" si="7"/>
        <v>0.97327991707836903</v>
      </c>
      <c r="J53" s="5" t="str">
        <f t="shared" si="8"/>
        <v>HIGH</v>
      </c>
      <c r="K53" s="8">
        <f t="shared" si="9"/>
        <v>0.96703296703296704</v>
      </c>
      <c r="L53" s="8">
        <f t="shared" si="10"/>
        <v>1.9352005489719497</v>
      </c>
      <c r="M53" s="5" t="str">
        <f t="shared" si="11"/>
        <v>HIGH</v>
      </c>
    </row>
    <row r="54" spans="1:13" x14ac:dyDescent="0.35">
      <c r="A54" s="5">
        <v>547386</v>
      </c>
      <c r="B54" s="5">
        <v>15036</v>
      </c>
      <c r="C54" s="5">
        <v>6</v>
      </c>
      <c r="D54" s="6">
        <v>40624.661111111112</v>
      </c>
      <c r="E54" s="8">
        <v>1.63</v>
      </c>
      <c r="F54" s="5" t="s">
        <v>1331</v>
      </c>
      <c r="G54" s="5" t="s">
        <v>8</v>
      </c>
      <c r="H54" s="5">
        <f t="shared" si="6"/>
        <v>0.10638297872340426</v>
      </c>
      <c r="I54" s="5">
        <f t="shared" si="7"/>
        <v>-0.47984630739131928</v>
      </c>
      <c r="J54" s="5" t="str">
        <f t="shared" si="8"/>
        <v>LOW</v>
      </c>
      <c r="K54" s="8">
        <f t="shared" si="9"/>
        <v>0.96703296703296704</v>
      </c>
      <c r="L54" s="8">
        <f t="shared" si="10"/>
        <v>1.9352005489719497</v>
      </c>
      <c r="M54" s="5" t="str">
        <f t="shared" si="11"/>
        <v>HIGH</v>
      </c>
    </row>
    <row r="55" spans="1:13" x14ac:dyDescent="0.35">
      <c r="A55" s="5">
        <v>547862</v>
      </c>
      <c r="B55" s="5" t="s">
        <v>1331</v>
      </c>
      <c r="C55" s="5">
        <v>12</v>
      </c>
      <c r="D55" s="6">
        <v>40629.537499999999</v>
      </c>
      <c r="E55" s="8">
        <v>0.75</v>
      </c>
      <c r="F55" s="5">
        <v>12841</v>
      </c>
      <c r="G55" s="5" t="s">
        <v>8</v>
      </c>
      <c r="H55" s="5">
        <f t="shared" si="6"/>
        <v>0.23404255319148937</v>
      </c>
      <c r="I55" s="5">
        <f t="shared" si="7"/>
        <v>6.5076026784813848E-2</v>
      </c>
      <c r="J55" s="5" t="str">
        <f t="shared" si="8"/>
        <v>HIGH</v>
      </c>
      <c r="K55" s="8">
        <f t="shared" si="9"/>
        <v>0</v>
      </c>
      <c r="L55" s="8">
        <f t="shared" si="10"/>
        <v>-0.73456878016154581</v>
      </c>
      <c r="M55" s="5" t="str">
        <f t="shared" si="11"/>
        <v>LOW</v>
      </c>
    </row>
    <row r="56" spans="1:13" x14ac:dyDescent="0.35">
      <c r="A56" s="5">
        <v>547879</v>
      </c>
      <c r="B56" s="5">
        <v>15036</v>
      </c>
      <c r="C56" s="5">
        <v>12</v>
      </c>
      <c r="D56" s="6">
        <v>40629.668749999997</v>
      </c>
      <c r="E56" s="8">
        <v>0.75</v>
      </c>
      <c r="F56" s="5">
        <v>12877</v>
      </c>
      <c r="G56" s="5" t="s">
        <v>8</v>
      </c>
      <c r="H56" s="5">
        <f t="shared" si="6"/>
        <v>0.23404255319148937</v>
      </c>
      <c r="I56" s="5">
        <f t="shared" si="7"/>
        <v>6.5076026784813848E-2</v>
      </c>
      <c r="J56" s="5" t="str">
        <f t="shared" si="8"/>
        <v>HIGH</v>
      </c>
      <c r="K56" s="8">
        <f t="shared" si="9"/>
        <v>0</v>
      </c>
      <c r="L56" s="8">
        <f t="shared" si="10"/>
        <v>-0.73456878016154581</v>
      </c>
      <c r="M56" s="5" t="str">
        <f t="shared" si="11"/>
        <v>LOW</v>
      </c>
    </row>
    <row r="57" spans="1:13" x14ac:dyDescent="0.35">
      <c r="A57" s="5">
        <v>547925</v>
      </c>
      <c r="B57" s="5">
        <v>15036</v>
      </c>
      <c r="C57" s="5">
        <v>24</v>
      </c>
      <c r="D57" s="6">
        <v>40630.581250000003</v>
      </c>
      <c r="E57" s="8">
        <v>0.75</v>
      </c>
      <c r="F57" s="5">
        <v>12481</v>
      </c>
      <c r="G57" s="5" t="s">
        <v>21</v>
      </c>
      <c r="H57" s="5">
        <f t="shared" si="6"/>
        <v>0.48936170212765956</v>
      </c>
      <c r="I57" s="5">
        <f t="shared" si="7"/>
        <v>1.1549206951370801</v>
      </c>
      <c r="J57" s="5" t="str">
        <f t="shared" si="8"/>
        <v>HIGH</v>
      </c>
      <c r="K57" s="8">
        <f t="shared" si="9"/>
        <v>0</v>
      </c>
      <c r="L57" s="8">
        <f t="shared" si="10"/>
        <v>-0.73456878016154581</v>
      </c>
      <c r="M57" s="5" t="str">
        <f t="shared" si="11"/>
        <v>LOW</v>
      </c>
    </row>
    <row r="58" spans="1:13" x14ac:dyDescent="0.35">
      <c r="A58" s="5">
        <v>547967</v>
      </c>
      <c r="B58" s="5">
        <v>15036</v>
      </c>
      <c r="C58" s="5">
        <v>4</v>
      </c>
      <c r="D58" s="6">
        <v>40630.65902777778</v>
      </c>
      <c r="E58" s="8">
        <v>1.63</v>
      </c>
      <c r="F58" s="5" t="s">
        <v>1331</v>
      </c>
      <c r="G58" s="5" t="s">
        <v>8</v>
      </c>
      <c r="H58" s="5">
        <f t="shared" si="6"/>
        <v>6.3829787234042548E-2</v>
      </c>
      <c r="I58" s="5">
        <f t="shared" si="7"/>
        <v>-0.66148708545003032</v>
      </c>
      <c r="J58" s="5" t="str">
        <f t="shared" si="8"/>
        <v>LOW</v>
      </c>
      <c r="K58" s="8">
        <f t="shared" si="9"/>
        <v>0.96703296703296704</v>
      </c>
      <c r="L58" s="8">
        <f t="shared" si="10"/>
        <v>1.9352005489719497</v>
      </c>
      <c r="M58" s="5" t="str">
        <f t="shared" si="11"/>
        <v>HIGH</v>
      </c>
    </row>
    <row r="59" spans="1:13" x14ac:dyDescent="0.35">
      <c r="A59" s="5">
        <v>548310</v>
      </c>
      <c r="B59" s="5">
        <v>15036</v>
      </c>
      <c r="C59" s="5">
        <v>12</v>
      </c>
      <c r="D59" s="6">
        <v>40632.50277777778</v>
      </c>
      <c r="E59" s="8">
        <v>0.83</v>
      </c>
      <c r="F59" s="5" t="s">
        <v>1331</v>
      </c>
      <c r="G59" s="5" t="s">
        <v>8</v>
      </c>
      <c r="H59" s="5">
        <f t="shared" si="6"/>
        <v>0.23404255319148937</v>
      </c>
      <c r="I59" s="5">
        <f t="shared" si="7"/>
        <v>6.5076026784813848E-2</v>
      </c>
      <c r="J59" s="5" t="str">
        <f t="shared" si="8"/>
        <v>HIGH</v>
      </c>
      <c r="K59" s="8">
        <f t="shared" si="9"/>
        <v>8.7912087912087877E-2</v>
      </c>
      <c r="L59" s="8">
        <f t="shared" si="10"/>
        <v>-0.49186247751304629</v>
      </c>
      <c r="M59" s="5" t="str">
        <f t="shared" si="11"/>
        <v>LOW</v>
      </c>
    </row>
    <row r="60" spans="1:13" x14ac:dyDescent="0.35">
      <c r="A60" s="5">
        <v>548522</v>
      </c>
      <c r="B60" s="5">
        <v>15036</v>
      </c>
      <c r="C60" s="5">
        <v>1</v>
      </c>
      <c r="D60" s="6">
        <v>40633.696527777778</v>
      </c>
      <c r="E60" s="8">
        <v>1.63</v>
      </c>
      <c r="F60" s="5" t="s">
        <v>1331</v>
      </c>
      <c r="G60" s="5" t="s">
        <v>8</v>
      </c>
      <c r="H60" s="5">
        <f t="shared" si="6"/>
        <v>0</v>
      </c>
      <c r="I60" s="5">
        <f t="shared" si="7"/>
        <v>-0.93394825253809688</v>
      </c>
      <c r="J60" s="5" t="str">
        <f t="shared" si="8"/>
        <v>LOW</v>
      </c>
      <c r="K60" s="8">
        <f t="shared" si="9"/>
        <v>0.96703296703296704</v>
      </c>
      <c r="L60" s="8">
        <f t="shared" si="10"/>
        <v>1.9352005489719497</v>
      </c>
      <c r="M60" s="5" t="str">
        <f t="shared" si="11"/>
        <v>HIGH</v>
      </c>
    </row>
    <row r="61" spans="1:13" x14ac:dyDescent="0.35">
      <c r="A61" s="5">
        <v>548617</v>
      </c>
      <c r="B61" s="5">
        <v>15036</v>
      </c>
      <c r="C61" s="5">
        <v>12</v>
      </c>
      <c r="D61" s="6">
        <v>40634.493055555555</v>
      </c>
      <c r="E61" s="8">
        <v>0.83</v>
      </c>
      <c r="F61" s="5">
        <v>16592</v>
      </c>
      <c r="G61" s="5" t="s">
        <v>8</v>
      </c>
      <c r="H61" s="5">
        <f t="shared" si="6"/>
        <v>0.23404255319148937</v>
      </c>
      <c r="I61" s="5">
        <f t="shared" si="7"/>
        <v>6.5076026784813848E-2</v>
      </c>
      <c r="J61" s="5" t="str">
        <f t="shared" si="8"/>
        <v>HIGH</v>
      </c>
      <c r="K61" s="8">
        <f t="shared" si="9"/>
        <v>8.7912087912087877E-2</v>
      </c>
      <c r="L61" s="8">
        <f t="shared" si="10"/>
        <v>-0.49186247751304629</v>
      </c>
      <c r="M61" s="5" t="str">
        <f t="shared" si="11"/>
        <v>LOW</v>
      </c>
    </row>
    <row r="62" spans="1:13" x14ac:dyDescent="0.35">
      <c r="A62" s="5">
        <v>548893</v>
      </c>
      <c r="B62" s="5">
        <v>15036</v>
      </c>
      <c r="C62" s="5">
        <v>6</v>
      </c>
      <c r="D62" s="6">
        <v>40637.662499999999</v>
      </c>
      <c r="E62" s="8">
        <v>1.63</v>
      </c>
      <c r="F62" s="5" t="s">
        <v>1331</v>
      </c>
      <c r="G62" s="5" t="s">
        <v>8</v>
      </c>
      <c r="H62" s="5">
        <f t="shared" si="6"/>
        <v>0.10638297872340426</v>
      </c>
      <c r="I62" s="5">
        <f t="shared" si="7"/>
        <v>-0.47984630739131928</v>
      </c>
      <c r="J62" s="5" t="str">
        <f t="shared" si="8"/>
        <v>LOW</v>
      </c>
      <c r="K62" s="8">
        <f t="shared" si="9"/>
        <v>0.96703296703296704</v>
      </c>
      <c r="L62" s="8">
        <f t="shared" si="10"/>
        <v>1.9352005489719497</v>
      </c>
      <c r="M62" s="5" t="str">
        <f t="shared" si="11"/>
        <v>HIGH</v>
      </c>
    </row>
    <row r="63" spans="1:13" x14ac:dyDescent="0.35">
      <c r="A63" s="5">
        <v>549259</v>
      </c>
      <c r="B63" s="5">
        <v>15036</v>
      </c>
      <c r="C63" s="5">
        <v>48</v>
      </c>
      <c r="D63" s="6">
        <v>40640.522916666669</v>
      </c>
      <c r="E63" s="8">
        <v>0.75</v>
      </c>
      <c r="F63" s="5">
        <v>13712</v>
      </c>
      <c r="G63" s="5" t="s">
        <v>8</v>
      </c>
      <c r="H63" s="5">
        <f t="shared" si="6"/>
        <v>1</v>
      </c>
      <c r="I63" s="5">
        <f t="shared" si="7"/>
        <v>3.3346100318416125</v>
      </c>
      <c r="J63" s="5" t="str">
        <f t="shared" si="8"/>
        <v>HIGH</v>
      </c>
      <c r="K63" s="8">
        <f t="shared" si="9"/>
        <v>0</v>
      </c>
      <c r="L63" s="8">
        <f t="shared" si="10"/>
        <v>-0.73456878016154581</v>
      </c>
      <c r="M63" s="5" t="str">
        <f t="shared" si="11"/>
        <v>LOW</v>
      </c>
    </row>
    <row r="64" spans="1:13" x14ac:dyDescent="0.35">
      <c r="A64" s="5">
        <v>549316</v>
      </c>
      <c r="B64" s="5">
        <v>15036</v>
      </c>
      <c r="C64" s="5">
        <v>36</v>
      </c>
      <c r="D64" s="6">
        <v>40641.412499999999</v>
      </c>
      <c r="E64" s="8">
        <v>0.75</v>
      </c>
      <c r="F64" s="5">
        <v>12705</v>
      </c>
      <c r="G64" s="5" t="s">
        <v>21</v>
      </c>
      <c r="H64" s="5">
        <f t="shared" si="6"/>
        <v>0.74468085106382975</v>
      </c>
      <c r="I64" s="5">
        <f t="shared" si="7"/>
        <v>2.2447653634893463</v>
      </c>
      <c r="J64" s="5" t="str">
        <f t="shared" si="8"/>
        <v>HIGH</v>
      </c>
      <c r="K64" s="8">
        <f t="shared" si="9"/>
        <v>0</v>
      </c>
      <c r="L64" s="8">
        <f t="shared" si="10"/>
        <v>-0.73456878016154581</v>
      </c>
      <c r="M64" s="5" t="str">
        <f t="shared" si="11"/>
        <v>LOW</v>
      </c>
    </row>
    <row r="65" spans="1:13" x14ac:dyDescent="0.35">
      <c r="A65" s="5">
        <v>549431</v>
      </c>
      <c r="B65" s="5">
        <v>15036</v>
      </c>
      <c r="C65" s="5">
        <v>36</v>
      </c>
      <c r="D65" s="6">
        <v>40641.511805555558</v>
      </c>
      <c r="E65" s="8">
        <v>0.83</v>
      </c>
      <c r="F65" s="5">
        <v>15874</v>
      </c>
      <c r="G65" s="5" t="s">
        <v>8</v>
      </c>
      <c r="H65" s="5">
        <f t="shared" si="6"/>
        <v>0.74468085106382975</v>
      </c>
      <c r="I65" s="5">
        <f t="shared" si="7"/>
        <v>2.2447653634893463</v>
      </c>
      <c r="J65" s="5" t="str">
        <f t="shared" si="8"/>
        <v>HIGH</v>
      </c>
      <c r="K65" s="8">
        <f t="shared" si="9"/>
        <v>8.7912087912087877E-2</v>
      </c>
      <c r="L65" s="8">
        <f t="shared" si="10"/>
        <v>-0.49186247751304629</v>
      </c>
      <c r="M65" s="5" t="str">
        <f t="shared" si="11"/>
        <v>LOW</v>
      </c>
    </row>
    <row r="66" spans="1:13" x14ac:dyDescent="0.35">
      <c r="A66" s="5">
        <v>549524</v>
      </c>
      <c r="B66" s="5">
        <v>15036</v>
      </c>
      <c r="C66" s="5">
        <v>1</v>
      </c>
      <c r="D66" s="6">
        <v>40641.65347222222</v>
      </c>
      <c r="E66" s="8">
        <v>1.63</v>
      </c>
      <c r="F66" s="5" t="s">
        <v>1331</v>
      </c>
      <c r="G66" s="5" t="s">
        <v>8</v>
      </c>
      <c r="H66" s="5">
        <f t="shared" ref="H66:H97" si="12">(C66-1)/(48-1)</f>
        <v>0</v>
      </c>
      <c r="I66" s="5">
        <f t="shared" ref="I66:I97" si="13">(C66-$P$21)/$P$44</f>
        <v>-0.93394825253809688</v>
      </c>
      <c r="J66" s="5" t="str">
        <f t="shared" ref="J66:J97" si="14">IF(C66&gt;$P$6, "HIGH", "LOW")</f>
        <v>LOW</v>
      </c>
      <c r="K66" s="8">
        <f t="shared" ref="K66:K97" si="15">(E66-0.75)/(1.66-0.75)</f>
        <v>0.96703296703296704</v>
      </c>
      <c r="L66" s="8">
        <f t="shared" ref="L66:L97" si="16">(E66-$P$22)/$P$45</f>
        <v>1.9352005489719497</v>
      </c>
      <c r="M66" s="5" t="str">
        <f t="shared" ref="M66:M97" si="17">IF(E66&gt;$P$7, "HIGH", "LOW")</f>
        <v>HIGH</v>
      </c>
    </row>
    <row r="67" spans="1:13" x14ac:dyDescent="0.35">
      <c r="A67" s="5">
        <v>549525</v>
      </c>
      <c r="B67" s="5">
        <v>15036</v>
      </c>
      <c r="C67" s="5">
        <v>17</v>
      </c>
      <c r="D67" s="6">
        <v>40641.655555555553</v>
      </c>
      <c r="E67" s="8">
        <v>1.63</v>
      </c>
      <c r="F67" s="5" t="s">
        <v>1331</v>
      </c>
      <c r="G67" s="5" t="s">
        <v>8</v>
      </c>
      <c r="H67" s="5">
        <f t="shared" si="12"/>
        <v>0.34042553191489361</v>
      </c>
      <c r="I67" s="5">
        <f t="shared" si="13"/>
        <v>0.51917797193159143</v>
      </c>
      <c r="J67" s="5" t="str">
        <f t="shared" si="14"/>
        <v>HIGH</v>
      </c>
      <c r="K67" s="8">
        <f t="shared" si="15"/>
        <v>0.96703296703296704</v>
      </c>
      <c r="L67" s="8">
        <f t="shared" si="16"/>
        <v>1.9352005489719497</v>
      </c>
      <c r="M67" s="5" t="str">
        <f t="shared" si="17"/>
        <v>HIGH</v>
      </c>
    </row>
    <row r="68" spans="1:13" x14ac:dyDescent="0.35">
      <c r="A68" s="5">
        <v>549538</v>
      </c>
      <c r="B68" s="5">
        <v>15036</v>
      </c>
      <c r="C68" s="5">
        <v>3</v>
      </c>
      <c r="D68" s="6">
        <v>40641.725694444445</v>
      </c>
      <c r="E68" s="8">
        <v>0.83</v>
      </c>
      <c r="F68" s="5">
        <v>17961</v>
      </c>
      <c r="G68" s="5" t="s">
        <v>8</v>
      </c>
      <c r="H68" s="5">
        <f t="shared" si="12"/>
        <v>4.2553191489361701E-2</v>
      </c>
      <c r="I68" s="5">
        <f t="shared" si="13"/>
        <v>-0.75230747447938584</v>
      </c>
      <c r="J68" s="5" t="str">
        <f t="shared" si="14"/>
        <v>LOW</v>
      </c>
      <c r="K68" s="8">
        <f t="shared" si="15"/>
        <v>8.7912087912087877E-2</v>
      </c>
      <c r="L68" s="8">
        <f t="shared" si="16"/>
        <v>-0.49186247751304629</v>
      </c>
      <c r="M68" s="5" t="str">
        <f t="shared" si="17"/>
        <v>LOW</v>
      </c>
    </row>
    <row r="69" spans="1:13" x14ac:dyDescent="0.35">
      <c r="A69" s="5">
        <v>549711</v>
      </c>
      <c r="B69" s="5">
        <v>15036</v>
      </c>
      <c r="C69" s="5">
        <v>12</v>
      </c>
      <c r="D69" s="6">
        <v>40644.588194444441</v>
      </c>
      <c r="E69" s="8">
        <v>0.83</v>
      </c>
      <c r="F69" s="5">
        <v>13654</v>
      </c>
      <c r="G69" s="5" t="s">
        <v>8</v>
      </c>
      <c r="H69" s="5">
        <f t="shared" si="12"/>
        <v>0.23404255319148937</v>
      </c>
      <c r="I69" s="5">
        <f t="shared" si="13"/>
        <v>6.5076026784813848E-2</v>
      </c>
      <c r="J69" s="5" t="str">
        <f t="shared" si="14"/>
        <v>HIGH</v>
      </c>
      <c r="K69" s="8">
        <f t="shared" si="15"/>
        <v>8.7912087912087877E-2</v>
      </c>
      <c r="L69" s="8">
        <f t="shared" si="16"/>
        <v>-0.49186247751304629</v>
      </c>
      <c r="M69" s="5" t="str">
        <f t="shared" si="17"/>
        <v>LOW</v>
      </c>
    </row>
    <row r="70" spans="1:13" x14ac:dyDescent="0.35">
      <c r="A70" s="5">
        <v>549743</v>
      </c>
      <c r="B70" s="5">
        <v>15036</v>
      </c>
      <c r="C70" s="5">
        <v>12</v>
      </c>
      <c r="D70" s="6">
        <v>40645.420138888891</v>
      </c>
      <c r="E70" s="8">
        <v>0.83</v>
      </c>
      <c r="F70" s="5">
        <v>16186</v>
      </c>
      <c r="G70" s="5" t="s">
        <v>8</v>
      </c>
      <c r="H70" s="5">
        <f t="shared" si="12"/>
        <v>0.23404255319148937</v>
      </c>
      <c r="I70" s="5">
        <f t="shared" si="13"/>
        <v>6.5076026784813848E-2</v>
      </c>
      <c r="J70" s="5" t="str">
        <f t="shared" si="14"/>
        <v>HIGH</v>
      </c>
      <c r="K70" s="8">
        <f t="shared" si="15"/>
        <v>8.7912087912087877E-2</v>
      </c>
      <c r="L70" s="8">
        <f t="shared" si="16"/>
        <v>-0.49186247751304629</v>
      </c>
      <c r="M70" s="5" t="str">
        <f t="shared" si="17"/>
        <v>LOW</v>
      </c>
    </row>
    <row r="71" spans="1:13" x14ac:dyDescent="0.35">
      <c r="A71" s="5">
        <v>549964</v>
      </c>
      <c r="B71" s="5">
        <v>15036</v>
      </c>
      <c r="C71" s="5">
        <v>12</v>
      </c>
      <c r="D71" s="6">
        <v>40646.591666666667</v>
      </c>
      <c r="E71" s="8">
        <v>0.83</v>
      </c>
      <c r="F71" s="5">
        <v>13122</v>
      </c>
      <c r="G71" s="5" t="s">
        <v>8</v>
      </c>
      <c r="H71" s="5">
        <f t="shared" si="12"/>
        <v>0.23404255319148937</v>
      </c>
      <c r="I71" s="5">
        <f t="shared" si="13"/>
        <v>6.5076026784813848E-2</v>
      </c>
      <c r="J71" s="5" t="str">
        <f t="shared" si="14"/>
        <v>HIGH</v>
      </c>
      <c r="K71" s="8">
        <f t="shared" si="15"/>
        <v>8.7912087912087877E-2</v>
      </c>
      <c r="L71" s="8">
        <f t="shared" si="16"/>
        <v>-0.49186247751304629</v>
      </c>
      <c r="M71" s="5" t="str">
        <f t="shared" si="17"/>
        <v>LOW</v>
      </c>
    </row>
    <row r="72" spans="1:13" x14ac:dyDescent="0.35">
      <c r="A72" s="5">
        <v>549975</v>
      </c>
      <c r="B72" s="5">
        <v>15036</v>
      </c>
      <c r="C72" s="5">
        <v>12</v>
      </c>
      <c r="D72" s="6">
        <v>40646.609722222223</v>
      </c>
      <c r="E72" s="8">
        <v>0.83</v>
      </c>
      <c r="F72" s="5">
        <v>16175</v>
      </c>
      <c r="G72" s="5" t="s">
        <v>8</v>
      </c>
      <c r="H72" s="5">
        <f t="shared" si="12"/>
        <v>0.23404255319148937</v>
      </c>
      <c r="I72" s="5">
        <f t="shared" si="13"/>
        <v>6.5076026784813848E-2</v>
      </c>
      <c r="J72" s="5" t="str">
        <f t="shared" si="14"/>
        <v>HIGH</v>
      </c>
      <c r="K72" s="8">
        <f t="shared" si="15"/>
        <v>8.7912087912087877E-2</v>
      </c>
      <c r="L72" s="8">
        <f t="shared" si="16"/>
        <v>-0.49186247751304629</v>
      </c>
      <c r="M72" s="5" t="str">
        <f t="shared" si="17"/>
        <v>LOW</v>
      </c>
    </row>
    <row r="73" spans="1:13" x14ac:dyDescent="0.35">
      <c r="A73" s="5">
        <v>550138</v>
      </c>
      <c r="B73" s="5">
        <v>15036</v>
      </c>
      <c r="C73" s="5">
        <v>24</v>
      </c>
      <c r="D73" s="6">
        <v>40647.584722222222</v>
      </c>
      <c r="E73" s="8">
        <v>0.83</v>
      </c>
      <c r="F73" s="5">
        <v>12841</v>
      </c>
      <c r="G73" s="5" t="s">
        <v>8</v>
      </c>
      <c r="H73" s="5">
        <f t="shared" si="12"/>
        <v>0.48936170212765956</v>
      </c>
      <c r="I73" s="5">
        <f t="shared" si="13"/>
        <v>1.1549206951370801</v>
      </c>
      <c r="J73" s="5" t="str">
        <f t="shared" si="14"/>
        <v>HIGH</v>
      </c>
      <c r="K73" s="8">
        <f t="shared" si="15"/>
        <v>8.7912087912087877E-2</v>
      </c>
      <c r="L73" s="8">
        <f t="shared" si="16"/>
        <v>-0.49186247751304629</v>
      </c>
      <c r="M73" s="5" t="str">
        <f t="shared" si="17"/>
        <v>LOW</v>
      </c>
    </row>
    <row r="74" spans="1:13" x14ac:dyDescent="0.35">
      <c r="A74" s="5">
        <v>550218</v>
      </c>
      <c r="B74" s="5">
        <v>15036</v>
      </c>
      <c r="C74" s="5">
        <v>12</v>
      </c>
      <c r="D74" s="6">
        <v>40648.46875</v>
      </c>
      <c r="E74" s="8">
        <v>0.83</v>
      </c>
      <c r="F74" s="5">
        <v>14408</v>
      </c>
      <c r="G74" s="5" t="s">
        <v>1331</v>
      </c>
      <c r="H74" s="5">
        <f t="shared" si="12"/>
        <v>0.23404255319148937</v>
      </c>
      <c r="I74" s="5">
        <f t="shared" si="13"/>
        <v>6.5076026784813848E-2</v>
      </c>
      <c r="J74" s="5" t="str">
        <f t="shared" si="14"/>
        <v>HIGH</v>
      </c>
      <c r="K74" s="8">
        <f t="shared" si="15"/>
        <v>8.7912087912087877E-2</v>
      </c>
      <c r="L74" s="8">
        <f t="shared" si="16"/>
        <v>-0.49186247751304629</v>
      </c>
      <c r="M74" s="5" t="str">
        <f t="shared" si="17"/>
        <v>LOW</v>
      </c>
    </row>
    <row r="75" spans="1:13" x14ac:dyDescent="0.35">
      <c r="A75" s="5">
        <v>550315</v>
      </c>
      <c r="B75" s="5">
        <v>15036</v>
      </c>
      <c r="C75" s="5">
        <v>24</v>
      </c>
      <c r="D75" s="6">
        <v>40650.488888888889</v>
      </c>
      <c r="E75" s="8">
        <v>0.83</v>
      </c>
      <c r="F75" s="5">
        <v>17990</v>
      </c>
      <c r="G75" s="5" t="s">
        <v>1331</v>
      </c>
      <c r="H75" s="5">
        <f t="shared" si="12"/>
        <v>0.48936170212765956</v>
      </c>
      <c r="I75" s="5">
        <f t="shared" si="13"/>
        <v>1.1549206951370801</v>
      </c>
      <c r="J75" s="5" t="str">
        <f t="shared" si="14"/>
        <v>HIGH</v>
      </c>
      <c r="K75" s="8">
        <f t="shared" si="15"/>
        <v>8.7912087912087877E-2</v>
      </c>
      <c r="L75" s="8">
        <f t="shared" si="16"/>
        <v>-0.49186247751304629</v>
      </c>
      <c r="M75" s="5" t="str">
        <f t="shared" si="17"/>
        <v>LOW</v>
      </c>
    </row>
    <row r="76" spans="1:13" x14ac:dyDescent="0.35">
      <c r="A76" s="5">
        <v>550323</v>
      </c>
      <c r="B76" s="5">
        <v>15036</v>
      </c>
      <c r="C76" s="5">
        <v>48</v>
      </c>
      <c r="D76" s="6">
        <v>40650.539583333331</v>
      </c>
      <c r="E76" s="8">
        <v>0.83</v>
      </c>
      <c r="F76" s="5">
        <v>13692</v>
      </c>
      <c r="G76" s="5" t="s">
        <v>8</v>
      </c>
      <c r="H76" s="5">
        <f t="shared" si="12"/>
        <v>1</v>
      </c>
      <c r="I76" s="5">
        <f t="shared" si="13"/>
        <v>3.3346100318416125</v>
      </c>
      <c r="J76" s="5" t="str">
        <f t="shared" si="14"/>
        <v>HIGH</v>
      </c>
      <c r="K76" s="8">
        <f t="shared" si="15"/>
        <v>8.7912087912087877E-2</v>
      </c>
      <c r="L76" s="8">
        <f t="shared" si="16"/>
        <v>-0.49186247751304629</v>
      </c>
      <c r="M76" s="5" t="str">
        <f t="shared" si="17"/>
        <v>LOW</v>
      </c>
    </row>
    <row r="77" spans="1:13" x14ac:dyDescent="0.35">
      <c r="A77" s="5">
        <v>550336</v>
      </c>
      <c r="B77" s="5">
        <v>15036</v>
      </c>
      <c r="C77" s="5">
        <v>48</v>
      </c>
      <c r="D77" s="6">
        <v>40650.621527777781</v>
      </c>
      <c r="E77" s="8">
        <v>0.83</v>
      </c>
      <c r="F77" s="5">
        <v>13089</v>
      </c>
      <c r="G77" s="5" t="s">
        <v>8</v>
      </c>
      <c r="H77" s="5">
        <f t="shared" si="12"/>
        <v>1</v>
      </c>
      <c r="I77" s="5">
        <f t="shared" si="13"/>
        <v>3.3346100318416125</v>
      </c>
      <c r="J77" s="5" t="str">
        <f t="shared" si="14"/>
        <v>HIGH</v>
      </c>
      <c r="K77" s="8">
        <f t="shared" si="15"/>
        <v>8.7912087912087877E-2</v>
      </c>
      <c r="L77" s="8">
        <f t="shared" si="16"/>
        <v>-0.49186247751304629</v>
      </c>
      <c r="M77" s="5" t="str">
        <f t="shared" si="17"/>
        <v>LOW</v>
      </c>
    </row>
    <row r="78" spans="1:13" x14ac:dyDescent="0.35">
      <c r="A78" s="5">
        <v>550452</v>
      </c>
      <c r="B78" s="5">
        <v>10002</v>
      </c>
      <c r="C78" s="5">
        <v>1</v>
      </c>
      <c r="D78" s="6">
        <v>40651.538888888892</v>
      </c>
      <c r="E78" s="8">
        <v>0.85</v>
      </c>
      <c r="F78" s="5">
        <v>14525</v>
      </c>
      <c r="G78" s="5" t="s">
        <v>8</v>
      </c>
      <c r="H78" s="5">
        <f t="shared" si="12"/>
        <v>0</v>
      </c>
      <c r="I78" s="5">
        <f t="shared" si="13"/>
        <v>-0.93394825253809688</v>
      </c>
      <c r="J78" s="5" t="str">
        <f t="shared" si="14"/>
        <v>LOW</v>
      </c>
      <c r="K78" s="8">
        <f t="shared" si="15"/>
        <v>0.10989010989010987</v>
      </c>
      <c r="L78" s="8">
        <f t="shared" si="16"/>
        <v>-0.43118590185092137</v>
      </c>
      <c r="M78" s="5" t="str">
        <f t="shared" si="17"/>
        <v>LOW</v>
      </c>
    </row>
    <row r="79" spans="1:13" x14ac:dyDescent="0.35">
      <c r="A79" s="5">
        <v>550458</v>
      </c>
      <c r="B79" s="5">
        <v>15036</v>
      </c>
      <c r="C79" s="5">
        <v>2</v>
      </c>
      <c r="D79" s="6">
        <v>40651.550694444442</v>
      </c>
      <c r="E79" s="8">
        <v>1.63</v>
      </c>
      <c r="F79" s="5" t="s">
        <v>1331</v>
      </c>
      <c r="G79" s="5" t="s">
        <v>8</v>
      </c>
      <c r="H79" s="5">
        <f t="shared" si="12"/>
        <v>2.1276595744680851E-2</v>
      </c>
      <c r="I79" s="5">
        <f t="shared" si="13"/>
        <v>-0.84312786350874136</v>
      </c>
      <c r="J79" s="5" t="str">
        <f t="shared" si="14"/>
        <v>LOW</v>
      </c>
      <c r="K79" s="8">
        <f t="shared" si="15"/>
        <v>0.96703296703296704</v>
      </c>
      <c r="L79" s="8">
        <f t="shared" si="16"/>
        <v>1.9352005489719497</v>
      </c>
      <c r="M79" s="5" t="str">
        <f t="shared" si="17"/>
        <v>HIGH</v>
      </c>
    </row>
    <row r="80" spans="1:13" x14ac:dyDescent="0.35">
      <c r="A80" s="5">
        <v>550468</v>
      </c>
      <c r="B80" s="5">
        <v>15036</v>
      </c>
      <c r="C80" s="5">
        <v>12</v>
      </c>
      <c r="D80" s="6">
        <v>40651.571527777778</v>
      </c>
      <c r="E80" s="8">
        <v>0.83</v>
      </c>
      <c r="F80" s="5">
        <v>16700</v>
      </c>
      <c r="G80" s="5" t="s">
        <v>8</v>
      </c>
      <c r="H80" s="5">
        <f t="shared" si="12"/>
        <v>0.23404255319148937</v>
      </c>
      <c r="I80" s="5">
        <f t="shared" si="13"/>
        <v>6.5076026784813848E-2</v>
      </c>
      <c r="J80" s="5" t="str">
        <f t="shared" si="14"/>
        <v>HIGH</v>
      </c>
      <c r="K80" s="8">
        <f t="shared" si="15"/>
        <v>8.7912087912087877E-2</v>
      </c>
      <c r="L80" s="8">
        <f t="shared" si="16"/>
        <v>-0.49186247751304629</v>
      </c>
      <c r="M80" s="5" t="str">
        <f t="shared" si="17"/>
        <v>LOW</v>
      </c>
    </row>
    <row r="81" spans="1:13" x14ac:dyDescent="0.35">
      <c r="A81" s="5">
        <v>550470</v>
      </c>
      <c r="B81" s="5">
        <v>15036</v>
      </c>
      <c r="C81" s="5">
        <v>4</v>
      </c>
      <c r="D81" s="6">
        <v>40651.575694444444</v>
      </c>
      <c r="E81" s="8">
        <v>1.63</v>
      </c>
      <c r="F81" s="5" t="s">
        <v>1331</v>
      </c>
      <c r="G81" s="5" t="s">
        <v>8</v>
      </c>
      <c r="H81" s="5">
        <f t="shared" si="12"/>
        <v>6.3829787234042548E-2</v>
      </c>
      <c r="I81" s="5">
        <f t="shared" si="13"/>
        <v>-0.66148708545003032</v>
      </c>
      <c r="J81" s="5" t="str">
        <f t="shared" si="14"/>
        <v>LOW</v>
      </c>
      <c r="K81" s="8">
        <f t="shared" si="15"/>
        <v>0.96703296703296704</v>
      </c>
      <c r="L81" s="8">
        <f t="shared" si="16"/>
        <v>1.9352005489719497</v>
      </c>
      <c r="M81" s="5" t="str">
        <f t="shared" si="17"/>
        <v>HIGH</v>
      </c>
    </row>
    <row r="82" spans="1:13" x14ac:dyDescent="0.35">
      <c r="A82" s="5">
        <v>550471</v>
      </c>
      <c r="B82" s="5">
        <v>15036</v>
      </c>
      <c r="C82" s="5">
        <v>3</v>
      </c>
      <c r="D82" s="6">
        <v>40651.577777777777</v>
      </c>
      <c r="E82" s="8">
        <v>1.63</v>
      </c>
      <c r="F82" s="5" t="s">
        <v>1331</v>
      </c>
      <c r="G82" s="5" t="s">
        <v>8</v>
      </c>
      <c r="H82" s="5">
        <f t="shared" si="12"/>
        <v>4.2553191489361701E-2</v>
      </c>
      <c r="I82" s="5">
        <f t="shared" si="13"/>
        <v>-0.75230747447938584</v>
      </c>
      <c r="J82" s="5" t="str">
        <f t="shared" si="14"/>
        <v>LOW</v>
      </c>
      <c r="K82" s="8">
        <f t="shared" si="15"/>
        <v>0.96703296703296704</v>
      </c>
      <c r="L82" s="8">
        <f t="shared" si="16"/>
        <v>1.9352005489719497</v>
      </c>
      <c r="M82" s="5" t="str">
        <f t="shared" si="17"/>
        <v>HIGH</v>
      </c>
    </row>
    <row r="83" spans="1:13" x14ac:dyDescent="0.35">
      <c r="A83" s="5">
        <v>550474</v>
      </c>
      <c r="B83" s="5">
        <v>15036</v>
      </c>
      <c r="C83" s="5">
        <v>2</v>
      </c>
      <c r="D83" s="6">
        <v>40651.581944444442</v>
      </c>
      <c r="E83" s="8">
        <v>1.63</v>
      </c>
      <c r="F83" s="5" t="s">
        <v>1331</v>
      </c>
      <c r="G83" s="5" t="s">
        <v>8</v>
      </c>
      <c r="H83" s="5">
        <f t="shared" si="12"/>
        <v>2.1276595744680851E-2</v>
      </c>
      <c r="I83" s="5">
        <f t="shared" si="13"/>
        <v>-0.84312786350874136</v>
      </c>
      <c r="J83" s="5" t="str">
        <f t="shared" si="14"/>
        <v>LOW</v>
      </c>
      <c r="K83" s="8">
        <f t="shared" si="15"/>
        <v>0.96703296703296704</v>
      </c>
      <c r="L83" s="8">
        <f t="shared" si="16"/>
        <v>1.9352005489719497</v>
      </c>
      <c r="M83" s="5" t="str">
        <f t="shared" si="17"/>
        <v>HIGH</v>
      </c>
    </row>
    <row r="84" spans="1:13" x14ac:dyDescent="0.35">
      <c r="A84" s="5">
        <v>550479</v>
      </c>
      <c r="B84" s="5">
        <v>15036</v>
      </c>
      <c r="C84" s="5">
        <v>24</v>
      </c>
      <c r="D84" s="6">
        <v>40651.584027777775</v>
      </c>
      <c r="E84" s="8">
        <v>0.83</v>
      </c>
      <c r="F84" s="5">
        <v>15625</v>
      </c>
      <c r="G84" s="5" t="s">
        <v>8</v>
      </c>
      <c r="H84" s="5">
        <f t="shared" si="12"/>
        <v>0.48936170212765956</v>
      </c>
      <c r="I84" s="5">
        <f t="shared" si="13"/>
        <v>1.1549206951370801</v>
      </c>
      <c r="J84" s="5" t="str">
        <f t="shared" si="14"/>
        <v>HIGH</v>
      </c>
      <c r="K84" s="8">
        <f t="shared" si="15"/>
        <v>8.7912087912087877E-2</v>
      </c>
      <c r="L84" s="8">
        <f t="shared" si="16"/>
        <v>-0.49186247751304629</v>
      </c>
      <c r="M84" s="5" t="str">
        <f t="shared" si="17"/>
        <v>LOW</v>
      </c>
    </row>
    <row r="85" spans="1:13" x14ac:dyDescent="0.35">
      <c r="A85" s="5">
        <v>550517</v>
      </c>
      <c r="B85" s="5">
        <v>15036</v>
      </c>
      <c r="C85" s="5">
        <v>24</v>
      </c>
      <c r="D85" s="6">
        <v>40652.345138888886</v>
      </c>
      <c r="E85" s="8">
        <v>0.83</v>
      </c>
      <c r="F85" s="5">
        <v>14352</v>
      </c>
      <c r="G85" s="5" t="s">
        <v>8</v>
      </c>
      <c r="H85" s="5">
        <f t="shared" si="12"/>
        <v>0.48936170212765956</v>
      </c>
      <c r="I85" s="5">
        <f t="shared" si="13"/>
        <v>1.1549206951370801</v>
      </c>
      <c r="J85" s="5" t="str">
        <f t="shared" si="14"/>
        <v>HIGH</v>
      </c>
      <c r="K85" s="8">
        <f t="shared" si="15"/>
        <v>8.7912087912087877E-2</v>
      </c>
      <c r="L85" s="8">
        <f t="shared" si="16"/>
        <v>-0.49186247751304629</v>
      </c>
      <c r="M85" s="5" t="str">
        <f t="shared" si="17"/>
        <v>LOW</v>
      </c>
    </row>
    <row r="86" spans="1:13" x14ac:dyDescent="0.35">
      <c r="A86" s="5">
        <v>550519</v>
      </c>
      <c r="B86" s="5">
        <v>15036</v>
      </c>
      <c r="C86" s="5">
        <v>24</v>
      </c>
      <c r="D86" s="6">
        <v>40652.396527777775</v>
      </c>
      <c r="E86" s="8">
        <v>0.83</v>
      </c>
      <c r="F86" s="5">
        <v>13141</v>
      </c>
      <c r="G86" s="5" t="s">
        <v>8</v>
      </c>
      <c r="H86" s="5">
        <f t="shared" si="12"/>
        <v>0.48936170212765956</v>
      </c>
      <c r="I86" s="5">
        <f t="shared" si="13"/>
        <v>1.1549206951370801</v>
      </c>
      <c r="J86" s="5" t="str">
        <f t="shared" si="14"/>
        <v>HIGH</v>
      </c>
      <c r="K86" s="8">
        <f t="shared" si="15"/>
        <v>8.7912087912087877E-2</v>
      </c>
      <c r="L86" s="8">
        <f t="shared" si="16"/>
        <v>-0.49186247751304629</v>
      </c>
      <c r="M86" s="5" t="str">
        <f t="shared" si="17"/>
        <v>LOW</v>
      </c>
    </row>
    <row r="87" spans="1:13" x14ac:dyDescent="0.35">
      <c r="A87" s="5">
        <v>550521</v>
      </c>
      <c r="B87" s="5">
        <v>15036</v>
      </c>
      <c r="C87" s="5">
        <v>24</v>
      </c>
      <c r="D87" s="6">
        <v>40652.40902777778</v>
      </c>
      <c r="E87" s="8">
        <v>0.83</v>
      </c>
      <c r="F87" s="5">
        <v>13647</v>
      </c>
      <c r="G87" s="5" t="s">
        <v>8</v>
      </c>
      <c r="H87" s="5">
        <f t="shared" si="12"/>
        <v>0.48936170212765956</v>
      </c>
      <c r="I87" s="5">
        <f t="shared" si="13"/>
        <v>1.1549206951370801</v>
      </c>
      <c r="J87" s="5" t="str">
        <f t="shared" si="14"/>
        <v>HIGH</v>
      </c>
      <c r="K87" s="8">
        <f t="shared" si="15"/>
        <v>8.7912087912087877E-2</v>
      </c>
      <c r="L87" s="8">
        <f t="shared" si="16"/>
        <v>-0.49186247751304629</v>
      </c>
      <c r="M87" s="5" t="str">
        <f t="shared" si="17"/>
        <v>LOW</v>
      </c>
    </row>
    <row r="88" spans="1:13" x14ac:dyDescent="0.35">
      <c r="A88" s="5">
        <v>550542</v>
      </c>
      <c r="B88" s="5">
        <v>15036</v>
      </c>
      <c r="C88" s="5">
        <v>5</v>
      </c>
      <c r="D88" s="6">
        <v>40652.484027777777</v>
      </c>
      <c r="E88" s="8">
        <v>1.63</v>
      </c>
      <c r="F88" s="5" t="s">
        <v>1331</v>
      </c>
      <c r="G88" s="5" t="s">
        <v>8</v>
      </c>
      <c r="H88" s="5">
        <f t="shared" si="12"/>
        <v>8.5106382978723402E-2</v>
      </c>
      <c r="I88" s="5">
        <f t="shared" si="13"/>
        <v>-0.5706666964206748</v>
      </c>
      <c r="J88" s="5" t="str">
        <f t="shared" si="14"/>
        <v>LOW</v>
      </c>
      <c r="K88" s="8">
        <f t="shared" si="15"/>
        <v>0.96703296703296704</v>
      </c>
      <c r="L88" s="8">
        <f t="shared" si="16"/>
        <v>1.9352005489719497</v>
      </c>
      <c r="M88" s="5" t="str">
        <f t="shared" si="17"/>
        <v>HIGH</v>
      </c>
    </row>
    <row r="89" spans="1:13" x14ac:dyDescent="0.35">
      <c r="A89" s="5">
        <v>550636</v>
      </c>
      <c r="B89" s="5">
        <v>15036</v>
      </c>
      <c r="C89" s="5">
        <v>1</v>
      </c>
      <c r="D89" s="6">
        <v>40652.650694444441</v>
      </c>
      <c r="E89" s="8">
        <v>1.63</v>
      </c>
      <c r="F89" s="5" t="s">
        <v>1331</v>
      </c>
      <c r="G89" s="5" t="s">
        <v>8</v>
      </c>
      <c r="H89" s="5">
        <f t="shared" si="12"/>
        <v>0</v>
      </c>
      <c r="I89" s="5">
        <f t="shared" si="13"/>
        <v>-0.93394825253809688</v>
      </c>
      <c r="J89" s="5" t="str">
        <f t="shared" si="14"/>
        <v>LOW</v>
      </c>
      <c r="K89" s="8">
        <f t="shared" si="15"/>
        <v>0.96703296703296704</v>
      </c>
      <c r="L89" s="8">
        <f t="shared" si="16"/>
        <v>1.9352005489719497</v>
      </c>
      <c r="M89" s="5" t="str">
        <f t="shared" si="17"/>
        <v>HIGH</v>
      </c>
    </row>
    <row r="90" spans="1:13" x14ac:dyDescent="0.35">
      <c r="A90" s="5">
        <v>550659</v>
      </c>
      <c r="B90" s="5">
        <v>15036</v>
      </c>
      <c r="C90" s="5">
        <v>12</v>
      </c>
      <c r="D90" s="6">
        <v>40653.376388888886</v>
      </c>
      <c r="E90" s="8">
        <v>0.83</v>
      </c>
      <c r="F90" s="5">
        <v>17730</v>
      </c>
      <c r="G90" s="5" t="s">
        <v>8</v>
      </c>
      <c r="H90" s="5">
        <f t="shared" si="12"/>
        <v>0.23404255319148937</v>
      </c>
      <c r="I90" s="5">
        <f t="shared" si="13"/>
        <v>6.5076026784813848E-2</v>
      </c>
      <c r="J90" s="5" t="str">
        <f t="shared" si="14"/>
        <v>HIGH</v>
      </c>
      <c r="K90" s="8">
        <f t="shared" si="15"/>
        <v>8.7912087912087877E-2</v>
      </c>
      <c r="L90" s="8">
        <f t="shared" si="16"/>
        <v>-0.49186247751304629</v>
      </c>
      <c r="M90" s="5" t="str">
        <f t="shared" si="17"/>
        <v>LOW</v>
      </c>
    </row>
    <row r="91" spans="1:13" x14ac:dyDescent="0.35">
      <c r="A91" s="5">
        <v>550775</v>
      </c>
      <c r="B91" s="5">
        <v>15036</v>
      </c>
      <c r="C91" s="5">
        <v>12</v>
      </c>
      <c r="D91" s="6">
        <v>40653.554166666669</v>
      </c>
      <c r="E91" s="8">
        <v>0.83</v>
      </c>
      <c r="F91" s="5">
        <v>15805</v>
      </c>
      <c r="G91" s="5" t="s">
        <v>8</v>
      </c>
      <c r="H91" s="5">
        <f t="shared" si="12"/>
        <v>0.23404255319148937</v>
      </c>
      <c r="I91" s="5">
        <f t="shared" si="13"/>
        <v>6.5076026784813848E-2</v>
      </c>
      <c r="J91" s="5" t="str">
        <f t="shared" si="14"/>
        <v>HIGH</v>
      </c>
      <c r="K91" s="8">
        <f t="shared" si="15"/>
        <v>8.7912087912087877E-2</v>
      </c>
      <c r="L91" s="8">
        <f t="shared" si="16"/>
        <v>-0.49186247751304629</v>
      </c>
      <c r="M91" s="5" t="str">
        <f t="shared" si="17"/>
        <v>LOW</v>
      </c>
    </row>
    <row r="92" spans="1:13" x14ac:dyDescent="0.35">
      <c r="A92" s="5">
        <v>550785</v>
      </c>
      <c r="B92" s="5">
        <v>15036</v>
      </c>
      <c r="C92" s="5">
        <v>12</v>
      </c>
      <c r="D92" s="6">
        <v>40653.584722222222</v>
      </c>
      <c r="E92" s="8">
        <v>0.83</v>
      </c>
      <c r="F92" s="5">
        <v>15517</v>
      </c>
      <c r="G92" s="5" t="s">
        <v>8</v>
      </c>
      <c r="H92" s="5">
        <f t="shared" si="12"/>
        <v>0.23404255319148937</v>
      </c>
      <c r="I92" s="5">
        <f t="shared" si="13"/>
        <v>6.5076026784813848E-2</v>
      </c>
      <c r="J92" s="5" t="str">
        <f t="shared" si="14"/>
        <v>HIGH</v>
      </c>
      <c r="K92" s="8">
        <f t="shared" si="15"/>
        <v>8.7912087912087877E-2</v>
      </c>
      <c r="L92" s="8">
        <f t="shared" si="16"/>
        <v>-0.49186247751304629</v>
      </c>
      <c r="M92" s="5" t="str">
        <f t="shared" si="17"/>
        <v>LOW</v>
      </c>
    </row>
    <row r="93" spans="1:13" x14ac:dyDescent="0.35">
      <c r="A93" s="5">
        <v>550802</v>
      </c>
      <c r="B93" s="5">
        <v>15036</v>
      </c>
      <c r="C93" s="5">
        <v>12</v>
      </c>
      <c r="D93" s="6">
        <v>40653.63958333333</v>
      </c>
      <c r="E93" s="8">
        <v>0.83</v>
      </c>
      <c r="F93" s="5">
        <v>17120</v>
      </c>
      <c r="G93" s="5" t="s">
        <v>8</v>
      </c>
      <c r="H93" s="5">
        <f t="shared" si="12"/>
        <v>0.23404255319148937</v>
      </c>
      <c r="I93" s="5">
        <f t="shared" si="13"/>
        <v>6.5076026784813848E-2</v>
      </c>
      <c r="J93" s="5" t="str">
        <f t="shared" si="14"/>
        <v>HIGH</v>
      </c>
      <c r="K93" s="8">
        <f t="shared" si="15"/>
        <v>8.7912087912087877E-2</v>
      </c>
      <c r="L93" s="8">
        <f t="shared" si="16"/>
        <v>-0.49186247751304629</v>
      </c>
      <c r="M93" s="5" t="str">
        <f t="shared" si="17"/>
        <v>LOW</v>
      </c>
    </row>
    <row r="94" spans="1:13" x14ac:dyDescent="0.35">
      <c r="A94" s="5">
        <v>550972</v>
      </c>
      <c r="B94" s="5">
        <v>15036</v>
      </c>
      <c r="C94" s="5">
        <v>1</v>
      </c>
      <c r="D94" s="6">
        <v>40654.711805555555</v>
      </c>
      <c r="E94" s="8">
        <v>0.83</v>
      </c>
      <c r="F94" s="5">
        <v>14031</v>
      </c>
      <c r="G94" s="5" t="s">
        <v>8</v>
      </c>
      <c r="H94" s="5">
        <f t="shared" si="12"/>
        <v>0</v>
      </c>
      <c r="I94" s="5">
        <f t="shared" si="13"/>
        <v>-0.93394825253809688</v>
      </c>
      <c r="J94" s="5" t="str">
        <f t="shared" si="14"/>
        <v>LOW</v>
      </c>
      <c r="K94" s="8">
        <f t="shared" si="15"/>
        <v>8.7912087912087877E-2</v>
      </c>
      <c r="L94" s="8">
        <f t="shared" si="16"/>
        <v>-0.49186247751304629</v>
      </c>
      <c r="M94" s="5" t="str">
        <f t="shared" si="17"/>
        <v>LOW</v>
      </c>
    </row>
    <row r="95" spans="1:13" x14ac:dyDescent="0.35">
      <c r="A95" s="5">
        <v>551174</v>
      </c>
      <c r="B95" s="5">
        <v>15036</v>
      </c>
      <c r="C95" s="5">
        <v>15</v>
      </c>
      <c r="D95" s="6">
        <v>40659.709722222222</v>
      </c>
      <c r="E95" s="8">
        <v>0.83</v>
      </c>
      <c r="F95" s="5" t="s">
        <v>1331</v>
      </c>
      <c r="G95" s="5" t="s">
        <v>8</v>
      </c>
      <c r="H95" s="5">
        <f t="shared" si="12"/>
        <v>0.2978723404255319</v>
      </c>
      <c r="I95" s="5">
        <f t="shared" si="13"/>
        <v>0.33753719387288039</v>
      </c>
      <c r="J95" s="5" t="str">
        <f t="shared" si="14"/>
        <v>HIGH</v>
      </c>
      <c r="K95" s="8">
        <f t="shared" si="15"/>
        <v>8.7912087912087877E-2</v>
      </c>
      <c r="L95" s="8">
        <f t="shared" si="16"/>
        <v>-0.49186247751304629</v>
      </c>
      <c r="M95" s="5" t="str">
        <f t="shared" si="17"/>
        <v>LOW</v>
      </c>
    </row>
    <row r="96" spans="1:13" x14ac:dyDescent="0.35">
      <c r="A96" s="5">
        <v>551182</v>
      </c>
      <c r="B96" s="5">
        <v>15036</v>
      </c>
      <c r="C96" s="5">
        <v>24</v>
      </c>
      <c r="D96" s="6">
        <v>40660.363194444442</v>
      </c>
      <c r="E96" s="8">
        <v>0.83</v>
      </c>
      <c r="F96" s="5">
        <v>14282</v>
      </c>
      <c r="G96" s="5" t="s">
        <v>8</v>
      </c>
      <c r="H96" s="5">
        <f t="shared" si="12"/>
        <v>0.48936170212765956</v>
      </c>
      <c r="I96" s="5">
        <f t="shared" si="13"/>
        <v>1.1549206951370801</v>
      </c>
      <c r="J96" s="5" t="str">
        <f t="shared" si="14"/>
        <v>HIGH</v>
      </c>
      <c r="K96" s="8">
        <f t="shared" si="15"/>
        <v>8.7912087912087877E-2</v>
      </c>
      <c r="L96" s="8">
        <f t="shared" si="16"/>
        <v>-0.49186247751304629</v>
      </c>
      <c r="M96" s="5" t="str">
        <f t="shared" si="17"/>
        <v>LOW</v>
      </c>
    </row>
    <row r="97" spans="1:13" x14ac:dyDescent="0.35">
      <c r="A97" s="5">
        <v>551391</v>
      </c>
      <c r="B97" s="5">
        <v>10125</v>
      </c>
      <c r="C97" s="5">
        <v>1</v>
      </c>
      <c r="D97" s="6">
        <v>40661.504166666666</v>
      </c>
      <c r="E97" s="8">
        <v>0.85</v>
      </c>
      <c r="F97" s="5">
        <v>15514</v>
      </c>
      <c r="G97" s="5" t="s">
        <v>8</v>
      </c>
      <c r="H97" s="5">
        <f t="shared" si="12"/>
        <v>0</v>
      </c>
      <c r="I97" s="5">
        <f t="shared" si="13"/>
        <v>-0.93394825253809688</v>
      </c>
      <c r="J97" s="5" t="str">
        <f t="shared" si="14"/>
        <v>LOW</v>
      </c>
      <c r="K97" s="8">
        <f t="shared" si="15"/>
        <v>0.10989010989010987</v>
      </c>
      <c r="L97" s="8">
        <f t="shared" si="16"/>
        <v>-0.43118590185092137</v>
      </c>
      <c r="M97" s="5" t="str">
        <f t="shared" si="17"/>
        <v>LOW</v>
      </c>
    </row>
    <row r="98" spans="1:13" x14ac:dyDescent="0.35">
      <c r="A98" s="5">
        <v>551616</v>
      </c>
      <c r="B98" s="5">
        <v>10125</v>
      </c>
      <c r="C98" s="5">
        <v>1</v>
      </c>
      <c r="D98" s="6">
        <v>40666.486111111109</v>
      </c>
      <c r="E98" s="8">
        <v>0.85</v>
      </c>
      <c r="F98" s="5">
        <v>15048</v>
      </c>
      <c r="G98" s="5" t="s">
        <v>8</v>
      </c>
      <c r="H98" s="5">
        <f t="shared" ref="H98:H128" si="18">(C98-1)/(48-1)</f>
        <v>0</v>
      </c>
      <c r="I98" s="5">
        <f t="shared" ref="I98:I128" si="19">(C98-$P$21)/$P$44</f>
        <v>-0.93394825253809688</v>
      </c>
      <c r="J98" s="5" t="str">
        <f t="shared" ref="J98:J128" si="20">IF(C98&gt;$P$6, "HIGH", "LOW")</f>
        <v>LOW</v>
      </c>
      <c r="K98" s="8">
        <f t="shared" ref="K98:K128" si="21">(E98-0.75)/(1.66-0.75)</f>
        <v>0.10989010989010987</v>
      </c>
      <c r="L98" s="8">
        <f t="shared" ref="L98:L128" si="22">(E98-$P$22)/$P$45</f>
        <v>-0.43118590185092137</v>
      </c>
      <c r="M98" s="5" t="str">
        <f t="shared" ref="M98:M128" si="23">IF(E98&gt;$P$7, "HIGH", "LOW")</f>
        <v>LOW</v>
      </c>
    </row>
    <row r="99" spans="1:13" x14ac:dyDescent="0.35">
      <c r="A99" s="5">
        <v>552269</v>
      </c>
      <c r="B99" s="5">
        <v>10125</v>
      </c>
      <c r="C99" s="5">
        <v>1</v>
      </c>
      <c r="D99" s="6">
        <v>40671.494444444441</v>
      </c>
      <c r="E99" s="8">
        <v>0.85</v>
      </c>
      <c r="F99" s="5">
        <v>16121</v>
      </c>
      <c r="G99" s="5" t="s">
        <v>8</v>
      </c>
      <c r="H99" s="5">
        <f t="shared" si="18"/>
        <v>0</v>
      </c>
      <c r="I99" s="5">
        <f t="shared" si="19"/>
        <v>-0.93394825253809688</v>
      </c>
      <c r="J99" s="5" t="str">
        <f t="shared" si="20"/>
        <v>LOW</v>
      </c>
      <c r="K99" s="8">
        <f t="shared" si="21"/>
        <v>0.10989010989010987</v>
      </c>
      <c r="L99" s="8">
        <f t="shared" si="22"/>
        <v>-0.43118590185092137</v>
      </c>
      <c r="M99" s="5" t="str">
        <f t="shared" si="23"/>
        <v>LOW</v>
      </c>
    </row>
    <row r="100" spans="1:13" x14ac:dyDescent="0.35">
      <c r="A100" s="5">
        <v>552310</v>
      </c>
      <c r="B100" s="5">
        <v>10125</v>
      </c>
      <c r="C100" s="5">
        <v>3</v>
      </c>
      <c r="D100" s="6">
        <v>40671.640277777777</v>
      </c>
      <c r="E100" s="8">
        <v>0.85</v>
      </c>
      <c r="F100" s="5">
        <v>17323</v>
      </c>
      <c r="G100" s="5" t="s">
        <v>8</v>
      </c>
      <c r="H100" s="5">
        <f t="shared" si="18"/>
        <v>4.2553191489361701E-2</v>
      </c>
      <c r="I100" s="5">
        <f t="shared" si="19"/>
        <v>-0.75230747447938584</v>
      </c>
      <c r="J100" s="5" t="str">
        <f t="shared" si="20"/>
        <v>LOW</v>
      </c>
      <c r="K100" s="8">
        <f t="shared" si="21"/>
        <v>0.10989010989010987</v>
      </c>
      <c r="L100" s="8">
        <f t="shared" si="22"/>
        <v>-0.43118590185092137</v>
      </c>
      <c r="M100" s="5" t="str">
        <f t="shared" si="23"/>
        <v>LOW</v>
      </c>
    </row>
    <row r="101" spans="1:13" x14ac:dyDescent="0.35">
      <c r="A101" s="5">
        <v>553385</v>
      </c>
      <c r="B101" s="5">
        <v>10125</v>
      </c>
      <c r="C101" s="5">
        <v>1</v>
      </c>
      <c r="D101" s="6">
        <v>40679.661805555559</v>
      </c>
      <c r="E101" s="8">
        <v>0.85</v>
      </c>
      <c r="F101" s="5">
        <v>16710</v>
      </c>
      <c r="G101" s="5" t="s">
        <v>8</v>
      </c>
      <c r="H101" s="5">
        <f t="shared" si="18"/>
        <v>0</v>
      </c>
      <c r="I101" s="5">
        <f t="shared" si="19"/>
        <v>-0.93394825253809688</v>
      </c>
      <c r="J101" s="5" t="str">
        <f t="shared" si="20"/>
        <v>LOW</v>
      </c>
      <c r="K101" s="8">
        <f t="shared" si="21"/>
        <v>0.10989010989010987</v>
      </c>
      <c r="L101" s="8">
        <f t="shared" si="22"/>
        <v>-0.43118590185092137</v>
      </c>
      <c r="M101" s="5" t="str">
        <f t="shared" si="23"/>
        <v>LOW</v>
      </c>
    </row>
    <row r="102" spans="1:13" x14ac:dyDescent="0.35">
      <c r="A102" s="5">
        <v>554117</v>
      </c>
      <c r="B102" s="5">
        <v>10125</v>
      </c>
      <c r="C102" s="5">
        <v>1</v>
      </c>
      <c r="D102" s="6">
        <v>40685.633333333331</v>
      </c>
      <c r="E102" s="8">
        <v>0.85</v>
      </c>
      <c r="F102" s="5">
        <v>13758</v>
      </c>
      <c r="G102" s="5" t="s">
        <v>8</v>
      </c>
      <c r="H102" s="5">
        <f t="shared" si="18"/>
        <v>0</v>
      </c>
      <c r="I102" s="5">
        <f t="shared" si="19"/>
        <v>-0.93394825253809688</v>
      </c>
      <c r="J102" s="5" t="str">
        <f t="shared" si="20"/>
        <v>LOW</v>
      </c>
      <c r="K102" s="8">
        <f t="shared" si="21"/>
        <v>0.10989010989010987</v>
      </c>
      <c r="L102" s="8">
        <f t="shared" si="22"/>
        <v>-0.43118590185092137</v>
      </c>
      <c r="M102" s="5" t="str">
        <f t="shared" si="23"/>
        <v>LOW</v>
      </c>
    </row>
    <row r="103" spans="1:13" x14ac:dyDescent="0.35">
      <c r="A103" s="5">
        <v>555579</v>
      </c>
      <c r="B103" s="5">
        <v>10125</v>
      </c>
      <c r="C103" s="5">
        <v>1</v>
      </c>
      <c r="D103" s="6">
        <v>40699.668055555558</v>
      </c>
      <c r="E103" s="8">
        <v>0.85</v>
      </c>
      <c r="F103" s="5">
        <v>13983</v>
      </c>
      <c r="G103" s="5" t="s">
        <v>8</v>
      </c>
      <c r="H103" s="5">
        <f t="shared" si="18"/>
        <v>0</v>
      </c>
      <c r="I103" s="5">
        <f t="shared" si="19"/>
        <v>-0.93394825253809688</v>
      </c>
      <c r="J103" s="5" t="str">
        <f t="shared" si="20"/>
        <v>LOW</v>
      </c>
      <c r="K103" s="8">
        <f t="shared" si="21"/>
        <v>0.10989010989010987</v>
      </c>
      <c r="L103" s="8">
        <f t="shared" si="22"/>
        <v>-0.43118590185092137</v>
      </c>
      <c r="M103" s="5" t="str">
        <f t="shared" si="23"/>
        <v>LOW</v>
      </c>
    </row>
    <row r="104" spans="1:13" x14ac:dyDescent="0.35">
      <c r="A104" s="5">
        <v>556222</v>
      </c>
      <c r="B104" s="5">
        <v>10125</v>
      </c>
      <c r="C104" s="5">
        <v>12</v>
      </c>
      <c r="D104" s="6">
        <v>40703.599305555559</v>
      </c>
      <c r="E104" s="8">
        <v>0.85</v>
      </c>
      <c r="F104" s="5">
        <v>17522</v>
      </c>
      <c r="G104" s="5" t="s">
        <v>8</v>
      </c>
      <c r="H104" s="5">
        <f t="shared" si="18"/>
        <v>0.23404255319148937</v>
      </c>
      <c r="I104" s="5">
        <f t="shared" si="19"/>
        <v>6.5076026784813848E-2</v>
      </c>
      <c r="J104" s="5" t="str">
        <f t="shared" si="20"/>
        <v>HIGH</v>
      </c>
      <c r="K104" s="8">
        <f t="shared" si="21"/>
        <v>0.10989010989010987</v>
      </c>
      <c r="L104" s="8">
        <f t="shared" si="22"/>
        <v>-0.43118590185092137</v>
      </c>
      <c r="M104" s="5" t="str">
        <f t="shared" si="23"/>
        <v>LOW</v>
      </c>
    </row>
    <row r="105" spans="1:13" x14ac:dyDescent="0.35">
      <c r="A105" s="5">
        <v>557938</v>
      </c>
      <c r="B105" s="5">
        <v>10125</v>
      </c>
      <c r="C105" s="5">
        <v>2</v>
      </c>
      <c r="D105" s="6">
        <v>40717.649305555555</v>
      </c>
      <c r="E105" s="8">
        <v>1.63</v>
      </c>
      <c r="F105" s="5" t="s">
        <v>1331</v>
      </c>
      <c r="G105" s="5" t="s">
        <v>8</v>
      </c>
      <c r="H105" s="5">
        <f t="shared" si="18"/>
        <v>2.1276595744680851E-2</v>
      </c>
      <c r="I105" s="5">
        <f t="shared" si="19"/>
        <v>-0.84312786350874136</v>
      </c>
      <c r="J105" s="5" t="str">
        <f t="shared" si="20"/>
        <v>LOW</v>
      </c>
      <c r="K105" s="8">
        <f t="shared" si="21"/>
        <v>0.96703296703296704</v>
      </c>
      <c r="L105" s="8">
        <f t="shared" si="22"/>
        <v>1.9352005489719497</v>
      </c>
      <c r="M105" s="5" t="str">
        <f t="shared" si="23"/>
        <v>HIGH</v>
      </c>
    </row>
    <row r="106" spans="1:13" x14ac:dyDescent="0.35">
      <c r="A106" s="5">
        <v>558700</v>
      </c>
      <c r="B106" s="5">
        <v>10125</v>
      </c>
      <c r="C106" s="5">
        <v>1</v>
      </c>
      <c r="D106" s="6">
        <v>40725.522916666669</v>
      </c>
      <c r="E106" s="8">
        <v>0.85</v>
      </c>
      <c r="F106" s="5">
        <v>17920</v>
      </c>
      <c r="G106" s="5" t="s">
        <v>8</v>
      </c>
      <c r="H106" s="5">
        <f t="shared" si="18"/>
        <v>0</v>
      </c>
      <c r="I106" s="5">
        <f t="shared" si="19"/>
        <v>-0.93394825253809688</v>
      </c>
      <c r="J106" s="5" t="str">
        <f t="shared" si="20"/>
        <v>LOW</v>
      </c>
      <c r="K106" s="8">
        <f t="shared" si="21"/>
        <v>0.10989010989010987</v>
      </c>
      <c r="L106" s="8">
        <f t="shared" si="22"/>
        <v>-0.43118590185092137</v>
      </c>
      <c r="M106" s="5" t="str">
        <f t="shared" si="23"/>
        <v>LOW</v>
      </c>
    </row>
    <row r="107" spans="1:13" x14ac:dyDescent="0.35">
      <c r="A107" s="5">
        <v>558700</v>
      </c>
      <c r="B107" s="5">
        <v>10125</v>
      </c>
      <c r="C107" s="5">
        <v>3</v>
      </c>
      <c r="D107" s="6">
        <v>40725.522916666669</v>
      </c>
      <c r="E107" s="8">
        <v>0.85</v>
      </c>
      <c r="F107" s="5">
        <v>17920</v>
      </c>
      <c r="G107" s="5" t="s">
        <v>8</v>
      </c>
      <c r="H107" s="5">
        <f t="shared" si="18"/>
        <v>4.2553191489361701E-2</v>
      </c>
      <c r="I107" s="5">
        <f t="shared" si="19"/>
        <v>-0.75230747447938584</v>
      </c>
      <c r="J107" s="5" t="str">
        <f t="shared" si="20"/>
        <v>LOW</v>
      </c>
      <c r="K107" s="8">
        <f t="shared" si="21"/>
        <v>0.10989010989010987</v>
      </c>
      <c r="L107" s="8">
        <f t="shared" si="22"/>
        <v>-0.43118590185092137</v>
      </c>
      <c r="M107" s="5" t="str">
        <f t="shared" si="23"/>
        <v>LOW</v>
      </c>
    </row>
    <row r="108" spans="1:13" x14ac:dyDescent="0.35">
      <c r="A108" s="5">
        <v>558860</v>
      </c>
      <c r="B108" s="5">
        <v>10125</v>
      </c>
      <c r="C108" s="5">
        <v>1</v>
      </c>
      <c r="D108" s="6">
        <v>40728.512499999997</v>
      </c>
      <c r="E108" s="8">
        <v>0.85</v>
      </c>
      <c r="F108" s="5">
        <v>17975</v>
      </c>
      <c r="G108" s="5" t="s">
        <v>8</v>
      </c>
      <c r="H108" s="5">
        <f t="shared" si="18"/>
        <v>0</v>
      </c>
      <c r="I108" s="5">
        <f t="shared" si="19"/>
        <v>-0.93394825253809688</v>
      </c>
      <c r="J108" s="5" t="str">
        <f t="shared" si="20"/>
        <v>LOW</v>
      </c>
      <c r="K108" s="8">
        <f t="shared" si="21"/>
        <v>0.10989010989010987</v>
      </c>
      <c r="L108" s="8">
        <f t="shared" si="22"/>
        <v>-0.43118590185092137</v>
      </c>
      <c r="M108" s="5" t="str">
        <f t="shared" si="23"/>
        <v>LOW</v>
      </c>
    </row>
    <row r="109" spans="1:13" x14ac:dyDescent="0.35">
      <c r="A109" s="5">
        <v>558868</v>
      </c>
      <c r="B109" s="5">
        <v>10125</v>
      </c>
      <c r="C109" s="5">
        <v>20</v>
      </c>
      <c r="D109" s="6">
        <v>40728.532638888886</v>
      </c>
      <c r="E109" s="8">
        <v>0.85</v>
      </c>
      <c r="F109" s="5">
        <v>13266</v>
      </c>
      <c r="G109" s="5" t="s">
        <v>8</v>
      </c>
      <c r="H109" s="5">
        <f t="shared" si="18"/>
        <v>0.40425531914893614</v>
      </c>
      <c r="I109" s="5">
        <f t="shared" si="19"/>
        <v>0.79163913901965799</v>
      </c>
      <c r="J109" s="5" t="str">
        <f t="shared" si="20"/>
        <v>HIGH</v>
      </c>
      <c r="K109" s="8">
        <f t="shared" si="21"/>
        <v>0.10989010989010987</v>
      </c>
      <c r="L109" s="8">
        <f t="shared" si="22"/>
        <v>-0.43118590185092137</v>
      </c>
      <c r="M109" s="5" t="str">
        <f t="shared" si="23"/>
        <v>LOW</v>
      </c>
    </row>
    <row r="110" spans="1:13" x14ac:dyDescent="0.35">
      <c r="A110" s="5">
        <v>559337</v>
      </c>
      <c r="B110" s="5">
        <v>10125</v>
      </c>
      <c r="C110" s="5">
        <v>1</v>
      </c>
      <c r="D110" s="6">
        <v>40731.685416666667</v>
      </c>
      <c r="E110" s="8">
        <v>1.63</v>
      </c>
      <c r="F110" s="5" t="s">
        <v>1331</v>
      </c>
      <c r="G110" s="5" t="s">
        <v>8</v>
      </c>
      <c r="H110" s="5">
        <f t="shared" si="18"/>
        <v>0</v>
      </c>
      <c r="I110" s="5">
        <f t="shared" si="19"/>
        <v>-0.93394825253809688</v>
      </c>
      <c r="J110" s="5" t="str">
        <f t="shared" si="20"/>
        <v>LOW</v>
      </c>
      <c r="K110" s="8">
        <f t="shared" si="21"/>
        <v>0.96703296703296704</v>
      </c>
      <c r="L110" s="8">
        <f t="shared" si="22"/>
        <v>1.9352005489719497</v>
      </c>
      <c r="M110" s="5" t="str">
        <f t="shared" si="23"/>
        <v>HIGH</v>
      </c>
    </row>
    <row r="111" spans="1:13" x14ac:dyDescent="0.35">
      <c r="A111" s="5">
        <v>559536</v>
      </c>
      <c r="B111" s="5">
        <v>10125</v>
      </c>
      <c r="C111" s="5">
        <v>5</v>
      </c>
      <c r="D111" s="6">
        <v>40734.511805555558</v>
      </c>
      <c r="E111" s="8">
        <v>0.85</v>
      </c>
      <c r="F111" s="5">
        <v>16283</v>
      </c>
      <c r="G111" s="5" t="s">
        <v>8</v>
      </c>
      <c r="H111" s="5">
        <f t="shared" si="18"/>
        <v>8.5106382978723402E-2</v>
      </c>
      <c r="I111" s="5">
        <f t="shared" si="19"/>
        <v>-0.5706666964206748</v>
      </c>
      <c r="J111" s="5" t="str">
        <f t="shared" si="20"/>
        <v>LOW</v>
      </c>
      <c r="K111" s="8">
        <f t="shared" si="21"/>
        <v>0.10989010989010987</v>
      </c>
      <c r="L111" s="8">
        <f t="shared" si="22"/>
        <v>-0.43118590185092137</v>
      </c>
      <c r="M111" s="5" t="str">
        <f t="shared" si="23"/>
        <v>LOW</v>
      </c>
    </row>
    <row r="112" spans="1:13" x14ac:dyDescent="0.35">
      <c r="A112" s="5">
        <v>559979</v>
      </c>
      <c r="B112" s="5">
        <v>10125</v>
      </c>
      <c r="C112" s="5">
        <v>20</v>
      </c>
      <c r="D112" s="6">
        <v>40738.472222222219</v>
      </c>
      <c r="E112" s="8">
        <v>0.85</v>
      </c>
      <c r="F112" s="5">
        <v>14862</v>
      </c>
      <c r="G112" s="5" t="s">
        <v>8</v>
      </c>
      <c r="H112" s="5">
        <f t="shared" si="18"/>
        <v>0.40425531914893614</v>
      </c>
      <c r="I112" s="5">
        <f t="shared" si="19"/>
        <v>0.79163913901965799</v>
      </c>
      <c r="J112" s="5" t="str">
        <f t="shared" si="20"/>
        <v>HIGH</v>
      </c>
      <c r="K112" s="8">
        <f t="shared" si="21"/>
        <v>0.10989010989010987</v>
      </c>
      <c r="L112" s="8">
        <f t="shared" si="22"/>
        <v>-0.43118590185092137</v>
      </c>
      <c r="M112" s="5" t="str">
        <f t="shared" si="23"/>
        <v>LOW</v>
      </c>
    </row>
    <row r="113" spans="1:13" x14ac:dyDescent="0.35">
      <c r="A113" s="5">
        <v>559984</v>
      </c>
      <c r="B113" s="5">
        <v>10125</v>
      </c>
      <c r="C113" s="5">
        <v>5</v>
      </c>
      <c r="D113" s="6">
        <v>40738.489583333336</v>
      </c>
      <c r="E113" s="8">
        <v>0.85</v>
      </c>
      <c r="F113" s="5">
        <v>16657</v>
      </c>
      <c r="G113" s="5" t="s">
        <v>8</v>
      </c>
      <c r="H113" s="5">
        <f t="shared" si="18"/>
        <v>8.5106382978723402E-2</v>
      </c>
      <c r="I113" s="5">
        <f t="shared" si="19"/>
        <v>-0.5706666964206748</v>
      </c>
      <c r="J113" s="5" t="str">
        <f t="shared" si="20"/>
        <v>LOW</v>
      </c>
      <c r="K113" s="8">
        <f t="shared" si="21"/>
        <v>0.10989010989010987</v>
      </c>
      <c r="L113" s="8">
        <f t="shared" si="22"/>
        <v>-0.43118590185092137</v>
      </c>
      <c r="M113" s="5" t="str">
        <f t="shared" si="23"/>
        <v>LOW</v>
      </c>
    </row>
    <row r="114" spans="1:13" x14ac:dyDescent="0.35">
      <c r="A114" s="5">
        <v>560366</v>
      </c>
      <c r="B114" s="5">
        <v>10125</v>
      </c>
      <c r="C114" s="5">
        <v>20</v>
      </c>
      <c r="D114" s="6">
        <v>40742.513194444444</v>
      </c>
      <c r="E114" s="8">
        <v>0.85</v>
      </c>
      <c r="F114" s="5">
        <v>16859</v>
      </c>
      <c r="G114" s="5" t="s">
        <v>8</v>
      </c>
      <c r="H114" s="5">
        <f t="shared" si="18"/>
        <v>0.40425531914893614</v>
      </c>
      <c r="I114" s="5">
        <f t="shared" si="19"/>
        <v>0.79163913901965799</v>
      </c>
      <c r="J114" s="5" t="str">
        <f t="shared" si="20"/>
        <v>HIGH</v>
      </c>
      <c r="K114" s="8">
        <f t="shared" si="21"/>
        <v>0.10989010989010987</v>
      </c>
      <c r="L114" s="8">
        <f t="shared" si="22"/>
        <v>-0.43118590185092137</v>
      </c>
      <c r="M114" s="5" t="str">
        <f t="shared" si="23"/>
        <v>LOW</v>
      </c>
    </row>
    <row r="115" spans="1:13" x14ac:dyDescent="0.35">
      <c r="A115" s="5">
        <v>563034</v>
      </c>
      <c r="B115" s="5">
        <v>10125</v>
      </c>
      <c r="C115" s="5">
        <v>40</v>
      </c>
      <c r="D115" s="6">
        <v>40766.620138888888</v>
      </c>
      <c r="E115" s="8">
        <v>0.85</v>
      </c>
      <c r="F115" s="5">
        <v>17644</v>
      </c>
      <c r="G115" s="5" t="s">
        <v>8</v>
      </c>
      <c r="H115" s="5">
        <f t="shared" si="18"/>
        <v>0.82978723404255317</v>
      </c>
      <c r="I115" s="5">
        <f t="shared" si="19"/>
        <v>2.6080469196067684</v>
      </c>
      <c r="J115" s="5" t="str">
        <f t="shared" si="20"/>
        <v>HIGH</v>
      </c>
      <c r="K115" s="8">
        <f t="shared" si="21"/>
        <v>0.10989010989010987</v>
      </c>
      <c r="L115" s="8">
        <f t="shared" si="22"/>
        <v>-0.43118590185092137</v>
      </c>
      <c r="M115" s="5" t="str">
        <f t="shared" si="23"/>
        <v>LOW</v>
      </c>
    </row>
    <row r="116" spans="1:13" x14ac:dyDescent="0.35">
      <c r="A116" s="5">
        <v>563744</v>
      </c>
      <c r="B116" s="5">
        <v>10125</v>
      </c>
      <c r="C116" s="5">
        <v>20</v>
      </c>
      <c r="D116" s="6">
        <v>40774.399305555555</v>
      </c>
      <c r="E116" s="8">
        <v>0.85</v>
      </c>
      <c r="F116" s="5">
        <v>13266</v>
      </c>
      <c r="G116" s="5" t="s">
        <v>8</v>
      </c>
      <c r="H116" s="5">
        <f t="shared" si="18"/>
        <v>0.40425531914893614</v>
      </c>
      <c r="I116" s="5">
        <f t="shared" si="19"/>
        <v>0.79163913901965799</v>
      </c>
      <c r="J116" s="5" t="str">
        <f t="shared" si="20"/>
        <v>HIGH</v>
      </c>
      <c r="K116" s="8">
        <f t="shared" si="21"/>
        <v>0.10989010989010987</v>
      </c>
      <c r="L116" s="8">
        <f t="shared" si="22"/>
        <v>-0.43118590185092137</v>
      </c>
      <c r="M116" s="5" t="str">
        <f t="shared" si="23"/>
        <v>LOW</v>
      </c>
    </row>
    <row r="117" spans="1:13" x14ac:dyDescent="0.35">
      <c r="A117" s="5">
        <v>564300</v>
      </c>
      <c r="B117" s="5">
        <v>10125</v>
      </c>
      <c r="C117" s="5">
        <v>5</v>
      </c>
      <c r="D117" s="6">
        <v>40779.479861111111</v>
      </c>
      <c r="E117" s="8">
        <v>0.85</v>
      </c>
      <c r="F117" s="5">
        <v>16723</v>
      </c>
      <c r="G117" s="5" t="s">
        <v>8</v>
      </c>
      <c r="H117" s="5">
        <f t="shared" si="18"/>
        <v>8.5106382978723402E-2</v>
      </c>
      <c r="I117" s="5">
        <f t="shared" si="19"/>
        <v>-0.5706666964206748</v>
      </c>
      <c r="J117" s="5" t="str">
        <f t="shared" si="20"/>
        <v>LOW</v>
      </c>
      <c r="K117" s="8">
        <f t="shared" si="21"/>
        <v>0.10989010989010987</v>
      </c>
      <c r="L117" s="8">
        <f t="shared" si="22"/>
        <v>-0.43118590185092137</v>
      </c>
      <c r="M117" s="5" t="str">
        <f t="shared" si="23"/>
        <v>LOW</v>
      </c>
    </row>
    <row r="118" spans="1:13" x14ac:dyDescent="0.35">
      <c r="A118" s="5">
        <v>564337</v>
      </c>
      <c r="B118" s="5">
        <v>10125</v>
      </c>
      <c r="C118" s="5">
        <v>20</v>
      </c>
      <c r="D118" s="6">
        <v>40779.611111111109</v>
      </c>
      <c r="E118" s="8">
        <v>0.85</v>
      </c>
      <c r="F118" s="5">
        <v>12649</v>
      </c>
      <c r="G118" s="5" t="s">
        <v>21</v>
      </c>
      <c r="H118" s="5">
        <f t="shared" si="18"/>
        <v>0.40425531914893614</v>
      </c>
      <c r="I118" s="5">
        <f t="shared" si="19"/>
        <v>0.79163913901965799</v>
      </c>
      <c r="J118" s="5" t="str">
        <f t="shared" si="20"/>
        <v>HIGH</v>
      </c>
      <c r="K118" s="8">
        <f t="shared" si="21"/>
        <v>0.10989010989010987</v>
      </c>
      <c r="L118" s="8">
        <f t="shared" si="22"/>
        <v>-0.43118590185092137</v>
      </c>
      <c r="M118" s="5" t="str">
        <f t="shared" si="23"/>
        <v>LOW</v>
      </c>
    </row>
    <row r="119" spans="1:13" x14ac:dyDescent="0.35">
      <c r="A119" s="5">
        <v>565585</v>
      </c>
      <c r="B119" s="5">
        <v>10125</v>
      </c>
      <c r="C119" s="5">
        <v>20</v>
      </c>
      <c r="D119" s="6">
        <v>40791.556944444441</v>
      </c>
      <c r="E119" s="8">
        <v>0.85</v>
      </c>
      <c r="F119" s="5">
        <v>16172</v>
      </c>
      <c r="G119" s="5" t="s">
        <v>8</v>
      </c>
      <c r="H119" s="5">
        <f t="shared" si="18"/>
        <v>0.40425531914893614</v>
      </c>
      <c r="I119" s="5">
        <f t="shared" si="19"/>
        <v>0.79163913901965799</v>
      </c>
      <c r="J119" s="5" t="str">
        <f t="shared" si="20"/>
        <v>HIGH</v>
      </c>
      <c r="K119" s="8">
        <f t="shared" si="21"/>
        <v>0.10989010989010987</v>
      </c>
      <c r="L119" s="8">
        <f t="shared" si="22"/>
        <v>-0.43118590185092137</v>
      </c>
      <c r="M119" s="5" t="str">
        <f t="shared" si="23"/>
        <v>LOW</v>
      </c>
    </row>
    <row r="120" spans="1:13" x14ac:dyDescent="0.35">
      <c r="A120" s="5">
        <v>568568</v>
      </c>
      <c r="B120" s="5">
        <v>10125</v>
      </c>
      <c r="C120" s="5">
        <v>20</v>
      </c>
      <c r="D120" s="6">
        <v>40814.366666666669</v>
      </c>
      <c r="E120" s="8">
        <v>0.85</v>
      </c>
      <c r="F120" s="5">
        <v>14412</v>
      </c>
      <c r="G120" s="5" t="s">
        <v>8</v>
      </c>
      <c r="H120" s="5">
        <f t="shared" si="18"/>
        <v>0.40425531914893614</v>
      </c>
      <c r="I120" s="5">
        <f t="shared" si="19"/>
        <v>0.79163913901965799</v>
      </c>
      <c r="J120" s="5" t="str">
        <f t="shared" si="20"/>
        <v>HIGH</v>
      </c>
      <c r="K120" s="8">
        <f t="shared" si="21"/>
        <v>0.10989010989010987</v>
      </c>
      <c r="L120" s="8">
        <f t="shared" si="22"/>
        <v>-0.43118590185092137</v>
      </c>
      <c r="M120" s="5" t="str">
        <f t="shared" si="23"/>
        <v>LOW</v>
      </c>
    </row>
    <row r="121" spans="1:13" x14ac:dyDescent="0.35">
      <c r="A121" s="5">
        <v>568650</v>
      </c>
      <c r="B121" s="5">
        <v>10125</v>
      </c>
      <c r="C121" s="5">
        <v>20</v>
      </c>
      <c r="D121" s="6">
        <v>40814.49722222222</v>
      </c>
      <c r="E121" s="8">
        <v>0.85</v>
      </c>
      <c r="F121" s="5">
        <v>13505</v>
      </c>
      <c r="G121" s="5" t="s">
        <v>16</v>
      </c>
      <c r="H121" s="5">
        <f t="shared" si="18"/>
        <v>0.40425531914893614</v>
      </c>
      <c r="I121" s="5">
        <f t="shared" si="19"/>
        <v>0.79163913901965799</v>
      </c>
      <c r="J121" s="5" t="str">
        <f t="shared" si="20"/>
        <v>HIGH</v>
      </c>
      <c r="K121" s="8">
        <f t="shared" si="21"/>
        <v>0.10989010989010987</v>
      </c>
      <c r="L121" s="8">
        <f t="shared" si="22"/>
        <v>-0.43118590185092137</v>
      </c>
      <c r="M121" s="5" t="str">
        <f t="shared" si="23"/>
        <v>LOW</v>
      </c>
    </row>
    <row r="122" spans="1:13" x14ac:dyDescent="0.35">
      <c r="A122" s="5">
        <v>569223</v>
      </c>
      <c r="B122" s="5">
        <v>10125</v>
      </c>
      <c r="C122" s="5">
        <v>7</v>
      </c>
      <c r="D122" s="6">
        <v>40818.575694444444</v>
      </c>
      <c r="E122" s="8">
        <v>0.85</v>
      </c>
      <c r="F122" s="5">
        <v>16283</v>
      </c>
      <c r="G122" s="5" t="s">
        <v>8</v>
      </c>
      <c r="H122" s="5">
        <f t="shared" si="18"/>
        <v>0.1276595744680851</v>
      </c>
      <c r="I122" s="5">
        <f t="shared" si="19"/>
        <v>-0.38902591836196376</v>
      </c>
      <c r="J122" s="5" t="str">
        <f t="shared" si="20"/>
        <v>LOW</v>
      </c>
      <c r="K122" s="8">
        <f t="shared" si="21"/>
        <v>0.10989010989010987</v>
      </c>
      <c r="L122" s="8">
        <f t="shared" si="22"/>
        <v>-0.43118590185092137</v>
      </c>
      <c r="M122" s="5" t="str">
        <f t="shared" si="23"/>
        <v>LOW</v>
      </c>
    </row>
    <row r="123" spans="1:13" x14ac:dyDescent="0.35">
      <c r="A123" s="5">
        <v>569897</v>
      </c>
      <c r="B123" s="5">
        <v>10125</v>
      </c>
      <c r="C123" s="5">
        <v>3</v>
      </c>
      <c r="D123" s="6">
        <v>40822.667361111111</v>
      </c>
      <c r="E123" s="8">
        <v>0.85</v>
      </c>
      <c r="F123" s="5">
        <v>17813</v>
      </c>
      <c r="G123" s="5" t="s">
        <v>8</v>
      </c>
      <c r="H123" s="5">
        <f t="shared" si="18"/>
        <v>4.2553191489361701E-2</v>
      </c>
      <c r="I123" s="5">
        <f t="shared" si="19"/>
        <v>-0.75230747447938584</v>
      </c>
      <c r="J123" s="5" t="str">
        <f t="shared" si="20"/>
        <v>LOW</v>
      </c>
      <c r="K123" s="8">
        <f t="shared" si="21"/>
        <v>0.10989010989010987</v>
      </c>
      <c r="L123" s="8">
        <f t="shared" si="22"/>
        <v>-0.43118590185092137</v>
      </c>
      <c r="M123" s="5" t="str">
        <f t="shared" si="23"/>
        <v>LOW</v>
      </c>
    </row>
    <row r="124" spans="1:13" x14ac:dyDescent="0.35">
      <c r="A124" s="5">
        <v>570187</v>
      </c>
      <c r="B124" s="5">
        <v>10125</v>
      </c>
      <c r="C124" s="5">
        <v>1</v>
      </c>
      <c r="D124" s="6">
        <v>40823.631249999999</v>
      </c>
      <c r="E124" s="8">
        <v>1.63</v>
      </c>
      <c r="F124" s="5" t="s">
        <v>1331</v>
      </c>
      <c r="G124" s="5" t="s">
        <v>8</v>
      </c>
      <c r="H124" s="5">
        <f t="shared" si="18"/>
        <v>0</v>
      </c>
      <c r="I124" s="5">
        <f t="shared" si="19"/>
        <v>-0.93394825253809688</v>
      </c>
      <c r="J124" s="5" t="str">
        <f t="shared" si="20"/>
        <v>LOW</v>
      </c>
      <c r="K124" s="8">
        <f t="shared" si="21"/>
        <v>0.96703296703296704</v>
      </c>
      <c r="L124" s="8">
        <f t="shared" si="22"/>
        <v>1.9352005489719497</v>
      </c>
      <c r="M124" s="5" t="str">
        <f t="shared" si="23"/>
        <v>HIGH</v>
      </c>
    </row>
    <row r="125" spans="1:13" x14ac:dyDescent="0.35">
      <c r="A125" s="5">
        <v>571328</v>
      </c>
      <c r="B125" s="5">
        <v>10125</v>
      </c>
      <c r="C125" s="5">
        <v>20</v>
      </c>
      <c r="D125" s="6">
        <v>40833.477083333331</v>
      </c>
      <c r="E125" s="8">
        <v>0.85</v>
      </c>
      <c r="F125" s="5">
        <v>12473</v>
      </c>
      <c r="G125" s="5" t="s">
        <v>21</v>
      </c>
      <c r="H125" s="5">
        <f t="shared" si="18"/>
        <v>0.40425531914893614</v>
      </c>
      <c r="I125" s="5">
        <f t="shared" si="19"/>
        <v>0.79163913901965799</v>
      </c>
      <c r="J125" s="5" t="str">
        <f t="shared" si="20"/>
        <v>HIGH</v>
      </c>
      <c r="K125" s="8">
        <f t="shared" si="21"/>
        <v>0.10989010989010987</v>
      </c>
      <c r="L125" s="8">
        <f t="shared" si="22"/>
        <v>-0.43118590185092137</v>
      </c>
      <c r="M125" s="5" t="str">
        <f t="shared" si="23"/>
        <v>LOW</v>
      </c>
    </row>
    <row r="126" spans="1:13" x14ac:dyDescent="0.35">
      <c r="A126" s="5">
        <v>572558</v>
      </c>
      <c r="B126" s="5">
        <v>10125</v>
      </c>
      <c r="C126" s="5">
        <v>20</v>
      </c>
      <c r="D126" s="6">
        <v>40841.351388888892</v>
      </c>
      <c r="E126" s="8">
        <v>0.85</v>
      </c>
      <c r="F126" s="5">
        <v>14286</v>
      </c>
      <c r="G126" s="5" t="s">
        <v>8</v>
      </c>
      <c r="H126" s="5">
        <f t="shared" si="18"/>
        <v>0.40425531914893614</v>
      </c>
      <c r="I126" s="5">
        <f t="shared" si="19"/>
        <v>0.79163913901965799</v>
      </c>
      <c r="J126" s="5" t="str">
        <f t="shared" si="20"/>
        <v>HIGH</v>
      </c>
      <c r="K126" s="8">
        <f t="shared" si="21"/>
        <v>0.10989010989010987</v>
      </c>
      <c r="L126" s="8">
        <f t="shared" si="22"/>
        <v>-0.43118590185092137</v>
      </c>
      <c r="M126" s="5" t="str">
        <f t="shared" si="23"/>
        <v>LOW</v>
      </c>
    </row>
    <row r="127" spans="1:13" x14ac:dyDescent="0.35">
      <c r="A127" s="5">
        <v>574530</v>
      </c>
      <c r="B127" s="5">
        <v>10125</v>
      </c>
      <c r="C127" s="5">
        <v>2</v>
      </c>
      <c r="D127" s="6">
        <v>40851.588194444441</v>
      </c>
      <c r="E127" s="8">
        <v>0.85</v>
      </c>
      <c r="F127" s="5">
        <v>16887</v>
      </c>
      <c r="G127" s="5" t="s">
        <v>8</v>
      </c>
      <c r="H127" s="5">
        <f t="shared" si="18"/>
        <v>2.1276595744680851E-2</v>
      </c>
      <c r="I127" s="5">
        <f t="shared" si="19"/>
        <v>-0.84312786350874136</v>
      </c>
      <c r="J127" s="5" t="str">
        <f t="shared" si="20"/>
        <v>LOW</v>
      </c>
      <c r="K127" s="8">
        <f t="shared" si="21"/>
        <v>0.10989010989010987</v>
      </c>
      <c r="L127" s="8">
        <f t="shared" si="22"/>
        <v>-0.43118590185092137</v>
      </c>
      <c r="M127" s="5" t="str">
        <f t="shared" si="23"/>
        <v>LOW</v>
      </c>
    </row>
    <row r="128" spans="1:13" x14ac:dyDescent="0.35">
      <c r="A128" s="5">
        <v>581494</v>
      </c>
      <c r="B128" s="5">
        <v>10125</v>
      </c>
      <c r="C128" s="5">
        <v>20</v>
      </c>
      <c r="D128" s="6">
        <v>40886.425694444442</v>
      </c>
      <c r="E128" s="8">
        <v>0.85</v>
      </c>
      <c r="F128" s="5">
        <v>12518</v>
      </c>
      <c r="G128" s="5" t="s">
        <v>21</v>
      </c>
      <c r="H128" s="5">
        <f t="shared" si="18"/>
        <v>0.40425531914893614</v>
      </c>
      <c r="I128" s="5">
        <f t="shared" si="19"/>
        <v>0.79163913901965799</v>
      </c>
      <c r="J128" s="5" t="str">
        <f t="shared" si="20"/>
        <v>HIGH</v>
      </c>
      <c r="K128" s="8">
        <f t="shared" si="21"/>
        <v>0.10989010989010987</v>
      </c>
      <c r="L128" s="8">
        <f t="shared" si="22"/>
        <v>-0.43118590185092137</v>
      </c>
      <c r="M128" s="5" t="str">
        <f t="shared" si="23"/>
        <v>LOW</v>
      </c>
    </row>
    <row r="133" spans="5:12" x14ac:dyDescent="0.35">
      <c r="E133"/>
      <c r="F133"/>
      <c r="G133"/>
      <c r="H133"/>
      <c r="I133"/>
      <c r="J133"/>
      <c r="K133"/>
      <c r="L133"/>
    </row>
    <row r="134" spans="5:12" x14ac:dyDescent="0.35">
      <c r="E134"/>
      <c r="F134"/>
      <c r="G134"/>
      <c r="H134"/>
      <c r="I134"/>
      <c r="J134"/>
      <c r="K134"/>
      <c r="L134"/>
    </row>
    <row r="135" spans="5:12" x14ac:dyDescent="0.35">
      <c r="E135"/>
      <c r="F135"/>
      <c r="G135"/>
      <c r="H135"/>
      <c r="I135"/>
      <c r="J135"/>
      <c r="K135"/>
      <c r="L135"/>
    </row>
    <row r="136" spans="5:12" x14ac:dyDescent="0.35">
      <c r="E136"/>
      <c r="F136"/>
      <c r="G136"/>
      <c r="H136"/>
      <c r="I136"/>
      <c r="J136"/>
      <c r="K136"/>
      <c r="L136"/>
    </row>
    <row r="137" spans="5:12" x14ac:dyDescent="0.35">
      <c r="E137"/>
      <c r="F137"/>
      <c r="G137"/>
      <c r="H137"/>
      <c r="I137"/>
      <c r="J137"/>
      <c r="K137"/>
      <c r="L137"/>
    </row>
    <row r="138" spans="5:12" x14ac:dyDescent="0.35">
      <c r="E138"/>
      <c r="F138"/>
      <c r="G138"/>
      <c r="H138"/>
      <c r="I138"/>
      <c r="J138"/>
      <c r="K138"/>
      <c r="L138"/>
    </row>
  </sheetData>
  <conditionalFormatting sqref="C1:C1048576">
    <cfRule type="colorScale" priority="4">
      <colorScale>
        <cfvo type="num" val="-28.5"/>
        <cfvo type="num" val="55.5"/>
        <color theme="8" tint="0.79998168889431442"/>
        <color theme="8" tint="-0.249977111117893"/>
      </colorScale>
    </cfRule>
    <cfRule type="colorScale" priority="6">
      <colorScale>
        <cfvo type="min"/>
        <cfvo type="max"/>
        <color theme="8" tint="0.79998168889431442"/>
        <color theme="8"/>
      </colorScale>
    </cfRule>
  </conditionalFormatting>
  <conditionalFormatting sqref="C2:C128">
    <cfRule type="colorScale" priority="327">
      <colorScale>
        <cfvo type="min"/>
        <cfvo type="max"/>
        <color theme="8" tint="0.79998168889431442"/>
        <color theme="8" tint="-0.249977111117893"/>
      </colorScale>
    </cfRule>
    <cfRule type="colorScale" priority="328">
      <colorScale>
        <cfvo type="num" val="0"/>
        <cfvo type="num" val="100"/>
        <color theme="8" tint="0.79998168889431442"/>
        <color theme="8" tint="-0.249977111117893"/>
      </colorScale>
    </cfRule>
  </conditionalFormatting>
  <conditionalFormatting sqref="C3">
    <cfRule type="duplicateValues" dxfId="7" priority="1"/>
  </conditionalFormatting>
  <conditionalFormatting sqref="E1:E1048576">
    <cfRule type="colorScale" priority="3">
      <colorScale>
        <cfvo type="num" val="0.48"/>
        <cfvo type="num" val="1.57"/>
        <color theme="8" tint="0.79998168889431442"/>
        <color theme="8" tint="-0.249977111117893"/>
      </colorScale>
    </cfRule>
  </conditionalFormatting>
  <conditionalFormatting sqref="E139:E1048576 E1:E132">
    <cfRule type="colorScale" priority="5">
      <colorScale>
        <cfvo type="min"/>
        <cfvo type="max"/>
        <color theme="8" tint="0.79998168889431442"/>
        <color theme="8" tint="-0.249977111117893"/>
      </colorScale>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FC011-CE1E-458A-8679-895ED7A7D02D}">
  <dimension ref="A1:V138"/>
  <sheetViews>
    <sheetView topLeftCell="C9" zoomScale="78" workbookViewId="0">
      <selection activeCell="R47" sqref="R47:S48"/>
    </sheetView>
  </sheetViews>
  <sheetFormatPr defaultRowHeight="14.5" x14ac:dyDescent="0.35"/>
  <cols>
    <col min="1" max="1" width="14.08984375" style="5" customWidth="1"/>
    <col min="2" max="2" width="13.453125" style="5" customWidth="1"/>
    <col min="3" max="3" width="16.08984375" style="5" customWidth="1"/>
    <col min="4" max="4" width="22.453125" style="5" bestFit="1" customWidth="1"/>
    <col min="5" max="5" width="13.6328125" style="8" bestFit="1" customWidth="1"/>
    <col min="6" max="6" width="12.90625" style="5" customWidth="1"/>
    <col min="7" max="7" width="13.54296875" style="5" bestFit="1" customWidth="1"/>
    <col min="8" max="12" width="13.54296875" style="5" customWidth="1"/>
    <col min="13" max="16" width="12.08984375" customWidth="1"/>
    <col min="17" max="17" width="12.26953125" bestFit="1" customWidth="1"/>
    <col min="18" max="18" width="30.08984375" customWidth="1"/>
    <col min="19" max="19" width="24.08984375" bestFit="1" customWidth="1"/>
    <col min="20" max="20" width="11.81640625" customWidth="1"/>
  </cols>
  <sheetData>
    <row r="1" spans="1:22" s="7" customFormat="1" x14ac:dyDescent="0.35">
      <c r="A1" s="7" t="s">
        <v>0</v>
      </c>
      <c r="B1" s="7" t="s">
        <v>1</v>
      </c>
      <c r="C1" s="7" t="s">
        <v>2</v>
      </c>
      <c r="D1" s="7" t="s">
        <v>3</v>
      </c>
      <c r="E1" s="8" t="s">
        <v>4</v>
      </c>
      <c r="F1" s="7" t="s">
        <v>5</v>
      </c>
      <c r="G1" s="7" t="s">
        <v>6</v>
      </c>
      <c r="H1" s="7" t="s">
        <v>48</v>
      </c>
      <c r="I1" s="7" t="s">
        <v>49</v>
      </c>
      <c r="J1" s="7" t="s">
        <v>50</v>
      </c>
      <c r="K1" s="7" t="s">
        <v>51</v>
      </c>
      <c r="L1" s="7" t="s">
        <v>52</v>
      </c>
      <c r="M1" s="7" t="s">
        <v>53</v>
      </c>
      <c r="N1" s="7" t="s">
        <v>93</v>
      </c>
      <c r="O1" s="7" t="s">
        <v>950</v>
      </c>
    </row>
    <row r="2" spans="1:22" x14ac:dyDescent="0.35">
      <c r="A2" s="5">
        <v>537227</v>
      </c>
      <c r="B2" s="5">
        <v>10002</v>
      </c>
      <c r="C2" s="5">
        <v>24</v>
      </c>
      <c r="D2" s="6">
        <v>40518.362500000003</v>
      </c>
      <c r="E2" s="8">
        <v>0.85</v>
      </c>
      <c r="F2" s="5">
        <v>17677</v>
      </c>
      <c r="G2" s="5" t="s">
        <v>8</v>
      </c>
      <c r="H2" s="5">
        <f t="shared" ref="H2:H33" si="0">(C2-1)/(48-1)</f>
        <v>0.48936170212765956</v>
      </c>
      <c r="I2" s="5">
        <f t="shared" ref="I2:I33" si="1">(C2-$S$21)/$S$44</f>
        <v>1.1549206951370801</v>
      </c>
      <c r="J2" s="5" t="str">
        <f t="shared" ref="J2:J33" si="2">IF(C2&gt;$S$6, "HIGH", "LOW")</f>
        <v>HIGH</v>
      </c>
      <c r="K2" s="8">
        <f t="shared" ref="K2:K33" si="3">(E2-0.75)/(1.66-0.75)</f>
        <v>0.10989010989010987</v>
      </c>
      <c r="L2" s="8">
        <f t="shared" ref="L2:L33" si="4">(E2-$S$22)/$S$45</f>
        <v>-0.43118590185092226</v>
      </c>
      <c r="M2" s="5" t="str">
        <f t="shared" ref="M2:M33" si="5">IF(E2&gt;$S$7, "HIGH", "LOW")</f>
        <v>LOW</v>
      </c>
      <c r="N2" s="5">
        <v>2</v>
      </c>
      <c r="O2" s="5">
        <v>5</v>
      </c>
      <c r="P2" s="5"/>
    </row>
    <row r="3" spans="1:22" x14ac:dyDescent="0.35">
      <c r="A3" s="5">
        <v>537638</v>
      </c>
      <c r="B3" s="5">
        <v>10002</v>
      </c>
      <c r="C3" s="5">
        <v>5</v>
      </c>
      <c r="D3" s="6">
        <v>40519.644444444442</v>
      </c>
      <c r="E3" s="8">
        <v>1.66</v>
      </c>
      <c r="F3" s="5" t="s">
        <v>1331</v>
      </c>
      <c r="G3" s="5" t="s">
        <v>8</v>
      </c>
      <c r="H3" s="5">
        <f t="shared" si="0"/>
        <v>8.5106382978723402E-2</v>
      </c>
      <c r="I3" s="5">
        <f t="shared" si="1"/>
        <v>-0.5706666964206748</v>
      </c>
      <c r="J3" s="5" t="str">
        <f t="shared" si="2"/>
        <v>LOW</v>
      </c>
      <c r="K3" s="8">
        <f t="shared" si="3"/>
        <v>1</v>
      </c>
      <c r="L3" s="8">
        <f t="shared" si="4"/>
        <v>2.0262154124651373</v>
      </c>
      <c r="M3" s="5" t="str">
        <f t="shared" si="5"/>
        <v>HIGH</v>
      </c>
      <c r="N3" s="5">
        <v>3</v>
      </c>
      <c r="O3" s="5">
        <v>5</v>
      </c>
      <c r="P3" s="5"/>
    </row>
    <row r="4" spans="1:22" x14ac:dyDescent="0.35">
      <c r="A4" s="5">
        <v>536382</v>
      </c>
      <c r="B4" s="5">
        <v>10002</v>
      </c>
      <c r="C4" s="5">
        <v>12</v>
      </c>
      <c r="D4" s="6">
        <v>40513.40625</v>
      </c>
      <c r="E4" s="8">
        <v>0.85</v>
      </c>
      <c r="F4" s="5">
        <v>16098</v>
      </c>
      <c r="G4" s="5" t="s">
        <v>8</v>
      </c>
      <c r="H4" s="5">
        <f t="shared" si="0"/>
        <v>0.23404255319148937</v>
      </c>
      <c r="I4" s="5">
        <f t="shared" si="1"/>
        <v>6.5076026784813848E-2</v>
      </c>
      <c r="J4" s="5" t="str">
        <f t="shared" si="2"/>
        <v>HIGH</v>
      </c>
      <c r="K4" s="8">
        <f t="shared" si="3"/>
        <v>0.10989010989010987</v>
      </c>
      <c r="L4" s="8">
        <f t="shared" si="4"/>
        <v>-0.43118590185092226</v>
      </c>
      <c r="M4" s="5" t="str">
        <f t="shared" si="5"/>
        <v>LOW</v>
      </c>
      <c r="N4" s="5">
        <v>4</v>
      </c>
      <c r="O4" s="5">
        <v>1</v>
      </c>
      <c r="P4" s="5"/>
    </row>
    <row r="5" spans="1:22" x14ac:dyDescent="0.35">
      <c r="A5" s="5">
        <v>537047</v>
      </c>
      <c r="B5" s="5">
        <v>10002</v>
      </c>
      <c r="C5" s="5">
        <v>1</v>
      </c>
      <c r="D5" s="6">
        <v>40517.459722222222</v>
      </c>
      <c r="E5" s="8">
        <v>0.85</v>
      </c>
      <c r="F5" s="5">
        <v>13069</v>
      </c>
      <c r="G5" s="5" t="s">
        <v>8</v>
      </c>
      <c r="H5" s="5">
        <f t="shared" si="0"/>
        <v>0</v>
      </c>
      <c r="I5" s="5">
        <f t="shared" si="1"/>
        <v>-0.93394825253809688</v>
      </c>
      <c r="J5" s="5" t="str">
        <f t="shared" si="2"/>
        <v>LOW</v>
      </c>
      <c r="K5" s="8">
        <f t="shared" si="3"/>
        <v>0.10989010989010987</v>
      </c>
      <c r="L5" s="8">
        <f t="shared" si="4"/>
        <v>-0.43118590185092226</v>
      </c>
      <c r="M5" s="5" t="str">
        <f t="shared" si="5"/>
        <v>LOW</v>
      </c>
      <c r="N5" s="5">
        <v>4</v>
      </c>
      <c r="O5" s="5">
        <v>5</v>
      </c>
      <c r="P5" s="5"/>
      <c r="Q5" s="7"/>
      <c r="R5" s="7"/>
      <c r="S5" s="7"/>
      <c r="T5" s="7"/>
      <c r="U5" s="7"/>
      <c r="V5" s="7"/>
    </row>
    <row r="6" spans="1:22" x14ac:dyDescent="0.35">
      <c r="A6" s="5">
        <v>545060</v>
      </c>
      <c r="B6" s="5">
        <v>10080</v>
      </c>
      <c r="C6" s="5">
        <v>2</v>
      </c>
      <c r="D6" s="6">
        <v>40601.574305555558</v>
      </c>
      <c r="E6" s="8">
        <v>0.85</v>
      </c>
      <c r="F6" s="5">
        <v>15547</v>
      </c>
      <c r="G6" s="5" t="s">
        <v>8</v>
      </c>
      <c r="H6" s="5">
        <f t="shared" si="0"/>
        <v>2.1276595744680851E-2</v>
      </c>
      <c r="I6" s="5">
        <f t="shared" si="1"/>
        <v>-0.84312786350874136</v>
      </c>
      <c r="J6" s="5" t="str">
        <f t="shared" si="2"/>
        <v>LOW</v>
      </c>
      <c r="K6" s="8">
        <f t="shared" si="3"/>
        <v>0.10989010989010987</v>
      </c>
      <c r="L6" s="8">
        <f t="shared" si="4"/>
        <v>-0.43118590185092226</v>
      </c>
      <c r="M6" s="5" t="str">
        <f t="shared" si="5"/>
        <v>LOW</v>
      </c>
      <c r="N6" s="5">
        <v>4</v>
      </c>
      <c r="O6" s="5">
        <v>3</v>
      </c>
      <c r="P6" s="5"/>
      <c r="R6" s="20" t="s">
        <v>26</v>
      </c>
      <c r="S6" s="20">
        <f>AVERAGE(C:C)</f>
        <v>11.283464566929133</v>
      </c>
    </row>
    <row r="7" spans="1:22" x14ac:dyDescent="0.35">
      <c r="A7" s="5">
        <v>536876</v>
      </c>
      <c r="B7" s="5">
        <v>10002</v>
      </c>
      <c r="C7" s="5">
        <v>2</v>
      </c>
      <c r="D7" s="6">
        <v>40515.48333333333</v>
      </c>
      <c r="E7" s="8">
        <v>1.66</v>
      </c>
      <c r="F7" s="5" t="s">
        <v>1331</v>
      </c>
      <c r="G7" s="5" t="s">
        <v>8</v>
      </c>
      <c r="H7" s="5">
        <f t="shared" si="0"/>
        <v>2.1276595744680851E-2</v>
      </c>
      <c r="I7" s="5">
        <f t="shared" si="1"/>
        <v>-0.84312786350874136</v>
      </c>
      <c r="J7" s="5" t="str">
        <f t="shared" si="2"/>
        <v>LOW</v>
      </c>
      <c r="K7" s="8">
        <f t="shared" si="3"/>
        <v>1</v>
      </c>
      <c r="L7" s="8">
        <f t="shared" si="4"/>
        <v>2.0262154124651373</v>
      </c>
      <c r="M7" s="5" t="str">
        <f t="shared" si="5"/>
        <v>HIGH</v>
      </c>
      <c r="N7" s="5">
        <v>8</v>
      </c>
      <c r="O7" s="5">
        <v>3</v>
      </c>
      <c r="P7" s="5"/>
      <c r="R7" s="20" t="s">
        <v>27</v>
      </c>
      <c r="S7" s="21">
        <f>AVERAGE(E:E)</f>
        <v>0.99212598425196685</v>
      </c>
    </row>
    <row r="8" spans="1:22" x14ac:dyDescent="0.35">
      <c r="A8" s="5">
        <v>536756</v>
      </c>
      <c r="B8" s="5">
        <v>10002</v>
      </c>
      <c r="C8" s="5">
        <v>1</v>
      </c>
      <c r="D8" s="6">
        <v>40514.599305555559</v>
      </c>
      <c r="E8" s="8">
        <v>0.85</v>
      </c>
      <c r="F8" s="5" t="s">
        <v>1331</v>
      </c>
      <c r="G8" s="5" t="s">
        <v>8</v>
      </c>
      <c r="H8" s="5">
        <f t="shared" si="0"/>
        <v>0</v>
      </c>
      <c r="I8" s="5">
        <f t="shared" si="1"/>
        <v>-0.93394825253809688</v>
      </c>
      <c r="J8" s="5" t="str">
        <f t="shared" si="2"/>
        <v>LOW</v>
      </c>
      <c r="K8" s="8">
        <f t="shared" si="3"/>
        <v>0.10989010989010987</v>
      </c>
      <c r="L8" s="8">
        <f t="shared" si="4"/>
        <v>-0.43118590185092226</v>
      </c>
      <c r="M8" s="5" t="str">
        <f t="shared" si="5"/>
        <v>LOW</v>
      </c>
      <c r="N8" s="5">
        <v>9</v>
      </c>
      <c r="O8" s="5">
        <v>5</v>
      </c>
      <c r="P8" s="5"/>
      <c r="R8" s="20"/>
      <c r="S8" s="20"/>
    </row>
    <row r="9" spans="1:22" x14ac:dyDescent="0.35">
      <c r="A9" s="5">
        <v>536863</v>
      </c>
      <c r="B9" s="5">
        <v>10002</v>
      </c>
      <c r="C9" s="5">
        <v>1</v>
      </c>
      <c r="D9" s="6">
        <v>40515.47152777778</v>
      </c>
      <c r="E9" s="8">
        <v>0.85</v>
      </c>
      <c r="F9" s="5">
        <v>17967</v>
      </c>
      <c r="G9" s="5" t="s">
        <v>8</v>
      </c>
      <c r="H9" s="5">
        <f t="shared" si="0"/>
        <v>0</v>
      </c>
      <c r="I9" s="5">
        <f t="shared" si="1"/>
        <v>-0.93394825253809688</v>
      </c>
      <c r="J9" s="5" t="str">
        <f t="shared" si="2"/>
        <v>LOW</v>
      </c>
      <c r="K9" s="8">
        <f t="shared" si="3"/>
        <v>0.10989010989010987</v>
      </c>
      <c r="L9" s="8">
        <f t="shared" si="4"/>
        <v>-0.43118590185092226</v>
      </c>
      <c r="M9" s="5" t="str">
        <f t="shared" si="5"/>
        <v>LOW</v>
      </c>
      <c r="N9" s="5">
        <v>9</v>
      </c>
      <c r="O9" s="5">
        <v>1</v>
      </c>
      <c r="P9" s="5"/>
      <c r="R9" s="20"/>
      <c r="S9" s="20"/>
    </row>
    <row r="10" spans="1:22" x14ac:dyDescent="0.35">
      <c r="A10" s="5">
        <v>550452</v>
      </c>
      <c r="B10" s="5">
        <v>10002</v>
      </c>
      <c r="C10" s="5">
        <v>1</v>
      </c>
      <c r="D10" s="6">
        <v>40651.538888888892</v>
      </c>
      <c r="E10" s="8">
        <v>0.85</v>
      </c>
      <c r="F10" s="5">
        <v>14525</v>
      </c>
      <c r="G10" s="5" t="s">
        <v>8</v>
      </c>
      <c r="H10" s="5">
        <f t="shared" si="0"/>
        <v>0</v>
      </c>
      <c r="I10" s="5">
        <f t="shared" si="1"/>
        <v>-0.93394825253809688</v>
      </c>
      <c r="J10" s="5" t="str">
        <f t="shared" si="2"/>
        <v>LOW</v>
      </c>
      <c r="K10" s="8">
        <f t="shared" si="3"/>
        <v>0.10989010989010987</v>
      </c>
      <c r="L10" s="8">
        <f t="shared" si="4"/>
        <v>-0.43118590185092226</v>
      </c>
      <c r="M10" s="5" t="str">
        <f t="shared" si="5"/>
        <v>LOW</v>
      </c>
      <c r="N10" s="5">
        <v>9</v>
      </c>
      <c r="O10" s="5">
        <v>1</v>
      </c>
      <c r="P10" s="5"/>
      <c r="R10" s="20" t="s">
        <v>28</v>
      </c>
      <c r="S10" s="20">
        <f>MAX(C:C)</f>
        <v>48</v>
      </c>
    </row>
    <row r="11" spans="1:22" x14ac:dyDescent="0.35">
      <c r="A11" s="5">
        <v>551391</v>
      </c>
      <c r="B11" s="5">
        <v>10125</v>
      </c>
      <c r="C11" s="5">
        <v>1</v>
      </c>
      <c r="D11" s="6">
        <v>40661.504166666666</v>
      </c>
      <c r="E11" s="8">
        <v>0.85</v>
      </c>
      <c r="F11" s="5">
        <v>15514</v>
      </c>
      <c r="G11" s="5" t="s">
        <v>8</v>
      </c>
      <c r="H11" s="5">
        <f t="shared" si="0"/>
        <v>0</v>
      </c>
      <c r="I11" s="5">
        <f t="shared" si="1"/>
        <v>-0.93394825253809688</v>
      </c>
      <c r="J11" s="5" t="str">
        <f t="shared" si="2"/>
        <v>LOW</v>
      </c>
      <c r="K11" s="8">
        <f t="shared" si="3"/>
        <v>0.10989010989010987</v>
      </c>
      <c r="L11" s="8">
        <f t="shared" si="4"/>
        <v>-0.43118590185092226</v>
      </c>
      <c r="M11" s="5" t="str">
        <f t="shared" si="5"/>
        <v>LOW</v>
      </c>
      <c r="N11" s="5">
        <v>10</v>
      </c>
      <c r="O11" s="5">
        <v>8</v>
      </c>
      <c r="P11" s="5"/>
      <c r="R11" s="20" t="s">
        <v>29</v>
      </c>
      <c r="S11" s="20">
        <f>MIN(C:C)</f>
        <v>1</v>
      </c>
    </row>
    <row r="12" spans="1:22" x14ac:dyDescent="0.35">
      <c r="A12" s="5">
        <v>536865</v>
      </c>
      <c r="B12" s="5">
        <v>10002</v>
      </c>
      <c r="C12" s="11">
        <v>11</v>
      </c>
      <c r="D12" s="6">
        <v>40515.477777777778</v>
      </c>
      <c r="E12" s="8">
        <v>1.66</v>
      </c>
      <c r="F12" s="5" t="s">
        <v>1331</v>
      </c>
      <c r="G12" s="5" t="s">
        <v>8</v>
      </c>
      <c r="H12" s="5">
        <f t="shared" si="0"/>
        <v>0.21276595744680851</v>
      </c>
      <c r="I12" s="5">
        <f t="shared" si="1"/>
        <v>-2.5744362244541675E-2</v>
      </c>
      <c r="J12" s="5" t="str">
        <f t="shared" si="2"/>
        <v>LOW</v>
      </c>
      <c r="K12" s="8">
        <f t="shared" si="3"/>
        <v>1</v>
      </c>
      <c r="L12" s="8">
        <f t="shared" si="4"/>
        <v>2.0262154124651373</v>
      </c>
      <c r="M12" s="5" t="str">
        <f t="shared" si="5"/>
        <v>HIGH</v>
      </c>
      <c r="N12" s="5">
        <v>11</v>
      </c>
      <c r="O12" s="5">
        <v>4</v>
      </c>
      <c r="P12" s="5"/>
      <c r="R12" s="20"/>
      <c r="S12" s="20"/>
    </row>
    <row r="13" spans="1:22" x14ac:dyDescent="0.35">
      <c r="A13" s="5">
        <v>536370</v>
      </c>
      <c r="B13" s="5">
        <v>10002</v>
      </c>
      <c r="C13" s="5">
        <v>48</v>
      </c>
      <c r="D13" s="6">
        <v>40513.364583333336</v>
      </c>
      <c r="E13" s="8">
        <v>0.85</v>
      </c>
      <c r="F13" s="5">
        <v>12583</v>
      </c>
      <c r="G13" s="5" t="s">
        <v>7</v>
      </c>
      <c r="H13" s="5">
        <f t="shared" si="0"/>
        <v>1</v>
      </c>
      <c r="I13" s="5">
        <f t="shared" si="1"/>
        <v>3.3346100318416125</v>
      </c>
      <c r="J13" s="5" t="str">
        <f t="shared" si="2"/>
        <v>HIGH</v>
      </c>
      <c r="K13" s="8">
        <f t="shared" si="3"/>
        <v>0.10989010989010987</v>
      </c>
      <c r="L13" s="8">
        <f t="shared" si="4"/>
        <v>-0.43118590185092226</v>
      </c>
      <c r="M13" s="5" t="str">
        <f t="shared" si="5"/>
        <v>LOW</v>
      </c>
      <c r="N13" s="5">
        <v>12</v>
      </c>
      <c r="O13" s="5">
        <v>4</v>
      </c>
      <c r="P13" s="5"/>
      <c r="R13" s="20" t="s">
        <v>30</v>
      </c>
      <c r="S13" s="20">
        <f>_xlfn.STDEV.S(C:C)</f>
        <v>11.010743410015277</v>
      </c>
    </row>
    <row r="14" spans="1:22" x14ac:dyDescent="0.35">
      <c r="A14" s="5">
        <v>537240</v>
      </c>
      <c r="B14" s="5">
        <v>10002</v>
      </c>
      <c r="C14" s="5">
        <v>1</v>
      </c>
      <c r="D14" s="6">
        <v>40518.422222222223</v>
      </c>
      <c r="E14" s="8">
        <v>1.66</v>
      </c>
      <c r="F14" s="5" t="s">
        <v>1331</v>
      </c>
      <c r="G14" s="5" t="s">
        <v>8</v>
      </c>
      <c r="H14" s="5">
        <f t="shared" si="0"/>
        <v>0</v>
      </c>
      <c r="I14" s="5">
        <f t="shared" si="1"/>
        <v>-0.93394825253809688</v>
      </c>
      <c r="J14" s="5" t="str">
        <f t="shared" si="2"/>
        <v>LOW</v>
      </c>
      <c r="K14" s="8">
        <f t="shared" si="3"/>
        <v>1</v>
      </c>
      <c r="L14" s="8">
        <f t="shared" si="4"/>
        <v>2.0262154124651373</v>
      </c>
      <c r="M14" s="5" t="str">
        <f t="shared" si="5"/>
        <v>HIGH</v>
      </c>
      <c r="N14" s="5">
        <v>12</v>
      </c>
      <c r="O14" s="5">
        <v>7</v>
      </c>
      <c r="P14" s="5"/>
      <c r="R14" s="20" t="s">
        <v>31</v>
      </c>
      <c r="S14" s="20">
        <f>_xlfn.STDEV.S(E:E)</f>
        <v>0.32961649173099672</v>
      </c>
    </row>
    <row r="15" spans="1:22" x14ac:dyDescent="0.35">
      <c r="A15" s="5">
        <v>551616</v>
      </c>
      <c r="B15" s="5">
        <v>10125</v>
      </c>
      <c r="C15" s="5">
        <v>1</v>
      </c>
      <c r="D15" s="6">
        <v>40666.486111111109</v>
      </c>
      <c r="E15" s="8">
        <v>0.85</v>
      </c>
      <c r="F15" s="5">
        <v>15048</v>
      </c>
      <c r="G15" s="5" t="s">
        <v>8</v>
      </c>
      <c r="H15" s="5">
        <f t="shared" si="0"/>
        <v>0</v>
      </c>
      <c r="I15" s="5">
        <f t="shared" si="1"/>
        <v>-0.93394825253809688</v>
      </c>
      <c r="J15" s="5" t="str">
        <f t="shared" si="2"/>
        <v>LOW</v>
      </c>
      <c r="K15" s="8">
        <f t="shared" si="3"/>
        <v>0.10989010989010987</v>
      </c>
      <c r="L15" s="8">
        <f t="shared" si="4"/>
        <v>-0.43118590185092226</v>
      </c>
      <c r="M15" s="5" t="str">
        <f t="shared" si="5"/>
        <v>LOW</v>
      </c>
      <c r="N15" s="5">
        <v>13</v>
      </c>
      <c r="O15" s="5">
        <v>2</v>
      </c>
      <c r="P15" s="5"/>
    </row>
    <row r="16" spans="1:22" x14ac:dyDescent="0.35">
      <c r="A16" s="5">
        <v>536446</v>
      </c>
      <c r="B16" s="5">
        <v>10133</v>
      </c>
      <c r="C16" s="5">
        <v>5</v>
      </c>
      <c r="D16" s="6">
        <v>40513.510416666664</v>
      </c>
      <c r="E16" s="8">
        <v>0.85</v>
      </c>
      <c r="F16" s="5">
        <v>15983</v>
      </c>
      <c r="G16" s="5" t="s">
        <v>8</v>
      </c>
      <c r="H16" s="5">
        <f t="shared" si="0"/>
        <v>8.5106382978723402E-2</v>
      </c>
      <c r="I16" s="5">
        <f t="shared" si="1"/>
        <v>-0.5706666964206748</v>
      </c>
      <c r="J16" s="5" t="str">
        <f t="shared" si="2"/>
        <v>LOW</v>
      </c>
      <c r="K16" s="8">
        <f t="shared" si="3"/>
        <v>0.10989010989010987</v>
      </c>
      <c r="L16" s="8">
        <f t="shared" si="4"/>
        <v>-0.43118590185092226</v>
      </c>
      <c r="M16" s="5" t="str">
        <f t="shared" si="5"/>
        <v>LOW</v>
      </c>
      <c r="N16" s="5"/>
      <c r="O16" s="5"/>
      <c r="P16" s="5"/>
    </row>
    <row r="17" spans="1:19" x14ac:dyDescent="0.35">
      <c r="A17" s="5">
        <v>536876</v>
      </c>
      <c r="B17" s="5">
        <v>10133</v>
      </c>
      <c r="C17" s="5">
        <v>1</v>
      </c>
      <c r="D17" s="6">
        <v>40515.48333333333</v>
      </c>
      <c r="E17" s="8">
        <v>1.66</v>
      </c>
      <c r="F17" s="5" t="s">
        <v>1331</v>
      </c>
      <c r="G17" s="5" t="s">
        <v>8</v>
      </c>
      <c r="H17" s="5">
        <f t="shared" si="0"/>
        <v>0</v>
      </c>
      <c r="I17" s="5">
        <f t="shared" si="1"/>
        <v>-0.93394825253809688</v>
      </c>
      <c r="J17" s="5" t="str">
        <f t="shared" si="2"/>
        <v>LOW</v>
      </c>
      <c r="K17" s="8">
        <f t="shared" si="3"/>
        <v>1</v>
      </c>
      <c r="L17" s="8">
        <f t="shared" si="4"/>
        <v>2.0262154124651373</v>
      </c>
      <c r="M17" s="5" t="str">
        <f t="shared" si="5"/>
        <v>HIGH</v>
      </c>
      <c r="N17" s="5"/>
      <c r="O17" s="5"/>
      <c r="P17" s="5"/>
    </row>
    <row r="18" spans="1:19" x14ac:dyDescent="0.35">
      <c r="A18" s="5">
        <v>537225</v>
      </c>
      <c r="B18" s="5">
        <v>10133</v>
      </c>
      <c r="C18" s="5">
        <v>10</v>
      </c>
      <c r="D18" s="10">
        <v>40517</v>
      </c>
      <c r="E18" s="8">
        <v>0.85</v>
      </c>
      <c r="F18" s="5">
        <v>12748</v>
      </c>
      <c r="G18" s="5" t="s">
        <v>8</v>
      </c>
      <c r="H18" s="5">
        <f t="shared" si="0"/>
        <v>0.19148936170212766</v>
      </c>
      <c r="I18" s="5">
        <f t="shared" si="1"/>
        <v>-0.11656475127389719</v>
      </c>
      <c r="J18" s="5" t="str">
        <f t="shared" si="2"/>
        <v>LOW</v>
      </c>
      <c r="K18" s="8">
        <f t="shared" si="3"/>
        <v>0.10989010989010987</v>
      </c>
      <c r="L18" s="8">
        <f t="shared" si="4"/>
        <v>-0.43118590185092226</v>
      </c>
      <c r="M18" s="5" t="str">
        <f t="shared" si="5"/>
        <v>LOW</v>
      </c>
      <c r="N18" s="5"/>
      <c r="O18" s="5"/>
      <c r="P18" s="5"/>
    </row>
    <row r="19" spans="1:19" x14ac:dyDescent="0.35">
      <c r="A19" s="5">
        <v>537126</v>
      </c>
      <c r="B19" s="5">
        <v>10133</v>
      </c>
      <c r="C19" s="5">
        <v>1</v>
      </c>
      <c r="D19" s="6">
        <v>40517.509027777778</v>
      </c>
      <c r="E19" s="8">
        <v>0.85</v>
      </c>
      <c r="F19" s="5">
        <v>18118</v>
      </c>
      <c r="G19" s="5" t="s">
        <v>8</v>
      </c>
      <c r="H19" s="5">
        <f t="shared" si="0"/>
        <v>0</v>
      </c>
      <c r="I19" s="5">
        <f t="shared" si="1"/>
        <v>-0.93394825253809688</v>
      </c>
      <c r="J19" s="5" t="str">
        <f t="shared" si="2"/>
        <v>LOW</v>
      </c>
      <c r="K19" s="8">
        <f t="shared" si="3"/>
        <v>0.10989010989010987</v>
      </c>
      <c r="L19" s="8">
        <f t="shared" si="4"/>
        <v>-0.43118590185092226</v>
      </c>
      <c r="M19" s="5" t="str">
        <f t="shared" si="5"/>
        <v>LOW</v>
      </c>
      <c r="N19" s="5"/>
      <c r="O19" s="5"/>
      <c r="P19" s="5"/>
    </row>
    <row r="20" spans="1:19" x14ac:dyDescent="0.35">
      <c r="A20" s="5">
        <v>537155</v>
      </c>
      <c r="B20" s="5">
        <v>10133</v>
      </c>
      <c r="C20" s="5">
        <v>3</v>
      </c>
      <c r="D20" s="6">
        <v>40517.545138888891</v>
      </c>
      <c r="E20" s="8">
        <v>0.85</v>
      </c>
      <c r="F20" s="5">
        <v>12748</v>
      </c>
      <c r="G20" s="5" t="s">
        <v>8</v>
      </c>
      <c r="H20" s="5">
        <f t="shared" si="0"/>
        <v>4.2553191489361701E-2</v>
      </c>
      <c r="I20" s="5">
        <f t="shared" si="1"/>
        <v>-0.75230747447938584</v>
      </c>
      <c r="J20" s="5" t="str">
        <f t="shared" si="2"/>
        <v>LOW</v>
      </c>
      <c r="K20" s="8">
        <f t="shared" si="3"/>
        <v>0.10989010989010987</v>
      </c>
      <c r="L20" s="8">
        <f t="shared" si="4"/>
        <v>-0.43118590185092226</v>
      </c>
      <c r="M20" s="5" t="str">
        <f t="shared" si="5"/>
        <v>LOW</v>
      </c>
      <c r="N20" s="5"/>
      <c r="O20" s="5"/>
      <c r="P20" s="5"/>
    </row>
    <row r="21" spans="1:19" x14ac:dyDescent="0.35">
      <c r="A21" s="5">
        <v>537374</v>
      </c>
      <c r="B21" s="5">
        <v>10133</v>
      </c>
      <c r="C21" s="5">
        <v>2</v>
      </c>
      <c r="D21" s="6">
        <v>40518.538194444445</v>
      </c>
      <c r="E21" s="8">
        <v>0.85</v>
      </c>
      <c r="F21" s="5">
        <v>17259</v>
      </c>
      <c r="G21" s="5" t="s">
        <v>8</v>
      </c>
      <c r="H21" s="5">
        <f t="shared" si="0"/>
        <v>2.1276595744680851E-2</v>
      </c>
      <c r="I21" s="5">
        <f t="shared" si="1"/>
        <v>-0.84312786350874136</v>
      </c>
      <c r="J21" s="5" t="str">
        <f t="shared" si="2"/>
        <v>LOW</v>
      </c>
      <c r="K21" s="8">
        <f t="shared" si="3"/>
        <v>0.10989010989010987</v>
      </c>
      <c r="L21" s="8">
        <f t="shared" si="4"/>
        <v>-0.43118590185092226</v>
      </c>
      <c r="M21" s="5" t="str">
        <f t="shared" si="5"/>
        <v>LOW</v>
      </c>
      <c r="N21" s="5"/>
      <c r="O21" s="5"/>
      <c r="P21" s="5"/>
      <c r="R21" s="30" t="s">
        <v>32</v>
      </c>
      <c r="S21" s="19">
        <f>AVERAGE(C:C)</f>
        <v>11.283464566929133</v>
      </c>
    </row>
    <row r="22" spans="1:19" x14ac:dyDescent="0.35">
      <c r="A22" s="5">
        <v>538064</v>
      </c>
      <c r="B22" s="5">
        <v>10133</v>
      </c>
      <c r="C22" s="5">
        <v>2</v>
      </c>
      <c r="D22" s="6">
        <v>40521.574305555558</v>
      </c>
      <c r="E22" s="8">
        <v>0.85</v>
      </c>
      <c r="F22" s="5">
        <v>15271</v>
      </c>
      <c r="G22" s="5" t="s">
        <v>8</v>
      </c>
      <c r="H22" s="5">
        <f t="shared" si="0"/>
        <v>2.1276595744680851E-2</v>
      </c>
      <c r="I22" s="5">
        <f t="shared" si="1"/>
        <v>-0.84312786350874136</v>
      </c>
      <c r="J22" s="5" t="str">
        <f t="shared" si="2"/>
        <v>LOW</v>
      </c>
      <c r="K22" s="8">
        <f t="shared" si="3"/>
        <v>0.10989010989010987</v>
      </c>
      <c r="L22" s="8">
        <f t="shared" si="4"/>
        <v>-0.43118590185092226</v>
      </c>
      <c r="M22" s="5" t="str">
        <f t="shared" si="5"/>
        <v>LOW</v>
      </c>
      <c r="N22" s="5"/>
      <c r="O22" s="5"/>
      <c r="P22" s="5"/>
      <c r="R22" s="30" t="s">
        <v>33</v>
      </c>
      <c r="S22" s="31">
        <f>AVERAGE(E:E)</f>
        <v>0.99212598425196685</v>
      </c>
    </row>
    <row r="23" spans="1:19" x14ac:dyDescent="0.35">
      <c r="A23" s="5">
        <v>538070</v>
      </c>
      <c r="B23" s="5">
        <v>10133</v>
      </c>
      <c r="C23" s="5">
        <v>10</v>
      </c>
      <c r="D23" s="6">
        <v>40521.588888888888</v>
      </c>
      <c r="E23" s="8">
        <v>0.85</v>
      </c>
      <c r="F23" s="5">
        <v>16519</v>
      </c>
      <c r="G23" s="5" t="s">
        <v>8</v>
      </c>
      <c r="H23" s="5">
        <f t="shared" si="0"/>
        <v>0.19148936170212766</v>
      </c>
      <c r="I23" s="5">
        <f t="shared" si="1"/>
        <v>-0.11656475127389719</v>
      </c>
      <c r="J23" s="5" t="str">
        <f t="shared" si="2"/>
        <v>LOW</v>
      </c>
      <c r="K23" s="8">
        <f t="shared" si="3"/>
        <v>0.10989010989010987</v>
      </c>
      <c r="L23" s="8">
        <f t="shared" si="4"/>
        <v>-0.43118590185092226</v>
      </c>
      <c r="M23" s="5" t="str">
        <f t="shared" si="5"/>
        <v>LOW</v>
      </c>
      <c r="N23" s="5"/>
      <c r="O23" s="5"/>
      <c r="P23" s="5"/>
      <c r="R23" s="13"/>
      <c r="S23" s="5"/>
    </row>
    <row r="24" spans="1:19" x14ac:dyDescent="0.35">
      <c r="A24" s="5">
        <v>539222</v>
      </c>
      <c r="B24" s="5">
        <v>10133</v>
      </c>
      <c r="C24" s="5">
        <v>10</v>
      </c>
      <c r="D24" s="6">
        <v>40528.541666666664</v>
      </c>
      <c r="E24" s="8">
        <v>0.85</v>
      </c>
      <c r="F24" s="5">
        <v>14621</v>
      </c>
      <c r="G24" s="5" t="s">
        <v>1331</v>
      </c>
      <c r="H24" s="5">
        <f t="shared" si="0"/>
        <v>0.19148936170212766</v>
      </c>
      <c r="I24" s="5">
        <f t="shared" si="1"/>
        <v>-0.11656475127389719</v>
      </c>
      <c r="J24" s="5" t="str">
        <f t="shared" si="2"/>
        <v>LOW</v>
      </c>
      <c r="K24" s="8">
        <f t="shared" si="3"/>
        <v>0.10989010989010987</v>
      </c>
      <c r="L24" s="8">
        <f t="shared" si="4"/>
        <v>-0.43118590185092226</v>
      </c>
      <c r="M24" s="5" t="str">
        <f t="shared" si="5"/>
        <v>LOW</v>
      </c>
      <c r="N24" s="5"/>
      <c r="O24" s="5"/>
      <c r="P24" s="5"/>
      <c r="R24" s="13"/>
      <c r="S24" s="5"/>
    </row>
    <row r="25" spans="1:19" x14ac:dyDescent="0.35">
      <c r="A25" s="5">
        <v>539477</v>
      </c>
      <c r="B25" s="5">
        <v>10133</v>
      </c>
      <c r="C25" s="5">
        <v>10</v>
      </c>
      <c r="D25" s="6">
        <v>40531.623611111114</v>
      </c>
      <c r="E25" s="8">
        <v>0.85</v>
      </c>
      <c r="F25" s="5">
        <v>18245</v>
      </c>
      <c r="G25" s="5" t="s">
        <v>8</v>
      </c>
      <c r="H25" s="5">
        <f t="shared" si="0"/>
        <v>0.19148936170212766</v>
      </c>
      <c r="I25" s="5">
        <f t="shared" si="1"/>
        <v>-0.11656475127389719</v>
      </c>
      <c r="J25" s="5" t="str">
        <f t="shared" si="2"/>
        <v>LOW</v>
      </c>
      <c r="K25" s="8">
        <f t="shared" si="3"/>
        <v>0.10989010989010987</v>
      </c>
      <c r="L25" s="8">
        <f t="shared" si="4"/>
        <v>-0.43118590185092226</v>
      </c>
      <c r="M25" s="5" t="str">
        <f t="shared" si="5"/>
        <v>LOW</v>
      </c>
      <c r="N25" s="5"/>
      <c r="O25" s="5"/>
      <c r="P25" s="5"/>
      <c r="R25" s="13"/>
      <c r="S25" s="5"/>
    </row>
    <row r="26" spans="1:19" x14ac:dyDescent="0.35">
      <c r="A26" s="5">
        <v>539933</v>
      </c>
      <c r="B26" s="5">
        <v>10133</v>
      </c>
      <c r="C26" s="5">
        <v>10</v>
      </c>
      <c r="D26" s="6">
        <v>40535.474999999999</v>
      </c>
      <c r="E26" s="8">
        <v>0.85</v>
      </c>
      <c r="F26" s="5">
        <v>15235</v>
      </c>
      <c r="G26" s="5" t="s">
        <v>8</v>
      </c>
      <c r="H26" s="5">
        <f t="shared" si="0"/>
        <v>0.19148936170212766</v>
      </c>
      <c r="I26" s="5">
        <f t="shared" si="1"/>
        <v>-0.11656475127389719</v>
      </c>
      <c r="J26" s="5" t="str">
        <f t="shared" si="2"/>
        <v>LOW</v>
      </c>
      <c r="K26" s="8">
        <f t="shared" si="3"/>
        <v>0.10989010989010987</v>
      </c>
      <c r="L26" s="8">
        <f t="shared" si="4"/>
        <v>-0.43118590185092226</v>
      </c>
      <c r="M26" s="5" t="str">
        <f t="shared" si="5"/>
        <v>LOW</v>
      </c>
      <c r="N26" s="5"/>
      <c r="O26" s="5"/>
      <c r="P26" s="5"/>
      <c r="R26" s="30" t="s">
        <v>34</v>
      </c>
      <c r="S26" s="19">
        <f>AVERAGE(C:C)</f>
        <v>11.283464566929133</v>
      </c>
    </row>
    <row r="27" spans="1:19" x14ac:dyDescent="0.35">
      <c r="A27" s="5">
        <v>539958</v>
      </c>
      <c r="B27" s="5">
        <v>10133</v>
      </c>
      <c r="C27" s="5">
        <v>6</v>
      </c>
      <c r="D27" s="6">
        <v>40535.55972222222</v>
      </c>
      <c r="E27" s="8">
        <v>0.81</v>
      </c>
      <c r="F27" s="5" t="s">
        <v>1331</v>
      </c>
      <c r="G27" s="5" t="s">
        <v>8</v>
      </c>
      <c r="H27" s="5">
        <f t="shared" si="0"/>
        <v>0.10638297872340426</v>
      </c>
      <c r="I27" s="5">
        <f t="shared" si="1"/>
        <v>-0.47984630739131928</v>
      </c>
      <c r="J27" s="5" t="str">
        <f t="shared" si="2"/>
        <v>LOW</v>
      </c>
      <c r="K27" s="8">
        <f t="shared" si="3"/>
        <v>6.5934065934066005E-2</v>
      </c>
      <c r="L27" s="8">
        <f t="shared" si="4"/>
        <v>-0.55253905317517193</v>
      </c>
      <c r="M27" s="5" t="str">
        <f t="shared" si="5"/>
        <v>LOW</v>
      </c>
      <c r="N27" s="5"/>
      <c r="O27" s="5"/>
      <c r="P27" s="5"/>
      <c r="R27" s="30" t="s">
        <v>35</v>
      </c>
      <c r="S27" s="32">
        <f>AVERAGE(E:E)</f>
        <v>0.99212598425196685</v>
      </c>
    </row>
    <row r="28" spans="1:19" x14ac:dyDescent="0.35">
      <c r="A28" s="5">
        <v>540026</v>
      </c>
      <c r="B28" s="5">
        <v>10133</v>
      </c>
      <c r="C28" s="5">
        <v>1</v>
      </c>
      <c r="D28" s="6">
        <v>40547.559027777781</v>
      </c>
      <c r="E28" s="8">
        <v>0.81</v>
      </c>
      <c r="F28" s="5" t="s">
        <v>1331</v>
      </c>
      <c r="G28" s="5" t="s">
        <v>8</v>
      </c>
      <c r="H28" s="5">
        <f t="shared" si="0"/>
        <v>0</v>
      </c>
      <c r="I28" s="5">
        <f t="shared" si="1"/>
        <v>-0.93394825253809688</v>
      </c>
      <c r="J28" s="5" t="str">
        <f t="shared" si="2"/>
        <v>LOW</v>
      </c>
      <c r="K28" s="8">
        <f t="shared" si="3"/>
        <v>6.5934065934066005E-2</v>
      </c>
      <c r="L28" s="8">
        <f t="shared" si="4"/>
        <v>-0.55253905317517193</v>
      </c>
      <c r="M28" s="5" t="str">
        <f t="shared" si="5"/>
        <v>LOW</v>
      </c>
      <c r="N28" s="5"/>
      <c r="O28" s="5"/>
      <c r="P28" s="5"/>
      <c r="R28" s="13"/>
      <c r="S28" s="5"/>
    </row>
    <row r="29" spans="1:19" x14ac:dyDescent="0.35">
      <c r="A29" s="5">
        <v>540154</v>
      </c>
      <c r="B29" s="5">
        <v>10133</v>
      </c>
      <c r="C29" s="5">
        <v>1</v>
      </c>
      <c r="D29" s="6">
        <v>40548.479166666664</v>
      </c>
      <c r="E29" s="8">
        <v>0.81</v>
      </c>
      <c r="F29" s="5" t="s">
        <v>1331</v>
      </c>
      <c r="G29" s="5" t="s">
        <v>8</v>
      </c>
      <c r="H29" s="5">
        <f t="shared" si="0"/>
        <v>0</v>
      </c>
      <c r="I29" s="5">
        <f t="shared" si="1"/>
        <v>-0.93394825253809688</v>
      </c>
      <c r="J29" s="5" t="str">
        <f t="shared" si="2"/>
        <v>LOW</v>
      </c>
      <c r="K29" s="8">
        <f t="shared" si="3"/>
        <v>6.5934065934066005E-2</v>
      </c>
      <c r="L29" s="8">
        <f t="shared" si="4"/>
        <v>-0.55253905317517193</v>
      </c>
      <c r="M29" s="5" t="str">
        <f t="shared" si="5"/>
        <v>LOW</v>
      </c>
      <c r="N29" s="5"/>
      <c r="O29" s="5"/>
      <c r="P29" s="5"/>
      <c r="R29" s="30" t="s">
        <v>36</v>
      </c>
      <c r="S29" s="19">
        <f>MIN(C:C)</f>
        <v>1</v>
      </c>
    </row>
    <row r="30" spans="1:19" x14ac:dyDescent="0.35">
      <c r="A30" s="5">
        <v>540352</v>
      </c>
      <c r="B30" s="5">
        <v>10133</v>
      </c>
      <c r="C30" s="5">
        <v>1</v>
      </c>
      <c r="D30" s="6">
        <v>40549.602083333331</v>
      </c>
      <c r="E30" s="8">
        <v>0.81</v>
      </c>
      <c r="F30" s="5" t="s">
        <v>1331</v>
      </c>
      <c r="G30" s="5" t="s">
        <v>8</v>
      </c>
      <c r="H30" s="5">
        <f t="shared" si="0"/>
        <v>0</v>
      </c>
      <c r="I30" s="5">
        <f t="shared" si="1"/>
        <v>-0.93394825253809688</v>
      </c>
      <c r="J30" s="5" t="str">
        <f t="shared" si="2"/>
        <v>LOW</v>
      </c>
      <c r="K30" s="8">
        <f t="shared" si="3"/>
        <v>6.5934065934066005E-2</v>
      </c>
      <c r="L30" s="8">
        <f t="shared" si="4"/>
        <v>-0.55253905317517193</v>
      </c>
      <c r="M30" s="5" t="str">
        <f t="shared" si="5"/>
        <v>LOW</v>
      </c>
      <c r="N30" s="5"/>
      <c r="O30" s="5"/>
      <c r="P30" s="5"/>
      <c r="R30" s="30" t="s">
        <v>37</v>
      </c>
      <c r="S30" s="19">
        <f>MAX(C:C)</f>
        <v>48</v>
      </c>
    </row>
    <row r="31" spans="1:19" x14ac:dyDescent="0.35">
      <c r="A31" s="5">
        <v>540468</v>
      </c>
      <c r="B31" s="5">
        <v>10133</v>
      </c>
      <c r="C31" s="5">
        <v>5</v>
      </c>
      <c r="D31" s="10">
        <v>40550</v>
      </c>
      <c r="E31" s="8">
        <v>0.81</v>
      </c>
      <c r="F31" s="5" t="s">
        <v>1331</v>
      </c>
      <c r="G31" s="5" t="s">
        <v>8</v>
      </c>
      <c r="H31" s="5">
        <f t="shared" si="0"/>
        <v>8.5106382978723402E-2</v>
      </c>
      <c r="I31" s="5">
        <f t="shared" si="1"/>
        <v>-0.5706666964206748</v>
      </c>
      <c r="J31" s="5" t="str">
        <f t="shared" si="2"/>
        <v>LOW</v>
      </c>
      <c r="K31" s="8">
        <f t="shared" si="3"/>
        <v>6.5934065934066005E-2</v>
      </c>
      <c r="L31" s="8">
        <f t="shared" si="4"/>
        <v>-0.55253905317517193</v>
      </c>
      <c r="M31" s="5" t="str">
        <f t="shared" si="5"/>
        <v>LOW</v>
      </c>
      <c r="N31" s="5"/>
      <c r="O31" s="5"/>
      <c r="P31" s="5"/>
      <c r="R31" s="13"/>
      <c r="S31" s="5"/>
    </row>
    <row r="32" spans="1:19" x14ac:dyDescent="0.35">
      <c r="A32" s="5">
        <v>540418</v>
      </c>
      <c r="B32" s="5">
        <v>10133</v>
      </c>
      <c r="C32" s="5">
        <v>3</v>
      </c>
      <c r="D32" s="6">
        <v>40550.461111111108</v>
      </c>
      <c r="E32" s="8">
        <v>0.81</v>
      </c>
      <c r="F32" s="5" t="s">
        <v>1331</v>
      </c>
      <c r="G32" s="5" t="s">
        <v>8</v>
      </c>
      <c r="H32" s="5">
        <f t="shared" si="0"/>
        <v>4.2553191489361701E-2</v>
      </c>
      <c r="I32" s="5">
        <f t="shared" si="1"/>
        <v>-0.75230747447938584</v>
      </c>
      <c r="J32" s="5" t="str">
        <f t="shared" si="2"/>
        <v>LOW</v>
      </c>
      <c r="K32" s="8">
        <f t="shared" si="3"/>
        <v>6.5934065934066005E-2</v>
      </c>
      <c r="L32" s="8">
        <f t="shared" si="4"/>
        <v>-0.55253905317517193</v>
      </c>
      <c r="M32" s="5" t="str">
        <f t="shared" si="5"/>
        <v>LOW</v>
      </c>
      <c r="N32" s="5"/>
      <c r="O32" s="5"/>
      <c r="P32" s="5"/>
      <c r="R32" s="13"/>
      <c r="S32" s="5"/>
    </row>
    <row r="33" spans="1:19" x14ac:dyDescent="0.35">
      <c r="A33" s="5">
        <v>540551</v>
      </c>
      <c r="B33" s="5">
        <v>10133</v>
      </c>
      <c r="C33" s="5">
        <v>1</v>
      </c>
      <c r="D33" s="6">
        <v>40553.404861111114</v>
      </c>
      <c r="E33" s="8">
        <v>0.81</v>
      </c>
      <c r="F33" s="5" t="s">
        <v>1331</v>
      </c>
      <c r="G33" s="5" t="s">
        <v>8</v>
      </c>
      <c r="H33" s="5">
        <f t="shared" si="0"/>
        <v>0</v>
      </c>
      <c r="I33" s="5">
        <f t="shared" si="1"/>
        <v>-0.93394825253809688</v>
      </c>
      <c r="J33" s="5" t="str">
        <f t="shared" si="2"/>
        <v>LOW</v>
      </c>
      <c r="K33" s="8">
        <f t="shared" si="3"/>
        <v>6.5934065934066005E-2</v>
      </c>
      <c r="L33" s="8">
        <f t="shared" si="4"/>
        <v>-0.55253905317517193</v>
      </c>
      <c r="M33" s="5" t="str">
        <f t="shared" si="5"/>
        <v>LOW</v>
      </c>
      <c r="N33" s="5"/>
      <c r="O33" s="5"/>
      <c r="P33" s="5"/>
      <c r="R33" s="30" t="s">
        <v>38</v>
      </c>
      <c r="S33" s="32">
        <f>MIN(E:E)</f>
        <v>0.75</v>
      </c>
    </row>
    <row r="34" spans="1:19" x14ac:dyDescent="0.35">
      <c r="A34" s="5">
        <v>540646</v>
      </c>
      <c r="B34" s="5">
        <v>10133</v>
      </c>
      <c r="C34" s="5">
        <v>6</v>
      </c>
      <c r="D34" s="6">
        <v>40553.605555555558</v>
      </c>
      <c r="E34" s="8">
        <v>0.81</v>
      </c>
      <c r="F34" s="5" t="s">
        <v>1331</v>
      </c>
      <c r="G34" s="5" t="s">
        <v>8</v>
      </c>
      <c r="H34" s="5">
        <f t="shared" ref="H34:H65" si="6">(C34-1)/(48-1)</f>
        <v>0.10638297872340426</v>
      </c>
      <c r="I34" s="5">
        <f t="shared" ref="I34:I65" si="7">(C34-$S$21)/$S$44</f>
        <v>-0.47984630739131928</v>
      </c>
      <c r="J34" s="5" t="str">
        <f t="shared" ref="J34:J65" si="8">IF(C34&gt;$S$6, "HIGH", "LOW")</f>
        <v>LOW</v>
      </c>
      <c r="K34" s="8">
        <f t="shared" ref="K34:K65" si="9">(E34-0.75)/(1.66-0.75)</f>
        <v>6.5934065934066005E-2</v>
      </c>
      <c r="L34" s="8">
        <f t="shared" ref="L34:L65" si="10">(E34-$S$22)/$S$45</f>
        <v>-0.55253905317517193</v>
      </c>
      <c r="M34" s="5" t="str">
        <f t="shared" ref="M34:M65" si="11">IF(E34&gt;$S$7, "HIGH", "LOW")</f>
        <v>LOW</v>
      </c>
      <c r="N34" s="5"/>
      <c r="O34" s="5"/>
      <c r="P34" s="5"/>
      <c r="R34" s="30" t="s">
        <v>39</v>
      </c>
      <c r="S34" s="33">
        <f>MAX(E:E)</f>
        <v>1.66</v>
      </c>
    </row>
    <row r="35" spans="1:19" x14ac:dyDescent="0.35">
      <c r="A35" s="5">
        <v>540821</v>
      </c>
      <c r="B35" s="5">
        <v>10133</v>
      </c>
      <c r="C35" s="5">
        <v>3</v>
      </c>
      <c r="D35" s="6">
        <v>40554.552777777775</v>
      </c>
      <c r="E35" s="8">
        <v>0.81</v>
      </c>
      <c r="F35" s="5" t="s">
        <v>1331</v>
      </c>
      <c r="G35" s="5" t="s">
        <v>8</v>
      </c>
      <c r="H35" s="5">
        <f t="shared" si="6"/>
        <v>4.2553191489361701E-2</v>
      </c>
      <c r="I35" s="5">
        <f t="shared" si="7"/>
        <v>-0.75230747447938584</v>
      </c>
      <c r="J35" s="5" t="str">
        <f t="shared" si="8"/>
        <v>LOW</v>
      </c>
      <c r="K35" s="8">
        <f t="shared" si="9"/>
        <v>6.5934065934066005E-2</v>
      </c>
      <c r="L35" s="8">
        <f t="shared" si="10"/>
        <v>-0.55253905317517193</v>
      </c>
      <c r="M35" s="5" t="str">
        <f t="shared" si="11"/>
        <v>LOW</v>
      </c>
      <c r="N35" s="5"/>
      <c r="O35" s="5"/>
      <c r="P35" s="5"/>
      <c r="R35" s="13"/>
      <c r="S35" s="5"/>
    </row>
    <row r="36" spans="1:19" x14ac:dyDescent="0.35">
      <c r="A36" s="5">
        <v>540848</v>
      </c>
      <c r="B36" s="5">
        <v>10133</v>
      </c>
      <c r="C36" s="5">
        <v>7</v>
      </c>
      <c r="D36" s="6">
        <v>40555.393055555556</v>
      </c>
      <c r="E36" s="8">
        <v>0.81</v>
      </c>
      <c r="F36" s="5" t="s">
        <v>1331</v>
      </c>
      <c r="G36" s="5" t="s">
        <v>8</v>
      </c>
      <c r="H36" s="5">
        <f t="shared" si="6"/>
        <v>0.1276595744680851</v>
      </c>
      <c r="I36" s="5">
        <f t="shared" si="7"/>
        <v>-0.38902591836196376</v>
      </c>
      <c r="J36" s="5" t="str">
        <f t="shared" si="8"/>
        <v>LOW</v>
      </c>
      <c r="K36" s="8">
        <f t="shared" si="9"/>
        <v>6.5934065934066005E-2</v>
      </c>
      <c r="L36" s="8">
        <f t="shared" si="10"/>
        <v>-0.55253905317517193</v>
      </c>
      <c r="M36" s="5" t="str">
        <f t="shared" si="11"/>
        <v>LOW</v>
      </c>
      <c r="N36" s="5"/>
      <c r="O36" s="5"/>
      <c r="P36" s="5"/>
      <c r="R36" s="13"/>
      <c r="S36" s="5"/>
    </row>
    <row r="37" spans="1:19" x14ac:dyDescent="0.35">
      <c r="A37" s="5">
        <v>540977</v>
      </c>
      <c r="B37" s="5">
        <v>10133</v>
      </c>
      <c r="C37" s="5">
        <v>1</v>
      </c>
      <c r="D37" s="6">
        <v>40555.625694444447</v>
      </c>
      <c r="E37" s="8">
        <v>0.81</v>
      </c>
      <c r="F37" s="5" t="s">
        <v>1331</v>
      </c>
      <c r="G37" s="5" t="s">
        <v>8</v>
      </c>
      <c r="H37" s="5">
        <f t="shared" si="6"/>
        <v>0</v>
      </c>
      <c r="I37" s="5">
        <f t="shared" si="7"/>
        <v>-0.93394825253809688</v>
      </c>
      <c r="J37" s="5" t="str">
        <f t="shared" si="8"/>
        <v>LOW</v>
      </c>
      <c r="K37" s="8">
        <f t="shared" si="9"/>
        <v>6.5934065934066005E-2</v>
      </c>
      <c r="L37" s="8">
        <f t="shared" si="10"/>
        <v>-0.55253905317517193</v>
      </c>
      <c r="M37" s="5" t="str">
        <f t="shared" si="11"/>
        <v>LOW</v>
      </c>
      <c r="N37" s="5"/>
      <c r="O37" s="5"/>
      <c r="P37" s="5"/>
      <c r="R37" s="30" t="s">
        <v>40</v>
      </c>
      <c r="S37" s="19" t="s">
        <v>1339</v>
      </c>
    </row>
    <row r="38" spans="1:19" x14ac:dyDescent="0.35">
      <c r="A38" s="5">
        <v>541104</v>
      </c>
      <c r="B38" s="5">
        <v>10133</v>
      </c>
      <c r="C38" s="5">
        <v>4</v>
      </c>
      <c r="D38" s="6">
        <v>40556.603472222225</v>
      </c>
      <c r="E38" s="8">
        <v>0.79</v>
      </c>
      <c r="F38" s="5" t="s">
        <v>1331</v>
      </c>
      <c r="G38" s="5" t="s">
        <v>8</v>
      </c>
      <c r="H38" s="5">
        <f t="shared" si="6"/>
        <v>6.3829787234042548E-2</v>
      </c>
      <c r="I38" s="5">
        <f t="shared" si="7"/>
        <v>-0.66148708545003032</v>
      </c>
      <c r="J38" s="5" t="str">
        <f t="shared" si="8"/>
        <v>LOW</v>
      </c>
      <c r="K38" s="8">
        <f t="shared" si="9"/>
        <v>4.3956043956044001E-2</v>
      </c>
      <c r="L38" s="8">
        <f t="shared" si="10"/>
        <v>-0.61321562883729686</v>
      </c>
      <c r="M38" s="5" t="str">
        <f t="shared" si="11"/>
        <v>LOW</v>
      </c>
      <c r="N38" s="5"/>
      <c r="O38" s="5"/>
      <c r="P38" s="5"/>
      <c r="R38" s="30" t="s">
        <v>41</v>
      </c>
      <c r="S38" s="19" t="s">
        <v>1340</v>
      </c>
    </row>
    <row r="39" spans="1:19" x14ac:dyDescent="0.35">
      <c r="A39" s="5">
        <v>541219</v>
      </c>
      <c r="B39" s="5">
        <v>10133</v>
      </c>
      <c r="C39" s="5">
        <v>22</v>
      </c>
      <c r="D39" s="6">
        <v>40557.587500000001</v>
      </c>
      <c r="E39" s="8">
        <v>0.79</v>
      </c>
      <c r="F39" s="5" t="s">
        <v>1331</v>
      </c>
      <c r="G39" s="5" t="s">
        <v>8</v>
      </c>
      <c r="H39" s="5">
        <f t="shared" si="6"/>
        <v>0.44680851063829785</v>
      </c>
      <c r="I39" s="5">
        <f t="shared" si="7"/>
        <v>0.97327991707836903</v>
      </c>
      <c r="J39" s="5" t="str">
        <f t="shared" si="8"/>
        <v>HIGH</v>
      </c>
      <c r="K39" s="8">
        <f t="shared" si="9"/>
        <v>4.3956043956044001E-2</v>
      </c>
      <c r="L39" s="8">
        <f t="shared" si="10"/>
        <v>-0.61321562883729686</v>
      </c>
      <c r="M39" s="5" t="str">
        <f t="shared" si="11"/>
        <v>LOW</v>
      </c>
      <c r="N39" s="5"/>
      <c r="O39" s="5"/>
      <c r="P39" s="5"/>
      <c r="R39" s="13"/>
      <c r="S39" s="5"/>
    </row>
    <row r="40" spans="1:19" x14ac:dyDescent="0.35">
      <c r="A40" s="5">
        <v>541422</v>
      </c>
      <c r="B40" s="5">
        <v>10133</v>
      </c>
      <c r="C40" s="5">
        <v>12</v>
      </c>
      <c r="D40" s="6">
        <v>40560.741666666669</v>
      </c>
      <c r="E40" s="8">
        <v>0.79</v>
      </c>
      <c r="F40" s="5" t="s">
        <v>1331</v>
      </c>
      <c r="G40" s="5" t="s">
        <v>8</v>
      </c>
      <c r="H40" s="5">
        <f t="shared" si="6"/>
        <v>0.23404255319148937</v>
      </c>
      <c r="I40" s="5">
        <f t="shared" si="7"/>
        <v>6.5076026784813848E-2</v>
      </c>
      <c r="J40" s="5" t="str">
        <f t="shared" si="8"/>
        <v>HIGH</v>
      </c>
      <c r="K40" s="8">
        <f t="shared" si="9"/>
        <v>4.3956043956044001E-2</v>
      </c>
      <c r="L40" s="8">
        <f t="shared" si="10"/>
        <v>-0.61321562883729686</v>
      </c>
      <c r="M40" s="5" t="str">
        <f t="shared" si="11"/>
        <v>LOW</v>
      </c>
      <c r="N40" s="5"/>
      <c r="O40" s="5"/>
      <c r="P40" s="5"/>
      <c r="R40" s="30" t="s">
        <v>42</v>
      </c>
      <c r="S40" s="19" t="s">
        <v>1341</v>
      </c>
    </row>
    <row r="41" spans="1:19" x14ac:dyDescent="0.35">
      <c r="A41" s="5">
        <v>546429</v>
      </c>
      <c r="B41" s="5">
        <v>15036</v>
      </c>
      <c r="C41" s="5">
        <v>12</v>
      </c>
      <c r="D41" s="6">
        <v>40615.642361111109</v>
      </c>
      <c r="E41" s="8">
        <v>0.75</v>
      </c>
      <c r="F41" s="5">
        <v>17611</v>
      </c>
      <c r="G41" s="5" t="s">
        <v>8</v>
      </c>
      <c r="H41" s="5">
        <f t="shared" si="6"/>
        <v>0.23404255319148937</v>
      </c>
      <c r="I41" s="5">
        <f t="shared" si="7"/>
        <v>6.5076026784813848E-2</v>
      </c>
      <c r="J41" s="5" t="str">
        <f t="shared" si="8"/>
        <v>HIGH</v>
      </c>
      <c r="K41" s="8">
        <f t="shared" si="9"/>
        <v>0</v>
      </c>
      <c r="L41" s="8">
        <f t="shared" si="10"/>
        <v>-0.73456878016154681</v>
      </c>
      <c r="M41" s="5" t="str">
        <f t="shared" si="11"/>
        <v>LOW</v>
      </c>
      <c r="N41" s="5"/>
      <c r="O41" s="5"/>
      <c r="P41" s="5"/>
      <c r="R41" s="30" t="s">
        <v>43</v>
      </c>
      <c r="S41" s="19" t="s">
        <v>1342</v>
      </c>
    </row>
    <row r="42" spans="1:19" x14ac:dyDescent="0.35">
      <c r="A42" s="5">
        <v>546530</v>
      </c>
      <c r="B42" s="5">
        <v>15036</v>
      </c>
      <c r="C42" s="5">
        <v>12</v>
      </c>
      <c r="D42" s="6">
        <v>40616.559027777781</v>
      </c>
      <c r="E42" s="8">
        <v>0.75</v>
      </c>
      <c r="F42" s="5">
        <v>17404</v>
      </c>
      <c r="G42" s="5" t="s">
        <v>18</v>
      </c>
      <c r="H42" s="5">
        <f t="shared" si="6"/>
        <v>0.23404255319148937</v>
      </c>
      <c r="I42" s="5">
        <f t="shared" si="7"/>
        <v>6.5076026784813848E-2</v>
      </c>
      <c r="J42" s="5" t="str">
        <f t="shared" si="8"/>
        <v>HIGH</v>
      </c>
      <c r="K42" s="8">
        <f t="shared" si="9"/>
        <v>0</v>
      </c>
      <c r="L42" s="8">
        <f t="shared" si="10"/>
        <v>-0.73456878016154681</v>
      </c>
      <c r="M42" s="5" t="str">
        <f t="shared" si="11"/>
        <v>LOW</v>
      </c>
      <c r="N42" s="5"/>
      <c r="O42" s="5"/>
      <c r="P42" s="5"/>
      <c r="R42" s="13"/>
      <c r="S42" s="5"/>
    </row>
    <row r="43" spans="1:19" x14ac:dyDescent="0.35">
      <c r="A43" s="5">
        <v>546731</v>
      </c>
      <c r="B43" s="5">
        <v>15036</v>
      </c>
      <c r="C43" s="5">
        <v>12</v>
      </c>
      <c r="D43" s="6">
        <v>40618.48541666667</v>
      </c>
      <c r="E43" s="8">
        <v>0.75</v>
      </c>
      <c r="F43" s="5">
        <v>13089</v>
      </c>
      <c r="G43" s="5" t="s">
        <v>8</v>
      </c>
      <c r="H43" s="5">
        <f t="shared" si="6"/>
        <v>0.23404255319148937</v>
      </c>
      <c r="I43" s="5">
        <f t="shared" si="7"/>
        <v>6.5076026784813848E-2</v>
      </c>
      <c r="J43" s="5" t="str">
        <f t="shared" si="8"/>
        <v>HIGH</v>
      </c>
      <c r="K43" s="8">
        <f t="shared" si="9"/>
        <v>0</v>
      </c>
      <c r="L43" s="8">
        <f t="shared" si="10"/>
        <v>-0.73456878016154681</v>
      </c>
      <c r="M43" s="5" t="str">
        <f t="shared" si="11"/>
        <v>LOW</v>
      </c>
      <c r="N43" s="5"/>
      <c r="O43" s="5"/>
      <c r="P43" s="5"/>
      <c r="R43" s="13"/>
      <c r="S43" s="5"/>
    </row>
    <row r="44" spans="1:19" x14ac:dyDescent="0.35">
      <c r="A44" s="5">
        <v>546731</v>
      </c>
      <c r="B44" s="5">
        <v>15036</v>
      </c>
      <c r="C44" s="5">
        <v>24</v>
      </c>
      <c r="D44" s="6">
        <v>40618.48541666667</v>
      </c>
      <c r="E44" s="8">
        <v>0.75</v>
      </c>
      <c r="F44" s="5">
        <v>13089</v>
      </c>
      <c r="G44" s="5" t="s">
        <v>8</v>
      </c>
      <c r="H44" s="5">
        <f t="shared" si="6"/>
        <v>0.48936170212765956</v>
      </c>
      <c r="I44" s="5">
        <f t="shared" si="7"/>
        <v>1.1549206951370801</v>
      </c>
      <c r="J44" s="5" t="str">
        <f t="shared" si="8"/>
        <v>HIGH</v>
      </c>
      <c r="K44" s="8">
        <f t="shared" si="9"/>
        <v>0</v>
      </c>
      <c r="L44" s="8">
        <f t="shared" si="10"/>
        <v>-0.73456878016154681</v>
      </c>
      <c r="M44" s="5" t="str">
        <f t="shared" si="11"/>
        <v>LOW</v>
      </c>
      <c r="N44" s="5"/>
      <c r="O44" s="5"/>
      <c r="P44" s="5"/>
      <c r="R44" s="30" t="s">
        <v>44</v>
      </c>
      <c r="S44" s="19">
        <f>_xlfn.STDEV.S(C:C)</f>
        <v>11.010743410015277</v>
      </c>
    </row>
    <row r="45" spans="1:19" x14ac:dyDescent="0.35">
      <c r="A45" s="5">
        <v>546774</v>
      </c>
      <c r="B45" s="5">
        <v>15036</v>
      </c>
      <c r="C45" s="5">
        <v>12</v>
      </c>
      <c r="D45" s="6">
        <v>40618.65625</v>
      </c>
      <c r="E45" s="8">
        <v>0.75</v>
      </c>
      <c r="F45" s="5">
        <v>14505</v>
      </c>
      <c r="G45" s="5" t="s">
        <v>8</v>
      </c>
      <c r="H45" s="5">
        <f t="shared" si="6"/>
        <v>0.23404255319148937</v>
      </c>
      <c r="I45" s="5">
        <f t="shared" si="7"/>
        <v>6.5076026784813848E-2</v>
      </c>
      <c r="J45" s="5" t="str">
        <f t="shared" si="8"/>
        <v>HIGH</v>
      </c>
      <c r="K45" s="8">
        <f t="shared" si="9"/>
        <v>0</v>
      </c>
      <c r="L45" s="8">
        <f t="shared" si="10"/>
        <v>-0.73456878016154681</v>
      </c>
      <c r="M45" s="5" t="str">
        <f t="shared" si="11"/>
        <v>LOW</v>
      </c>
      <c r="N45" s="5"/>
      <c r="O45" s="5"/>
      <c r="P45" s="5"/>
      <c r="R45" s="30" t="s">
        <v>45</v>
      </c>
      <c r="S45" s="19">
        <f>_xlfn.STDEV.S(E:E)</f>
        <v>0.32961649173099672</v>
      </c>
    </row>
    <row r="46" spans="1:19" x14ac:dyDescent="0.35">
      <c r="A46" s="5">
        <v>546884</v>
      </c>
      <c r="B46" s="5">
        <v>15036</v>
      </c>
      <c r="C46" s="5">
        <v>1</v>
      </c>
      <c r="D46" s="6">
        <v>40619.755555555559</v>
      </c>
      <c r="E46" s="8">
        <v>1.63</v>
      </c>
      <c r="F46" s="5" t="s">
        <v>1331</v>
      </c>
      <c r="G46" s="5" t="s">
        <v>8</v>
      </c>
      <c r="H46" s="5">
        <f t="shared" si="6"/>
        <v>0</v>
      </c>
      <c r="I46" s="5">
        <f t="shared" si="7"/>
        <v>-0.93394825253809688</v>
      </c>
      <c r="J46" s="5" t="str">
        <f t="shared" si="8"/>
        <v>LOW</v>
      </c>
      <c r="K46" s="8">
        <f t="shared" si="9"/>
        <v>0.96703296703296704</v>
      </c>
      <c r="L46" s="8">
        <f t="shared" si="10"/>
        <v>1.9352005489719499</v>
      </c>
      <c r="M46" s="5" t="str">
        <f t="shared" si="11"/>
        <v>HIGH</v>
      </c>
      <c r="N46" s="5"/>
      <c r="O46" s="5"/>
      <c r="P46" s="5"/>
      <c r="R46" s="13"/>
      <c r="S46" s="5"/>
    </row>
    <row r="47" spans="1:19" x14ac:dyDescent="0.35">
      <c r="A47" s="5">
        <v>546891</v>
      </c>
      <c r="B47" s="5">
        <v>15036</v>
      </c>
      <c r="C47" s="5">
        <v>12</v>
      </c>
      <c r="D47" s="6">
        <v>40619.762499999997</v>
      </c>
      <c r="E47" s="8">
        <v>1.63</v>
      </c>
      <c r="F47" s="5" t="s">
        <v>1331</v>
      </c>
      <c r="G47" s="5" t="s">
        <v>8</v>
      </c>
      <c r="H47" s="5">
        <f t="shared" si="6"/>
        <v>0.23404255319148937</v>
      </c>
      <c r="I47" s="5">
        <f t="shared" si="7"/>
        <v>6.5076026784813848E-2</v>
      </c>
      <c r="J47" s="5" t="str">
        <f t="shared" si="8"/>
        <v>HIGH</v>
      </c>
      <c r="K47" s="8">
        <f t="shared" si="9"/>
        <v>0.96703296703296704</v>
      </c>
      <c r="L47" s="8">
        <f t="shared" si="10"/>
        <v>1.9352005489719499</v>
      </c>
      <c r="M47" s="5" t="str">
        <f t="shared" si="11"/>
        <v>HIGH</v>
      </c>
      <c r="N47" s="5"/>
      <c r="O47" s="5"/>
      <c r="P47" s="5"/>
      <c r="R47" s="30" t="s">
        <v>46</v>
      </c>
      <c r="S47" s="19">
        <f>($C$2-$S$21)/$S$44</f>
        <v>1.1549206951370801</v>
      </c>
    </row>
    <row r="48" spans="1:19" x14ac:dyDescent="0.35">
      <c r="A48" s="5">
        <v>546892</v>
      </c>
      <c r="B48" s="5">
        <v>15036</v>
      </c>
      <c r="C48" s="5">
        <v>4</v>
      </c>
      <c r="D48" s="6">
        <v>40619.763888888891</v>
      </c>
      <c r="E48" s="8">
        <v>1.63</v>
      </c>
      <c r="F48" s="5" t="s">
        <v>1331</v>
      </c>
      <c r="G48" s="5" t="s">
        <v>8</v>
      </c>
      <c r="H48" s="5">
        <f t="shared" si="6"/>
        <v>6.3829787234042548E-2</v>
      </c>
      <c r="I48" s="5">
        <f t="shared" si="7"/>
        <v>-0.66148708545003032</v>
      </c>
      <c r="J48" s="5" t="str">
        <f t="shared" si="8"/>
        <v>LOW</v>
      </c>
      <c r="K48" s="8">
        <f t="shared" si="9"/>
        <v>0.96703296703296704</v>
      </c>
      <c r="L48" s="8">
        <f t="shared" si="10"/>
        <v>1.9352005489719499</v>
      </c>
      <c r="M48" s="5" t="str">
        <f t="shared" si="11"/>
        <v>HIGH</v>
      </c>
      <c r="N48" s="5"/>
      <c r="O48" s="5"/>
      <c r="P48" s="5"/>
      <c r="R48" s="30" t="s">
        <v>47</v>
      </c>
      <c r="S48" s="31">
        <f>($E$2-$S$22)/$S$45</f>
        <v>-0.43118590185092226</v>
      </c>
    </row>
    <row r="49" spans="1:16" x14ac:dyDescent="0.35">
      <c r="A49" s="5">
        <v>546896</v>
      </c>
      <c r="B49" s="5">
        <v>15036</v>
      </c>
      <c r="C49" s="5">
        <v>17</v>
      </c>
      <c r="D49" s="6">
        <v>40619.76666666667</v>
      </c>
      <c r="E49" s="12">
        <v>0.99</v>
      </c>
      <c r="F49" s="5" t="s">
        <v>1331</v>
      </c>
      <c r="G49" s="5" t="s">
        <v>8</v>
      </c>
      <c r="H49" s="5">
        <f t="shared" si="6"/>
        <v>0.34042553191489361</v>
      </c>
      <c r="I49" s="5">
        <f t="shared" si="7"/>
        <v>0.51917797193159143</v>
      </c>
      <c r="J49" s="5" t="str">
        <f t="shared" si="8"/>
        <v>HIGH</v>
      </c>
      <c r="K49" s="8">
        <f t="shared" si="9"/>
        <v>0.26373626373626374</v>
      </c>
      <c r="L49" s="8">
        <f t="shared" si="10"/>
        <v>-6.4498722160476673E-3</v>
      </c>
      <c r="M49" s="5" t="str">
        <f t="shared" si="11"/>
        <v>LOW</v>
      </c>
      <c r="N49" s="5"/>
      <c r="O49" s="5"/>
      <c r="P49" s="5"/>
    </row>
    <row r="50" spans="1:16" x14ac:dyDescent="0.35">
      <c r="A50" s="5">
        <v>547000</v>
      </c>
      <c r="B50" s="5">
        <v>15036</v>
      </c>
      <c r="C50" s="5">
        <v>12</v>
      </c>
      <c r="D50" s="6">
        <v>40620.57708333333</v>
      </c>
      <c r="E50" s="8">
        <v>0.75</v>
      </c>
      <c r="F50" s="5">
        <v>14282</v>
      </c>
      <c r="G50" s="5" t="s">
        <v>8</v>
      </c>
      <c r="H50" s="5">
        <f t="shared" si="6"/>
        <v>0.23404255319148937</v>
      </c>
      <c r="I50" s="5">
        <f t="shared" si="7"/>
        <v>6.5076026784813848E-2</v>
      </c>
      <c r="J50" s="5" t="str">
        <f t="shared" si="8"/>
        <v>HIGH</v>
      </c>
      <c r="K50" s="8">
        <f t="shared" si="9"/>
        <v>0</v>
      </c>
      <c r="L50" s="8">
        <f t="shared" si="10"/>
        <v>-0.73456878016154681</v>
      </c>
      <c r="M50" s="5" t="str">
        <f t="shared" si="11"/>
        <v>LOW</v>
      </c>
      <c r="N50" s="5"/>
      <c r="O50" s="5"/>
      <c r="P50" s="5"/>
    </row>
    <row r="51" spans="1:16" x14ac:dyDescent="0.35">
      <c r="A51" s="5">
        <v>547062</v>
      </c>
      <c r="B51" s="5">
        <v>15036</v>
      </c>
      <c r="C51" s="5">
        <v>12</v>
      </c>
      <c r="D51" s="6">
        <v>40622.561111111114</v>
      </c>
      <c r="E51" s="8">
        <v>0.75</v>
      </c>
      <c r="F51" s="5">
        <v>16728</v>
      </c>
      <c r="G51" s="5" t="s">
        <v>8</v>
      </c>
      <c r="H51" s="5">
        <f t="shared" si="6"/>
        <v>0.23404255319148937</v>
      </c>
      <c r="I51" s="5">
        <f t="shared" si="7"/>
        <v>6.5076026784813848E-2</v>
      </c>
      <c r="J51" s="5" t="str">
        <f t="shared" si="8"/>
        <v>HIGH</v>
      </c>
      <c r="K51" s="8">
        <f t="shared" si="9"/>
        <v>0</v>
      </c>
      <c r="L51" s="8">
        <f t="shared" si="10"/>
        <v>-0.73456878016154681</v>
      </c>
      <c r="M51" s="5" t="str">
        <f t="shared" si="11"/>
        <v>LOW</v>
      </c>
      <c r="N51" s="5"/>
      <c r="O51" s="5"/>
      <c r="P51" s="5"/>
    </row>
    <row r="52" spans="1:16" x14ac:dyDescent="0.35">
      <c r="A52" s="5">
        <v>547078</v>
      </c>
      <c r="B52" s="5">
        <v>15036</v>
      </c>
      <c r="C52" s="5">
        <v>24</v>
      </c>
      <c r="D52" s="6">
        <v>40622.611805555556</v>
      </c>
      <c r="E52" s="8">
        <v>0.75</v>
      </c>
      <c r="F52" s="5">
        <v>14408</v>
      </c>
      <c r="G52" s="5" t="s">
        <v>8</v>
      </c>
      <c r="H52" s="5">
        <f t="shared" si="6"/>
        <v>0.48936170212765956</v>
      </c>
      <c r="I52" s="5">
        <f t="shared" si="7"/>
        <v>1.1549206951370801</v>
      </c>
      <c r="J52" s="5" t="str">
        <f t="shared" si="8"/>
        <v>HIGH</v>
      </c>
      <c r="K52" s="8">
        <f t="shared" si="9"/>
        <v>0</v>
      </c>
      <c r="L52" s="8">
        <f t="shared" si="10"/>
        <v>-0.73456878016154681</v>
      </c>
      <c r="M52" s="5" t="str">
        <f t="shared" si="11"/>
        <v>LOW</v>
      </c>
      <c r="N52" s="5"/>
      <c r="O52" s="5"/>
      <c r="P52" s="5"/>
    </row>
    <row r="53" spans="1:16" x14ac:dyDescent="0.35">
      <c r="A53" s="5">
        <v>547200</v>
      </c>
      <c r="B53" s="5">
        <v>15036</v>
      </c>
      <c r="C53" s="5">
        <v>24</v>
      </c>
      <c r="D53" s="6">
        <v>40623.542361111111</v>
      </c>
      <c r="E53" s="8">
        <v>0.75</v>
      </c>
      <c r="F53" s="5">
        <v>16036</v>
      </c>
      <c r="G53" s="5" t="s">
        <v>8</v>
      </c>
      <c r="H53" s="5">
        <f t="shared" si="6"/>
        <v>0.48936170212765956</v>
      </c>
      <c r="I53" s="5">
        <f t="shared" si="7"/>
        <v>1.1549206951370801</v>
      </c>
      <c r="J53" s="5" t="str">
        <f t="shared" si="8"/>
        <v>HIGH</v>
      </c>
      <c r="K53" s="8">
        <f t="shared" si="9"/>
        <v>0</v>
      </c>
      <c r="L53" s="8">
        <f t="shared" si="10"/>
        <v>-0.73456878016154681</v>
      </c>
      <c r="M53" s="5" t="str">
        <f t="shared" si="11"/>
        <v>LOW</v>
      </c>
      <c r="N53" s="5"/>
      <c r="O53" s="5"/>
      <c r="P53" s="5"/>
    </row>
    <row r="54" spans="1:16" x14ac:dyDescent="0.35">
      <c r="A54" s="5">
        <v>547248</v>
      </c>
      <c r="B54" s="5">
        <v>15036</v>
      </c>
      <c r="C54" s="5">
        <v>11</v>
      </c>
      <c r="D54" s="6">
        <v>40624.390972222223</v>
      </c>
      <c r="E54" s="8">
        <v>1.63</v>
      </c>
      <c r="F54" s="5" t="s">
        <v>1331</v>
      </c>
      <c r="G54" s="5" t="s">
        <v>8</v>
      </c>
      <c r="H54" s="5">
        <f t="shared" si="6"/>
        <v>0.21276595744680851</v>
      </c>
      <c r="I54" s="5">
        <f t="shared" si="7"/>
        <v>-2.5744362244541675E-2</v>
      </c>
      <c r="J54" s="5" t="str">
        <f t="shared" si="8"/>
        <v>LOW</v>
      </c>
      <c r="K54" s="8">
        <f t="shared" si="9"/>
        <v>0.96703296703296704</v>
      </c>
      <c r="L54" s="8">
        <f t="shared" si="10"/>
        <v>1.9352005489719499</v>
      </c>
      <c r="M54" s="5" t="str">
        <f t="shared" si="11"/>
        <v>HIGH</v>
      </c>
      <c r="N54" s="5"/>
      <c r="O54" s="5"/>
      <c r="P54" s="5"/>
    </row>
    <row r="55" spans="1:16" x14ac:dyDescent="0.35">
      <c r="A55" s="5">
        <v>547249</v>
      </c>
      <c r="B55" s="5">
        <v>15036</v>
      </c>
      <c r="C55" s="5">
        <v>12</v>
      </c>
      <c r="D55" s="6">
        <v>40624.393750000003</v>
      </c>
      <c r="E55" s="8">
        <v>1.63</v>
      </c>
      <c r="F55" s="5" t="s">
        <v>1331</v>
      </c>
      <c r="G55" s="5" t="s">
        <v>8</v>
      </c>
      <c r="H55" s="5">
        <f t="shared" si="6"/>
        <v>0.23404255319148937</v>
      </c>
      <c r="I55" s="5">
        <f t="shared" si="7"/>
        <v>6.5076026784813848E-2</v>
      </c>
      <c r="J55" s="5" t="str">
        <f t="shared" si="8"/>
        <v>HIGH</v>
      </c>
      <c r="K55" s="8">
        <f t="shared" si="9"/>
        <v>0.96703296703296704</v>
      </c>
      <c r="L55" s="8">
        <f t="shared" si="10"/>
        <v>1.9352005489719499</v>
      </c>
      <c r="M55" s="5" t="str">
        <f t="shared" si="11"/>
        <v>HIGH</v>
      </c>
      <c r="N55" s="5"/>
      <c r="O55" s="5"/>
      <c r="P55" s="5"/>
    </row>
    <row r="56" spans="1:16" x14ac:dyDescent="0.35">
      <c r="A56" s="5">
        <v>547385</v>
      </c>
      <c r="B56" s="5">
        <v>15036</v>
      </c>
      <c r="C56" s="5">
        <v>22</v>
      </c>
      <c r="D56" s="6">
        <v>40624.658333333333</v>
      </c>
      <c r="E56" s="8">
        <v>1.63</v>
      </c>
      <c r="F56" s="5" t="s">
        <v>1331</v>
      </c>
      <c r="G56" s="5" t="s">
        <v>8</v>
      </c>
      <c r="H56" s="5">
        <f t="shared" si="6"/>
        <v>0.44680851063829785</v>
      </c>
      <c r="I56" s="5">
        <f t="shared" si="7"/>
        <v>0.97327991707836903</v>
      </c>
      <c r="J56" s="5" t="str">
        <f t="shared" si="8"/>
        <v>HIGH</v>
      </c>
      <c r="K56" s="8">
        <f t="shared" si="9"/>
        <v>0.96703296703296704</v>
      </c>
      <c r="L56" s="8">
        <f t="shared" si="10"/>
        <v>1.9352005489719499</v>
      </c>
      <c r="M56" s="5" t="str">
        <f t="shared" si="11"/>
        <v>HIGH</v>
      </c>
      <c r="N56" s="5"/>
      <c r="O56" s="5"/>
      <c r="P56" s="5"/>
    </row>
    <row r="57" spans="1:16" x14ac:dyDescent="0.35">
      <c r="A57" s="5">
        <v>547386</v>
      </c>
      <c r="B57" s="5">
        <v>15036</v>
      </c>
      <c r="C57" s="5">
        <v>6</v>
      </c>
      <c r="D57" s="6">
        <v>40624.661111111112</v>
      </c>
      <c r="E57" s="8">
        <v>1.63</v>
      </c>
      <c r="F57" s="5" t="s">
        <v>1331</v>
      </c>
      <c r="G57" s="5" t="s">
        <v>8</v>
      </c>
      <c r="H57" s="5">
        <f t="shared" si="6"/>
        <v>0.10638297872340426</v>
      </c>
      <c r="I57" s="5">
        <f t="shared" si="7"/>
        <v>-0.47984630739131928</v>
      </c>
      <c r="J57" s="5" t="str">
        <f t="shared" si="8"/>
        <v>LOW</v>
      </c>
      <c r="K57" s="8">
        <f t="shared" si="9"/>
        <v>0.96703296703296704</v>
      </c>
      <c r="L57" s="8">
        <f t="shared" si="10"/>
        <v>1.9352005489719499</v>
      </c>
      <c r="M57" s="5" t="str">
        <f t="shared" si="11"/>
        <v>HIGH</v>
      </c>
      <c r="N57" s="5"/>
      <c r="O57" s="5"/>
      <c r="P57" s="5"/>
    </row>
    <row r="58" spans="1:16" x14ac:dyDescent="0.35">
      <c r="A58" s="5">
        <v>547862</v>
      </c>
      <c r="B58" s="5" t="s">
        <v>1331</v>
      </c>
      <c r="C58" s="5">
        <v>12</v>
      </c>
      <c r="D58" s="6">
        <v>40629.537499999999</v>
      </c>
      <c r="E58" s="8">
        <v>0.75</v>
      </c>
      <c r="F58" s="5">
        <v>12841</v>
      </c>
      <c r="G58" s="5" t="s">
        <v>8</v>
      </c>
      <c r="H58" s="5">
        <f t="shared" si="6"/>
        <v>0.23404255319148937</v>
      </c>
      <c r="I58" s="5">
        <f t="shared" si="7"/>
        <v>6.5076026784813848E-2</v>
      </c>
      <c r="J58" s="5" t="str">
        <f t="shared" si="8"/>
        <v>HIGH</v>
      </c>
      <c r="K58" s="8">
        <f t="shared" si="9"/>
        <v>0</v>
      </c>
      <c r="L58" s="8">
        <f t="shared" si="10"/>
        <v>-0.73456878016154681</v>
      </c>
      <c r="M58" s="5" t="str">
        <f t="shared" si="11"/>
        <v>LOW</v>
      </c>
      <c r="N58" s="5"/>
      <c r="O58" s="5"/>
      <c r="P58" s="5"/>
    </row>
    <row r="59" spans="1:16" x14ac:dyDescent="0.35">
      <c r="A59" s="5">
        <v>547879</v>
      </c>
      <c r="B59" s="5">
        <v>15036</v>
      </c>
      <c r="C59" s="5">
        <v>12</v>
      </c>
      <c r="D59" s="6">
        <v>40629.668749999997</v>
      </c>
      <c r="E59" s="8">
        <v>0.75</v>
      </c>
      <c r="F59" s="5">
        <v>12877</v>
      </c>
      <c r="G59" s="5" t="s">
        <v>8</v>
      </c>
      <c r="H59" s="5">
        <f t="shared" si="6"/>
        <v>0.23404255319148937</v>
      </c>
      <c r="I59" s="5">
        <f t="shared" si="7"/>
        <v>6.5076026784813848E-2</v>
      </c>
      <c r="J59" s="5" t="str">
        <f t="shared" si="8"/>
        <v>HIGH</v>
      </c>
      <c r="K59" s="8">
        <f t="shared" si="9"/>
        <v>0</v>
      </c>
      <c r="L59" s="8">
        <f t="shared" si="10"/>
        <v>-0.73456878016154681</v>
      </c>
      <c r="M59" s="5" t="str">
        <f t="shared" si="11"/>
        <v>LOW</v>
      </c>
      <c r="N59" s="5"/>
      <c r="O59" s="5"/>
      <c r="P59" s="5"/>
    </row>
    <row r="60" spans="1:16" x14ac:dyDescent="0.35">
      <c r="A60" s="5">
        <v>547925</v>
      </c>
      <c r="B60" s="5">
        <v>15036</v>
      </c>
      <c r="C60" s="5">
        <v>24</v>
      </c>
      <c r="D60" s="6">
        <v>40630.581250000003</v>
      </c>
      <c r="E60" s="8">
        <v>0.75</v>
      </c>
      <c r="F60" s="5">
        <v>12481</v>
      </c>
      <c r="G60" s="5" t="s">
        <v>21</v>
      </c>
      <c r="H60" s="5">
        <f t="shared" si="6"/>
        <v>0.48936170212765956</v>
      </c>
      <c r="I60" s="5">
        <f t="shared" si="7"/>
        <v>1.1549206951370801</v>
      </c>
      <c r="J60" s="5" t="str">
        <f t="shared" si="8"/>
        <v>HIGH</v>
      </c>
      <c r="K60" s="8">
        <f t="shared" si="9"/>
        <v>0</v>
      </c>
      <c r="L60" s="8">
        <f t="shared" si="10"/>
        <v>-0.73456878016154681</v>
      </c>
      <c r="M60" s="5" t="str">
        <f t="shared" si="11"/>
        <v>LOW</v>
      </c>
      <c r="N60" s="5"/>
      <c r="O60" s="5"/>
      <c r="P60" s="5"/>
    </row>
    <row r="61" spans="1:16" x14ac:dyDescent="0.35">
      <c r="A61" s="5">
        <v>547967</v>
      </c>
      <c r="B61" s="5">
        <v>15036</v>
      </c>
      <c r="C61" s="5">
        <v>4</v>
      </c>
      <c r="D61" s="6">
        <v>40630.65902777778</v>
      </c>
      <c r="E61" s="8">
        <v>1.63</v>
      </c>
      <c r="F61" s="5" t="s">
        <v>1331</v>
      </c>
      <c r="G61" s="5" t="s">
        <v>8</v>
      </c>
      <c r="H61" s="5">
        <f t="shared" si="6"/>
        <v>6.3829787234042548E-2</v>
      </c>
      <c r="I61" s="5">
        <f t="shared" si="7"/>
        <v>-0.66148708545003032</v>
      </c>
      <c r="J61" s="5" t="str">
        <f t="shared" si="8"/>
        <v>LOW</v>
      </c>
      <c r="K61" s="8">
        <f t="shared" si="9"/>
        <v>0.96703296703296704</v>
      </c>
      <c r="L61" s="8">
        <f t="shared" si="10"/>
        <v>1.9352005489719499</v>
      </c>
      <c r="M61" s="5" t="str">
        <f t="shared" si="11"/>
        <v>HIGH</v>
      </c>
      <c r="N61" s="5"/>
      <c r="O61" s="5"/>
      <c r="P61" s="5"/>
    </row>
    <row r="62" spans="1:16" x14ac:dyDescent="0.35">
      <c r="A62" s="5">
        <v>548310</v>
      </c>
      <c r="B62" s="5">
        <v>15036</v>
      </c>
      <c r="C62" s="5">
        <v>12</v>
      </c>
      <c r="D62" s="6">
        <v>40632.50277777778</v>
      </c>
      <c r="E62" s="8">
        <v>0.83</v>
      </c>
      <c r="F62" s="5" t="s">
        <v>1331</v>
      </c>
      <c r="G62" s="5" t="s">
        <v>8</v>
      </c>
      <c r="H62" s="5">
        <f t="shared" si="6"/>
        <v>0.23404255319148937</v>
      </c>
      <c r="I62" s="5">
        <f t="shared" si="7"/>
        <v>6.5076026784813848E-2</v>
      </c>
      <c r="J62" s="5" t="str">
        <f t="shared" si="8"/>
        <v>HIGH</v>
      </c>
      <c r="K62" s="8">
        <f t="shared" si="9"/>
        <v>8.7912087912087877E-2</v>
      </c>
      <c r="L62" s="8">
        <f t="shared" si="10"/>
        <v>-0.49186247751304724</v>
      </c>
      <c r="M62" s="5" t="str">
        <f t="shared" si="11"/>
        <v>LOW</v>
      </c>
      <c r="N62" s="5"/>
      <c r="O62" s="5"/>
      <c r="P62" s="5"/>
    </row>
    <row r="63" spans="1:16" x14ac:dyDescent="0.35">
      <c r="A63" s="5">
        <v>548522</v>
      </c>
      <c r="B63" s="5">
        <v>15036</v>
      </c>
      <c r="C63" s="5">
        <v>1</v>
      </c>
      <c r="D63" s="6">
        <v>40633.696527777778</v>
      </c>
      <c r="E63" s="8">
        <v>1.63</v>
      </c>
      <c r="F63" s="5" t="s">
        <v>1331</v>
      </c>
      <c r="G63" s="5" t="s">
        <v>8</v>
      </c>
      <c r="H63" s="5">
        <f t="shared" si="6"/>
        <v>0</v>
      </c>
      <c r="I63" s="5">
        <f t="shared" si="7"/>
        <v>-0.93394825253809688</v>
      </c>
      <c r="J63" s="5" t="str">
        <f t="shared" si="8"/>
        <v>LOW</v>
      </c>
      <c r="K63" s="8">
        <f t="shared" si="9"/>
        <v>0.96703296703296704</v>
      </c>
      <c r="L63" s="8">
        <f t="shared" si="10"/>
        <v>1.9352005489719499</v>
      </c>
      <c r="M63" s="5" t="str">
        <f t="shared" si="11"/>
        <v>HIGH</v>
      </c>
      <c r="N63" s="5"/>
      <c r="O63" s="5"/>
      <c r="P63" s="5"/>
    </row>
    <row r="64" spans="1:16" x14ac:dyDescent="0.35">
      <c r="A64" s="5">
        <v>548617</v>
      </c>
      <c r="B64" s="5">
        <v>15036</v>
      </c>
      <c r="C64" s="5">
        <v>12</v>
      </c>
      <c r="D64" s="6">
        <v>40634.493055555555</v>
      </c>
      <c r="E64" s="8">
        <v>0.83</v>
      </c>
      <c r="F64" s="5">
        <v>16592</v>
      </c>
      <c r="G64" s="5" t="s">
        <v>8</v>
      </c>
      <c r="H64" s="5">
        <f t="shared" si="6"/>
        <v>0.23404255319148937</v>
      </c>
      <c r="I64" s="5">
        <f t="shared" si="7"/>
        <v>6.5076026784813848E-2</v>
      </c>
      <c r="J64" s="5" t="str">
        <f t="shared" si="8"/>
        <v>HIGH</v>
      </c>
      <c r="K64" s="8">
        <f t="shared" si="9"/>
        <v>8.7912087912087877E-2</v>
      </c>
      <c r="L64" s="8">
        <f t="shared" si="10"/>
        <v>-0.49186247751304724</v>
      </c>
      <c r="M64" s="5" t="str">
        <f t="shared" si="11"/>
        <v>LOW</v>
      </c>
      <c r="N64" s="5"/>
      <c r="O64" s="5"/>
      <c r="P64" s="5"/>
    </row>
    <row r="65" spans="1:16" x14ac:dyDescent="0.35">
      <c r="A65" s="5">
        <v>548893</v>
      </c>
      <c r="B65" s="5">
        <v>15036</v>
      </c>
      <c r="C65" s="5">
        <v>6</v>
      </c>
      <c r="D65" s="6">
        <v>40637.662499999999</v>
      </c>
      <c r="E65" s="8">
        <v>1.63</v>
      </c>
      <c r="F65" s="5" t="s">
        <v>1331</v>
      </c>
      <c r="G65" s="5" t="s">
        <v>8</v>
      </c>
      <c r="H65" s="5">
        <f t="shared" si="6"/>
        <v>0.10638297872340426</v>
      </c>
      <c r="I65" s="5">
        <f t="shared" si="7"/>
        <v>-0.47984630739131928</v>
      </c>
      <c r="J65" s="5" t="str">
        <f t="shared" si="8"/>
        <v>LOW</v>
      </c>
      <c r="K65" s="8">
        <f t="shared" si="9"/>
        <v>0.96703296703296704</v>
      </c>
      <c r="L65" s="8">
        <f t="shared" si="10"/>
        <v>1.9352005489719499</v>
      </c>
      <c r="M65" s="5" t="str">
        <f t="shared" si="11"/>
        <v>HIGH</v>
      </c>
      <c r="N65" s="5"/>
      <c r="O65" s="5"/>
      <c r="P65" s="5"/>
    </row>
    <row r="66" spans="1:16" x14ac:dyDescent="0.35">
      <c r="A66" s="5">
        <v>549259</v>
      </c>
      <c r="B66" s="5">
        <v>15036</v>
      </c>
      <c r="C66" s="5">
        <v>48</v>
      </c>
      <c r="D66" s="6">
        <v>40640.522916666669</v>
      </c>
      <c r="E66" s="8">
        <v>0.75</v>
      </c>
      <c r="F66" s="5">
        <v>13712</v>
      </c>
      <c r="G66" s="5" t="s">
        <v>8</v>
      </c>
      <c r="H66" s="5">
        <f t="shared" ref="H66:H97" si="12">(C66-1)/(48-1)</f>
        <v>1</v>
      </c>
      <c r="I66" s="5">
        <f t="shared" ref="I66:I97" si="13">(C66-$S$21)/$S$44</f>
        <v>3.3346100318416125</v>
      </c>
      <c r="J66" s="5" t="str">
        <f t="shared" ref="J66:J97" si="14">IF(C66&gt;$S$6, "HIGH", "LOW")</f>
        <v>HIGH</v>
      </c>
      <c r="K66" s="8">
        <f t="shared" ref="K66:K97" si="15">(E66-0.75)/(1.66-0.75)</f>
        <v>0</v>
      </c>
      <c r="L66" s="8">
        <f t="shared" ref="L66:L97" si="16">(E66-$S$22)/$S$45</f>
        <v>-0.73456878016154681</v>
      </c>
      <c r="M66" s="5" t="str">
        <f t="shared" ref="M66:M97" si="17">IF(E66&gt;$S$7, "HIGH", "LOW")</f>
        <v>LOW</v>
      </c>
      <c r="N66" s="5"/>
      <c r="O66" s="5"/>
      <c r="P66" s="5"/>
    </row>
    <row r="67" spans="1:16" x14ac:dyDescent="0.35">
      <c r="A67" s="5">
        <v>549316</v>
      </c>
      <c r="B67" s="5">
        <v>15036</v>
      </c>
      <c r="C67" s="5">
        <v>36</v>
      </c>
      <c r="D67" s="6">
        <v>40641.412499999999</v>
      </c>
      <c r="E67" s="8">
        <v>0.75</v>
      </c>
      <c r="F67" s="5">
        <v>12705</v>
      </c>
      <c r="G67" s="5" t="s">
        <v>21</v>
      </c>
      <c r="H67" s="5">
        <f t="shared" si="12"/>
        <v>0.74468085106382975</v>
      </c>
      <c r="I67" s="5">
        <f t="shared" si="13"/>
        <v>2.2447653634893463</v>
      </c>
      <c r="J67" s="5" t="str">
        <f t="shared" si="14"/>
        <v>HIGH</v>
      </c>
      <c r="K67" s="8">
        <f t="shared" si="15"/>
        <v>0</v>
      </c>
      <c r="L67" s="8">
        <f t="shared" si="16"/>
        <v>-0.73456878016154681</v>
      </c>
      <c r="M67" s="5" t="str">
        <f t="shared" si="17"/>
        <v>LOW</v>
      </c>
      <c r="N67" s="5"/>
      <c r="O67" s="5"/>
      <c r="P67" s="5"/>
    </row>
    <row r="68" spans="1:16" x14ac:dyDescent="0.35">
      <c r="A68" s="5">
        <v>549431</v>
      </c>
      <c r="B68" s="5">
        <v>15036</v>
      </c>
      <c r="C68" s="5">
        <v>36</v>
      </c>
      <c r="D68" s="6">
        <v>40641.511805555558</v>
      </c>
      <c r="E68" s="8">
        <v>0.83</v>
      </c>
      <c r="F68" s="5">
        <v>15874</v>
      </c>
      <c r="G68" s="5" t="s">
        <v>8</v>
      </c>
      <c r="H68" s="5">
        <f t="shared" si="12"/>
        <v>0.74468085106382975</v>
      </c>
      <c r="I68" s="5">
        <f t="shared" si="13"/>
        <v>2.2447653634893463</v>
      </c>
      <c r="J68" s="5" t="str">
        <f t="shared" si="14"/>
        <v>HIGH</v>
      </c>
      <c r="K68" s="8">
        <f t="shared" si="15"/>
        <v>8.7912087912087877E-2</v>
      </c>
      <c r="L68" s="8">
        <f t="shared" si="16"/>
        <v>-0.49186247751304724</v>
      </c>
      <c r="M68" s="5" t="str">
        <f t="shared" si="17"/>
        <v>LOW</v>
      </c>
      <c r="N68" s="5"/>
      <c r="O68" s="5"/>
      <c r="P68" s="5"/>
    </row>
    <row r="69" spans="1:16" x14ac:dyDescent="0.35">
      <c r="A69" s="5">
        <v>549524</v>
      </c>
      <c r="B69" s="5">
        <v>15036</v>
      </c>
      <c r="C69" s="5">
        <v>1</v>
      </c>
      <c r="D69" s="6">
        <v>40641.65347222222</v>
      </c>
      <c r="E69" s="8">
        <v>1.63</v>
      </c>
      <c r="F69" s="5" t="s">
        <v>1331</v>
      </c>
      <c r="G69" s="5" t="s">
        <v>8</v>
      </c>
      <c r="H69" s="5">
        <f t="shared" si="12"/>
        <v>0</v>
      </c>
      <c r="I69" s="5">
        <f t="shared" si="13"/>
        <v>-0.93394825253809688</v>
      </c>
      <c r="J69" s="5" t="str">
        <f t="shared" si="14"/>
        <v>LOW</v>
      </c>
      <c r="K69" s="8">
        <f t="shared" si="15"/>
        <v>0.96703296703296704</v>
      </c>
      <c r="L69" s="8">
        <f t="shared" si="16"/>
        <v>1.9352005489719499</v>
      </c>
      <c r="M69" s="5" t="str">
        <f t="shared" si="17"/>
        <v>HIGH</v>
      </c>
      <c r="N69" s="5"/>
      <c r="O69" s="5"/>
      <c r="P69" s="5"/>
    </row>
    <row r="70" spans="1:16" x14ac:dyDescent="0.35">
      <c r="A70" s="5">
        <v>549525</v>
      </c>
      <c r="B70" s="5">
        <v>15036</v>
      </c>
      <c r="C70" s="5">
        <v>17</v>
      </c>
      <c r="D70" s="6">
        <v>40641.655555555553</v>
      </c>
      <c r="E70" s="8">
        <v>1.63</v>
      </c>
      <c r="F70" s="5" t="s">
        <v>1331</v>
      </c>
      <c r="G70" s="5" t="s">
        <v>8</v>
      </c>
      <c r="H70" s="5">
        <f t="shared" si="12"/>
        <v>0.34042553191489361</v>
      </c>
      <c r="I70" s="5">
        <f t="shared" si="13"/>
        <v>0.51917797193159143</v>
      </c>
      <c r="J70" s="5" t="str">
        <f t="shared" si="14"/>
        <v>HIGH</v>
      </c>
      <c r="K70" s="8">
        <f t="shared" si="15"/>
        <v>0.96703296703296704</v>
      </c>
      <c r="L70" s="8">
        <f t="shared" si="16"/>
        <v>1.9352005489719499</v>
      </c>
      <c r="M70" s="5" t="str">
        <f t="shared" si="17"/>
        <v>HIGH</v>
      </c>
      <c r="N70" s="5"/>
      <c r="O70" s="5"/>
      <c r="P70" s="5"/>
    </row>
    <row r="71" spans="1:16" x14ac:dyDescent="0.35">
      <c r="A71" s="5">
        <v>549538</v>
      </c>
      <c r="B71" s="5">
        <v>15036</v>
      </c>
      <c r="C71" s="5">
        <v>3</v>
      </c>
      <c r="D71" s="6">
        <v>40641.725694444445</v>
      </c>
      <c r="E71" s="8">
        <v>0.83</v>
      </c>
      <c r="F71" s="5">
        <v>17961</v>
      </c>
      <c r="G71" s="5" t="s">
        <v>8</v>
      </c>
      <c r="H71" s="5">
        <f t="shared" si="12"/>
        <v>4.2553191489361701E-2</v>
      </c>
      <c r="I71" s="5">
        <f t="shared" si="13"/>
        <v>-0.75230747447938584</v>
      </c>
      <c r="J71" s="5" t="str">
        <f t="shared" si="14"/>
        <v>LOW</v>
      </c>
      <c r="K71" s="8">
        <f t="shared" si="15"/>
        <v>8.7912087912087877E-2</v>
      </c>
      <c r="L71" s="8">
        <f t="shared" si="16"/>
        <v>-0.49186247751304724</v>
      </c>
      <c r="M71" s="5" t="str">
        <f t="shared" si="17"/>
        <v>LOW</v>
      </c>
      <c r="N71" s="5"/>
      <c r="O71" s="5"/>
      <c r="P71" s="5"/>
    </row>
    <row r="72" spans="1:16" x14ac:dyDescent="0.35">
      <c r="A72" s="5">
        <v>549711</v>
      </c>
      <c r="B72" s="5">
        <v>15036</v>
      </c>
      <c r="C72" s="5">
        <v>12</v>
      </c>
      <c r="D72" s="6">
        <v>40644.588194444441</v>
      </c>
      <c r="E72" s="8">
        <v>0.83</v>
      </c>
      <c r="F72" s="5">
        <v>13654</v>
      </c>
      <c r="G72" s="5" t="s">
        <v>8</v>
      </c>
      <c r="H72" s="5">
        <f t="shared" si="12"/>
        <v>0.23404255319148937</v>
      </c>
      <c r="I72" s="5">
        <f t="shared" si="13"/>
        <v>6.5076026784813848E-2</v>
      </c>
      <c r="J72" s="5" t="str">
        <f t="shared" si="14"/>
        <v>HIGH</v>
      </c>
      <c r="K72" s="8">
        <f t="shared" si="15"/>
        <v>8.7912087912087877E-2</v>
      </c>
      <c r="L72" s="8">
        <f t="shared" si="16"/>
        <v>-0.49186247751304724</v>
      </c>
      <c r="M72" s="5" t="str">
        <f t="shared" si="17"/>
        <v>LOW</v>
      </c>
      <c r="N72" s="5"/>
      <c r="O72" s="5"/>
      <c r="P72" s="5"/>
    </row>
    <row r="73" spans="1:16" x14ac:dyDescent="0.35">
      <c r="A73" s="5">
        <v>549743</v>
      </c>
      <c r="B73" s="5">
        <v>15036</v>
      </c>
      <c r="C73" s="5">
        <v>12</v>
      </c>
      <c r="D73" s="6">
        <v>40645.420138888891</v>
      </c>
      <c r="E73" s="8">
        <v>0.83</v>
      </c>
      <c r="F73" s="5">
        <v>16186</v>
      </c>
      <c r="G73" s="5" t="s">
        <v>8</v>
      </c>
      <c r="H73" s="5">
        <f t="shared" si="12"/>
        <v>0.23404255319148937</v>
      </c>
      <c r="I73" s="5">
        <f t="shared" si="13"/>
        <v>6.5076026784813848E-2</v>
      </c>
      <c r="J73" s="5" t="str">
        <f t="shared" si="14"/>
        <v>HIGH</v>
      </c>
      <c r="K73" s="8">
        <f t="shared" si="15"/>
        <v>8.7912087912087877E-2</v>
      </c>
      <c r="L73" s="8">
        <f t="shared" si="16"/>
        <v>-0.49186247751304724</v>
      </c>
      <c r="M73" s="5" t="str">
        <f t="shared" si="17"/>
        <v>LOW</v>
      </c>
      <c r="N73" s="5"/>
      <c r="O73" s="5"/>
      <c r="P73" s="5"/>
    </row>
    <row r="74" spans="1:16" x14ac:dyDescent="0.35">
      <c r="A74" s="5">
        <v>549964</v>
      </c>
      <c r="B74" s="5">
        <v>15036</v>
      </c>
      <c r="C74" s="5">
        <v>12</v>
      </c>
      <c r="D74" s="6">
        <v>40646.591666666667</v>
      </c>
      <c r="E74" s="8">
        <v>0.83</v>
      </c>
      <c r="F74" s="5">
        <v>13122</v>
      </c>
      <c r="G74" s="5" t="s">
        <v>8</v>
      </c>
      <c r="H74" s="5">
        <f t="shared" si="12"/>
        <v>0.23404255319148937</v>
      </c>
      <c r="I74" s="5">
        <f t="shared" si="13"/>
        <v>6.5076026784813848E-2</v>
      </c>
      <c r="J74" s="5" t="str">
        <f t="shared" si="14"/>
        <v>HIGH</v>
      </c>
      <c r="K74" s="8">
        <f t="shared" si="15"/>
        <v>8.7912087912087877E-2</v>
      </c>
      <c r="L74" s="8">
        <f t="shared" si="16"/>
        <v>-0.49186247751304724</v>
      </c>
      <c r="M74" s="5" t="str">
        <f t="shared" si="17"/>
        <v>LOW</v>
      </c>
      <c r="N74" s="5"/>
      <c r="O74" s="5"/>
      <c r="P74" s="5"/>
    </row>
    <row r="75" spans="1:16" x14ac:dyDescent="0.35">
      <c r="A75" s="5">
        <v>549975</v>
      </c>
      <c r="B75" s="5">
        <v>15036</v>
      </c>
      <c r="C75" s="5">
        <v>12</v>
      </c>
      <c r="D75" s="6">
        <v>40646.609722222223</v>
      </c>
      <c r="E75" s="8">
        <v>0.83</v>
      </c>
      <c r="F75" s="5">
        <v>16175</v>
      </c>
      <c r="G75" s="5" t="s">
        <v>8</v>
      </c>
      <c r="H75" s="5">
        <f t="shared" si="12"/>
        <v>0.23404255319148937</v>
      </c>
      <c r="I75" s="5">
        <f t="shared" si="13"/>
        <v>6.5076026784813848E-2</v>
      </c>
      <c r="J75" s="5" t="str">
        <f t="shared" si="14"/>
        <v>HIGH</v>
      </c>
      <c r="K75" s="8">
        <f t="shared" si="15"/>
        <v>8.7912087912087877E-2</v>
      </c>
      <c r="L75" s="8">
        <f t="shared" si="16"/>
        <v>-0.49186247751304724</v>
      </c>
      <c r="M75" s="5" t="str">
        <f t="shared" si="17"/>
        <v>LOW</v>
      </c>
      <c r="N75" s="5"/>
      <c r="O75" s="5"/>
      <c r="P75" s="5"/>
    </row>
    <row r="76" spans="1:16" x14ac:dyDescent="0.35">
      <c r="A76" s="5">
        <v>550138</v>
      </c>
      <c r="B76" s="5">
        <v>15036</v>
      </c>
      <c r="C76" s="5">
        <v>24</v>
      </c>
      <c r="D76" s="6">
        <v>40647.584722222222</v>
      </c>
      <c r="E76" s="8">
        <v>0.83</v>
      </c>
      <c r="F76" s="5">
        <v>12841</v>
      </c>
      <c r="G76" s="5" t="s">
        <v>8</v>
      </c>
      <c r="H76" s="5">
        <f t="shared" si="12"/>
        <v>0.48936170212765956</v>
      </c>
      <c r="I76" s="5">
        <f t="shared" si="13"/>
        <v>1.1549206951370801</v>
      </c>
      <c r="J76" s="5" t="str">
        <f t="shared" si="14"/>
        <v>HIGH</v>
      </c>
      <c r="K76" s="8">
        <f t="shared" si="15"/>
        <v>8.7912087912087877E-2</v>
      </c>
      <c r="L76" s="8">
        <f t="shared" si="16"/>
        <v>-0.49186247751304724</v>
      </c>
      <c r="M76" s="5" t="str">
        <f t="shared" si="17"/>
        <v>LOW</v>
      </c>
      <c r="N76" s="5"/>
      <c r="O76" s="5"/>
      <c r="P76" s="5"/>
    </row>
    <row r="77" spans="1:16" x14ac:dyDescent="0.35">
      <c r="A77" s="5">
        <v>550218</v>
      </c>
      <c r="B77" s="5">
        <v>15036</v>
      </c>
      <c r="C77" s="5">
        <v>12</v>
      </c>
      <c r="D77" s="6">
        <v>40648.46875</v>
      </c>
      <c r="E77" s="8">
        <v>0.83</v>
      </c>
      <c r="F77" s="5">
        <v>14408</v>
      </c>
      <c r="G77" s="5" t="s">
        <v>1331</v>
      </c>
      <c r="H77" s="5">
        <f t="shared" si="12"/>
        <v>0.23404255319148937</v>
      </c>
      <c r="I77" s="5">
        <f t="shared" si="13"/>
        <v>6.5076026784813848E-2</v>
      </c>
      <c r="J77" s="5" t="str">
        <f t="shared" si="14"/>
        <v>HIGH</v>
      </c>
      <c r="K77" s="8">
        <f t="shared" si="15"/>
        <v>8.7912087912087877E-2</v>
      </c>
      <c r="L77" s="8">
        <f t="shared" si="16"/>
        <v>-0.49186247751304724</v>
      </c>
      <c r="M77" s="5" t="str">
        <f t="shared" si="17"/>
        <v>LOW</v>
      </c>
      <c r="N77" s="5"/>
      <c r="O77" s="5"/>
      <c r="P77" s="5"/>
    </row>
    <row r="78" spans="1:16" x14ac:dyDescent="0.35">
      <c r="A78" s="5">
        <v>550315</v>
      </c>
      <c r="B78" s="5">
        <v>15036</v>
      </c>
      <c r="C78" s="5">
        <v>24</v>
      </c>
      <c r="D78" s="6">
        <v>40650.488888888889</v>
      </c>
      <c r="E78" s="8">
        <v>0.83</v>
      </c>
      <c r="F78" s="5">
        <v>17990</v>
      </c>
      <c r="G78" s="5" t="s">
        <v>1331</v>
      </c>
      <c r="H78" s="5">
        <f t="shared" si="12"/>
        <v>0.48936170212765956</v>
      </c>
      <c r="I78" s="5">
        <f t="shared" si="13"/>
        <v>1.1549206951370801</v>
      </c>
      <c r="J78" s="5" t="str">
        <f t="shared" si="14"/>
        <v>HIGH</v>
      </c>
      <c r="K78" s="8">
        <f t="shared" si="15"/>
        <v>8.7912087912087877E-2</v>
      </c>
      <c r="L78" s="8">
        <f t="shared" si="16"/>
        <v>-0.49186247751304724</v>
      </c>
      <c r="M78" s="5" t="str">
        <f t="shared" si="17"/>
        <v>LOW</v>
      </c>
      <c r="N78" s="5"/>
      <c r="O78" s="5"/>
      <c r="P78" s="5"/>
    </row>
    <row r="79" spans="1:16" x14ac:dyDescent="0.35">
      <c r="A79" s="5">
        <v>550323</v>
      </c>
      <c r="B79" s="5">
        <v>15036</v>
      </c>
      <c r="C79" s="5">
        <v>48</v>
      </c>
      <c r="D79" s="6">
        <v>40650.539583333331</v>
      </c>
      <c r="E79" s="8">
        <v>0.83</v>
      </c>
      <c r="F79" s="5">
        <v>13692</v>
      </c>
      <c r="G79" s="5" t="s">
        <v>8</v>
      </c>
      <c r="H79" s="5">
        <f t="shared" si="12"/>
        <v>1</v>
      </c>
      <c r="I79" s="5">
        <f t="shared" si="13"/>
        <v>3.3346100318416125</v>
      </c>
      <c r="J79" s="5" t="str">
        <f t="shared" si="14"/>
        <v>HIGH</v>
      </c>
      <c r="K79" s="8">
        <f t="shared" si="15"/>
        <v>8.7912087912087877E-2</v>
      </c>
      <c r="L79" s="8">
        <f t="shared" si="16"/>
        <v>-0.49186247751304724</v>
      </c>
      <c r="M79" s="5" t="str">
        <f t="shared" si="17"/>
        <v>LOW</v>
      </c>
      <c r="N79" s="5"/>
      <c r="O79" s="5"/>
      <c r="P79" s="5"/>
    </row>
    <row r="80" spans="1:16" x14ac:dyDescent="0.35">
      <c r="A80" s="5">
        <v>550336</v>
      </c>
      <c r="B80" s="5">
        <v>15036</v>
      </c>
      <c r="C80" s="5">
        <v>48</v>
      </c>
      <c r="D80" s="6">
        <v>40650.621527777781</v>
      </c>
      <c r="E80" s="8">
        <v>0.83</v>
      </c>
      <c r="F80" s="5">
        <v>13089</v>
      </c>
      <c r="G80" s="5" t="s">
        <v>8</v>
      </c>
      <c r="H80" s="5">
        <f t="shared" si="12"/>
        <v>1</v>
      </c>
      <c r="I80" s="5">
        <f t="shared" si="13"/>
        <v>3.3346100318416125</v>
      </c>
      <c r="J80" s="5" t="str">
        <f t="shared" si="14"/>
        <v>HIGH</v>
      </c>
      <c r="K80" s="8">
        <f t="shared" si="15"/>
        <v>8.7912087912087877E-2</v>
      </c>
      <c r="L80" s="8">
        <f t="shared" si="16"/>
        <v>-0.49186247751304724</v>
      </c>
      <c r="M80" s="5" t="str">
        <f t="shared" si="17"/>
        <v>LOW</v>
      </c>
      <c r="N80" s="5"/>
      <c r="O80" s="5"/>
      <c r="P80" s="5"/>
    </row>
    <row r="81" spans="1:16" x14ac:dyDescent="0.35">
      <c r="A81" s="5">
        <v>550458</v>
      </c>
      <c r="B81" s="5">
        <v>15036</v>
      </c>
      <c r="C81" s="5">
        <v>2</v>
      </c>
      <c r="D81" s="6">
        <v>40651.550694444442</v>
      </c>
      <c r="E81" s="8">
        <v>1.63</v>
      </c>
      <c r="F81" s="5" t="s">
        <v>1331</v>
      </c>
      <c r="G81" s="5" t="s">
        <v>8</v>
      </c>
      <c r="H81" s="5">
        <f t="shared" si="12"/>
        <v>2.1276595744680851E-2</v>
      </c>
      <c r="I81" s="5">
        <f t="shared" si="13"/>
        <v>-0.84312786350874136</v>
      </c>
      <c r="J81" s="5" t="str">
        <f t="shared" si="14"/>
        <v>LOW</v>
      </c>
      <c r="K81" s="8">
        <f t="shared" si="15"/>
        <v>0.96703296703296704</v>
      </c>
      <c r="L81" s="8">
        <f t="shared" si="16"/>
        <v>1.9352005489719499</v>
      </c>
      <c r="M81" s="5" t="str">
        <f t="shared" si="17"/>
        <v>HIGH</v>
      </c>
      <c r="N81" s="5"/>
      <c r="O81" s="5"/>
      <c r="P81" s="5"/>
    </row>
    <row r="82" spans="1:16" x14ac:dyDescent="0.35">
      <c r="A82" s="5">
        <v>550468</v>
      </c>
      <c r="B82" s="5">
        <v>15036</v>
      </c>
      <c r="C82" s="5">
        <v>12</v>
      </c>
      <c r="D82" s="6">
        <v>40651.571527777778</v>
      </c>
      <c r="E82" s="8">
        <v>0.83</v>
      </c>
      <c r="F82" s="5">
        <v>16700</v>
      </c>
      <c r="G82" s="5" t="s">
        <v>8</v>
      </c>
      <c r="H82" s="5">
        <f t="shared" si="12"/>
        <v>0.23404255319148937</v>
      </c>
      <c r="I82" s="5">
        <f t="shared" si="13"/>
        <v>6.5076026784813848E-2</v>
      </c>
      <c r="J82" s="5" t="str">
        <f t="shared" si="14"/>
        <v>HIGH</v>
      </c>
      <c r="K82" s="8">
        <f t="shared" si="15"/>
        <v>8.7912087912087877E-2</v>
      </c>
      <c r="L82" s="8">
        <f t="shared" si="16"/>
        <v>-0.49186247751304724</v>
      </c>
      <c r="M82" s="5" t="str">
        <f t="shared" si="17"/>
        <v>LOW</v>
      </c>
      <c r="N82" s="5"/>
      <c r="O82" s="5"/>
      <c r="P82" s="5"/>
    </row>
    <row r="83" spans="1:16" x14ac:dyDescent="0.35">
      <c r="A83" s="5">
        <v>550470</v>
      </c>
      <c r="B83" s="5">
        <v>15036</v>
      </c>
      <c r="C83" s="5">
        <v>4</v>
      </c>
      <c r="D83" s="6">
        <v>40651.575694444444</v>
      </c>
      <c r="E83" s="8">
        <v>1.63</v>
      </c>
      <c r="F83" s="5" t="s">
        <v>1331</v>
      </c>
      <c r="G83" s="5" t="s">
        <v>8</v>
      </c>
      <c r="H83" s="5">
        <f t="shared" si="12"/>
        <v>6.3829787234042548E-2</v>
      </c>
      <c r="I83" s="5">
        <f t="shared" si="13"/>
        <v>-0.66148708545003032</v>
      </c>
      <c r="J83" s="5" t="str">
        <f t="shared" si="14"/>
        <v>LOW</v>
      </c>
      <c r="K83" s="8">
        <f t="shared" si="15"/>
        <v>0.96703296703296704</v>
      </c>
      <c r="L83" s="8">
        <f t="shared" si="16"/>
        <v>1.9352005489719499</v>
      </c>
      <c r="M83" s="5" t="str">
        <f t="shared" si="17"/>
        <v>HIGH</v>
      </c>
      <c r="N83" s="5"/>
      <c r="O83" s="5"/>
      <c r="P83" s="5"/>
    </row>
    <row r="84" spans="1:16" x14ac:dyDescent="0.35">
      <c r="A84" s="5">
        <v>550471</v>
      </c>
      <c r="B84" s="5">
        <v>15036</v>
      </c>
      <c r="C84" s="5">
        <v>3</v>
      </c>
      <c r="D84" s="6">
        <v>40651.577777777777</v>
      </c>
      <c r="E84" s="8">
        <v>1.63</v>
      </c>
      <c r="F84" s="5" t="s">
        <v>1331</v>
      </c>
      <c r="G84" s="5" t="s">
        <v>8</v>
      </c>
      <c r="H84" s="5">
        <f t="shared" si="12"/>
        <v>4.2553191489361701E-2</v>
      </c>
      <c r="I84" s="5">
        <f t="shared" si="13"/>
        <v>-0.75230747447938584</v>
      </c>
      <c r="J84" s="5" t="str">
        <f t="shared" si="14"/>
        <v>LOW</v>
      </c>
      <c r="K84" s="8">
        <f t="shared" si="15"/>
        <v>0.96703296703296704</v>
      </c>
      <c r="L84" s="8">
        <f t="shared" si="16"/>
        <v>1.9352005489719499</v>
      </c>
      <c r="M84" s="5" t="str">
        <f t="shared" si="17"/>
        <v>HIGH</v>
      </c>
      <c r="N84" s="5"/>
      <c r="O84" s="5"/>
      <c r="P84" s="5"/>
    </row>
    <row r="85" spans="1:16" x14ac:dyDescent="0.35">
      <c r="A85" s="5">
        <v>550474</v>
      </c>
      <c r="B85" s="5">
        <v>15036</v>
      </c>
      <c r="C85" s="5">
        <v>2</v>
      </c>
      <c r="D85" s="6">
        <v>40651.581944444442</v>
      </c>
      <c r="E85" s="8">
        <v>1.63</v>
      </c>
      <c r="F85" s="5" t="s">
        <v>1331</v>
      </c>
      <c r="G85" s="5" t="s">
        <v>8</v>
      </c>
      <c r="H85" s="5">
        <f t="shared" si="12"/>
        <v>2.1276595744680851E-2</v>
      </c>
      <c r="I85" s="5">
        <f t="shared" si="13"/>
        <v>-0.84312786350874136</v>
      </c>
      <c r="J85" s="5" t="str">
        <f t="shared" si="14"/>
        <v>LOW</v>
      </c>
      <c r="K85" s="8">
        <f t="shared" si="15"/>
        <v>0.96703296703296704</v>
      </c>
      <c r="L85" s="8">
        <f t="shared" si="16"/>
        <v>1.9352005489719499</v>
      </c>
      <c r="M85" s="5" t="str">
        <f t="shared" si="17"/>
        <v>HIGH</v>
      </c>
      <c r="N85" s="5"/>
      <c r="O85" s="5"/>
      <c r="P85" s="5"/>
    </row>
    <row r="86" spans="1:16" x14ac:dyDescent="0.35">
      <c r="A86" s="5">
        <v>550479</v>
      </c>
      <c r="B86" s="5">
        <v>15036</v>
      </c>
      <c r="C86" s="5">
        <v>24</v>
      </c>
      <c r="D86" s="6">
        <v>40651.584027777775</v>
      </c>
      <c r="E86" s="8">
        <v>0.83</v>
      </c>
      <c r="F86" s="5">
        <v>15625</v>
      </c>
      <c r="G86" s="5" t="s">
        <v>8</v>
      </c>
      <c r="H86" s="5">
        <f t="shared" si="12"/>
        <v>0.48936170212765956</v>
      </c>
      <c r="I86" s="5">
        <f t="shared" si="13"/>
        <v>1.1549206951370801</v>
      </c>
      <c r="J86" s="5" t="str">
        <f t="shared" si="14"/>
        <v>HIGH</v>
      </c>
      <c r="K86" s="8">
        <f t="shared" si="15"/>
        <v>8.7912087912087877E-2</v>
      </c>
      <c r="L86" s="8">
        <f t="shared" si="16"/>
        <v>-0.49186247751304724</v>
      </c>
      <c r="M86" s="5" t="str">
        <f t="shared" si="17"/>
        <v>LOW</v>
      </c>
      <c r="N86" s="5"/>
      <c r="O86" s="5"/>
      <c r="P86" s="5"/>
    </row>
    <row r="87" spans="1:16" x14ac:dyDescent="0.35">
      <c r="A87" s="5">
        <v>550517</v>
      </c>
      <c r="B87" s="5">
        <v>15036</v>
      </c>
      <c r="C87" s="5">
        <v>24</v>
      </c>
      <c r="D87" s="6">
        <v>40652.345138888886</v>
      </c>
      <c r="E87" s="8">
        <v>0.83</v>
      </c>
      <c r="F87" s="5">
        <v>14352</v>
      </c>
      <c r="G87" s="5" t="s">
        <v>8</v>
      </c>
      <c r="H87" s="5">
        <f t="shared" si="12"/>
        <v>0.48936170212765956</v>
      </c>
      <c r="I87" s="5">
        <f t="shared" si="13"/>
        <v>1.1549206951370801</v>
      </c>
      <c r="J87" s="5" t="str">
        <f t="shared" si="14"/>
        <v>HIGH</v>
      </c>
      <c r="K87" s="8">
        <f t="shared" si="15"/>
        <v>8.7912087912087877E-2</v>
      </c>
      <c r="L87" s="8">
        <f t="shared" si="16"/>
        <v>-0.49186247751304724</v>
      </c>
      <c r="M87" s="5" t="str">
        <f t="shared" si="17"/>
        <v>LOW</v>
      </c>
      <c r="N87" s="5"/>
      <c r="O87" s="5"/>
      <c r="P87" s="5"/>
    </row>
    <row r="88" spans="1:16" x14ac:dyDescent="0.35">
      <c r="A88" s="5">
        <v>550519</v>
      </c>
      <c r="B88" s="5">
        <v>15036</v>
      </c>
      <c r="C88" s="5">
        <v>24</v>
      </c>
      <c r="D88" s="6">
        <v>40652.396527777775</v>
      </c>
      <c r="E88" s="8">
        <v>0.83</v>
      </c>
      <c r="F88" s="5">
        <v>13141</v>
      </c>
      <c r="G88" s="5" t="s">
        <v>8</v>
      </c>
      <c r="H88" s="5">
        <f t="shared" si="12"/>
        <v>0.48936170212765956</v>
      </c>
      <c r="I88" s="5">
        <f t="shared" si="13"/>
        <v>1.1549206951370801</v>
      </c>
      <c r="J88" s="5" t="str">
        <f t="shared" si="14"/>
        <v>HIGH</v>
      </c>
      <c r="K88" s="8">
        <f t="shared" si="15"/>
        <v>8.7912087912087877E-2</v>
      </c>
      <c r="L88" s="8">
        <f t="shared" si="16"/>
        <v>-0.49186247751304724</v>
      </c>
      <c r="M88" s="5" t="str">
        <f t="shared" si="17"/>
        <v>LOW</v>
      </c>
      <c r="N88" s="5"/>
      <c r="O88" s="5"/>
      <c r="P88" s="5"/>
    </row>
    <row r="89" spans="1:16" x14ac:dyDescent="0.35">
      <c r="A89" s="5">
        <v>550521</v>
      </c>
      <c r="B89" s="5">
        <v>15036</v>
      </c>
      <c r="C89" s="5">
        <v>24</v>
      </c>
      <c r="D89" s="6">
        <v>40652.40902777778</v>
      </c>
      <c r="E89" s="8">
        <v>0.83</v>
      </c>
      <c r="F89" s="5">
        <v>13647</v>
      </c>
      <c r="G89" s="5" t="s">
        <v>8</v>
      </c>
      <c r="H89" s="5">
        <f t="shared" si="12"/>
        <v>0.48936170212765956</v>
      </c>
      <c r="I89" s="5">
        <f t="shared" si="13"/>
        <v>1.1549206951370801</v>
      </c>
      <c r="J89" s="5" t="str">
        <f t="shared" si="14"/>
        <v>HIGH</v>
      </c>
      <c r="K89" s="8">
        <f t="shared" si="15"/>
        <v>8.7912087912087877E-2</v>
      </c>
      <c r="L89" s="8">
        <f t="shared" si="16"/>
        <v>-0.49186247751304724</v>
      </c>
      <c r="M89" s="5" t="str">
        <f t="shared" si="17"/>
        <v>LOW</v>
      </c>
      <c r="N89" s="5"/>
      <c r="O89" s="5"/>
      <c r="P89" s="5"/>
    </row>
    <row r="90" spans="1:16" x14ac:dyDescent="0.35">
      <c r="A90" s="5">
        <v>550542</v>
      </c>
      <c r="B90" s="5">
        <v>15036</v>
      </c>
      <c r="C90" s="5">
        <v>5</v>
      </c>
      <c r="D90" s="6">
        <v>40652.484027777777</v>
      </c>
      <c r="E90" s="8">
        <v>1.63</v>
      </c>
      <c r="F90" s="5" t="s">
        <v>1331</v>
      </c>
      <c r="G90" s="5" t="s">
        <v>8</v>
      </c>
      <c r="H90" s="5">
        <f t="shared" si="12"/>
        <v>8.5106382978723402E-2</v>
      </c>
      <c r="I90" s="5">
        <f t="shared" si="13"/>
        <v>-0.5706666964206748</v>
      </c>
      <c r="J90" s="5" t="str">
        <f t="shared" si="14"/>
        <v>LOW</v>
      </c>
      <c r="K90" s="8">
        <f t="shared" si="15"/>
        <v>0.96703296703296704</v>
      </c>
      <c r="L90" s="8">
        <f t="shared" si="16"/>
        <v>1.9352005489719499</v>
      </c>
      <c r="M90" s="5" t="str">
        <f t="shared" si="17"/>
        <v>HIGH</v>
      </c>
      <c r="N90" s="5"/>
      <c r="O90" s="5"/>
      <c r="P90" s="5"/>
    </row>
    <row r="91" spans="1:16" x14ac:dyDescent="0.35">
      <c r="A91" s="5">
        <v>550636</v>
      </c>
      <c r="B91" s="5">
        <v>15036</v>
      </c>
      <c r="C91" s="5">
        <v>1</v>
      </c>
      <c r="D91" s="6">
        <v>40652.650694444441</v>
      </c>
      <c r="E91" s="8">
        <v>1.63</v>
      </c>
      <c r="F91" s="5" t="s">
        <v>1331</v>
      </c>
      <c r="G91" s="5" t="s">
        <v>8</v>
      </c>
      <c r="H91" s="5">
        <f t="shared" si="12"/>
        <v>0</v>
      </c>
      <c r="I91" s="5">
        <f t="shared" si="13"/>
        <v>-0.93394825253809688</v>
      </c>
      <c r="J91" s="5" t="str">
        <f t="shared" si="14"/>
        <v>LOW</v>
      </c>
      <c r="K91" s="8">
        <f t="shared" si="15"/>
        <v>0.96703296703296704</v>
      </c>
      <c r="L91" s="8">
        <f t="shared" si="16"/>
        <v>1.9352005489719499</v>
      </c>
      <c r="M91" s="5" t="str">
        <f t="shared" si="17"/>
        <v>HIGH</v>
      </c>
      <c r="N91" s="5"/>
      <c r="O91" s="5"/>
      <c r="P91" s="5"/>
    </row>
    <row r="92" spans="1:16" x14ac:dyDescent="0.35">
      <c r="A92" s="5">
        <v>550659</v>
      </c>
      <c r="B92" s="5">
        <v>15036</v>
      </c>
      <c r="C92" s="5">
        <v>12</v>
      </c>
      <c r="D92" s="6">
        <v>40653.376388888886</v>
      </c>
      <c r="E92" s="8">
        <v>0.83</v>
      </c>
      <c r="F92" s="5">
        <v>17730</v>
      </c>
      <c r="G92" s="5" t="s">
        <v>8</v>
      </c>
      <c r="H92" s="5">
        <f t="shared" si="12"/>
        <v>0.23404255319148937</v>
      </c>
      <c r="I92" s="5">
        <f t="shared" si="13"/>
        <v>6.5076026784813848E-2</v>
      </c>
      <c r="J92" s="5" t="str">
        <f t="shared" si="14"/>
        <v>HIGH</v>
      </c>
      <c r="K92" s="8">
        <f t="shared" si="15"/>
        <v>8.7912087912087877E-2</v>
      </c>
      <c r="L92" s="8">
        <f t="shared" si="16"/>
        <v>-0.49186247751304724</v>
      </c>
      <c r="M92" s="5" t="str">
        <f t="shared" si="17"/>
        <v>LOW</v>
      </c>
      <c r="N92" s="5"/>
      <c r="O92" s="5"/>
      <c r="P92" s="5"/>
    </row>
    <row r="93" spans="1:16" x14ac:dyDescent="0.35">
      <c r="A93" s="5">
        <v>550775</v>
      </c>
      <c r="B93" s="5">
        <v>15036</v>
      </c>
      <c r="C93" s="5">
        <v>12</v>
      </c>
      <c r="D93" s="6">
        <v>40653.554166666669</v>
      </c>
      <c r="E93" s="8">
        <v>0.83</v>
      </c>
      <c r="F93" s="5">
        <v>15805</v>
      </c>
      <c r="G93" s="5" t="s">
        <v>8</v>
      </c>
      <c r="H93" s="5">
        <f t="shared" si="12"/>
        <v>0.23404255319148937</v>
      </c>
      <c r="I93" s="5">
        <f t="shared" si="13"/>
        <v>6.5076026784813848E-2</v>
      </c>
      <c r="J93" s="5" t="str">
        <f t="shared" si="14"/>
        <v>HIGH</v>
      </c>
      <c r="K93" s="8">
        <f t="shared" si="15"/>
        <v>8.7912087912087877E-2</v>
      </c>
      <c r="L93" s="8">
        <f t="shared" si="16"/>
        <v>-0.49186247751304724</v>
      </c>
      <c r="M93" s="5" t="str">
        <f t="shared" si="17"/>
        <v>LOW</v>
      </c>
      <c r="N93" s="5"/>
      <c r="O93" s="5"/>
      <c r="P93" s="5"/>
    </row>
    <row r="94" spans="1:16" x14ac:dyDescent="0.35">
      <c r="A94" s="5">
        <v>550785</v>
      </c>
      <c r="B94" s="5">
        <v>15036</v>
      </c>
      <c r="C94" s="5">
        <v>12</v>
      </c>
      <c r="D94" s="6">
        <v>40653.584722222222</v>
      </c>
      <c r="E94" s="8">
        <v>0.83</v>
      </c>
      <c r="F94" s="5">
        <v>15517</v>
      </c>
      <c r="G94" s="5" t="s">
        <v>8</v>
      </c>
      <c r="H94" s="5">
        <f t="shared" si="12"/>
        <v>0.23404255319148937</v>
      </c>
      <c r="I94" s="5">
        <f t="shared" si="13"/>
        <v>6.5076026784813848E-2</v>
      </c>
      <c r="J94" s="5" t="str">
        <f t="shared" si="14"/>
        <v>HIGH</v>
      </c>
      <c r="K94" s="8">
        <f t="shared" si="15"/>
        <v>8.7912087912087877E-2</v>
      </c>
      <c r="L94" s="8">
        <f t="shared" si="16"/>
        <v>-0.49186247751304724</v>
      </c>
      <c r="M94" s="5" t="str">
        <f t="shared" si="17"/>
        <v>LOW</v>
      </c>
      <c r="N94" s="5"/>
      <c r="O94" s="5"/>
      <c r="P94" s="5"/>
    </row>
    <row r="95" spans="1:16" x14ac:dyDescent="0.35">
      <c r="A95" s="5">
        <v>550802</v>
      </c>
      <c r="B95" s="5">
        <v>15036</v>
      </c>
      <c r="C95" s="5">
        <v>12</v>
      </c>
      <c r="D95" s="6">
        <v>40653.63958333333</v>
      </c>
      <c r="E95" s="8">
        <v>0.83</v>
      </c>
      <c r="F95" s="5">
        <v>17120</v>
      </c>
      <c r="G95" s="5" t="s">
        <v>8</v>
      </c>
      <c r="H95" s="5">
        <f t="shared" si="12"/>
        <v>0.23404255319148937</v>
      </c>
      <c r="I95" s="5">
        <f t="shared" si="13"/>
        <v>6.5076026784813848E-2</v>
      </c>
      <c r="J95" s="5" t="str">
        <f t="shared" si="14"/>
        <v>HIGH</v>
      </c>
      <c r="K95" s="8">
        <f t="shared" si="15"/>
        <v>8.7912087912087877E-2</v>
      </c>
      <c r="L95" s="8">
        <f t="shared" si="16"/>
        <v>-0.49186247751304724</v>
      </c>
      <c r="M95" s="5" t="str">
        <f t="shared" si="17"/>
        <v>LOW</v>
      </c>
      <c r="N95" s="5"/>
      <c r="O95" s="5"/>
      <c r="P95" s="5"/>
    </row>
    <row r="96" spans="1:16" x14ac:dyDescent="0.35">
      <c r="A96" s="5">
        <v>550972</v>
      </c>
      <c r="B96" s="5">
        <v>15036</v>
      </c>
      <c r="C96" s="5">
        <v>1</v>
      </c>
      <c r="D96" s="6">
        <v>40654.711805555555</v>
      </c>
      <c r="E96" s="8">
        <v>0.83</v>
      </c>
      <c r="F96" s="5">
        <v>14031</v>
      </c>
      <c r="G96" s="5" t="s">
        <v>8</v>
      </c>
      <c r="H96" s="5">
        <f t="shared" si="12"/>
        <v>0</v>
      </c>
      <c r="I96" s="5">
        <f t="shared" si="13"/>
        <v>-0.93394825253809688</v>
      </c>
      <c r="J96" s="5" t="str">
        <f t="shared" si="14"/>
        <v>LOW</v>
      </c>
      <c r="K96" s="8">
        <f t="shared" si="15"/>
        <v>8.7912087912087877E-2</v>
      </c>
      <c r="L96" s="8">
        <f t="shared" si="16"/>
        <v>-0.49186247751304724</v>
      </c>
      <c r="M96" s="5" t="str">
        <f t="shared" si="17"/>
        <v>LOW</v>
      </c>
      <c r="N96" s="5"/>
      <c r="O96" s="5"/>
      <c r="P96" s="5"/>
    </row>
    <row r="97" spans="1:16" x14ac:dyDescent="0.35">
      <c r="A97" s="5">
        <v>551174</v>
      </c>
      <c r="B97" s="5">
        <v>15036</v>
      </c>
      <c r="C97" s="5">
        <v>15</v>
      </c>
      <c r="D97" s="6">
        <v>40659.709722222222</v>
      </c>
      <c r="E97" s="8">
        <v>0.83</v>
      </c>
      <c r="F97" s="5" t="s">
        <v>1331</v>
      </c>
      <c r="G97" s="5" t="s">
        <v>8</v>
      </c>
      <c r="H97" s="5">
        <f t="shared" si="12"/>
        <v>0.2978723404255319</v>
      </c>
      <c r="I97" s="5">
        <f t="shared" si="13"/>
        <v>0.33753719387288039</v>
      </c>
      <c r="J97" s="5" t="str">
        <f t="shared" si="14"/>
        <v>HIGH</v>
      </c>
      <c r="K97" s="8">
        <f t="shared" si="15"/>
        <v>8.7912087912087877E-2</v>
      </c>
      <c r="L97" s="8">
        <f t="shared" si="16"/>
        <v>-0.49186247751304724</v>
      </c>
      <c r="M97" s="5" t="str">
        <f t="shared" si="17"/>
        <v>LOW</v>
      </c>
      <c r="N97" s="5"/>
      <c r="O97" s="5"/>
      <c r="P97" s="5"/>
    </row>
    <row r="98" spans="1:16" x14ac:dyDescent="0.35">
      <c r="A98" s="5">
        <v>551182</v>
      </c>
      <c r="B98" s="5">
        <v>15036</v>
      </c>
      <c r="C98" s="5">
        <v>24</v>
      </c>
      <c r="D98" s="6">
        <v>40660.363194444442</v>
      </c>
      <c r="E98" s="8">
        <v>0.83</v>
      </c>
      <c r="F98" s="5">
        <v>14282</v>
      </c>
      <c r="G98" s="5" t="s">
        <v>8</v>
      </c>
      <c r="H98" s="5">
        <f t="shared" ref="H98:H128" si="18">(C98-1)/(48-1)</f>
        <v>0.48936170212765956</v>
      </c>
      <c r="I98" s="5">
        <f t="shared" ref="I98:I128" si="19">(C98-$S$21)/$S$44</f>
        <v>1.1549206951370801</v>
      </c>
      <c r="J98" s="5" t="str">
        <f t="shared" ref="J98:J128" si="20">IF(C98&gt;$S$6, "HIGH", "LOW")</f>
        <v>HIGH</v>
      </c>
      <c r="K98" s="8">
        <f t="shared" ref="K98:K128" si="21">(E98-0.75)/(1.66-0.75)</f>
        <v>8.7912087912087877E-2</v>
      </c>
      <c r="L98" s="8">
        <f t="shared" ref="L98:L128" si="22">(E98-$S$22)/$S$45</f>
        <v>-0.49186247751304724</v>
      </c>
      <c r="M98" s="5" t="str">
        <f t="shared" ref="M98:M128" si="23">IF(E98&gt;$S$7, "HIGH", "LOW")</f>
        <v>LOW</v>
      </c>
      <c r="N98" s="5"/>
      <c r="O98" s="5"/>
      <c r="P98" s="5"/>
    </row>
    <row r="99" spans="1:16" x14ac:dyDescent="0.35">
      <c r="A99" s="5">
        <v>552269</v>
      </c>
      <c r="B99" s="5">
        <v>10125</v>
      </c>
      <c r="C99" s="5">
        <v>1</v>
      </c>
      <c r="D99" s="6">
        <v>40671.494444444441</v>
      </c>
      <c r="E99" s="8">
        <v>0.85</v>
      </c>
      <c r="F99" s="5">
        <v>16121</v>
      </c>
      <c r="G99" s="5" t="s">
        <v>8</v>
      </c>
      <c r="H99" s="5">
        <f t="shared" si="18"/>
        <v>0</v>
      </c>
      <c r="I99" s="5">
        <f t="shared" si="19"/>
        <v>-0.93394825253809688</v>
      </c>
      <c r="J99" s="5" t="str">
        <f t="shared" si="20"/>
        <v>LOW</v>
      </c>
      <c r="K99" s="8">
        <f t="shared" si="21"/>
        <v>0.10989010989010987</v>
      </c>
      <c r="L99" s="8">
        <f t="shared" si="22"/>
        <v>-0.43118590185092226</v>
      </c>
      <c r="M99" s="5" t="str">
        <f t="shared" si="23"/>
        <v>LOW</v>
      </c>
      <c r="N99" s="5"/>
      <c r="O99" s="5"/>
      <c r="P99" s="5"/>
    </row>
    <row r="100" spans="1:16" x14ac:dyDescent="0.35">
      <c r="A100" s="5">
        <v>552310</v>
      </c>
      <c r="B100" s="5">
        <v>10125</v>
      </c>
      <c r="C100" s="5">
        <v>3</v>
      </c>
      <c r="D100" s="6">
        <v>40671.640277777777</v>
      </c>
      <c r="E100" s="8">
        <v>0.85</v>
      </c>
      <c r="F100" s="5">
        <v>17323</v>
      </c>
      <c r="G100" s="5" t="s">
        <v>8</v>
      </c>
      <c r="H100" s="5">
        <f t="shared" si="18"/>
        <v>4.2553191489361701E-2</v>
      </c>
      <c r="I100" s="5">
        <f t="shared" si="19"/>
        <v>-0.75230747447938584</v>
      </c>
      <c r="J100" s="5" t="str">
        <f t="shared" si="20"/>
        <v>LOW</v>
      </c>
      <c r="K100" s="8">
        <f t="shared" si="21"/>
        <v>0.10989010989010987</v>
      </c>
      <c r="L100" s="8">
        <f t="shared" si="22"/>
        <v>-0.43118590185092226</v>
      </c>
      <c r="M100" s="5" t="str">
        <f t="shared" si="23"/>
        <v>LOW</v>
      </c>
      <c r="N100" s="5"/>
      <c r="O100" s="5"/>
      <c r="P100" s="5"/>
    </row>
    <row r="101" spans="1:16" x14ac:dyDescent="0.35">
      <c r="A101" s="5">
        <v>553385</v>
      </c>
      <c r="B101" s="5">
        <v>10125</v>
      </c>
      <c r="C101" s="5">
        <v>1</v>
      </c>
      <c r="D101" s="6">
        <v>40679.661805555559</v>
      </c>
      <c r="E101" s="8">
        <v>0.85</v>
      </c>
      <c r="F101" s="5">
        <v>16710</v>
      </c>
      <c r="G101" s="5" t="s">
        <v>8</v>
      </c>
      <c r="H101" s="5">
        <f t="shared" si="18"/>
        <v>0</v>
      </c>
      <c r="I101" s="5">
        <f t="shared" si="19"/>
        <v>-0.93394825253809688</v>
      </c>
      <c r="J101" s="5" t="str">
        <f t="shared" si="20"/>
        <v>LOW</v>
      </c>
      <c r="K101" s="8">
        <f t="shared" si="21"/>
        <v>0.10989010989010987</v>
      </c>
      <c r="L101" s="8">
        <f t="shared" si="22"/>
        <v>-0.43118590185092226</v>
      </c>
      <c r="M101" s="5" t="str">
        <f t="shared" si="23"/>
        <v>LOW</v>
      </c>
      <c r="N101" s="5"/>
      <c r="O101" s="5"/>
      <c r="P101" s="5"/>
    </row>
    <row r="102" spans="1:16" x14ac:dyDescent="0.35">
      <c r="A102" s="5">
        <v>554117</v>
      </c>
      <c r="B102" s="5">
        <v>10125</v>
      </c>
      <c r="C102" s="5">
        <v>1</v>
      </c>
      <c r="D102" s="6">
        <v>40685.633333333331</v>
      </c>
      <c r="E102" s="8">
        <v>0.85</v>
      </c>
      <c r="F102" s="5">
        <v>13758</v>
      </c>
      <c r="G102" s="5" t="s">
        <v>8</v>
      </c>
      <c r="H102" s="5">
        <f t="shared" si="18"/>
        <v>0</v>
      </c>
      <c r="I102" s="5">
        <f t="shared" si="19"/>
        <v>-0.93394825253809688</v>
      </c>
      <c r="J102" s="5" t="str">
        <f t="shared" si="20"/>
        <v>LOW</v>
      </c>
      <c r="K102" s="8">
        <f t="shared" si="21"/>
        <v>0.10989010989010987</v>
      </c>
      <c r="L102" s="8">
        <f t="shared" si="22"/>
        <v>-0.43118590185092226</v>
      </c>
      <c r="M102" s="5" t="str">
        <f t="shared" si="23"/>
        <v>LOW</v>
      </c>
      <c r="N102" s="5"/>
      <c r="O102" s="5"/>
      <c r="P102" s="5"/>
    </row>
    <row r="103" spans="1:16" x14ac:dyDescent="0.35">
      <c r="A103" s="5">
        <v>555579</v>
      </c>
      <c r="B103" s="5">
        <v>10125</v>
      </c>
      <c r="C103" s="5">
        <v>1</v>
      </c>
      <c r="D103" s="6">
        <v>40699.668055555558</v>
      </c>
      <c r="E103" s="8">
        <v>0.85</v>
      </c>
      <c r="F103" s="5">
        <v>13983</v>
      </c>
      <c r="G103" s="5" t="s">
        <v>8</v>
      </c>
      <c r="H103" s="5">
        <f t="shared" si="18"/>
        <v>0</v>
      </c>
      <c r="I103" s="5">
        <f t="shared" si="19"/>
        <v>-0.93394825253809688</v>
      </c>
      <c r="J103" s="5" t="str">
        <f t="shared" si="20"/>
        <v>LOW</v>
      </c>
      <c r="K103" s="8">
        <f t="shared" si="21"/>
        <v>0.10989010989010987</v>
      </c>
      <c r="L103" s="8">
        <f t="shared" si="22"/>
        <v>-0.43118590185092226</v>
      </c>
      <c r="M103" s="5" t="str">
        <f t="shared" si="23"/>
        <v>LOW</v>
      </c>
      <c r="N103" s="5"/>
      <c r="O103" s="5"/>
      <c r="P103" s="5"/>
    </row>
    <row r="104" spans="1:16" x14ac:dyDescent="0.35">
      <c r="A104" s="5">
        <v>556222</v>
      </c>
      <c r="B104" s="5">
        <v>10125</v>
      </c>
      <c r="C104" s="5">
        <v>12</v>
      </c>
      <c r="D104" s="6">
        <v>40703.599305555559</v>
      </c>
      <c r="E104" s="8">
        <v>0.85</v>
      </c>
      <c r="F104" s="5">
        <v>17522</v>
      </c>
      <c r="G104" s="5" t="s">
        <v>8</v>
      </c>
      <c r="H104" s="5">
        <f t="shared" si="18"/>
        <v>0.23404255319148937</v>
      </c>
      <c r="I104" s="5">
        <f t="shared" si="19"/>
        <v>6.5076026784813848E-2</v>
      </c>
      <c r="J104" s="5" t="str">
        <f t="shared" si="20"/>
        <v>HIGH</v>
      </c>
      <c r="K104" s="8">
        <f t="shared" si="21"/>
        <v>0.10989010989010987</v>
      </c>
      <c r="L104" s="8">
        <f t="shared" si="22"/>
        <v>-0.43118590185092226</v>
      </c>
      <c r="M104" s="5" t="str">
        <f t="shared" si="23"/>
        <v>LOW</v>
      </c>
      <c r="N104" s="5"/>
      <c r="O104" s="5"/>
      <c r="P104" s="5"/>
    </row>
    <row r="105" spans="1:16" x14ac:dyDescent="0.35">
      <c r="A105" s="5">
        <v>557938</v>
      </c>
      <c r="B105" s="5">
        <v>10125</v>
      </c>
      <c r="C105" s="5">
        <v>2</v>
      </c>
      <c r="D105" s="6">
        <v>40717.649305555555</v>
      </c>
      <c r="E105" s="8">
        <v>1.63</v>
      </c>
      <c r="F105" s="5" t="s">
        <v>1331</v>
      </c>
      <c r="G105" s="5" t="s">
        <v>8</v>
      </c>
      <c r="H105" s="5">
        <f t="shared" si="18"/>
        <v>2.1276595744680851E-2</v>
      </c>
      <c r="I105" s="5">
        <f t="shared" si="19"/>
        <v>-0.84312786350874136</v>
      </c>
      <c r="J105" s="5" t="str">
        <f t="shared" si="20"/>
        <v>LOW</v>
      </c>
      <c r="K105" s="8">
        <f t="shared" si="21"/>
        <v>0.96703296703296704</v>
      </c>
      <c r="L105" s="8">
        <f t="shared" si="22"/>
        <v>1.9352005489719499</v>
      </c>
      <c r="M105" s="5" t="str">
        <f t="shared" si="23"/>
        <v>HIGH</v>
      </c>
      <c r="N105" s="5"/>
      <c r="O105" s="5"/>
      <c r="P105" s="5"/>
    </row>
    <row r="106" spans="1:16" x14ac:dyDescent="0.35">
      <c r="A106" s="5">
        <v>558700</v>
      </c>
      <c r="B106" s="5">
        <v>10125</v>
      </c>
      <c r="C106" s="5">
        <v>1</v>
      </c>
      <c r="D106" s="6">
        <v>40725.522916666669</v>
      </c>
      <c r="E106" s="8">
        <v>0.85</v>
      </c>
      <c r="F106" s="5">
        <v>17920</v>
      </c>
      <c r="G106" s="5" t="s">
        <v>8</v>
      </c>
      <c r="H106" s="5">
        <f t="shared" si="18"/>
        <v>0</v>
      </c>
      <c r="I106" s="5">
        <f t="shared" si="19"/>
        <v>-0.93394825253809688</v>
      </c>
      <c r="J106" s="5" t="str">
        <f t="shared" si="20"/>
        <v>LOW</v>
      </c>
      <c r="K106" s="8">
        <f t="shared" si="21"/>
        <v>0.10989010989010987</v>
      </c>
      <c r="L106" s="8">
        <f t="shared" si="22"/>
        <v>-0.43118590185092226</v>
      </c>
      <c r="M106" s="5" t="str">
        <f t="shared" si="23"/>
        <v>LOW</v>
      </c>
      <c r="N106" s="5"/>
      <c r="O106" s="5"/>
      <c r="P106" s="5"/>
    </row>
    <row r="107" spans="1:16" x14ac:dyDescent="0.35">
      <c r="A107" s="5">
        <v>558700</v>
      </c>
      <c r="B107" s="5">
        <v>10125</v>
      </c>
      <c r="C107" s="5">
        <v>3</v>
      </c>
      <c r="D107" s="6">
        <v>40725.522916666669</v>
      </c>
      <c r="E107" s="8">
        <v>0.85</v>
      </c>
      <c r="F107" s="5">
        <v>17920</v>
      </c>
      <c r="G107" s="5" t="s">
        <v>8</v>
      </c>
      <c r="H107" s="5">
        <f t="shared" si="18"/>
        <v>4.2553191489361701E-2</v>
      </c>
      <c r="I107" s="5">
        <f t="shared" si="19"/>
        <v>-0.75230747447938584</v>
      </c>
      <c r="J107" s="5" t="str">
        <f t="shared" si="20"/>
        <v>LOW</v>
      </c>
      <c r="K107" s="8">
        <f t="shared" si="21"/>
        <v>0.10989010989010987</v>
      </c>
      <c r="L107" s="8">
        <f t="shared" si="22"/>
        <v>-0.43118590185092226</v>
      </c>
      <c r="M107" s="5" t="str">
        <f t="shared" si="23"/>
        <v>LOW</v>
      </c>
      <c r="N107" s="5"/>
      <c r="O107" s="5"/>
      <c r="P107" s="5"/>
    </row>
    <row r="108" spans="1:16" x14ac:dyDescent="0.35">
      <c r="A108" s="5">
        <v>558860</v>
      </c>
      <c r="B108" s="5">
        <v>10125</v>
      </c>
      <c r="C108" s="5">
        <v>1</v>
      </c>
      <c r="D108" s="6">
        <v>40728.512499999997</v>
      </c>
      <c r="E108" s="8">
        <v>0.85</v>
      </c>
      <c r="F108" s="5">
        <v>17975</v>
      </c>
      <c r="G108" s="5" t="s">
        <v>8</v>
      </c>
      <c r="H108" s="5">
        <f t="shared" si="18"/>
        <v>0</v>
      </c>
      <c r="I108" s="5">
        <f t="shared" si="19"/>
        <v>-0.93394825253809688</v>
      </c>
      <c r="J108" s="5" t="str">
        <f t="shared" si="20"/>
        <v>LOW</v>
      </c>
      <c r="K108" s="8">
        <f t="shared" si="21"/>
        <v>0.10989010989010987</v>
      </c>
      <c r="L108" s="8">
        <f t="shared" si="22"/>
        <v>-0.43118590185092226</v>
      </c>
      <c r="M108" s="5" t="str">
        <f t="shared" si="23"/>
        <v>LOW</v>
      </c>
      <c r="N108" s="5"/>
      <c r="O108" s="5"/>
      <c r="P108" s="5"/>
    </row>
    <row r="109" spans="1:16" x14ac:dyDescent="0.35">
      <c r="A109" s="5">
        <v>558868</v>
      </c>
      <c r="B109" s="5">
        <v>10125</v>
      </c>
      <c r="C109" s="5">
        <v>20</v>
      </c>
      <c r="D109" s="6">
        <v>40728.532638888886</v>
      </c>
      <c r="E109" s="8">
        <v>0.85</v>
      </c>
      <c r="F109" s="5">
        <v>13266</v>
      </c>
      <c r="G109" s="5" t="s">
        <v>8</v>
      </c>
      <c r="H109" s="5">
        <f t="shared" si="18"/>
        <v>0.40425531914893614</v>
      </c>
      <c r="I109" s="5">
        <f t="shared" si="19"/>
        <v>0.79163913901965799</v>
      </c>
      <c r="J109" s="5" t="str">
        <f t="shared" si="20"/>
        <v>HIGH</v>
      </c>
      <c r="K109" s="8">
        <f t="shared" si="21"/>
        <v>0.10989010989010987</v>
      </c>
      <c r="L109" s="8">
        <f t="shared" si="22"/>
        <v>-0.43118590185092226</v>
      </c>
      <c r="M109" s="5" t="str">
        <f t="shared" si="23"/>
        <v>LOW</v>
      </c>
      <c r="N109" s="5"/>
      <c r="O109" s="5"/>
      <c r="P109" s="5"/>
    </row>
    <row r="110" spans="1:16" x14ac:dyDescent="0.35">
      <c r="A110" s="5">
        <v>559337</v>
      </c>
      <c r="B110" s="5">
        <v>10125</v>
      </c>
      <c r="C110" s="5">
        <v>1</v>
      </c>
      <c r="D110" s="6">
        <v>40731.685416666667</v>
      </c>
      <c r="E110" s="8">
        <v>1.63</v>
      </c>
      <c r="F110" s="5" t="s">
        <v>1331</v>
      </c>
      <c r="G110" s="5" t="s">
        <v>8</v>
      </c>
      <c r="H110" s="5">
        <f t="shared" si="18"/>
        <v>0</v>
      </c>
      <c r="I110" s="5">
        <f t="shared" si="19"/>
        <v>-0.93394825253809688</v>
      </c>
      <c r="J110" s="5" t="str">
        <f t="shared" si="20"/>
        <v>LOW</v>
      </c>
      <c r="K110" s="8">
        <f t="shared" si="21"/>
        <v>0.96703296703296704</v>
      </c>
      <c r="L110" s="8">
        <f t="shared" si="22"/>
        <v>1.9352005489719499</v>
      </c>
      <c r="M110" s="5" t="str">
        <f t="shared" si="23"/>
        <v>HIGH</v>
      </c>
      <c r="N110" s="5"/>
      <c r="O110" s="5"/>
      <c r="P110" s="5"/>
    </row>
    <row r="111" spans="1:16" x14ac:dyDescent="0.35">
      <c r="A111" s="5">
        <v>559536</v>
      </c>
      <c r="B111" s="5">
        <v>10125</v>
      </c>
      <c r="C111" s="5">
        <v>5</v>
      </c>
      <c r="D111" s="6">
        <v>40734.511805555558</v>
      </c>
      <c r="E111" s="8">
        <v>0.85</v>
      </c>
      <c r="F111" s="5">
        <v>16283</v>
      </c>
      <c r="G111" s="5" t="s">
        <v>8</v>
      </c>
      <c r="H111" s="5">
        <f t="shared" si="18"/>
        <v>8.5106382978723402E-2</v>
      </c>
      <c r="I111" s="5">
        <f t="shared" si="19"/>
        <v>-0.5706666964206748</v>
      </c>
      <c r="J111" s="5" t="str">
        <f t="shared" si="20"/>
        <v>LOW</v>
      </c>
      <c r="K111" s="8">
        <f t="shared" si="21"/>
        <v>0.10989010989010987</v>
      </c>
      <c r="L111" s="8">
        <f t="shared" si="22"/>
        <v>-0.43118590185092226</v>
      </c>
      <c r="M111" s="5" t="str">
        <f t="shared" si="23"/>
        <v>LOW</v>
      </c>
      <c r="N111" s="5"/>
      <c r="O111" s="5"/>
      <c r="P111" s="5"/>
    </row>
    <row r="112" spans="1:16" x14ac:dyDescent="0.35">
      <c r="A112" s="5">
        <v>559979</v>
      </c>
      <c r="B112" s="5">
        <v>10125</v>
      </c>
      <c r="C112" s="5">
        <v>20</v>
      </c>
      <c r="D112" s="6">
        <v>40738.472222222219</v>
      </c>
      <c r="E112" s="8">
        <v>0.85</v>
      </c>
      <c r="F112" s="5">
        <v>14862</v>
      </c>
      <c r="G112" s="5" t="s">
        <v>8</v>
      </c>
      <c r="H112" s="5">
        <f t="shared" si="18"/>
        <v>0.40425531914893614</v>
      </c>
      <c r="I112" s="5">
        <f t="shared" si="19"/>
        <v>0.79163913901965799</v>
      </c>
      <c r="J112" s="5" t="str">
        <f t="shared" si="20"/>
        <v>HIGH</v>
      </c>
      <c r="K112" s="8">
        <f t="shared" si="21"/>
        <v>0.10989010989010987</v>
      </c>
      <c r="L112" s="8">
        <f t="shared" si="22"/>
        <v>-0.43118590185092226</v>
      </c>
      <c r="M112" s="5" t="str">
        <f t="shared" si="23"/>
        <v>LOW</v>
      </c>
      <c r="N112" s="5"/>
      <c r="O112" s="5"/>
      <c r="P112" s="5"/>
    </row>
    <row r="113" spans="1:16" x14ac:dyDescent="0.35">
      <c r="A113" s="5">
        <v>559984</v>
      </c>
      <c r="B113" s="5">
        <v>10125</v>
      </c>
      <c r="C113" s="5">
        <v>5</v>
      </c>
      <c r="D113" s="6">
        <v>40738.489583333336</v>
      </c>
      <c r="E113" s="8">
        <v>0.85</v>
      </c>
      <c r="F113" s="5">
        <v>16657</v>
      </c>
      <c r="G113" s="5" t="s">
        <v>8</v>
      </c>
      <c r="H113" s="5">
        <f t="shared" si="18"/>
        <v>8.5106382978723402E-2</v>
      </c>
      <c r="I113" s="5">
        <f t="shared" si="19"/>
        <v>-0.5706666964206748</v>
      </c>
      <c r="J113" s="5" t="str">
        <f t="shared" si="20"/>
        <v>LOW</v>
      </c>
      <c r="K113" s="8">
        <f t="shared" si="21"/>
        <v>0.10989010989010987</v>
      </c>
      <c r="L113" s="8">
        <f t="shared" si="22"/>
        <v>-0.43118590185092226</v>
      </c>
      <c r="M113" s="5" t="str">
        <f t="shared" si="23"/>
        <v>LOW</v>
      </c>
      <c r="N113" s="5"/>
      <c r="O113" s="5"/>
      <c r="P113" s="5"/>
    </row>
    <row r="114" spans="1:16" x14ac:dyDescent="0.35">
      <c r="A114" s="5">
        <v>560366</v>
      </c>
      <c r="B114" s="5">
        <v>10125</v>
      </c>
      <c r="C114" s="5">
        <v>20</v>
      </c>
      <c r="D114" s="6">
        <v>40742.513194444444</v>
      </c>
      <c r="E114" s="8">
        <v>0.85</v>
      </c>
      <c r="F114" s="5">
        <v>16859</v>
      </c>
      <c r="G114" s="5" t="s">
        <v>8</v>
      </c>
      <c r="H114" s="5">
        <f t="shared" si="18"/>
        <v>0.40425531914893614</v>
      </c>
      <c r="I114" s="5">
        <f t="shared" si="19"/>
        <v>0.79163913901965799</v>
      </c>
      <c r="J114" s="5" t="str">
        <f t="shared" si="20"/>
        <v>HIGH</v>
      </c>
      <c r="K114" s="8">
        <f t="shared" si="21"/>
        <v>0.10989010989010987</v>
      </c>
      <c r="L114" s="8">
        <f t="shared" si="22"/>
        <v>-0.43118590185092226</v>
      </c>
      <c r="M114" s="5" t="str">
        <f t="shared" si="23"/>
        <v>LOW</v>
      </c>
      <c r="N114" s="5"/>
      <c r="O114" s="5"/>
      <c r="P114" s="5"/>
    </row>
    <row r="115" spans="1:16" x14ac:dyDescent="0.35">
      <c r="A115" s="5">
        <v>563034</v>
      </c>
      <c r="B115" s="5">
        <v>10125</v>
      </c>
      <c r="C115" s="5">
        <v>40</v>
      </c>
      <c r="D115" s="6">
        <v>40766.620138888888</v>
      </c>
      <c r="E115" s="8">
        <v>0.85</v>
      </c>
      <c r="F115" s="5">
        <v>17644</v>
      </c>
      <c r="G115" s="5" t="s">
        <v>8</v>
      </c>
      <c r="H115" s="5">
        <f t="shared" si="18"/>
        <v>0.82978723404255317</v>
      </c>
      <c r="I115" s="5">
        <f t="shared" si="19"/>
        <v>2.6080469196067684</v>
      </c>
      <c r="J115" s="5" t="str">
        <f t="shared" si="20"/>
        <v>HIGH</v>
      </c>
      <c r="K115" s="8">
        <f t="shared" si="21"/>
        <v>0.10989010989010987</v>
      </c>
      <c r="L115" s="8">
        <f t="shared" si="22"/>
        <v>-0.43118590185092226</v>
      </c>
      <c r="M115" s="5" t="str">
        <f t="shared" si="23"/>
        <v>LOW</v>
      </c>
      <c r="N115" s="5"/>
      <c r="O115" s="5"/>
      <c r="P115" s="5"/>
    </row>
    <row r="116" spans="1:16" x14ac:dyDescent="0.35">
      <c r="A116" s="5">
        <v>563744</v>
      </c>
      <c r="B116" s="5">
        <v>10125</v>
      </c>
      <c r="C116" s="5">
        <v>20</v>
      </c>
      <c r="D116" s="6">
        <v>40774.399305555555</v>
      </c>
      <c r="E116" s="8">
        <v>0.85</v>
      </c>
      <c r="F116" s="5">
        <v>13266</v>
      </c>
      <c r="G116" s="5" t="s">
        <v>8</v>
      </c>
      <c r="H116" s="5">
        <f t="shared" si="18"/>
        <v>0.40425531914893614</v>
      </c>
      <c r="I116" s="5">
        <f t="shared" si="19"/>
        <v>0.79163913901965799</v>
      </c>
      <c r="J116" s="5" t="str">
        <f t="shared" si="20"/>
        <v>HIGH</v>
      </c>
      <c r="K116" s="8">
        <f t="shared" si="21"/>
        <v>0.10989010989010987</v>
      </c>
      <c r="L116" s="8">
        <f t="shared" si="22"/>
        <v>-0.43118590185092226</v>
      </c>
      <c r="M116" s="5" t="str">
        <f t="shared" si="23"/>
        <v>LOW</v>
      </c>
      <c r="N116" s="5"/>
      <c r="O116" s="5"/>
      <c r="P116" s="5"/>
    </row>
    <row r="117" spans="1:16" x14ac:dyDescent="0.35">
      <c r="A117" s="5">
        <v>564300</v>
      </c>
      <c r="B117" s="5">
        <v>10125</v>
      </c>
      <c r="C117" s="5">
        <v>5</v>
      </c>
      <c r="D117" s="6">
        <v>40779.479861111111</v>
      </c>
      <c r="E117" s="8">
        <v>0.85</v>
      </c>
      <c r="F117" s="5">
        <v>16723</v>
      </c>
      <c r="G117" s="5" t="s">
        <v>8</v>
      </c>
      <c r="H117" s="5">
        <f t="shared" si="18"/>
        <v>8.5106382978723402E-2</v>
      </c>
      <c r="I117" s="5">
        <f t="shared" si="19"/>
        <v>-0.5706666964206748</v>
      </c>
      <c r="J117" s="5" t="str">
        <f t="shared" si="20"/>
        <v>LOW</v>
      </c>
      <c r="K117" s="8">
        <f t="shared" si="21"/>
        <v>0.10989010989010987</v>
      </c>
      <c r="L117" s="8">
        <f t="shared" si="22"/>
        <v>-0.43118590185092226</v>
      </c>
      <c r="M117" s="5" t="str">
        <f t="shared" si="23"/>
        <v>LOW</v>
      </c>
      <c r="N117" s="5"/>
      <c r="O117" s="5"/>
      <c r="P117" s="5"/>
    </row>
    <row r="118" spans="1:16" x14ac:dyDescent="0.35">
      <c r="A118" s="5">
        <v>564337</v>
      </c>
      <c r="B118" s="5">
        <v>10125</v>
      </c>
      <c r="C118" s="5">
        <v>20</v>
      </c>
      <c r="D118" s="6">
        <v>40779.611111111109</v>
      </c>
      <c r="E118" s="8">
        <v>0.85</v>
      </c>
      <c r="F118" s="5">
        <v>12649</v>
      </c>
      <c r="G118" s="5" t="s">
        <v>21</v>
      </c>
      <c r="H118" s="5">
        <f t="shared" si="18"/>
        <v>0.40425531914893614</v>
      </c>
      <c r="I118" s="5">
        <f t="shared" si="19"/>
        <v>0.79163913901965799</v>
      </c>
      <c r="J118" s="5" t="str">
        <f t="shared" si="20"/>
        <v>HIGH</v>
      </c>
      <c r="K118" s="8">
        <f t="shared" si="21"/>
        <v>0.10989010989010987</v>
      </c>
      <c r="L118" s="8">
        <f t="shared" si="22"/>
        <v>-0.43118590185092226</v>
      </c>
      <c r="M118" s="5" t="str">
        <f t="shared" si="23"/>
        <v>LOW</v>
      </c>
      <c r="N118" s="5"/>
      <c r="O118" s="5"/>
      <c r="P118" s="5"/>
    </row>
    <row r="119" spans="1:16" x14ac:dyDescent="0.35">
      <c r="A119" s="5">
        <v>565585</v>
      </c>
      <c r="B119" s="5">
        <v>10125</v>
      </c>
      <c r="C119" s="5">
        <v>20</v>
      </c>
      <c r="D119" s="6">
        <v>40791.556944444441</v>
      </c>
      <c r="E119" s="8">
        <v>0.85</v>
      </c>
      <c r="F119" s="5">
        <v>16172</v>
      </c>
      <c r="G119" s="5" t="s">
        <v>8</v>
      </c>
      <c r="H119" s="5">
        <f t="shared" si="18"/>
        <v>0.40425531914893614</v>
      </c>
      <c r="I119" s="5">
        <f t="shared" si="19"/>
        <v>0.79163913901965799</v>
      </c>
      <c r="J119" s="5" t="str">
        <f t="shared" si="20"/>
        <v>HIGH</v>
      </c>
      <c r="K119" s="8">
        <f t="shared" si="21"/>
        <v>0.10989010989010987</v>
      </c>
      <c r="L119" s="8">
        <f t="shared" si="22"/>
        <v>-0.43118590185092226</v>
      </c>
      <c r="M119" s="5" t="str">
        <f t="shared" si="23"/>
        <v>LOW</v>
      </c>
      <c r="N119" s="5"/>
      <c r="O119" s="5"/>
      <c r="P119" s="5"/>
    </row>
    <row r="120" spans="1:16" x14ac:dyDescent="0.35">
      <c r="A120" s="5">
        <v>568568</v>
      </c>
      <c r="B120" s="5">
        <v>10125</v>
      </c>
      <c r="C120" s="5">
        <v>20</v>
      </c>
      <c r="D120" s="6">
        <v>40814.366666666669</v>
      </c>
      <c r="E120" s="8">
        <v>0.85</v>
      </c>
      <c r="F120" s="5">
        <v>14412</v>
      </c>
      <c r="G120" s="5" t="s">
        <v>8</v>
      </c>
      <c r="H120" s="5">
        <f t="shared" si="18"/>
        <v>0.40425531914893614</v>
      </c>
      <c r="I120" s="5">
        <f t="shared" si="19"/>
        <v>0.79163913901965799</v>
      </c>
      <c r="J120" s="5" t="str">
        <f t="shared" si="20"/>
        <v>HIGH</v>
      </c>
      <c r="K120" s="8">
        <f t="shared" si="21"/>
        <v>0.10989010989010987</v>
      </c>
      <c r="L120" s="8">
        <f t="shared" si="22"/>
        <v>-0.43118590185092226</v>
      </c>
      <c r="M120" s="5" t="str">
        <f t="shared" si="23"/>
        <v>LOW</v>
      </c>
      <c r="N120" s="5"/>
      <c r="O120" s="5"/>
      <c r="P120" s="5"/>
    </row>
    <row r="121" spans="1:16" x14ac:dyDescent="0.35">
      <c r="A121" s="5">
        <v>568650</v>
      </c>
      <c r="B121" s="5">
        <v>10125</v>
      </c>
      <c r="C121" s="5">
        <v>20</v>
      </c>
      <c r="D121" s="6">
        <v>40814.49722222222</v>
      </c>
      <c r="E121" s="8">
        <v>0.85</v>
      </c>
      <c r="F121" s="5">
        <v>13505</v>
      </c>
      <c r="G121" s="5" t="s">
        <v>16</v>
      </c>
      <c r="H121" s="5">
        <f t="shared" si="18"/>
        <v>0.40425531914893614</v>
      </c>
      <c r="I121" s="5">
        <f t="shared" si="19"/>
        <v>0.79163913901965799</v>
      </c>
      <c r="J121" s="5" t="str">
        <f t="shared" si="20"/>
        <v>HIGH</v>
      </c>
      <c r="K121" s="8">
        <f t="shared" si="21"/>
        <v>0.10989010989010987</v>
      </c>
      <c r="L121" s="8">
        <f t="shared" si="22"/>
        <v>-0.43118590185092226</v>
      </c>
      <c r="M121" s="5" t="str">
        <f t="shared" si="23"/>
        <v>LOW</v>
      </c>
      <c r="N121" s="5"/>
      <c r="O121" s="5"/>
      <c r="P121" s="5"/>
    </row>
    <row r="122" spans="1:16" x14ac:dyDescent="0.35">
      <c r="A122" s="5">
        <v>569223</v>
      </c>
      <c r="B122" s="5">
        <v>10125</v>
      </c>
      <c r="C122" s="5">
        <v>7</v>
      </c>
      <c r="D122" s="6">
        <v>40818.575694444444</v>
      </c>
      <c r="E122" s="8">
        <v>0.85</v>
      </c>
      <c r="F122" s="5">
        <v>16283</v>
      </c>
      <c r="G122" s="5" t="s">
        <v>8</v>
      </c>
      <c r="H122" s="5">
        <f t="shared" si="18"/>
        <v>0.1276595744680851</v>
      </c>
      <c r="I122" s="5">
        <f t="shared" si="19"/>
        <v>-0.38902591836196376</v>
      </c>
      <c r="J122" s="5" t="str">
        <f t="shared" si="20"/>
        <v>LOW</v>
      </c>
      <c r="K122" s="8">
        <f t="shared" si="21"/>
        <v>0.10989010989010987</v>
      </c>
      <c r="L122" s="8">
        <f t="shared" si="22"/>
        <v>-0.43118590185092226</v>
      </c>
      <c r="M122" s="5" t="str">
        <f t="shared" si="23"/>
        <v>LOW</v>
      </c>
      <c r="N122" s="5"/>
      <c r="O122" s="5"/>
      <c r="P122" s="5"/>
    </row>
    <row r="123" spans="1:16" x14ac:dyDescent="0.35">
      <c r="A123" s="5">
        <v>569897</v>
      </c>
      <c r="B123" s="5">
        <v>10125</v>
      </c>
      <c r="C123" s="5">
        <v>3</v>
      </c>
      <c r="D123" s="6">
        <v>40822.667361111111</v>
      </c>
      <c r="E123" s="8">
        <v>0.85</v>
      </c>
      <c r="F123" s="5">
        <v>17813</v>
      </c>
      <c r="G123" s="5" t="s">
        <v>8</v>
      </c>
      <c r="H123" s="5">
        <f t="shared" si="18"/>
        <v>4.2553191489361701E-2</v>
      </c>
      <c r="I123" s="5">
        <f t="shared" si="19"/>
        <v>-0.75230747447938584</v>
      </c>
      <c r="J123" s="5" t="str">
        <f t="shared" si="20"/>
        <v>LOW</v>
      </c>
      <c r="K123" s="8">
        <f t="shared" si="21"/>
        <v>0.10989010989010987</v>
      </c>
      <c r="L123" s="8">
        <f t="shared" si="22"/>
        <v>-0.43118590185092226</v>
      </c>
      <c r="M123" s="5" t="str">
        <f t="shared" si="23"/>
        <v>LOW</v>
      </c>
      <c r="N123" s="5"/>
      <c r="O123" s="5"/>
      <c r="P123" s="5"/>
    </row>
    <row r="124" spans="1:16" x14ac:dyDescent="0.35">
      <c r="A124" s="5">
        <v>570187</v>
      </c>
      <c r="B124" s="5">
        <v>10125</v>
      </c>
      <c r="C124" s="5">
        <v>1</v>
      </c>
      <c r="D124" s="6">
        <v>40823.631249999999</v>
      </c>
      <c r="E124" s="8">
        <v>1.63</v>
      </c>
      <c r="F124" s="5" t="s">
        <v>1331</v>
      </c>
      <c r="G124" s="5" t="s">
        <v>8</v>
      </c>
      <c r="H124" s="5">
        <f t="shared" si="18"/>
        <v>0</v>
      </c>
      <c r="I124" s="5">
        <f t="shared" si="19"/>
        <v>-0.93394825253809688</v>
      </c>
      <c r="J124" s="5" t="str">
        <f t="shared" si="20"/>
        <v>LOW</v>
      </c>
      <c r="K124" s="8">
        <f t="shared" si="21"/>
        <v>0.96703296703296704</v>
      </c>
      <c r="L124" s="8">
        <f t="shared" si="22"/>
        <v>1.9352005489719499</v>
      </c>
      <c r="M124" s="5" t="str">
        <f t="shared" si="23"/>
        <v>HIGH</v>
      </c>
      <c r="N124" s="5"/>
      <c r="O124" s="5"/>
      <c r="P124" s="5"/>
    </row>
    <row r="125" spans="1:16" x14ac:dyDescent="0.35">
      <c r="A125" s="5">
        <v>571328</v>
      </c>
      <c r="B125" s="5">
        <v>10125</v>
      </c>
      <c r="C125" s="5">
        <v>20</v>
      </c>
      <c r="D125" s="6">
        <v>40833.477083333331</v>
      </c>
      <c r="E125" s="8">
        <v>0.85</v>
      </c>
      <c r="F125" s="5">
        <v>12473</v>
      </c>
      <c r="G125" s="5" t="s">
        <v>21</v>
      </c>
      <c r="H125" s="5">
        <f t="shared" si="18"/>
        <v>0.40425531914893614</v>
      </c>
      <c r="I125" s="5">
        <f t="shared" si="19"/>
        <v>0.79163913901965799</v>
      </c>
      <c r="J125" s="5" t="str">
        <f t="shared" si="20"/>
        <v>HIGH</v>
      </c>
      <c r="K125" s="8">
        <f t="shared" si="21"/>
        <v>0.10989010989010987</v>
      </c>
      <c r="L125" s="8">
        <f t="shared" si="22"/>
        <v>-0.43118590185092226</v>
      </c>
      <c r="M125" s="5" t="str">
        <f t="shared" si="23"/>
        <v>LOW</v>
      </c>
      <c r="N125" s="5"/>
      <c r="O125" s="5"/>
      <c r="P125" s="5"/>
    </row>
    <row r="126" spans="1:16" x14ac:dyDescent="0.35">
      <c r="A126" s="5">
        <v>572558</v>
      </c>
      <c r="B126" s="5">
        <v>10125</v>
      </c>
      <c r="C126" s="5">
        <v>20</v>
      </c>
      <c r="D126" s="6">
        <v>40841.351388888892</v>
      </c>
      <c r="E126" s="8">
        <v>0.85</v>
      </c>
      <c r="F126" s="5">
        <v>14286</v>
      </c>
      <c r="G126" s="5" t="s">
        <v>8</v>
      </c>
      <c r="H126" s="5">
        <f t="shared" si="18"/>
        <v>0.40425531914893614</v>
      </c>
      <c r="I126" s="5">
        <f t="shared" si="19"/>
        <v>0.79163913901965799</v>
      </c>
      <c r="J126" s="5" t="str">
        <f t="shared" si="20"/>
        <v>HIGH</v>
      </c>
      <c r="K126" s="8">
        <f t="shared" si="21"/>
        <v>0.10989010989010987</v>
      </c>
      <c r="L126" s="8">
        <f t="shared" si="22"/>
        <v>-0.43118590185092226</v>
      </c>
      <c r="M126" s="5" t="str">
        <f t="shared" si="23"/>
        <v>LOW</v>
      </c>
      <c r="N126" s="5"/>
      <c r="O126" s="5"/>
      <c r="P126" s="5"/>
    </row>
    <row r="127" spans="1:16" x14ac:dyDescent="0.35">
      <c r="A127" s="5">
        <v>574530</v>
      </c>
      <c r="B127" s="5">
        <v>10125</v>
      </c>
      <c r="C127" s="5">
        <v>2</v>
      </c>
      <c r="D127" s="6">
        <v>40851.588194444441</v>
      </c>
      <c r="E127" s="8">
        <v>0.85</v>
      </c>
      <c r="F127" s="5">
        <v>16887</v>
      </c>
      <c r="G127" s="5" t="s">
        <v>8</v>
      </c>
      <c r="H127" s="5">
        <f t="shared" si="18"/>
        <v>2.1276595744680851E-2</v>
      </c>
      <c r="I127" s="5">
        <f t="shared" si="19"/>
        <v>-0.84312786350874136</v>
      </c>
      <c r="J127" s="5" t="str">
        <f t="shared" si="20"/>
        <v>LOW</v>
      </c>
      <c r="K127" s="8">
        <f t="shared" si="21"/>
        <v>0.10989010989010987</v>
      </c>
      <c r="L127" s="8">
        <f t="shared" si="22"/>
        <v>-0.43118590185092226</v>
      </c>
      <c r="M127" s="5" t="str">
        <f t="shared" si="23"/>
        <v>LOW</v>
      </c>
      <c r="N127" s="5"/>
      <c r="O127" s="5"/>
      <c r="P127" s="5"/>
    </row>
    <row r="128" spans="1:16" x14ac:dyDescent="0.35">
      <c r="A128" s="5">
        <v>581494</v>
      </c>
      <c r="B128" s="5">
        <v>10125</v>
      </c>
      <c r="C128" s="5">
        <v>20</v>
      </c>
      <c r="D128" s="6">
        <v>40886.425694444442</v>
      </c>
      <c r="E128" s="8">
        <v>0.85</v>
      </c>
      <c r="F128" s="5">
        <v>12518</v>
      </c>
      <c r="G128" s="5" t="s">
        <v>21</v>
      </c>
      <c r="H128" s="5">
        <f t="shared" si="18"/>
        <v>0.40425531914893614</v>
      </c>
      <c r="I128" s="5">
        <f t="shared" si="19"/>
        <v>0.79163913901965799</v>
      </c>
      <c r="J128" s="5" t="str">
        <f t="shared" si="20"/>
        <v>HIGH</v>
      </c>
      <c r="K128" s="8">
        <f t="shared" si="21"/>
        <v>0.10989010989010987</v>
      </c>
      <c r="L128" s="8">
        <f t="shared" si="22"/>
        <v>-0.43118590185092226</v>
      </c>
      <c r="M128" s="5" t="str">
        <f t="shared" si="23"/>
        <v>LOW</v>
      </c>
      <c r="N128" s="5"/>
      <c r="O128" s="5"/>
      <c r="P128" s="5"/>
    </row>
    <row r="133" spans="5:12" x14ac:dyDescent="0.35">
      <c r="E133"/>
      <c r="F133"/>
      <c r="G133"/>
      <c r="H133"/>
      <c r="I133"/>
      <c r="J133"/>
      <c r="K133"/>
      <c r="L133"/>
    </row>
    <row r="134" spans="5:12" x14ac:dyDescent="0.35">
      <c r="E134"/>
      <c r="F134"/>
      <c r="G134"/>
      <c r="H134"/>
      <c r="I134"/>
      <c r="J134"/>
      <c r="K134"/>
      <c r="L134"/>
    </row>
    <row r="135" spans="5:12" x14ac:dyDescent="0.35">
      <c r="E135"/>
      <c r="F135"/>
      <c r="G135"/>
      <c r="H135"/>
      <c r="I135"/>
      <c r="J135"/>
      <c r="K135"/>
      <c r="L135"/>
    </row>
    <row r="136" spans="5:12" x14ac:dyDescent="0.35">
      <c r="E136"/>
      <c r="F136"/>
      <c r="G136"/>
      <c r="H136"/>
      <c r="I136"/>
      <c r="J136"/>
      <c r="K136"/>
      <c r="L136"/>
    </row>
    <row r="137" spans="5:12" x14ac:dyDescent="0.35">
      <c r="E137"/>
      <c r="F137"/>
      <c r="G137"/>
      <c r="H137"/>
      <c r="I137"/>
      <c r="J137"/>
      <c r="K137"/>
      <c r="L137"/>
    </row>
    <row r="138" spans="5:12" x14ac:dyDescent="0.35">
      <c r="E138"/>
      <c r="F138"/>
      <c r="G138"/>
      <c r="H138"/>
      <c r="I138"/>
      <c r="J138"/>
      <c r="K138"/>
      <c r="L138"/>
    </row>
  </sheetData>
  <conditionalFormatting sqref="C1:C1048576">
    <cfRule type="colorScale" priority="3">
      <colorScale>
        <cfvo type="num" val="-28.5"/>
        <cfvo type="num" val="55.5"/>
        <color theme="8" tint="0.79998168889431442"/>
        <color theme="8" tint="-0.249977111117893"/>
      </colorScale>
    </cfRule>
    <cfRule type="colorScale" priority="5">
      <colorScale>
        <cfvo type="min"/>
        <cfvo type="max"/>
        <color theme="8" tint="0.79998168889431442"/>
        <color theme="8"/>
      </colorScale>
    </cfRule>
  </conditionalFormatting>
  <conditionalFormatting sqref="C2:C128">
    <cfRule type="colorScale" priority="335">
      <colorScale>
        <cfvo type="min"/>
        <cfvo type="max"/>
        <color theme="8" tint="0.79998168889431442"/>
        <color theme="8" tint="-0.249977111117893"/>
      </colorScale>
    </cfRule>
    <cfRule type="colorScale" priority="336">
      <colorScale>
        <cfvo type="num" val="0"/>
        <cfvo type="num" val="100"/>
        <color theme="8" tint="0.79998168889431442"/>
        <color theme="8" tint="-0.249977111117893"/>
      </colorScale>
    </cfRule>
  </conditionalFormatting>
  <conditionalFormatting sqref="C3">
    <cfRule type="duplicateValues" dxfId="6" priority="1"/>
  </conditionalFormatting>
  <conditionalFormatting sqref="E1:E1048576">
    <cfRule type="colorScale" priority="2">
      <colorScale>
        <cfvo type="num" val="0.48"/>
        <cfvo type="num" val="1.57"/>
        <color theme="8" tint="0.79998168889431442"/>
        <color theme="8" tint="-0.249977111117893"/>
      </colorScale>
    </cfRule>
  </conditionalFormatting>
  <conditionalFormatting sqref="E139:E1048576 E1:E132">
    <cfRule type="colorScale" priority="4">
      <colorScale>
        <cfvo type="min"/>
        <cfvo type="max"/>
        <color theme="8" tint="0.79998168889431442"/>
        <color theme="8" tint="-0.249977111117893"/>
      </colorScale>
    </cfRule>
  </conditionalFormatting>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7E28D8-509B-4326-B1A6-4EED4AAD0980}">
  <dimension ref="A1:AB138"/>
  <sheetViews>
    <sheetView topLeftCell="L1" zoomScale="59" workbookViewId="0">
      <selection activeCell="W54" sqref="W54"/>
    </sheetView>
  </sheetViews>
  <sheetFormatPr defaultRowHeight="14.5" x14ac:dyDescent="0.35"/>
  <cols>
    <col min="1" max="1" width="14.08984375" style="5" customWidth="1"/>
    <col min="2" max="2" width="13.453125" style="5" customWidth="1"/>
    <col min="3" max="3" width="16.08984375" style="5" customWidth="1"/>
    <col min="4" max="4" width="22.453125" style="5" bestFit="1" customWidth="1"/>
    <col min="5" max="5" width="13.6328125" style="8" bestFit="1" customWidth="1"/>
    <col min="6" max="6" width="12.90625" style="5" customWidth="1"/>
    <col min="7" max="7" width="13.54296875" style="5" bestFit="1" customWidth="1"/>
    <col min="8" max="12" width="13.54296875" style="5" customWidth="1"/>
    <col min="13" max="15" width="12.08984375" customWidth="1"/>
    <col min="16" max="16" width="25.6328125" bestFit="1" customWidth="1"/>
    <col min="17" max="17" width="28.54296875" bestFit="1" customWidth="1"/>
    <col min="18" max="18" width="27.81640625" bestFit="1" customWidth="1"/>
    <col min="19" max="19" width="27.81640625" customWidth="1"/>
    <col min="20" max="20" width="12.08984375" customWidth="1"/>
    <col min="21" max="21" width="23.81640625" bestFit="1" customWidth="1"/>
    <col min="22" max="22" width="12.08984375" customWidth="1"/>
    <col min="23" max="23" width="12.26953125" bestFit="1" customWidth="1"/>
    <col min="24" max="24" width="30.08984375" customWidth="1"/>
    <col min="25" max="25" width="24.08984375" bestFit="1" customWidth="1"/>
    <col min="26" max="26" width="11.81640625" customWidth="1"/>
  </cols>
  <sheetData>
    <row r="1" spans="1:28" s="7" customFormat="1" x14ac:dyDescent="0.35">
      <c r="A1" s="7" t="s">
        <v>0</v>
      </c>
      <c r="B1" s="7" t="s">
        <v>1</v>
      </c>
      <c r="C1" s="7" t="s">
        <v>2</v>
      </c>
      <c r="D1" s="7" t="s">
        <v>3</v>
      </c>
      <c r="E1" s="8" t="s">
        <v>4</v>
      </c>
      <c r="F1" s="7" t="s">
        <v>5</v>
      </c>
      <c r="G1" s="7" t="s">
        <v>6</v>
      </c>
      <c r="H1" s="7" t="s">
        <v>48</v>
      </c>
      <c r="I1" s="7" t="s">
        <v>49</v>
      </c>
      <c r="J1" s="7" t="s">
        <v>50</v>
      </c>
      <c r="K1" s="7" t="s">
        <v>51</v>
      </c>
      <c r="L1" s="7" t="s">
        <v>52</v>
      </c>
      <c r="M1" s="7" t="s">
        <v>53</v>
      </c>
      <c r="N1" s="7" t="s">
        <v>93</v>
      </c>
      <c r="O1" s="7" t="s">
        <v>950</v>
      </c>
      <c r="P1" s="7" t="s">
        <v>1373</v>
      </c>
      <c r="Q1" s="7" t="s">
        <v>1374</v>
      </c>
      <c r="R1" s="7" t="s">
        <v>1344</v>
      </c>
      <c r="S1" s="7" t="s">
        <v>1345</v>
      </c>
      <c r="U1" s="34" t="s">
        <v>1375</v>
      </c>
      <c r="V1" s="34" t="s">
        <v>1376</v>
      </c>
    </row>
    <row r="2" spans="1:28" x14ac:dyDescent="0.35">
      <c r="A2" s="5">
        <v>536370</v>
      </c>
      <c r="B2" s="5">
        <v>10002</v>
      </c>
      <c r="C2" s="5">
        <v>48</v>
      </c>
      <c r="D2" s="6">
        <v>40513.364583333336</v>
      </c>
      <c r="E2" s="8">
        <v>0.85</v>
      </c>
      <c r="F2" s="5">
        <v>12583</v>
      </c>
      <c r="G2" s="5" t="s">
        <v>7</v>
      </c>
      <c r="H2" s="5">
        <f t="shared" ref="H2:H33" si="0">(C2-1)/(48-1)</f>
        <v>1</v>
      </c>
      <c r="I2" s="5">
        <f t="shared" ref="I2:I33" si="1">(C2-$Y$21)/$Y$44</f>
        <v>3.3346100318416125</v>
      </c>
      <c r="J2" s="5" t="str">
        <f t="shared" ref="J2:J33" si="2">IF(C2&gt;$Y$6, "HIGH", "LOW")</f>
        <v>HIGH</v>
      </c>
      <c r="K2" s="8">
        <f t="shared" ref="K2:K33" si="3">(E2-0.75)/(1.66-0.75)</f>
        <v>0.10989010989010987</v>
      </c>
      <c r="L2" s="8">
        <f t="shared" ref="L2:L33" si="4">(E2-$Y$22)/$Y$45</f>
        <v>-0.43118590185092137</v>
      </c>
      <c r="M2" s="5" t="str">
        <f t="shared" ref="M2:M33" si="5">IF(E2&gt;$Y$7, "HIGH", "LOW")</f>
        <v>LOW</v>
      </c>
      <c r="N2" s="5">
        <v>12</v>
      </c>
      <c r="O2" s="5">
        <v>4</v>
      </c>
      <c r="P2" s="5">
        <f t="shared" ref="P2:P33" ca="1" si="6">AVERAGE(N:N)</f>
        <v>7.4566929133858268</v>
      </c>
      <c r="Q2" s="5">
        <f t="shared" ref="Q2:Q33" ca="1" si="7">AVERAGE(O:O)</f>
        <v>4.3622047244094491</v>
      </c>
      <c r="R2" s="5" cm="1">
        <f t="array" aca="1" ref="R2" ca="1">INDEX($C$2:$C$128, RANDBETWEEN(1,128))</f>
        <v>1</v>
      </c>
      <c r="S2" s="5" cm="1">
        <f t="array" aca="1" ref="S2" ca="1">INDEX($E$2:$E$129, RANDBETWEEN(1,129))</f>
        <v>1.63</v>
      </c>
      <c r="T2" s="5"/>
      <c r="U2" s="35">
        <f ca="1">PERCENTILE(Q:Q, 0.05)</f>
        <v>4.3622047244094491</v>
      </c>
      <c r="V2" s="35">
        <f ca="1">PERCENTILE(Q:Q, 0.95)</f>
        <v>4.3622047244094491</v>
      </c>
    </row>
    <row r="3" spans="1:28" x14ac:dyDescent="0.35">
      <c r="A3" s="5">
        <v>536382</v>
      </c>
      <c r="B3" s="5">
        <v>10002</v>
      </c>
      <c r="C3" s="5">
        <v>12</v>
      </c>
      <c r="D3" s="6">
        <v>40513.40625</v>
      </c>
      <c r="E3" s="8">
        <v>0.85</v>
      </c>
      <c r="F3" s="5">
        <v>16098</v>
      </c>
      <c r="G3" s="5" t="s">
        <v>8</v>
      </c>
      <c r="H3" s="5">
        <f t="shared" si="0"/>
        <v>0.23404255319148937</v>
      </c>
      <c r="I3" s="5">
        <f t="shared" si="1"/>
        <v>6.5076026784813848E-2</v>
      </c>
      <c r="J3" s="5" t="str">
        <f t="shared" si="2"/>
        <v>HIGH</v>
      </c>
      <c r="K3" s="8">
        <f t="shared" si="3"/>
        <v>0.10989010989010987</v>
      </c>
      <c r="L3" s="8">
        <f t="shared" si="4"/>
        <v>-0.43118590185092137</v>
      </c>
      <c r="M3" s="5" t="str">
        <f t="shared" si="5"/>
        <v>LOW</v>
      </c>
      <c r="N3" s="5">
        <v>4</v>
      </c>
      <c r="O3" s="5">
        <v>1</v>
      </c>
      <c r="P3" s="5">
        <f t="shared" ca="1" si="6"/>
        <v>7.4566929133858268</v>
      </c>
      <c r="Q3" s="5">
        <f t="shared" ca="1" si="7"/>
        <v>4.3622047244094491</v>
      </c>
      <c r="R3" s="5" cm="1">
        <f t="array" aca="1" ref="R3" ca="1">INDEX($C$2:$C$128, RANDBETWEEN(1,128))</f>
        <v>1</v>
      </c>
      <c r="S3" s="5" cm="1">
        <f t="array" aca="1" ref="S3" ca="1">INDEX($E$2:$E$129, RANDBETWEEN(1,129))</f>
        <v>0.75</v>
      </c>
      <c r="T3" s="5"/>
      <c r="U3" s="34" t="s">
        <v>1377</v>
      </c>
      <c r="V3" s="34" t="s">
        <v>1378</v>
      </c>
    </row>
    <row r="4" spans="1:28" x14ac:dyDescent="0.35">
      <c r="A4" s="5">
        <v>536446</v>
      </c>
      <c r="B4" s="5">
        <v>10133</v>
      </c>
      <c r="C4" s="5">
        <v>5</v>
      </c>
      <c r="D4" s="6">
        <v>40513.510416666664</v>
      </c>
      <c r="E4" s="8">
        <v>0.85</v>
      </c>
      <c r="F4" s="5">
        <v>15983</v>
      </c>
      <c r="G4" s="5" t="s">
        <v>8</v>
      </c>
      <c r="H4" s="5">
        <f t="shared" si="0"/>
        <v>8.5106382978723402E-2</v>
      </c>
      <c r="I4" s="5">
        <f t="shared" si="1"/>
        <v>-0.5706666964206748</v>
      </c>
      <c r="J4" s="5" t="str">
        <f t="shared" si="2"/>
        <v>LOW</v>
      </c>
      <c r="K4" s="8">
        <f t="shared" si="3"/>
        <v>0.10989010989010987</v>
      </c>
      <c r="L4" s="8">
        <f t="shared" si="4"/>
        <v>-0.43118590185092137</v>
      </c>
      <c r="M4" s="5" t="str">
        <f t="shared" si="5"/>
        <v>LOW</v>
      </c>
      <c r="N4" s="5" cm="1">
        <f t="array" aca="1" ref="N4" ca="1">INDEX($N$2:$N$15,RANDBETWEEN(1, ROWS($N$2:$N$15)))</f>
        <v>9</v>
      </c>
      <c r="O4" s="5" cm="1">
        <f t="array" aca="1" ref="O4" ca="1">INDEX($O$2:$O$15,RANDBETWEEN(1, ROWS($O$2:$O$15)))</f>
        <v>4</v>
      </c>
      <c r="P4" s="5">
        <f t="shared" ca="1" si="6"/>
        <v>7.4566929133858268</v>
      </c>
      <c r="Q4" s="5">
        <f t="shared" ca="1" si="7"/>
        <v>4.3622047244094491</v>
      </c>
      <c r="R4" s="5" cm="1">
        <f t="array" aca="1" ref="R4" ca="1">INDEX($C$2:$C$128, RANDBETWEEN(1,128))</f>
        <v>6</v>
      </c>
      <c r="S4" s="5" cm="1">
        <f t="array" aca="1" ref="S4" ca="1">INDEX($E$2:$E$129, RANDBETWEEN(1,129))</f>
        <v>1.63</v>
      </c>
      <c r="T4" s="5"/>
      <c r="U4" s="35">
        <f ca="1">PERCENTILE(P:P, 0.05)</f>
        <v>7.4566929133858268</v>
      </c>
      <c r="V4" s="35">
        <f ca="1">PERCENTILE(P:P, 0.95)</f>
        <v>7.4566929133858268</v>
      </c>
      <c r="X4" s="7"/>
    </row>
    <row r="5" spans="1:28" x14ac:dyDescent="0.35">
      <c r="A5" s="5">
        <v>536756</v>
      </c>
      <c r="B5" s="5">
        <v>10002</v>
      </c>
      <c r="C5" s="5">
        <v>1</v>
      </c>
      <c r="D5" s="6">
        <v>40514.599305555559</v>
      </c>
      <c r="E5" s="8">
        <v>0.85</v>
      </c>
      <c r="F5" s="5" t="s">
        <v>1331</v>
      </c>
      <c r="G5" s="5" t="s">
        <v>8</v>
      </c>
      <c r="H5" s="5">
        <f t="shared" si="0"/>
        <v>0</v>
      </c>
      <c r="I5" s="5">
        <f t="shared" si="1"/>
        <v>-0.93394825253809688</v>
      </c>
      <c r="J5" s="5" t="str">
        <f t="shared" si="2"/>
        <v>LOW</v>
      </c>
      <c r="K5" s="8">
        <f t="shared" si="3"/>
        <v>0.10989010989010987</v>
      </c>
      <c r="L5" s="8">
        <f t="shared" si="4"/>
        <v>-0.43118590185092137</v>
      </c>
      <c r="M5" s="5" t="str">
        <f t="shared" si="5"/>
        <v>LOW</v>
      </c>
      <c r="N5" s="5">
        <v>9</v>
      </c>
      <c r="O5" s="5">
        <v>5</v>
      </c>
      <c r="P5" s="5">
        <f t="shared" ca="1" si="6"/>
        <v>7.4566929133858268</v>
      </c>
      <c r="Q5" s="5">
        <f t="shared" ca="1" si="7"/>
        <v>4.3622047244094491</v>
      </c>
      <c r="R5" s="5" cm="1">
        <f t="array" aca="1" ref="R5" ca="1">INDEX($C$2:$C$128, RANDBETWEEN(1,128))</f>
        <v>3</v>
      </c>
      <c r="S5" s="5" cm="1">
        <f t="array" aca="1" ref="S5" ca="1">INDEX($E$2:$E$129, RANDBETWEEN(1,129))</f>
        <v>0.81</v>
      </c>
      <c r="T5" s="5"/>
      <c r="U5" s="5"/>
      <c r="V5" s="5"/>
      <c r="W5" s="7"/>
      <c r="Y5" s="7"/>
      <c r="Z5" s="7"/>
      <c r="AA5" s="7"/>
      <c r="AB5" s="7"/>
    </row>
    <row r="6" spans="1:28" x14ac:dyDescent="0.35">
      <c r="A6" s="5">
        <v>536863</v>
      </c>
      <c r="B6" s="5">
        <v>10002</v>
      </c>
      <c r="C6" s="5">
        <v>1</v>
      </c>
      <c r="D6" s="6">
        <v>40515.47152777778</v>
      </c>
      <c r="E6" s="8">
        <v>0.85</v>
      </c>
      <c r="F6" s="5">
        <v>17967</v>
      </c>
      <c r="G6" s="5" t="s">
        <v>8</v>
      </c>
      <c r="H6" s="5">
        <f t="shared" si="0"/>
        <v>0</v>
      </c>
      <c r="I6" s="5">
        <f t="shared" si="1"/>
        <v>-0.93394825253809688</v>
      </c>
      <c r="J6" s="5" t="str">
        <f t="shared" si="2"/>
        <v>LOW</v>
      </c>
      <c r="K6" s="8">
        <f t="shared" si="3"/>
        <v>0.10989010989010987</v>
      </c>
      <c r="L6" s="8">
        <f t="shared" si="4"/>
        <v>-0.43118590185092137</v>
      </c>
      <c r="M6" s="5" t="str">
        <f t="shared" si="5"/>
        <v>LOW</v>
      </c>
      <c r="N6" s="5">
        <v>9</v>
      </c>
      <c r="O6" s="5">
        <v>1</v>
      </c>
      <c r="P6" s="5">
        <f t="shared" ca="1" si="6"/>
        <v>7.4566929133858268</v>
      </c>
      <c r="Q6" s="5">
        <f t="shared" ca="1" si="7"/>
        <v>4.3622047244094491</v>
      </c>
      <c r="R6" s="5" cm="1">
        <f t="array" aca="1" ref="R6" ca="1">INDEX($C$2:$C$128, RANDBETWEEN(1,128))</f>
        <v>20</v>
      </c>
      <c r="S6" s="5" cm="1">
        <f t="array" aca="1" ref="S6" ca="1">INDEX($E$2:$E$129, RANDBETWEEN(1,129))</f>
        <v>0.81</v>
      </c>
      <c r="T6" s="5"/>
      <c r="U6" s="5" t="s">
        <v>1346</v>
      </c>
      <c r="V6" s="5" t="e">
        <f ca="1">AVERAGE(R:R)</f>
        <v>#REF!</v>
      </c>
      <c r="X6" s="20" t="s">
        <v>26</v>
      </c>
      <c r="Y6" s="20">
        <f>AVERAGE(C:C)</f>
        <v>11.283464566929133</v>
      </c>
    </row>
    <row r="7" spans="1:28" x14ac:dyDescent="0.35">
      <c r="A7" s="5">
        <v>536865</v>
      </c>
      <c r="B7" s="5">
        <v>10002</v>
      </c>
      <c r="C7" s="11">
        <v>11</v>
      </c>
      <c r="D7" s="6">
        <v>40515.477777777778</v>
      </c>
      <c r="E7" s="8">
        <v>1.66</v>
      </c>
      <c r="F7" s="5" t="s">
        <v>1331</v>
      </c>
      <c r="G7" s="5" t="s">
        <v>8</v>
      </c>
      <c r="H7" s="5">
        <f t="shared" si="0"/>
        <v>0.21276595744680851</v>
      </c>
      <c r="I7" s="5">
        <f t="shared" si="1"/>
        <v>-2.5744362244541675E-2</v>
      </c>
      <c r="J7" s="5" t="str">
        <f t="shared" si="2"/>
        <v>LOW</v>
      </c>
      <c r="K7" s="8">
        <f t="shared" si="3"/>
        <v>1</v>
      </c>
      <c r="L7" s="8">
        <f t="shared" si="4"/>
        <v>2.0262154124651373</v>
      </c>
      <c r="M7" s="5" t="str">
        <f t="shared" si="5"/>
        <v>HIGH</v>
      </c>
      <c r="N7" s="5">
        <v>11</v>
      </c>
      <c r="O7" s="5">
        <v>4</v>
      </c>
      <c r="P7" s="5">
        <f t="shared" ca="1" si="6"/>
        <v>7.4566929133858268</v>
      </c>
      <c r="Q7" s="5">
        <f t="shared" ca="1" si="7"/>
        <v>4.3622047244094491</v>
      </c>
      <c r="R7" s="5" cm="1">
        <f t="array" aca="1" ref="R7" ca="1">INDEX($C$2:$C$128, RANDBETWEEN(1,128))</f>
        <v>6</v>
      </c>
      <c r="S7" s="5" cm="1">
        <f t="array" aca="1" ref="S7" ca="1">INDEX($E$2:$E$129, RANDBETWEEN(1,129))</f>
        <v>0.85</v>
      </c>
      <c r="T7" s="5"/>
      <c r="U7" s="5" t="s">
        <v>1347</v>
      </c>
      <c r="V7" s="5" t="e">
        <f ca="1">AVERAGE(S:S)</f>
        <v>#REF!</v>
      </c>
      <c r="X7" s="20" t="s">
        <v>27</v>
      </c>
      <c r="Y7" s="21">
        <f>AVERAGE(E:E)</f>
        <v>0.99212598425196663</v>
      </c>
    </row>
    <row r="8" spans="1:28" x14ac:dyDescent="0.35">
      <c r="A8" s="5">
        <v>536876</v>
      </c>
      <c r="B8" s="5">
        <v>10002</v>
      </c>
      <c r="C8" s="5">
        <v>2</v>
      </c>
      <c r="D8" s="6">
        <v>40515.48333333333</v>
      </c>
      <c r="E8" s="8">
        <v>1.66</v>
      </c>
      <c r="F8" s="5" t="s">
        <v>1331</v>
      </c>
      <c r="G8" s="5" t="s">
        <v>8</v>
      </c>
      <c r="H8" s="5">
        <f t="shared" si="0"/>
        <v>2.1276595744680851E-2</v>
      </c>
      <c r="I8" s="5">
        <f t="shared" si="1"/>
        <v>-0.84312786350874136</v>
      </c>
      <c r="J8" s="5" t="str">
        <f t="shared" si="2"/>
        <v>LOW</v>
      </c>
      <c r="K8" s="8">
        <f t="shared" si="3"/>
        <v>1</v>
      </c>
      <c r="L8" s="8">
        <f t="shared" si="4"/>
        <v>2.0262154124651373</v>
      </c>
      <c r="M8" s="5" t="str">
        <f t="shared" si="5"/>
        <v>HIGH</v>
      </c>
      <c r="N8" s="5">
        <v>8</v>
      </c>
      <c r="O8" s="5">
        <v>3</v>
      </c>
      <c r="P8" s="5">
        <f t="shared" ca="1" si="6"/>
        <v>7.4566929133858268</v>
      </c>
      <c r="Q8" s="5">
        <f t="shared" ca="1" si="7"/>
        <v>4.3622047244094491</v>
      </c>
      <c r="R8" s="5" cm="1">
        <f t="array" aca="1" ref="R8" ca="1">INDEX($C$2:$C$128, RANDBETWEEN(1,128))</f>
        <v>3</v>
      </c>
      <c r="S8" s="5" cm="1">
        <f t="array" aca="1" ref="S8" ca="1">INDEX($E$2:$E$129, RANDBETWEEN(1,129))</f>
        <v>0.85</v>
      </c>
      <c r="T8" s="5"/>
      <c r="U8" s="5"/>
      <c r="V8" s="5"/>
      <c r="X8" s="20"/>
      <c r="Y8" s="20"/>
    </row>
    <row r="9" spans="1:28" x14ac:dyDescent="0.35">
      <c r="A9" s="5">
        <v>536876</v>
      </c>
      <c r="B9" s="5">
        <v>10133</v>
      </c>
      <c r="C9" s="5">
        <v>1</v>
      </c>
      <c r="D9" s="6">
        <v>40515.48333333333</v>
      </c>
      <c r="E9" s="8">
        <v>1.66</v>
      </c>
      <c r="F9" s="5" t="s">
        <v>1331</v>
      </c>
      <c r="G9" s="5" t="s">
        <v>8</v>
      </c>
      <c r="H9" s="5">
        <f t="shared" si="0"/>
        <v>0</v>
      </c>
      <c r="I9" s="5">
        <f t="shared" si="1"/>
        <v>-0.93394825253809688</v>
      </c>
      <c r="J9" s="5" t="str">
        <f t="shared" si="2"/>
        <v>LOW</v>
      </c>
      <c r="K9" s="8">
        <f t="shared" si="3"/>
        <v>1</v>
      </c>
      <c r="L9" s="8">
        <f t="shared" si="4"/>
        <v>2.0262154124651373</v>
      </c>
      <c r="M9" s="5" t="str">
        <f t="shared" si="5"/>
        <v>HIGH</v>
      </c>
      <c r="N9" s="5" cm="1">
        <f t="array" aca="1" ref="N9" ca="1">INDEX($N$2:$N$15,RANDBETWEEN(1, ROWS($N$2:$N$15)))</f>
        <v>2</v>
      </c>
      <c r="O9" s="5" cm="1">
        <f t="array" aca="1" ref="O9" ca="1">INDEX($O$2:$O$15,RANDBETWEEN(1, ROWS($O$2:$O$15)))</f>
        <v>4</v>
      </c>
      <c r="P9" s="5">
        <f t="shared" ca="1" si="6"/>
        <v>7.4566929133858268</v>
      </c>
      <c r="Q9" s="5">
        <f t="shared" ca="1" si="7"/>
        <v>4.3622047244094491</v>
      </c>
      <c r="R9" s="5" cm="1">
        <f t="array" aca="1" ref="R9" ca="1">INDEX($C$2:$C$128, RANDBETWEEN(1,128))</f>
        <v>1</v>
      </c>
      <c r="S9" s="5" cm="1">
        <f t="array" aca="1" ref="S9" ca="1">INDEX($E$2:$E$129, RANDBETWEEN(1,129))</f>
        <v>0.83</v>
      </c>
      <c r="T9" s="5"/>
      <c r="U9" s="5"/>
      <c r="V9" s="5"/>
      <c r="X9" s="20"/>
      <c r="Y9" s="20"/>
    </row>
    <row r="10" spans="1:28" x14ac:dyDescent="0.35">
      <c r="A10" s="5">
        <v>537225</v>
      </c>
      <c r="B10" s="5">
        <v>10133</v>
      </c>
      <c r="C10" s="5">
        <v>10</v>
      </c>
      <c r="D10" s="10">
        <v>40517</v>
      </c>
      <c r="E10" s="8">
        <v>0.85</v>
      </c>
      <c r="F10" s="5">
        <v>12748</v>
      </c>
      <c r="G10" s="5" t="s">
        <v>8</v>
      </c>
      <c r="H10" s="5">
        <f t="shared" si="0"/>
        <v>0.19148936170212766</v>
      </c>
      <c r="I10" s="5">
        <f t="shared" si="1"/>
        <v>-0.11656475127389719</v>
      </c>
      <c r="J10" s="5" t="str">
        <f t="shared" si="2"/>
        <v>LOW</v>
      </c>
      <c r="K10" s="8">
        <f t="shared" si="3"/>
        <v>0.10989010989010987</v>
      </c>
      <c r="L10" s="8">
        <f t="shared" si="4"/>
        <v>-0.43118590185092137</v>
      </c>
      <c r="M10" s="5" t="str">
        <f t="shared" si="5"/>
        <v>LOW</v>
      </c>
      <c r="N10" s="5" cm="1">
        <f t="array" aca="1" ref="N10" ca="1">INDEX($N$2:$N$15,RANDBETWEEN(1, ROWS($N$2:$N$15)))</f>
        <v>11</v>
      </c>
      <c r="O10" s="5" cm="1">
        <f t="array" aca="1" ref="O10" ca="1">INDEX($O$2:$O$15,RANDBETWEEN(1, ROWS($O$2:$O$15)))</f>
        <v>4</v>
      </c>
      <c r="P10" s="5">
        <f t="shared" ca="1" si="6"/>
        <v>7.4566929133858268</v>
      </c>
      <c r="Q10" s="5">
        <f t="shared" ca="1" si="7"/>
        <v>4.3622047244094491</v>
      </c>
      <c r="R10" s="5" cm="1">
        <f t="array" aca="1" ref="R10" ca="1">INDEX($C$2:$C$128, RANDBETWEEN(1,128))</f>
        <v>5</v>
      </c>
      <c r="S10" s="5" cm="1">
        <f t="array" aca="1" ref="S10" ca="1">INDEX($E$2:$E$129, RANDBETWEEN(1,129))</f>
        <v>1.63</v>
      </c>
      <c r="T10" s="5"/>
      <c r="U10" s="5"/>
      <c r="V10" s="5"/>
      <c r="X10" s="20" t="s">
        <v>28</v>
      </c>
      <c r="Y10" s="20">
        <f>MAX(C:C)</f>
        <v>48</v>
      </c>
    </row>
    <row r="11" spans="1:28" x14ac:dyDescent="0.35">
      <c r="A11" s="5">
        <v>537047</v>
      </c>
      <c r="B11" s="5">
        <v>10002</v>
      </c>
      <c r="C11" s="5">
        <v>1</v>
      </c>
      <c r="D11" s="6">
        <v>40517.459722222222</v>
      </c>
      <c r="E11" s="8">
        <v>0.85</v>
      </c>
      <c r="F11" s="5">
        <v>13069</v>
      </c>
      <c r="G11" s="5" t="s">
        <v>8</v>
      </c>
      <c r="H11" s="5">
        <f t="shared" si="0"/>
        <v>0</v>
      </c>
      <c r="I11" s="5">
        <f t="shared" si="1"/>
        <v>-0.93394825253809688</v>
      </c>
      <c r="J11" s="5" t="str">
        <f t="shared" si="2"/>
        <v>LOW</v>
      </c>
      <c r="K11" s="8">
        <f t="shared" si="3"/>
        <v>0.10989010989010987</v>
      </c>
      <c r="L11" s="8">
        <f t="shared" si="4"/>
        <v>-0.43118590185092137</v>
      </c>
      <c r="M11" s="5" t="str">
        <f t="shared" si="5"/>
        <v>LOW</v>
      </c>
      <c r="N11" s="5">
        <v>4</v>
      </c>
      <c r="O11" s="5">
        <v>5</v>
      </c>
      <c r="P11" s="5">
        <f t="shared" ca="1" si="6"/>
        <v>7.4566929133858268</v>
      </c>
      <c r="Q11" s="5">
        <f t="shared" ca="1" si="7"/>
        <v>4.3622047244094491</v>
      </c>
      <c r="R11" s="5" cm="1">
        <f t="array" aca="1" ref="R11" ca="1">INDEX($C$2:$C$128, RANDBETWEEN(1,128))</f>
        <v>12</v>
      </c>
      <c r="S11" s="5" cm="1">
        <f t="array" aca="1" ref="S11" ca="1">INDEX($E$2:$E$129, RANDBETWEEN(1,129))</f>
        <v>0.85</v>
      </c>
      <c r="T11" s="5"/>
      <c r="U11" s="5"/>
      <c r="V11" s="5"/>
      <c r="X11" s="20" t="s">
        <v>29</v>
      </c>
      <c r="Y11" s="20">
        <f>MIN(C:C)</f>
        <v>1</v>
      </c>
    </row>
    <row r="12" spans="1:28" x14ac:dyDescent="0.35">
      <c r="A12" s="5">
        <v>537126</v>
      </c>
      <c r="B12" s="5">
        <v>10133</v>
      </c>
      <c r="C12" s="5">
        <v>1</v>
      </c>
      <c r="D12" s="6">
        <v>40517.509027777778</v>
      </c>
      <c r="E12" s="8">
        <v>0.85</v>
      </c>
      <c r="F12" s="5">
        <v>18118</v>
      </c>
      <c r="G12" s="5" t="s">
        <v>8</v>
      </c>
      <c r="H12" s="5">
        <f t="shared" si="0"/>
        <v>0</v>
      </c>
      <c r="I12" s="5">
        <f t="shared" si="1"/>
        <v>-0.93394825253809688</v>
      </c>
      <c r="J12" s="5" t="str">
        <f t="shared" si="2"/>
        <v>LOW</v>
      </c>
      <c r="K12" s="8">
        <f t="shared" si="3"/>
        <v>0.10989010989010987</v>
      </c>
      <c r="L12" s="8">
        <f t="shared" si="4"/>
        <v>-0.43118590185092137</v>
      </c>
      <c r="M12" s="5" t="str">
        <f t="shared" si="5"/>
        <v>LOW</v>
      </c>
      <c r="N12" s="5" cm="1">
        <f t="array" aca="1" ref="N12" ca="1">INDEX($N$2:$N$15,RANDBETWEEN(1, ROWS($N$2:$N$15)))</f>
        <v>11</v>
      </c>
      <c r="O12" s="5" cm="1">
        <f t="array" aca="1" ref="O12" ca="1">INDEX($O$2:$O$15,RANDBETWEEN(1, ROWS($O$2:$O$15)))</f>
        <v>7</v>
      </c>
      <c r="P12" s="5">
        <f t="shared" ca="1" si="6"/>
        <v>7.4566929133858268</v>
      </c>
      <c r="Q12" s="5">
        <f t="shared" ca="1" si="7"/>
        <v>4.3622047244094491</v>
      </c>
      <c r="R12" s="5" cm="1">
        <f t="array" aca="1" ref="R12" ca="1">INDEX($C$2:$C$128, RANDBETWEEN(1,128))</f>
        <v>24</v>
      </c>
      <c r="S12" s="5" cm="1">
        <f t="array" aca="1" ref="S12" ca="1">INDEX($E$2:$E$129, RANDBETWEEN(1,129))</f>
        <v>0.85</v>
      </c>
      <c r="T12" s="5"/>
      <c r="U12" s="5"/>
      <c r="V12" s="5"/>
      <c r="X12" s="20"/>
      <c r="Y12" s="20"/>
    </row>
    <row r="13" spans="1:28" x14ac:dyDescent="0.35">
      <c r="A13" s="5">
        <v>537155</v>
      </c>
      <c r="B13" s="5">
        <v>10133</v>
      </c>
      <c r="C13" s="5">
        <v>3</v>
      </c>
      <c r="D13" s="6">
        <v>40517.545138888891</v>
      </c>
      <c r="E13" s="8">
        <v>0.85</v>
      </c>
      <c r="F13" s="5">
        <v>12748</v>
      </c>
      <c r="G13" s="5" t="s">
        <v>8</v>
      </c>
      <c r="H13" s="5">
        <f t="shared" si="0"/>
        <v>4.2553191489361701E-2</v>
      </c>
      <c r="I13" s="5">
        <f t="shared" si="1"/>
        <v>-0.75230747447938584</v>
      </c>
      <c r="J13" s="5" t="str">
        <f t="shared" si="2"/>
        <v>LOW</v>
      </c>
      <c r="K13" s="8">
        <f t="shared" si="3"/>
        <v>0.10989010989010987</v>
      </c>
      <c r="L13" s="8">
        <f t="shared" si="4"/>
        <v>-0.43118590185092137</v>
      </c>
      <c r="M13" s="5" t="str">
        <f t="shared" si="5"/>
        <v>LOW</v>
      </c>
      <c r="N13" s="5" cm="1">
        <f t="array" aca="1" ref="N13" ca="1">INDEX($N$2:$N$15,RANDBETWEEN(1, ROWS($N$2:$N$15)))</f>
        <v>11</v>
      </c>
      <c r="O13" s="5" cm="1">
        <f t="array" aca="1" ref="O13" ca="1">INDEX($O$2:$O$15,RANDBETWEEN(1, ROWS($O$2:$O$15)))</f>
        <v>7</v>
      </c>
      <c r="P13" s="5">
        <f t="shared" ca="1" si="6"/>
        <v>7.4566929133858268</v>
      </c>
      <c r="Q13" s="5">
        <f t="shared" ca="1" si="7"/>
        <v>4.3622047244094491</v>
      </c>
      <c r="R13" s="5" cm="1">
        <f t="array" aca="1" ref="R13" ca="1">INDEX($C$2:$C$128, RANDBETWEEN(1,128))</f>
        <v>12</v>
      </c>
      <c r="S13" s="5" cm="1">
        <f t="array" aca="1" ref="S13" ca="1">INDEX($E$2:$E$129, RANDBETWEEN(1,129))</f>
        <v>0.85</v>
      </c>
      <c r="T13" s="5"/>
      <c r="U13" s="5"/>
      <c r="V13" s="5"/>
      <c r="X13" s="20" t="s">
        <v>30</v>
      </c>
      <c r="Y13" s="20">
        <f>_xlfn.STDEV.S(C:C)</f>
        <v>11.010743410015277</v>
      </c>
    </row>
    <row r="14" spans="1:28" x14ac:dyDescent="0.35">
      <c r="A14" s="5">
        <v>537227</v>
      </c>
      <c r="B14" s="5">
        <v>10002</v>
      </c>
      <c r="C14" s="5">
        <v>24</v>
      </c>
      <c r="D14" s="6">
        <v>40518.362500000003</v>
      </c>
      <c r="E14" s="8">
        <v>0.85</v>
      </c>
      <c r="F14" s="5">
        <v>17677</v>
      </c>
      <c r="G14" s="5" t="s">
        <v>8</v>
      </c>
      <c r="H14" s="5">
        <f t="shared" si="0"/>
        <v>0.48936170212765956</v>
      </c>
      <c r="I14" s="5">
        <f t="shared" si="1"/>
        <v>1.1549206951370801</v>
      </c>
      <c r="J14" s="5" t="str">
        <f t="shared" si="2"/>
        <v>HIGH</v>
      </c>
      <c r="K14" s="8">
        <f t="shared" si="3"/>
        <v>0.10989010989010987</v>
      </c>
      <c r="L14" s="8">
        <f t="shared" si="4"/>
        <v>-0.43118590185092137</v>
      </c>
      <c r="M14" s="5" t="str">
        <f t="shared" si="5"/>
        <v>LOW</v>
      </c>
      <c r="N14" s="5">
        <v>2</v>
      </c>
      <c r="O14" s="5">
        <v>5</v>
      </c>
      <c r="P14" s="5">
        <f t="shared" ca="1" si="6"/>
        <v>7.4566929133858268</v>
      </c>
      <c r="Q14" s="5">
        <f t="shared" ca="1" si="7"/>
        <v>4.3622047244094491</v>
      </c>
      <c r="R14" s="5" cm="1">
        <f t="array" aca="1" ref="R14" ca="1">INDEX($C$2:$C$128, RANDBETWEEN(1,128))</f>
        <v>10</v>
      </c>
      <c r="S14" s="5" cm="1">
        <f t="array" aca="1" ref="S14" ca="1">INDEX($E$2:$E$129, RANDBETWEEN(1,129))</f>
        <v>0.85</v>
      </c>
      <c r="T14" s="5"/>
      <c r="U14" s="5"/>
      <c r="V14" s="5"/>
      <c r="X14" s="20" t="s">
        <v>31</v>
      </c>
      <c r="Y14" s="20">
        <f>_xlfn.STDEV.S(E:E)</f>
        <v>0.32961649173099689</v>
      </c>
    </row>
    <row r="15" spans="1:28" x14ac:dyDescent="0.35">
      <c r="A15" s="5">
        <v>537240</v>
      </c>
      <c r="B15" s="5">
        <v>10002</v>
      </c>
      <c r="C15" s="5">
        <v>1</v>
      </c>
      <c r="D15" s="6">
        <v>40518.422222222223</v>
      </c>
      <c r="E15" s="8">
        <v>1.66</v>
      </c>
      <c r="F15" s="5" t="s">
        <v>1331</v>
      </c>
      <c r="G15" s="5" t="s">
        <v>8</v>
      </c>
      <c r="H15" s="5">
        <f t="shared" si="0"/>
        <v>0</v>
      </c>
      <c r="I15" s="5">
        <f t="shared" si="1"/>
        <v>-0.93394825253809688</v>
      </c>
      <c r="J15" s="5" t="str">
        <f t="shared" si="2"/>
        <v>LOW</v>
      </c>
      <c r="K15" s="8">
        <f t="shared" si="3"/>
        <v>1</v>
      </c>
      <c r="L15" s="8">
        <f t="shared" si="4"/>
        <v>2.0262154124651373</v>
      </c>
      <c r="M15" s="5" t="str">
        <f t="shared" si="5"/>
        <v>HIGH</v>
      </c>
      <c r="N15" s="5">
        <v>12</v>
      </c>
      <c r="O15" s="5">
        <v>7</v>
      </c>
      <c r="P15" s="5">
        <f t="shared" ca="1" si="6"/>
        <v>7.4566929133858268</v>
      </c>
      <c r="Q15" s="5">
        <f t="shared" ca="1" si="7"/>
        <v>4.3622047244094491</v>
      </c>
      <c r="R15" s="5" cm="1">
        <f t="array" aca="1" ref="R15" ca="1">INDEX($C$2:$C$128, RANDBETWEEN(1,128))</f>
        <v>20</v>
      </c>
      <c r="S15" s="5" cm="1">
        <f t="array" aca="1" ref="S15" ca="1">INDEX($E$2:$E$129, RANDBETWEEN(1,129))</f>
        <v>0.85</v>
      </c>
      <c r="T15" s="5"/>
      <c r="U15" s="5"/>
      <c r="V15" s="5"/>
    </row>
    <row r="16" spans="1:28" x14ac:dyDescent="0.35">
      <c r="A16" s="5">
        <v>537374</v>
      </c>
      <c r="B16" s="5">
        <v>10133</v>
      </c>
      <c r="C16" s="5">
        <v>2</v>
      </c>
      <c r="D16" s="6">
        <v>40518.538194444445</v>
      </c>
      <c r="E16" s="8">
        <v>0.85</v>
      </c>
      <c r="F16" s="5">
        <v>17259</v>
      </c>
      <c r="G16" s="5" t="s">
        <v>8</v>
      </c>
      <c r="H16" s="5">
        <f t="shared" si="0"/>
        <v>2.1276595744680851E-2</v>
      </c>
      <c r="I16" s="5">
        <f t="shared" si="1"/>
        <v>-0.84312786350874136</v>
      </c>
      <c r="J16" s="5" t="str">
        <f t="shared" si="2"/>
        <v>LOW</v>
      </c>
      <c r="K16" s="8">
        <f t="shared" si="3"/>
        <v>0.10989010989010987</v>
      </c>
      <c r="L16" s="8">
        <f t="shared" si="4"/>
        <v>-0.43118590185092137</v>
      </c>
      <c r="M16" s="5" t="str">
        <f t="shared" si="5"/>
        <v>LOW</v>
      </c>
      <c r="N16" s="5" cm="1">
        <f t="array" aca="1" ref="N16" ca="1">INDEX($N$2:$N$15,RANDBETWEEN(1, ROWS($N$2:$N$15)))</f>
        <v>12</v>
      </c>
      <c r="O16" s="5" cm="1">
        <f t="array" aca="1" ref="O16" ca="1">INDEX($O$2:$O$15,RANDBETWEEN(1, ROWS($O$2:$O$15)))</f>
        <v>7</v>
      </c>
      <c r="P16" s="5">
        <f t="shared" ca="1" si="6"/>
        <v>7.4566929133858268</v>
      </c>
      <c r="Q16" s="5">
        <f t="shared" ca="1" si="7"/>
        <v>4.3622047244094491</v>
      </c>
      <c r="R16" s="5" cm="1">
        <f t="array" aca="1" ref="R16" ca="1">INDEX($C$2:$C$128, RANDBETWEEN(1,128))</f>
        <v>1</v>
      </c>
      <c r="S16" s="5" cm="1">
        <f t="array" aca="1" ref="S16" ca="1">INDEX($E$2:$E$129, RANDBETWEEN(1,129))</f>
        <v>0.75</v>
      </c>
      <c r="T16" s="5"/>
      <c r="U16" s="5"/>
      <c r="V16" s="5"/>
    </row>
    <row r="17" spans="1:25" x14ac:dyDescent="0.35">
      <c r="A17" s="5">
        <v>537638</v>
      </c>
      <c r="B17" s="5">
        <v>10002</v>
      </c>
      <c r="C17" s="5">
        <v>5</v>
      </c>
      <c r="D17" s="6">
        <v>40519.644444444442</v>
      </c>
      <c r="E17" s="8">
        <v>1.66</v>
      </c>
      <c r="F17" s="5" t="s">
        <v>1331</v>
      </c>
      <c r="G17" s="5" t="s">
        <v>8</v>
      </c>
      <c r="H17" s="5">
        <f t="shared" si="0"/>
        <v>8.5106382978723402E-2</v>
      </c>
      <c r="I17" s="5">
        <f t="shared" si="1"/>
        <v>-0.5706666964206748</v>
      </c>
      <c r="J17" s="5" t="str">
        <f t="shared" si="2"/>
        <v>LOW</v>
      </c>
      <c r="K17" s="8">
        <f t="shared" si="3"/>
        <v>1</v>
      </c>
      <c r="L17" s="8">
        <f t="shared" si="4"/>
        <v>2.0262154124651373</v>
      </c>
      <c r="M17" s="5" t="str">
        <f t="shared" si="5"/>
        <v>HIGH</v>
      </c>
      <c r="N17" s="5">
        <v>3</v>
      </c>
      <c r="O17" s="5">
        <v>5</v>
      </c>
      <c r="P17" s="5">
        <f t="shared" ca="1" si="6"/>
        <v>7.4566929133858268</v>
      </c>
      <c r="Q17" s="5">
        <f t="shared" ca="1" si="7"/>
        <v>4.3622047244094491</v>
      </c>
      <c r="R17" s="5" cm="1">
        <f t="array" aca="1" ref="R17" ca="1">INDEX($C$2:$C$128, RANDBETWEEN(1,128))</f>
        <v>20</v>
      </c>
      <c r="S17" s="5" cm="1">
        <f t="array" aca="1" ref="S17" ca="1">INDEX($E$2:$E$129, RANDBETWEEN(1,129))</f>
        <v>0.85</v>
      </c>
      <c r="T17" s="5"/>
      <c r="U17" s="5"/>
      <c r="V17" s="5"/>
    </row>
    <row r="18" spans="1:25" x14ac:dyDescent="0.35">
      <c r="A18" s="5">
        <v>538064</v>
      </c>
      <c r="B18" s="5">
        <v>10133</v>
      </c>
      <c r="C18" s="5">
        <v>2</v>
      </c>
      <c r="D18" s="6">
        <v>40521.574305555558</v>
      </c>
      <c r="E18" s="8">
        <v>0.85</v>
      </c>
      <c r="F18" s="5">
        <v>15271</v>
      </c>
      <c r="G18" s="5" t="s">
        <v>8</v>
      </c>
      <c r="H18" s="5">
        <f t="shared" si="0"/>
        <v>2.1276595744680851E-2</v>
      </c>
      <c r="I18" s="5">
        <f t="shared" si="1"/>
        <v>-0.84312786350874136</v>
      </c>
      <c r="J18" s="5" t="str">
        <f t="shared" si="2"/>
        <v>LOW</v>
      </c>
      <c r="K18" s="8">
        <f t="shared" si="3"/>
        <v>0.10989010989010987</v>
      </c>
      <c r="L18" s="8">
        <f t="shared" si="4"/>
        <v>-0.43118590185092137</v>
      </c>
      <c r="M18" s="5" t="str">
        <f t="shared" si="5"/>
        <v>LOW</v>
      </c>
      <c r="N18" s="5" cm="1">
        <f t="array" aca="1" ref="N18" ca="1">INDEX($N$2:$N$15,RANDBETWEEN(1, ROWS($N$2:$N$15)))</f>
        <v>8</v>
      </c>
      <c r="O18" s="5" cm="1">
        <f t="array" aca="1" ref="O18" ca="1">INDEX($O$2:$O$15,RANDBETWEEN(1, ROWS($O$2:$O$15)))</f>
        <v>5</v>
      </c>
      <c r="P18" s="5">
        <f t="shared" ca="1" si="6"/>
        <v>7.4566929133858268</v>
      </c>
      <c r="Q18" s="5">
        <f t="shared" ca="1" si="7"/>
        <v>4.3622047244094491</v>
      </c>
      <c r="R18" s="5" cm="1">
        <f t="array" aca="1" ref="R18" ca="1">INDEX($C$2:$C$128, RANDBETWEEN(1,128))</f>
        <v>1</v>
      </c>
      <c r="S18" s="5" cm="1">
        <f t="array" aca="1" ref="S18" ca="1">INDEX($E$2:$E$129, RANDBETWEEN(1,129))</f>
        <v>1.63</v>
      </c>
      <c r="T18" s="5"/>
      <c r="U18" s="5"/>
      <c r="V18" s="5"/>
    </row>
    <row r="19" spans="1:25" x14ac:dyDescent="0.35">
      <c r="A19" s="5">
        <v>538070</v>
      </c>
      <c r="B19" s="5">
        <v>10133</v>
      </c>
      <c r="C19" s="5">
        <v>10</v>
      </c>
      <c r="D19" s="6">
        <v>40521.588888888888</v>
      </c>
      <c r="E19" s="8">
        <v>0.85</v>
      </c>
      <c r="F19" s="5">
        <v>16519</v>
      </c>
      <c r="G19" s="5" t="s">
        <v>8</v>
      </c>
      <c r="H19" s="5">
        <f t="shared" si="0"/>
        <v>0.19148936170212766</v>
      </c>
      <c r="I19" s="5">
        <f t="shared" si="1"/>
        <v>-0.11656475127389719</v>
      </c>
      <c r="J19" s="5" t="str">
        <f t="shared" si="2"/>
        <v>LOW</v>
      </c>
      <c r="K19" s="8">
        <f t="shared" si="3"/>
        <v>0.10989010989010987</v>
      </c>
      <c r="L19" s="8">
        <f t="shared" si="4"/>
        <v>-0.43118590185092137</v>
      </c>
      <c r="M19" s="5" t="str">
        <f t="shared" si="5"/>
        <v>LOW</v>
      </c>
      <c r="N19" s="5" cm="1">
        <f t="array" aca="1" ref="N19" ca="1">INDEX($N$2:$N$15,RANDBETWEEN(1, ROWS($N$2:$N$15)))</f>
        <v>9</v>
      </c>
      <c r="O19" s="5" cm="1">
        <f t="array" aca="1" ref="O19" ca="1">INDEX($O$2:$O$15,RANDBETWEEN(1, ROWS($O$2:$O$15)))</f>
        <v>5</v>
      </c>
      <c r="P19" s="5">
        <f t="shared" ca="1" si="6"/>
        <v>7.4566929133858268</v>
      </c>
      <c r="Q19" s="5">
        <f t="shared" ca="1" si="7"/>
        <v>4.3622047244094491</v>
      </c>
      <c r="R19" s="5" cm="1">
        <f t="array" aca="1" ref="R19" ca="1">INDEX($C$2:$C$128, RANDBETWEEN(1,128))</f>
        <v>12</v>
      </c>
      <c r="S19" s="5" cm="1">
        <f t="array" aca="1" ref="S19" ca="1">INDEX($E$2:$E$129, RANDBETWEEN(1,129))</f>
        <v>1.63</v>
      </c>
      <c r="T19" s="5"/>
      <c r="U19" s="5"/>
      <c r="V19" s="5"/>
    </row>
    <row r="20" spans="1:25" x14ac:dyDescent="0.35">
      <c r="A20" s="5">
        <v>539222</v>
      </c>
      <c r="B20" s="5">
        <v>10133</v>
      </c>
      <c r="C20" s="5">
        <v>10</v>
      </c>
      <c r="D20" s="6">
        <v>40528.541666666664</v>
      </c>
      <c r="E20" s="8">
        <v>0.85</v>
      </c>
      <c r="F20" s="5">
        <v>14621</v>
      </c>
      <c r="G20" s="5" t="s">
        <v>1331</v>
      </c>
      <c r="H20" s="5">
        <f t="shared" si="0"/>
        <v>0.19148936170212766</v>
      </c>
      <c r="I20" s="5">
        <f t="shared" si="1"/>
        <v>-0.11656475127389719</v>
      </c>
      <c r="J20" s="5" t="str">
        <f t="shared" si="2"/>
        <v>LOW</v>
      </c>
      <c r="K20" s="8">
        <f t="shared" si="3"/>
        <v>0.10989010989010987</v>
      </c>
      <c r="L20" s="8">
        <f t="shared" si="4"/>
        <v>-0.43118590185092137</v>
      </c>
      <c r="M20" s="5" t="str">
        <f t="shared" si="5"/>
        <v>LOW</v>
      </c>
      <c r="N20" s="5" cm="1">
        <f t="array" aca="1" ref="N20" ca="1">INDEX($N$2:$N$15,RANDBETWEEN(1, ROWS($N$2:$N$15)))</f>
        <v>11</v>
      </c>
      <c r="O20" s="5" cm="1">
        <f t="array" aca="1" ref="O20" ca="1">INDEX($O$2:$O$15,RANDBETWEEN(1, ROWS($O$2:$O$15)))</f>
        <v>3</v>
      </c>
      <c r="P20" s="5">
        <f t="shared" ca="1" si="6"/>
        <v>7.4566929133858268</v>
      </c>
      <c r="Q20" s="5">
        <f t="shared" ca="1" si="7"/>
        <v>4.3622047244094491</v>
      </c>
      <c r="R20" s="5" cm="1">
        <f t="array" aca="1" ref="R20" ca="1">INDEX($C$2:$C$128, RANDBETWEEN(1,128))</f>
        <v>5</v>
      </c>
      <c r="S20" s="5" cm="1">
        <f t="array" aca="1" ref="S20" ca="1">INDEX($E$2:$E$129, RANDBETWEEN(1,129))</f>
        <v>1.66</v>
      </c>
      <c r="T20" s="5"/>
      <c r="U20" s="5"/>
      <c r="V20" s="5"/>
    </row>
    <row r="21" spans="1:25" x14ac:dyDescent="0.35">
      <c r="A21" s="5">
        <v>539477</v>
      </c>
      <c r="B21" s="5">
        <v>10133</v>
      </c>
      <c r="C21" s="5">
        <v>10</v>
      </c>
      <c r="D21" s="6">
        <v>40531.623611111114</v>
      </c>
      <c r="E21" s="8">
        <v>0.85</v>
      </c>
      <c r="F21" s="5">
        <v>18245</v>
      </c>
      <c r="G21" s="5" t="s">
        <v>8</v>
      </c>
      <c r="H21" s="5">
        <f t="shared" si="0"/>
        <v>0.19148936170212766</v>
      </c>
      <c r="I21" s="5">
        <f t="shared" si="1"/>
        <v>-0.11656475127389719</v>
      </c>
      <c r="J21" s="5" t="str">
        <f t="shared" si="2"/>
        <v>LOW</v>
      </c>
      <c r="K21" s="8">
        <f t="shared" si="3"/>
        <v>0.10989010989010987</v>
      </c>
      <c r="L21" s="8">
        <f t="shared" si="4"/>
        <v>-0.43118590185092137</v>
      </c>
      <c r="M21" s="5" t="str">
        <f t="shared" si="5"/>
        <v>LOW</v>
      </c>
      <c r="N21" s="5" cm="1">
        <f t="array" aca="1" ref="N21" ca="1">INDEX($N$2:$N$15,RANDBETWEEN(1, ROWS($N$2:$N$15)))</f>
        <v>2</v>
      </c>
      <c r="O21" s="5" cm="1">
        <f t="array" aca="1" ref="O21" ca="1">INDEX($O$2:$O$15,RANDBETWEEN(1, ROWS($O$2:$O$15)))</f>
        <v>7</v>
      </c>
      <c r="P21" s="5">
        <f t="shared" ca="1" si="6"/>
        <v>7.4566929133858268</v>
      </c>
      <c r="Q21" s="5">
        <f t="shared" ca="1" si="7"/>
        <v>4.3622047244094491</v>
      </c>
      <c r="R21" s="5" cm="1">
        <f t="array" aca="1" ref="R21" ca="1">INDEX($C$2:$C$128, RANDBETWEEN(1,128))</f>
        <v>48</v>
      </c>
      <c r="S21" s="5" cm="1">
        <f t="array" aca="1" ref="S21" ca="1">INDEX($E$2:$E$129, RANDBETWEEN(1,129))</f>
        <v>0.75</v>
      </c>
      <c r="T21" s="5"/>
      <c r="U21" s="5"/>
      <c r="V21" s="5"/>
      <c r="X21" s="13" t="s">
        <v>32</v>
      </c>
      <c r="Y21" s="5">
        <f>AVERAGE(C:C)</f>
        <v>11.283464566929133</v>
      </c>
    </row>
    <row r="22" spans="1:25" x14ac:dyDescent="0.35">
      <c r="A22" s="5">
        <v>539933</v>
      </c>
      <c r="B22" s="5">
        <v>10133</v>
      </c>
      <c r="C22" s="5">
        <v>10</v>
      </c>
      <c r="D22" s="6">
        <v>40535.474999999999</v>
      </c>
      <c r="E22" s="8">
        <v>0.85</v>
      </c>
      <c r="F22" s="5">
        <v>15235</v>
      </c>
      <c r="G22" s="5" t="s">
        <v>8</v>
      </c>
      <c r="H22" s="5">
        <f t="shared" si="0"/>
        <v>0.19148936170212766</v>
      </c>
      <c r="I22" s="5">
        <f t="shared" si="1"/>
        <v>-0.11656475127389719</v>
      </c>
      <c r="J22" s="5" t="str">
        <f t="shared" si="2"/>
        <v>LOW</v>
      </c>
      <c r="K22" s="8">
        <f t="shared" si="3"/>
        <v>0.10989010989010987</v>
      </c>
      <c r="L22" s="8">
        <f t="shared" si="4"/>
        <v>-0.43118590185092137</v>
      </c>
      <c r="M22" s="5" t="str">
        <f t="shared" si="5"/>
        <v>LOW</v>
      </c>
      <c r="N22" s="5" cm="1">
        <f t="array" aca="1" ref="N22" ca="1">INDEX($N$2:$N$15,RANDBETWEEN(1, ROWS($N$2:$N$15)))</f>
        <v>9</v>
      </c>
      <c r="O22" s="5" cm="1">
        <f t="array" aca="1" ref="O22" ca="1">INDEX($O$2:$O$15,RANDBETWEEN(1, ROWS($O$2:$O$15)))</f>
        <v>3</v>
      </c>
      <c r="P22" s="5">
        <f t="shared" ca="1" si="6"/>
        <v>7.4566929133858268</v>
      </c>
      <c r="Q22" s="5">
        <f t="shared" ca="1" si="7"/>
        <v>4.3622047244094491</v>
      </c>
      <c r="R22" s="5" cm="1">
        <f t="array" aca="1" ref="R22" ca="1">INDEX($C$2:$C$128, RANDBETWEEN(1,128))</f>
        <v>1</v>
      </c>
      <c r="S22" s="5" cm="1">
        <f t="array" aca="1" ref="S22" ca="1">INDEX($E$2:$E$129, RANDBETWEEN(1,129))</f>
        <v>0.79</v>
      </c>
      <c r="T22" s="5"/>
      <c r="U22" s="5"/>
      <c r="V22" s="5"/>
      <c r="X22" s="13" t="s">
        <v>33</v>
      </c>
      <c r="Y22" s="8">
        <f>AVERAGE(E:E)</f>
        <v>0.99212598425196663</v>
      </c>
    </row>
    <row r="23" spans="1:25" x14ac:dyDescent="0.35">
      <c r="A23" s="5">
        <v>539958</v>
      </c>
      <c r="B23" s="5">
        <v>10133</v>
      </c>
      <c r="C23" s="5">
        <v>6</v>
      </c>
      <c r="D23" s="6">
        <v>40535.55972222222</v>
      </c>
      <c r="E23" s="8">
        <v>0.81</v>
      </c>
      <c r="F23" s="5" t="s">
        <v>1331</v>
      </c>
      <c r="G23" s="5" t="s">
        <v>8</v>
      </c>
      <c r="H23" s="5">
        <f t="shared" si="0"/>
        <v>0.10638297872340426</v>
      </c>
      <c r="I23" s="5">
        <f t="shared" si="1"/>
        <v>-0.47984630739131928</v>
      </c>
      <c r="J23" s="5" t="str">
        <f t="shared" si="2"/>
        <v>LOW</v>
      </c>
      <c r="K23" s="8">
        <f t="shared" si="3"/>
        <v>6.5934065934066005E-2</v>
      </c>
      <c r="L23" s="8">
        <f t="shared" si="4"/>
        <v>-0.55253905317517094</v>
      </c>
      <c r="M23" s="5" t="str">
        <f t="shared" si="5"/>
        <v>LOW</v>
      </c>
      <c r="N23" s="5" cm="1">
        <f t="array" aca="1" ref="N23" ca="1">INDEX($N$2:$N$15,RANDBETWEEN(1, ROWS($N$2:$N$15)))</f>
        <v>4</v>
      </c>
      <c r="O23" s="5" cm="1">
        <f t="array" aca="1" ref="O23" ca="1">INDEX($O$2:$O$15,RANDBETWEEN(1, ROWS($O$2:$O$15)))</f>
        <v>4</v>
      </c>
      <c r="P23" s="5">
        <f t="shared" ca="1" si="6"/>
        <v>7.4566929133858268</v>
      </c>
      <c r="Q23" s="5">
        <f t="shared" ca="1" si="7"/>
        <v>4.3622047244094491</v>
      </c>
      <c r="R23" s="5" cm="1">
        <f t="array" aca="1" ref="R23" ca="1">INDEX($C$2:$C$128, RANDBETWEEN(1,128))</f>
        <v>1</v>
      </c>
      <c r="S23" s="5" cm="1">
        <f t="array" aca="1" ref="S23" ca="1">INDEX($E$2:$E$129, RANDBETWEEN(1,129))</f>
        <v>0.83</v>
      </c>
      <c r="T23" s="5"/>
      <c r="U23" s="5"/>
      <c r="V23" s="5"/>
      <c r="X23" s="13"/>
      <c r="Y23" s="5"/>
    </row>
    <row r="24" spans="1:25" x14ac:dyDescent="0.35">
      <c r="A24" s="5">
        <v>540026</v>
      </c>
      <c r="B24" s="5">
        <v>10133</v>
      </c>
      <c r="C24" s="5">
        <v>1</v>
      </c>
      <c r="D24" s="6">
        <v>40547.559027777781</v>
      </c>
      <c r="E24" s="8">
        <v>0.81</v>
      </c>
      <c r="F24" s="5" t="s">
        <v>1331</v>
      </c>
      <c r="G24" s="5" t="s">
        <v>8</v>
      </c>
      <c r="H24" s="5">
        <f t="shared" si="0"/>
        <v>0</v>
      </c>
      <c r="I24" s="5">
        <f t="shared" si="1"/>
        <v>-0.93394825253809688</v>
      </c>
      <c r="J24" s="5" t="str">
        <f t="shared" si="2"/>
        <v>LOW</v>
      </c>
      <c r="K24" s="8">
        <f t="shared" si="3"/>
        <v>6.5934065934066005E-2</v>
      </c>
      <c r="L24" s="8">
        <f t="shared" si="4"/>
        <v>-0.55253905317517094</v>
      </c>
      <c r="M24" s="5" t="str">
        <f t="shared" si="5"/>
        <v>LOW</v>
      </c>
      <c r="N24" s="5" cm="1">
        <f t="array" aca="1" ref="N24" ca="1">INDEX($N$2:$N$15,RANDBETWEEN(1, ROWS($N$2:$N$15)))</f>
        <v>2</v>
      </c>
      <c r="O24" s="5" cm="1">
        <f t="array" aca="1" ref="O24" ca="1">INDEX($O$2:$O$15,RANDBETWEEN(1, ROWS($O$2:$O$15)))</f>
        <v>3</v>
      </c>
      <c r="P24" s="5">
        <f t="shared" ca="1" si="6"/>
        <v>7.4566929133858268</v>
      </c>
      <c r="Q24" s="5">
        <f t="shared" ca="1" si="7"/>
        <v>4.3622047244094491</v>
      </c>
      <c r="R24" s="5" cm="1">
        <f t="array" aca="1" ref="R24" ca="1">INDEX($C$2:$C$128, RANDBETWEEN(1,128))</f>
        <v>1</v>
      </c>
      <c r="S24" s="5" cm="1">
        <f t="array" aca="1" ref="S24" ca="1">INDEX($E$2:$E$129, RANDBETWEEN(1,129))</f>
        <v>0.85</v>
      </c>
      <c r="T24" s="5"/>
      <c r="U24" s="5"/>
      <c r="V24" s="5"/>
      <c r="X24" s="13"/>
      <c r="Y24" s="5"/>
    </row>
    <row r="25" spans="1:25" x14ac:dyDescent="0.35">
      <c r="A25" s="5">
        <v>540154</v>
      </c>
      <c r="B25" s="5">
        <v>10133</v>
      </c>
      <c r="C25" s="5">
        <v>1</v>
      </c>
      <c r="D25" s="6">
        <v>40548.479166666664</v>
      </c>
      <c r="E25" s="8">
        <v>0.81</v>
      </c>
      <c r="F25" s="5" t="s">
        <v>1331</v>
      </c>
      <c r="G25" s="5" t="s">
        <v>8</v>
      </c>
      <c r="H25" s="5">
        <f t="shared" si="0"/>
        <v>0</v>
      </c>
      <c r="I25" s="5">
        <f t="shared" si="1"/>
        <v>-0.93394825253809688</v>
      </c>
      <c r="J25" s="5" t="str">
        <f t="shared" si="2"/>
        <v>LOW</v>
      </c>
      <c r="K25" s="8">
        <f t="shared" si="3"/>
        <v>6.5934065934066005E-2</v>
      </c>
      <c r="L25" s="8">
        <f t="shared" si="4"/>
        <v>-0.55253905317517094</v>
      </c>
      <c r="M25" s="5" t="str">
        <f t="shared" si="5"/>
        <v>LOW</v>
      </c>
      <c r="N25" s="5" cm="1">
        <f t="array" aca="1" ref="N25" ca="1">INDEX($N$2:$N$15,RANDBETWEEN(1, ROWS($N$2:$N$15)))</f>
        <v>11</v>
      </c>
      <c r="O25" s="5" cm="1">
        <f t="array" aca="1" ref="O25" ca="1">INDEX($O$2:$O$15,RANDBETWEEN(1, ROWS($O$2:$O$15)))</f>
        <v>1</v>
      </c>
      <c r="P25" s="5">
        <f t="shared" ca="1" si="6"/>
        <v>7.4566929133858268</v>
      </c>
      <c r="Q25" s="5">
        <f t="shared" ca="1" si="7"/>
        <v>4.3622047244094491</v>
      </c>
      <c r="R25" s="5" cm="1">
        <f t="array" aca="1" ref="R25" ca="1">INDEX($C$2:$C$128, RANDBETWEEN(1,128))</f>
        <v>10</v>
      </c>
      <c r="S25" s="5" cm="1">
        <f t="array" aca="1" ref="S25" ca="1">INDEX($E$2:$E$129, RANDBETWEEN(1,129))</f>
        <v>0.85</v>
      </c>
      <c r="T25" s="5"/>
      <c r="U25" s="5"/>
      <c r="V25" s="5"/>
      <c r="X25" s="13"/>
      <c r="Y25" s="5"/>
    </row>
    <row r="26" spans="1:25" x14ac:dyDescent="0.35">
      <c r="A26" s="5">
        <v>540352</v>
      </c>
      <c r="B26" s="5">
        <v>10133</v>
      </c>
      <c r="C26" s="5">
        <v>1</v>
      </c>
      <c r="D26" s="6">
        <v>40549.602083333331</v>
      </c>
      <c r="E26" s="8">
        <v>0.81</v>
      </c>
      <c r="F26" s="5" t="s">
        <v>1331</v>
      </c>
      <c r="G26" s="5" t="s">
        <v>8</v>
      </c>
      <c r="H26" s="5">
        <f t="shared" si="0"/>
        <v>0</v>
      </c>
      <c r="I26" s="5">
        <f t="shared" si="1"/>
        <v>-0.93394825253809688</v>
      </c>
      <c r="J26" s="5" t="str">
        <f t="shared" si="2"/>
        <v>LOW</v>
      </c>
      <c r="K26" s="8">
        <f t="shared" si="3"/>
        <v>6.5934065934066005E-2</v>
      </c>
      <c r="L26" s="8">
        <f t="shared" si="4"/>
        <v>-0.55253905317517094</v>
      </c>
      <c r="M26" s="5" t="str">
        <f t="shared" si="5"/>
        <v>LOW</v>
      </c>
      <c r="N26" s="5" cm="1">
        <f t="array" aca="1" ref="N26" ca="1">INDEX($N$2:$N$15,RANDBETWEEN(1, ROWS($N$2:$N$15)))</f>
        <v>11</v>
      </c>
      <c r="O26" s="5" cm="1">
        <f t="array" aca="1" ref="O26" ca="1">INDEX($O$2:$O$15,RANDBETWEEN(1, ROWS($O$2:$O$15)))</f>
        <v>5</v>
      </c>
      <c r="P26" s="5">
        <f t="shared" ca="1" si="6"/>
        <v>7.4566929133858268</v>
      </c>
      <c r="Q26" s="5">
        <f t="shared" ca="1" si="7"/>
        <v>4.3622047244094491</v>
      </c>
      <c r="R26" s="5" cm="1">
        <f t="array" aca="1" ref="R26" ca="1">INDEX($C$2:$C$128, RANDBETWEEN(1,128))</f>
        <v>24</v>
      </c>
      <c r="S26" s="5" cm="1">
        <f t="array" aca="1" ref="S26" ca="1">INDEX($E$2:$E$129, RANDBETWEEN(1,129))</f>
        <v>0.75</v>
      </c>
      <c r="T26" s="5"/>
      <c r="U26" s="5"/>
      <c r="V26" s="5"/>
      <c r="X26" s="13" t="s">
        <v>34</v>
      </c>
      <c r="Y26" s="5">
        <f>AVERAGE(C:C)</f>
        <v>11.283464566929133</v>
      </c>
    </row>
    <row r="27" spans="1:25" x14ac:dyDescent="0.35">
      <c r="A27" s="5">
        <v>540468</v>
      </c>
      <c r="B27" s="5">
        <v>10133</v>
      </c>
      <c r="C27" s="5">
        <v>5</v>
      </c>
      <c r="D27" s="10">
        <v>40550</v>
      </c>
      <c r="E27" s="8">
        <v>0.81</v>
      </c>
      <c r="F27" s="5" t="s">
        <v>1331</v>
      </c>
      <c r="G27" s="5" t="s">
        <v>8</v>
      </c>
      <c r="H27" s="5">
        <f t="shared" si="0"/>
        <v>8.5106382978723402E-2</v>
      </c>
      <c r="I27" s="5">
        <f t="shared" si="1"/>
        <v>-0.5706666964206748</v>
      </c>
      <c r="J27" s="5" t="str">
        <f t="shared" si="2"/>
        <v>LOW</v>
      </c>
      <c r="K27" s="8">
        <f t="shared" si="3"/>
        <v>6.5934065934066005E-2</v>
      </c>
      <c r="L27" s="8">
        <f t="shared" si="4"/>
        <v>-0.55253905317517094</v>
      </c>
      <c r="M27" s="5" t="str">
        <f t="shared" si="5"/>
        <v>LOW</v>
      </c>
      <c r="N27" s="5" cm="1">
        <f t="array" aca="1" ref="N27" ca="1">INDEX($N$2:$N$15,RANDBETWEEN(1, ROWS($N$2:$N$15)))</f>
        <v>12</v>
      </c>
      <c r="O27" s="5" cm="1">
        <f t="array" aca="1" ref="O27" ca="1">INDEX($O$2:$O$15,RANDBETWEEN(1, ROWS($O$2:$O$15)))</f>
        <v>4</v>
      </c>
      <c r="P27" s="5">
        <f t="shared" ca="1" si="6"/>
        <v>7.4566929133858268</v>
      </c>
      <c r="Q27" s="5">
        <f t="shared" ca="1" si="7"/>
        <v>4.3622047244094491</v>
      </c>
      <c r="R27" s="5" cm="1">
        <f t="array" aca="1" ref="R27" ca="1">INDEX($C$2:$C$128, RANDBETWEEN(1,128))</f>
        <v>12</v>
      </c>
      <c r="S27" s="5" cm="1">
        <f t="array" aca="1" ref="S27" ca="1">INDEX($E$2:$E$129, RANDBETWEEN(1,129))</f>
        <v>0.83</v>
      </c>
      <c r="T27" s="5"/>
      <c r="U27" s="5"/>
      <c r="V27" s="5"/>
      <c r="X27" s="13" t="s">
        <v>35</v>
      </c>
      <c r="Y27" s="14">
        <f>AVERAGE(E:E)</f>
        <v>0.99212598425196663</v>
      </c>
    </row>
    <row r="28" spans="1:25" x14ac:dyDescent="0.35">
      <c r="A28" s="5">
        <v>540418</v>
      </c>
      <c r="B28" s="5">
        <v>10133</v>
      </c>
      <c r="C28" s="5">
        <v>3</v>
      </c>
      <c r="D28" s="6">
        <v>40550.461111111108</v>
      </c>
      <c r="E28" s="8">
        <v>0.81</v>
      </c>
      <c r="F28" s="5" t="s">
        <v>1331</v>
      </c>
      <c r="G28" s="5" t="s">
        <v>8</v>
      </c>
      <c r="H28" s="5">
        <f t="shared" si="0"/>
        <v>4.2553191489361701E-2</v>
      </c>
      <c r="I28" s="5">
        <f t="shared" si="1"/>
        <v>-0.75230747447938584</v>
      </c>
      <c r="J28" s="5" t="str">
        <f t="shared" si="2"/>
        <v>LOW</v>
      </c>
      <c r="K28" s="8">
        <f t="shared" si="3"/>
        <v>6.5934065934066005E-2</v>
      </c>
      <c r="L28" s="8">
        <f t="shared" si="4"/>
        <v>-0.55253905317517094</v>
      </c>
      <c r="M28" s="5" t="str">
        <f t="shared" si="5"/>
        <v>LOW</v>
      </c>
      <c r="N28" s="5" cm="1">
        <f t="array" aca="1" ref="N28" ca="1">INDEX($N$2:$N$15,RANDBETWEEN(1, ROWS($N$2:$N$15)))</f>
        <v>11</v>
      </c>
      <c r="O28" s="5" cm="1">
        <f t="array" aca="1" ref="O28" ca="1">INDEX($O$2:$O$15,RANDBETWEEN(1, ROWS($O$2:$O$15)))</f>
        <v>4</v>
      </c>
      <c r="P28" s="5">
        <f t="shared" ca="1" si="6"/>
        <v>7.4566929133858268</v>
      </c>
      <c r="Q28" s="5">
        <f t="shared" ca="1" si="7"/>
        <v>4.3622047244094491</v>
      </c>
      <c r="R28" s="5" cm="1">
        <f t="array" aca="1" ref="R28" ca="1">INDEX($C$2:$C$128, RANDBETWEEN(1,128))</f>
        <v>22</v>
      </c>
      <c r="S28" s="5" cm="1">
        <f t="array" aca="1" ref="S28" ca="1">INDEX($E$2:$E$129, RANDBETWEEN(1,129))</f>
        <v>0.81</v>
      </c>
      <c r="T28" s="5"/>
      <c r="U28" s="5"/>
      <c r="V28" s="5"/>
      <c r="X28" s="13"/>
      <c r="Y28" s="5"/>
    </row>
    <row r="29" spans="1:25" x14ac:dyDescent="0.35">
      <c r="A29" s="5">
        <v>540551</v>
      </c>
      <c r="B29" s="5">
        <v>10133</v>
      </c>
      <c r="C29" s="5">
        <v>1</v>
      </c>
      <c r="D29" s="6">
        <v>40553.404861111114</v>
      </c>
      <c r="E29" s="8">
        <v>0.81</v>
      </c>
      <c r="F29" s="5" t="s">
        <v>1331</v>
      </c>
      <c r="G29" s="5" t="s">
        <v>8</v>
      </c>
      <c r="H29" s="5">
        <f t="shared" si="0"/>
        <v>0</v>
      </c>
      <c r="I29" s="5">
        <f t="shared" si="1"/>
        <v>-0.93394825253809688</v>
      </c>
      <c r="J29" s="5" t="str">
        <f t="shared" si="2"/>
        <v>LOW</v>
      </c>
      <c r="K29" s="8">
        <f t="shared" si="3"/>
        <v>6.5934065934066005E-2</v>
      </c>
      <c r="L29" s="8">
        <f t="shared" si="4"/>
        <v>-0.55253905317517094</v>
      </c>
      <c r="M29" s="5" t="str">
        <f t="shared" si="5"/>
        <v>LOW</v>
      </c>
      <c r="N29" s="5" cm="1">
        <f t="array" aca="1" ref="N29" ca="1">INDEX($N$2:$N$15,RANDBETWEEN(1, ROWS($N$2:$N$15)))</f>
        <v>9</v>
      </c>
      <c r="O29" s="5" cm="1">
        <f t="array" aca="1" ref="O29" ca="1">INDEX($O$2:$O$15,RANDBETWEEN(1, ROWS($O$2:$O$15)))</f>
        <v>7</v>
      </c>
      <c r="P29" s="5">
        <f t="shared" ca="1" si="6"/>
        <v>7.4566929133858268</v>
      </c>
      <c r="Q29" s="5">
        <f t="shared" ca="1" si="7"/>
        <v>4.3622047244094491</v>
      </c>
      <c r="R29" s="5" cm="1">
        <f t="array" aca="1" ref="R29" ca="1">INDEX($C$2:$C$128, RANDBETWEEN(1,128))</f>
        <v>20</v>
      </c>
      <c r="S29" s="5" cm="1">
        <f t="array" aca="1" ref="S29" ca="1">INDEX($E$2:$E$129, RANDBETWEEN(1,129))</f>
        <v>0.75</v>
      </c>
      <c r="T29" s="5"/>
      <c r="U29" s="5"/>
      <c r="V29" s="5"/>
      <c r="X29" s="13" t="s">
        <v>36</v>
      </c>
      <c r="Y29" s="5">
        <f>MIN(C:C)</f>
        <v>1</v>
      </c>
    </row>
    <row r="30" spans="1:25" x14ac:dyDescent="0.35">
      <c r="A30" s="5">
        <v>540646</v>
      </c>
      <c r="B30" s="5">
        <v>10133</v>
      </c>
      <c r="C30" s="5">
        <v>6</v>
      </c>
      <c r="D30" s="6">
        <v>40553.605555555558</v>
      </c>
      <c r="E30" s="8">
        <v>0.81</v>
      </c>
      <c r="F30" s="5" t="s">
        <v>1331</v>
      </c>
      <c r="G30" s="5" t="s">
        <v>8</v>
      </c>
      <c r="H30" s="5">
        <f t="shared" si="0"/>
        <v>0.10638297872340426</v>
      </c>
      <c r="I30" s="5">
        <f t="shared" si="1"/>
        <v>-0.47984630739131928</v>
      </c>
      <c r="J30" s="5" t="str">
        <f t="shared" si="2"/>
        <v>LOW</v>
      </c>
      <c r="K30" s="8">
        <f t="shared" si="3"/>
        <v>6.5934065934066005E-2</v>
      </c>
      <c r="L30" s="8">
        <f t="shared" si="4"/>
        <v>-0.55253905317517094</v>
      </c>
      <c r="M30" s="5" t="str">
        <f t="shared" si="5"/>
        <v>LOW</v>
      </c>
      <c r="N30" s="5" cm="1">
        <f t="array" aca="1" ref="N30" ca="1">INDEX($N$2:$N$15,RANDBETWEEN(1, ROWS($N$2:$N$15)))</f>
        <v>4</v>
      </c>
      <c r="O30" s="5" cm="1">
        <f t="array" aca="1" ref="O30" ca="1">INDEX($O$2:$O$15,RANDBETWEEN(1, ROWS($O$2:$O$15)))</f>
        <v>3</v>
      </c>
      <c r="P30" s="5">
        <f t="shared" ca="1" si="6"/>
        <v>7.4566929133858268</v>
      </c>
      <c r="Q30" s="5">
        <f t="shared" ca="1" si="7"/>
        <v>4.3622047244094491</v>
      </c>
      <c r="R30" s="5" cm="1">
        <f t="array" aca="1" ref="R30" ca="1">INDEX($C$2:$C$128, RANDBETWEEN(1,128))</f>
        <v>22</v>
      </c>
      <c r="S30" s="5" cm="1">
        <f t="array" aca="1" ref="S30" ca="1">INDEX($E$2:$E$129, RANDBETWEEN(1,129))</f>
        <v>0.83</v>
      </c>
      <c r="T30" s="5"/>
      <c r="U30" s="5"/>
      <c r="V30" s="5"/>
      <c r="X30" s="13" t="s">
        <v>37</v>
      </c>
      <c r="Y30" s="5">
        <f>MAX(C:C)</f>
        <v>48</v>
      </c>
    </row>
    <row r="31" spans="1:25" x14ac:dyDescent="0.35">
      <c r="A31" s="5">
        <v>540821</v>
      </c>
      <c r="B31" s="5">
        <v>10133</v>
      </c>
      <c r="C31" s="5">
        <v>3</v>
      </c>
      <c r="D31" s="6">
        <v>40554.552777777775</v>
      </c>
      <c r="E31" s="8">
        <v>0.81</v>
      </c>
      <c r="F31" s="5" t="s">
        <v>1331</v>
      </c>
      <c r="G31" s="5" t="s">
        <v>8</v>
      </c>
      <c r="H31" s="5">
        <f t="shared" si="0"/>
        <v>4.2553191489361701E-2</v>
      </c>
      <c r="I31" s="5">
        <f t="shared" si="1"/>
        <v>-0.75230747447938584</v>
      </c>
      <c r="J31" s="5" t="str">
        <f t="shared" si="2"/>
        <v>LOW</v>
      </c>
      <c r="K31" s="8">
        <f t="shared" si="3"/>
        <v>6.5934065934066005E-2</v>
      </c>
      <c r="L31" s="8">
        <f t="shared" si="4"/>
        <v>-0.55253905317517094</v>
      </c>
      <c r="M31" s="5" t="str">
        <f t="shared" si="5"/>
        <v>LOW</v>
      </c>
      <c r="N31" s="5" cm="1">
        <f t="array" aca="1" ref="N31" ca="1">INDEX($N$2:$N$15,RANDBETWEEN(1, ROWS($N$2:$N$15)))</f>
        <v>12</v>
      </c>
      <c r="O31" s="5" cm="1">
        <f t="array" aca="1" ref="O31" ca="1">INDEX($O$2:$O$15,RANDBETWEEN(1, ROWS($O$2:$O$15)))</f>
        <v>1</v>
      </c>
      <c r="P31" s="5">
        <f t="shared" ca="1" si="6"/>
        <v>7.4566929133858268</v>
      </c>
      <c r="Q31" s="5">
        <f t="shared" ca="1" si="7"/>
        <v>4.3622047244094491</v>
      </c>
      <c r="R31" s="5" cm="1">
        <f t="array" aca="1" ref="R31" ca="1">INDEX($C$2:$C$128, RANDBETWEEN(1,128))</f>
        <v>4</v>
      </c>
      <c r="S31" s="5" cm="1">
        <f t="array" aca="1" ref="S31" ca="1">INDEX($E$2:$E$129, RANDBETWEEN(1,129))</f>
        <v>0.85</v>
      </c>
      <c r="T31" s="5"/>
      <c r="U31" s="5"/>
      <c r="V31" s="5"/>
      <c r="X31" s="13"/>
      <c r="Y31" s="5"/>
    </row>
    <row r="32" spans="1:25" x14ac:dyDescent="0.35">
      <c r="A32" s="5">
        <v>540848</v>
      </c>
      <c r="B32" s="5">
        <v>10133</v>
      </c>
      <c r="C32" s="5">
        <v>7</v>
      </c>
      <c r="D32" s="6">
        <v>40555.393055555556</v>
      </c>
      <c r="E32" s="8">
        <v>0.81</v>
      </c>
      <c r="F32" s="5" t="s">
        <v>1331</v>
      </c>
      <c r="G32" s="5" t="s">
        <v>8</v>
      </c>
      <c r="H32" s="5">
        <f t="shared" si="0"/>
        <v>0.1276595744680851</v>
      </c>
      <c r="I32" s="5">
        <f t="shared" si="1"/>
        <v>-0.38902591836196376</v>
      </c>
      <c r="J32" s="5" t="str">
        <f t="shared" si="2"/>
        <v>LOW</v>
      </c>
      <c r="K32" s="8">
        <f t="shared" si="3"/>
        <v>6.5934065934066005E-2</v>
      </c>
      <c r="L32" s="8">
        <f t="shared" si="4"/>
        <v>-0.55253905317517094</v>
      </c>
      <c r="M32" s="5" t="str">
        <f t="shared" si="5"/>
        <v>LOW</v>
      </c>
      <c r="N32" s="5" cm="1">
        <f t="array" aca="1" ref="N32" ca="1">INDEX($N$2:$N$15,RANDBETWEEN(1, ROWS($N$2:$N$15)))</f>
        <v>4</v>
      </c>
      <c r="O32" s="5" cm="1">
        <f t="array" aca="1" ref="O32" ca="1">INDEX($O$2:$O$15,RANDBETWEEN(1, ROWS($O$2:$O$15)))</f>
        <v>7</v>
      </c>
      <c r="P32" s="5">
        <f t="shared" ca="1" si="6"/>
        <v>7.4566929133858268</v>
      </c>
      <c r="Q32" s="5">
        <f t="shared" ca="1" si="7"/>
        <v>4.3622047244094491</v>
      </c>
      <c r="R32" s="5" cm="1">
        <f t="array" aca="1" ref="R32" ca="1">INDEX($C$2:$C$128, RANDBETWEEN(1,128))</f>
        <v>12</v>
      </c>
      <c r="S32" s="5" cm="1">
        <f t="array" aca="1" ref="S32" ca="1">INDEX($E$2:$E$129, RANDBETWEEN(1,129))</f>
        <v>0</v>
      </c>
      <c r="T32" s="5"/>
      <c r="U32" s="5"/>
      <c r="V32" s="5"/>
      <c r="X32" s="13"/>
      <c r="Y32" s="5"/>
    </row>
    <row r="33" spans="1:25" x14ac:dyDescent="0.35">
      <c r="A33" s="5">
        <v>540977</v>
      </c>
      <c r="B33" s="5">
        <v>10133</v>
      </c>
      <c r="C33" s="5">
        <v>1</v>
      </c>
      <c r="D33" s="6">
        <v>40555.625694444447</v>
      </c>
      <c r="E33" s="8">
        <v>0.81</v>
      </c>
      <c r="F33" s="5" t="s">
        <v>1331</v>
      </c>
      <c r="G33" s="5" t="s">
        <v>8</v>
      </c>
      <c r="H33" s="5">
        <f t="shared" si="0"/>
        <v>0</v>
      </c>
      <c r="I33" s="5">
        <f t="shared" si="1"/>
        <v>-0.93394825253809688</v>
      </c>
      <c r="J33" s="5" t="str">
        <f t="shared" si="2"/>
        <v>LOW</v>
      </c>
      <c r="K33" s="8">
        <f t="shared" si="3"/>
        <v>6.5934065934066005E-2</v>
      </c>
      <c r="L33" s="8">
        <f t="shared" si="4"/>
        <v>-0.55253905317517094</v>
      </c>
      <c r="M33" s="5" t="str">
        <f t="shared" si="5"/>
        <v>LOW</v>
      </c>
      <c r="N33" s="5" cm="1">
        <f t="array" aca="1" ref="N33" ca="1">INDEX($N$2:$N$15,RANDBETWEEN(1, ROWS($N$2:$N$15)))</f>
        <v>2</v>
      </c>
      <c r="O33" s="5" cm="1">
        <f t="array" aca="1" ref="O33" ca="1">INDEX($O$2:$O$15,RANDBETWEEN(1, ROWS($O$2:$O$15)))</f>
        <v>5</v>
      </c>
      <c r="P33" s="5">
        <f t="shared" ca="1" si="6"/>
        <v>7.4566929133858268</v>
      </c>
      <c r="Q33" s="5">
        <f t="shared" ca="1" si="7"/>
        <v>4.3622047244094491</v>
      </c>
      <c r="R33" s="5" cm="1">
        <f t="array" aca="1" ref="R33" ca="1">INDEX($C$2:$C$128, RANDBETWEEN(1,128))</f>
        <v>5</v>
      </c>
      <c r="S33" s="5" cm="1">
        <f t="array" aca="1" ref="S33" ca="1">INDEX($E$2:$E$129, RANDBETWEEN(1,129))</f>
        <v>0.85</v>
      </c>
      <c r="T33" s="5"/>
      <c r="U33" s="5"/>
      <c r="V33" s="5"/>
      <c r="X33" s="13" t="s">
        <v>38</v>
      </c>
      <c r="Y33" s="14">
        <f>MIN(E:E)</f>
        <v>0.75</v>
      </c>
    </row>
    <row r="34" spans="1:25" x14ac:dyDescent="0.35">
      <c r="A34" s="5">
        <v>541104</v>
      </c>
      <c r="B34" s="5">
        <v>10133</v>
      </c>
      <c r="C34" s="5">
        <v>4</v>
      </c>
      <c r="D34" s="6">
        <v>40556.603472222225</v>
      </c>
      <c r="E34" s="8">
        <v>0.79</v>
      </c>
      <c r="F34" s="5" t="s">
        <v>1331</v>
      </c>
      <c r="G34" s="5" t="s">
        <v>8</v>
      </c>
      <c r="H34" s="5">
        <f t="shared" ref="H34:H65" si="8">(C34-1)/(48-1)</f>
        <v>6.3829787234042548E-2</v>
      </c>
      <c r="I34" s="5">
        <f t="shared" ref="I34:I65" si="9">(C34-$Y$21)/$Y$44</f>
        <v>-0.66148708545003032</v>
      </c>
      <c r="J34" s="5" t="str">
        <f t="shared" ref="J34:J65" si="10">IF(C34&gt;$Y$6, "HIGH", "LOW")</f>
        <v>LOW</v>
      </c>
      <c r="K34" s="8">
        <f t="shared" ref="K34:K65" si="11">(E34-0.75)/(1.66-0.75)</f>
        <v>4.3956043956044001E-2</v>
      </c>
      <c r="L34" s="8">
        <f t="shared" ref="L34:L65" si="12">(E34-$Y$22)/$Y$45</f>
        <v>-0.61321562883729586</v>
      </c>
      <c r="M34" s="5" t="str">
        <f t="shared" ref="M34:M65" si="13">IF(E34&gt;$Y$7, "HIGH", "LOW")</f>
        <v>LOW</v>
      </c>
      <c r="N34" s="5" cm="1">
        <f t="array" aca="1" ref="N34" ca="1">INDEX($N$2:$N$15,RANDBETWEEN(1, ROWS($N$2:$N$15)))</f>
        <v>2</v>
      </c>
      <c r="O34" s="5" cm="1">
        <f t="array" aca="1" ref="O34" ca="1">INDEX($O$2:$O$15,RANDBETWEEN(1, ROWS($O$2:$O$15)))</f>
        <v>5</v>
      </c>
      <c r="P34" s="5">
        <f t="shared" ref="P34:P65" ca="1" si="14">AVERAGE(N:N)</f>
        <v>7.4566929133858268</v>
      </c>
      <c r="Q34" s="5">
        <f t="shared" ref="Q34:Q65" ca="1" si="15">AVERAGE(O:O)</f>
        <v>4.3622047244094491</v>
      </c>
      <c r="R34" s="5" cm="1">
        <f t="array" aca="1" ref="R34" ca="1">INDEX($C$2:$C$128, RANDBETWEEN(1,128))</f>
        <v>12</v>
      </c>
      <c r="S34" s="5" cm="1">
        <f t="array" aca="1" ref="S34" ca="1">INDEX($E$2:$E$129, RANDBETWEEN(1,129))</f>
        <v>0.85</v>
      </c>
      <c r="T34" s="5"/>
      <c r="U34" s="5"/>
      <c r="V34" s="5"/>
      <c r="X34" s="13" t="s">
        <v>39</v>
      </c>
      <c r="Y34" s="15">
        <f>MAX(E:E)</f>
        <v>1.66</v>
      </c>
    </row>
    <row r="35" spans="1:25" x14ac:dyDescent="0.35">
      <c r="A35" s="5">
        <v>541219</v>
      </c>
      <c r="B35" s="5">
        <v>10133</v>
      </c>
      <c r="C35" s="5">
        <v>22</v>
      </c>
      <c r="D35" s="6">
        <v>40557.587500000001</v>
      </c>
      <c r="E35" s="8">
        <v>0.79</v>
      </c>
      <c r="F35" s="5" t="s">
        <v>1331</v>
      </c>
      <c r="G35" s="5" t="s">
        <v>8</v>
      </c>
      <c r="H35" s="5">
        <f t="shared" si="8"/>
        <v>0.44680851063829785</v>
      </c>
      <c r="I35" s="5">
        <f t="shared" si="9"/>
        <v>0.97327991707836903</v>
      </c>
      <c r="J35" s="5" t="str">
        <f t="shared" si="10"/>
        <v>HIGH</v>
      </c>
      <c r="K35" s="8">
        <f t="shared" si="11"/>
        <v>4.3956043956044001E-2</v>
      </c>
      <c r="L35" s="8">
        <f t="shared" si="12"/>
        <v>-0.61321562883729586</v>
      </c>
      <c r="M35" s="5" t="str">
        <f t="shared" si="13"/>
        <v>LOW</v>
      </c>
      <c r="N35" s="5" cm="1">
        <f t="array" aca="1" ref="N35" ca="1">INDEX($N$2:$N$15,RANDBETWEEN(1, ROWS($N$2:$N$15)))</f>
        <v>9</v>
      </c>
      <c r="O35" s="5" cm="1">
        <f t="array" aca="1" ref="O35" ca="1">INDEX($O$2:$O$15,RANDBETWEEN(1, ROWS($O$2:$O$15)))</f>
        <v>1</v>
      </c>
      <c r="P35" s="5">
        <f t="shared" ca="1" si="14"/>
        <v>7.4566929133858268</v>
      </c>
      <c r="Q35" s="5">
        <f t="shared" ca="1" si="15"/>
        <v>4.3622047244094491</v>
      </c>
      <c r="R35" s="5" cm="1">
        <f t="array" aca="1" ref="R35" ca="1">INDEX($C$2:$C$128, RANDBETWEEN(1,128))</f>
        <v>20</v>
      </c>
      <c r="S35" s="5" cm="1">
        <f t="array" aca="1" ref="S35" ca="1">INDEX($E$2:$E$129, RANDBETWEEN(1,129))</f>
        <v>0.85</v>
      </c>
      <c r="T35" s="5"/>
      <c r="U35" s="5"/>
      <c r="V35" s="5"/>
      <c r="X35" s="13"/>
      <c r="Y35" s="5"/>
    </row>
    <row r="36" spans="1:25" x14ac:dyDescent="0.35">
      <c r="A36" s="5">
        <v>541422</v>
      </c>
      <c r="B36" s="5">
        <v>10133</v>
      </c>
      <c r="C36" s="5">
        <v>12</v>
      </c>
      <c r="D36" s="6">
        <v>40560.741666666669</v>
      </c>
      <c r="E36" s="8">
        <v>0.79</v>
      </c>
      <c r="F36" s="5" t="s">
        <v>1331</v>
      </c>
      <c r="G36" s="5" t="s">
        <v>8</v>
      </c>
      <c r="H36" s="5">
        <f t="shared" si="8"/>
        <v>0.23404255319148937</v>
      </c>
      <c r="I36" s="5">
        <f t="shared" si="9"/>
        <v>6.5076026784813848E-2</v>
      </c>
      <c r="J36" s="5" t="str">
        <f t="shared" si="10"/>
        <v>HIGH</v>
      </c>
      <c r="K36" s="8">
        <f t="shared" si="11"/>
        <v>4.3956043956044001E-2</v>
      </c>
      <c r="L36" s="8">
        <f t="shared" si="12"/>
        <v>-0.61321562883729586</v>
      </c>
      <c r="M36" s="5" t="str">
        <f t="shared" si="13"/>
        <v>LOW</v>
      </c>
      <c r="N36" s="5" cm="1">
        <f t="array" aca="1" ref="N36" ca="1">INDEX($N$2:$N$15,RANDBETWEEN(1, ROWS($N$2:$N$15)))</f>
        <v>4</v>
      </c>
      <c r="O36" s="5" cm="1">
        <f t="array" aca="1" ref="O36" ca="1">INDEX($O$2:$O$15,RANDBETWEEN(1, ROWS($O$2:$O$15)))</f>
        <v>5</v>
      </c>
      <c r="P36" s="5">
        <f t="shared" ca="1" si="14"/>
        <v>7.4566929133858268</v>
      </c>
      <c r="Q36" s="5">
        <f t="shared" ca="1" si="15"/>
        <v>4.3622047244094491</v>
      </c>
      <c r="R36" s="5" cm="1">
        <f t="array" aca="1" ref="R36" ca="1">INDEX($C$2:$C$128, RANDBETWEEN(1,128))</f>
        <v>1</v>
      </c>
      <c r="S36" s="5" cm="1">
        <f t="array" aca="1" ref="S36" ca="1">INDEX($E$2:$E$129, RANDBETWEEN(1,129))</f>
        <v>0.83</v>
      </c>
      <c r="T36" s="5"/>
      <c r="U36" s="5"/>
      <c r="V36" s="5"/>
      <c r="X36" s="13"/>
      <c r="Y36" s="5"/>
    </row>
    <row r="37" spans="1:25" x14ac:dyDescent="0.35">
      <c r="A37" s="5">
        <v>545060</v>
      </c>
      <c r="B37" s="5">
        <v>10080</v>
      </c>
      <c r="C37" s="5">
        <v>2</v>
      </c>
      <c r="D37" s="6">
        <v>40601.574305555558</v>
      </c>
      <c r="E37" s="8">
        <v>0.85</v>
      </c>
      <c r="F37" s="5">
        <v>15547</v>
      </c>
      <c r="G37" s="5" t="s">
        <v>8</v>
      </c>
      <c r="H37" s="5">
        <f t="shared" si="8"/>
        <v>2.1276595744680851E-2</v>
      </c>
      <c r="I37" s="5">
        <f t="shared" si="9"/>
        <v>-0.84312786350874136</v>
      </c>
      <c r="J37" s="5" t="str">
        <f t="shared" si="10"/>
        <v>LOW</v>
      </c>
      <c r="K37" s="8">
        <f t="shared" si="11"/>
        <v>0.10989010989010987</v>
      </c>
      <c r="L37" s="8">
        <f t="shared" si="12"/>
        <v>-0.43118590185092137</v>
      </c>
      <c r="M37" s="5" t="str">
        <f t="shared" si="13"/>
        <v>LOW</v>
      </c>
      <c r="N37" s="5">
        <v>4</v>
      </c>
      <c r="O37" s="5">
        <v>3</v>
      </c>
      <c r="P37" s="5">
        <f t="shared" ca="1" si="14"/>
        <v>7.4566929133858268</v>
      </c>
      <c r="Q37" s="5">
        <f t="shared" ca="1" si="15"/>
        <v>4.3622047244094491</v>
      </c>
      <c r="R37" s="5" cm="1">
        <f t="array" aca="1" ref="R37" ca="1">INDEX($C$2:$C$128, RANDBETWEEN(1,128))</f>
        <v>1</v>
      </c>
      <c r="S37" s="5" cm="1">
        <f t="array" aca="1" ref="S37" ca="1">INDEX($E$2:$E$129, RANDBETWEEN(1,129))</f>
        <v>1.63</v>
      </c>
      <c r="T37" s="5"/>
      <c r="U37" s="5"/>
      <c r="V37" s="5"/>
      <c r="X37" s="13" t="s">
        <v>40</v>
      </c>
      <c r="Y37" s="5" t="s">
        <v>1339</v>
      </c>
    </row>
    <row r="38" spans="1:25" x14ac:dyDescent="0.35">
      <c r="A38" s="5">
        <v>546429</v>
      </c>
      <c r="B38" s="5">
        <v>15036</v>
      </c>
      <c r="C38" s="5">
        <v>12</v>
      </c>
      <c r="D38" s="6">
        <v>40615.642361111109</v>
      </c>
      <c r="E38" s="8">
        <v>0.75</v>
      </c>
      <c r="F38" s="5">
        <v>17611</v>
      </c>
      <c r="G38" s="5" t="s">
        <v>8</v>
      </c>
      <c r="H38" s="5">
        <f t="shared" si="8"/>
        <v>0.23404255319148937</v>
      </c>
      <c r="I38" s="5">
        <f t="shared" si="9"/>
        <v>6.5076026784813848E-2</v>
      </c>
      <c r="J38" s="5" t="str">
        <f t="shared" si="10"/>
        <v>HIGH</v>
      </c>
      <c r="K38" s="8">
        <f t="shared" si="11"/>
        <v>0</v>
      </c>
      <c r="L38" s="8">
        <f t="shared" si="12"/>
        <v>-0.73456878016154581</v>
      </c>
      <c r="M38" s="5" t="str">
        <f t="shared" si="13"/>
        <v>LOW</v>
      </c>
      <c r="N38" s="5" cm="1">
        <f t="array" aca="1" ref="N38" ca="1">INDEX($N$2:$N$15,RANDBETWEEN(1, ROWS($N$2:$N$15)))</f>
        <v>9</v>
      </c>
      <c r="O38" s="5" cm="1">
        <f t="array" aca="1" ref="O38" ca="1">INDEX($O$2:$O$15,RANDBETWEEN(1, ROWS($O$2:$O$15)))</f>
        <v>3</v>
      </c>
      <c r="P38" s="5">
        <f t="shared" ca="1" si="14"/>
        <v>7.4566929133858268</v>
      </c>
      <c r="Q38" s="5">
        <f t="shared" ca="1" si="15"/>
        <v>4.3622047244094491</v>
      </c>
      <c r="R38" s="5" cm="1">
        <f t="array" aca="1" ref="R38" ca="1">INDEX($C$2:$C$128, RANDBETWEEN(1,128))</f>
        <v>20</v>
      </c>
      <c r="S38" s="5" cm="1">
        <f t="array" aca="1" ref="S38" ca="1">INDEX($E$2:$E$129, RANDBETWEEN(1,129))</f>
        <v>0.85</v>
      </c>
      <c r="T38" s="5"/>
      <c r="U38" s="5"/>
      <c r="V38" s="5"/>
      <c r="X38" s="13" t="s">
        <v>41</v>
      </c>
      <c r="Y38" s="5" t="s">
        <v>1340</v>
      </c>
    </row>
    <row r="39" spans="1:25" x14ac:dyDescent="0.35">
      <c r="A39" s="5">
        <v>546530</v>
      </c>
      <c r="B39" s="5">
        <v>15036</v>
      </c>
      <c r="C39" s="5">
        <v>12</v>
      </c>
      <c r="D39" s="6">
        <v>40616.559027777781</v>
      </c>
      <c r="E39" s="8">
        <v>0.75</v>
      </c>
      <c r="F39" s="5">
        <v>17404</v>
      </c>
      <c r="G39" s="5" t="s">
        <v>18</v>
      </c>
      <c r="H39" s="5">
        <f t="shared" si="8"/>
        <v>0.23404255319148937</v>
      </c>
      <c r="I39" s="5">
        <f t="shared" si="9"/>
        <v>6.5076026784813848E-2</v>
      </c>
      <c r="J39" s="5" t="str">
        <f t="shared" si="10"/>
        <v>HIGH</v>
      </c>
      <c r="K39" s="8">
        <f t="shared" si="11"/>
        <v>0</v>
      </c>
      <c r="L39" s="8">
        <f t="shared" si="12"/>
        <v>-0.73456878016154581</v>
      </c>
      <c r="M39" s="5" t="str">
        <f t="shared" si="13"/>
        <v>LOW</v>
      </c>
      <c r="N39" s="5" cm="1">
        <f t="array" aca="1" ref="N39" ca="1">INDEX($N$2:$N$15,RANDBETWEEN(1, ROWS($N$2:$N$15)))</f>
        <v>2</v>
      </c>
      <c r="O39" s="5" cm="1">
        <f t="array" aca="1" ref="O39" ca="1">INDEX($O$2:$O$15,RANDBETWEEN(1, ROWS($O$2:$O$15)))</f>
        <v>5</v>
      </c>
      <c r="P39" s="5">
        <f t="shared" ca="1" si="14"/>
        <v>7.4566929133858268</v>
      </c>
      <c r="Q39" s="5">
        <f t="shared" ca="1" si="15"/>
        <v>4.3622047244094491</v>
      </c>
      <c r="R39" s="5" cm="1">
        <f t="array" aca="1" ref="R39" ca="1">INDEX($C$2:$C$128, RANDBETWEEN(1,128))</f>
        <v>11</v>
      </c>
      <c r="S39" s="5" cm="1">
        <f t="array" aca="1" ref="S39" ca="1">INDEX($E$2:$E$129, RANDBETWEEN(1,129))</f>
        <v>0.85</v>
      </c>
      <c r="T39" s="5"/>
      <c r="U39" s="5"/>
      <c r="V39" s="5"/>
      <c r="X39" s="13"/>
      <c r="Y39" s="5"/>
    </row>
    <row r="40" spans="1:25" x14ac:dyDescent="0.35">
      <c r="A40" s="5">
        <v>546731</v>
      </c>
      <c r="B40" s="5">
        <v>15036</v>
      </c>
      <c r="C40" s="5">
        <v>12</v>
      </c>
      <c r="D40" s="6">
        <v>40618.48541666667</v>
      </c>
      <c r="E40" s="8">
        <v>0.75</v>
      </c>
      <c r="F40" s="5">
        <v>13089</v>
      </c>
      <c r="G40" s="5" t="s">
        <v>8</v>
      </c>
      <c r="H40" s="5">
        <f t="shared" si="8"/>
        <v>0.23404255319148937</v>
      </c>
      <c r="I40" s="5">
        <f t="shared" si="9"/>
        <v>6.5076026784813848E-2</v>
      </c>
      <c r="J40" s="5" t="str">
        <f t="shared" si="10"/>
        <v>HIGH</v>
      </c>
      <c r="K40" s="8">
        <f t="shared" si="11"/>
        <v>0</v>
      </c>
      <c r="L40" s="8">
        <f t="shared" si="12"/>
        <v>-0.73456878016154581</v>
      </c>
      <c r="M40" s="5" t="str">
        <f t="shared" si="13"/>
        <v>LOW</v>
      </c>
      <c r="N40" s="5" cm="1">
        <f t="array" aca="1" ref="N40" ca="1">INDEX($N$2:$N$15,RANDBETWEEN(1, ROWS($N$2:$N$15)))</f>
        <v>2</v>
      </c>
      <c r="O40" s="5" cm="1">
        <f t="array" aca="1" ref="O40" ca="1">INDEX($O$2:$O$15,RANDBETWEEN(1, ROWS($O$2:$O$15)))</f>
        <v>5</v>
      </c>
      <c r="P40" s="5">
        <f t="shared" ca="1" si="14"/>
        <v>7.4566929133858268</v>
      </c>
      <c r="Q40" s="5">
        <f t="shared" ca="1" si="15"/>
        <v>4.3622047244094491</v>
      </c>
      <c r="R40" s="5" cm="1">
        <f t="array" aca="1" ref="R40" ca="1">INDEX($C$2:$C$128, RANDBETWEEN(1,128))</f>
        <v>4</v>
      </c>
      <c r="S40" s="5" cm="1">
        <f t="array" aca="1" ref="S40" ca="1">INDEX($E$2:$E$129, RANDBETWEEN(1,129))</f>
        <v>1.63</v>
      </c>
      <c r="T40" s="5"/>
      <c r="U40" s="5"/>
      <c r="V40" s="5"/>
      <c r="X40" s="13" t="s">
        <v>42</v>
      </c>
      <c r="Y40" s="5" t="s">
        <v>1341</v>
      </c>
    </row>
    <row r="41" spans="1:25" x14ac:dyDescent="0.35">
      <c r="A41" s="5">
        <v>546731</v>
      </c>
      <c r="B41" s="5">
        <v>15036</v>
      </c>
      <c r="C41" s="5">
        <v>24</v>
      </c>
      <c r="D41" s="6">
        <v>40618.48541666667</v>
      </c>
      <c r="E41" s="8">
        <v>0.75</v>
      </c>
      <c r="F41" s="5">
        <v>13089</v>
      </c>
      <c r="G41" s="5" t="s">
        <v>8</v>
      </c>
      <c r="H41" s="5">
        <f t="shared" si="8"/>
        <v>0.48936170212765956</v>
      </c>
      <c r="I41" s="5">
        <f t="shared" si="9"/>
        <v>1.1549206951370801</v>
      </c>
      <c r="J41" s="5" t="str">
        <f t="shared" si="10"/>
        <v>HIGH</v>
      </c>
      <c r="K41" s="8">
        <f t="shared" si="11"/>
        <v>0</v>
      </c>
      <c r="L41" s="8">
        <f t="shared" si="12"/>
        <v>-0.73456878016154581</v>
      </c>
      <c r="M41" s="5" t="str">
        <f t="shared" si="13"/>
        <v>LOW</v>
      </c>
      <c r="N41" s="5" cm="1">
        <f t="array" aca="1" ref="N41" ca="1">INDEX($N$2:$N$15,RANDBETWEEN(1, ROWS($N$2:$N$15)))</f>
        <v>11</v>
      </c>
      <c r="O41" s="5" cm="1">
        <f t="array" aca="1" ref="O41" ca="1">INDEX($O$2:$O$15,RANDBETWEEN(1, ROWS($O$2:$O$15)))</f>
        <v>4</v>
      </c>
      <c r="P41" s="5">
        <f t="shared" ca="1" si="14"/>
        <v>7.4566929133858268</v>
      </c>
      <c r="Q41" s="5">
        <f t="shared" ca="1" si="15"/>
        <v>4.3622047244094491</v>
      </c>
      <c r="R41" s="5" cm="1">
        <f t="array" aca="1" ref="R41" ca="1">INDEX($C$2:$C$128, RANDBETWEEN(1,128))</f>
        <v>20</v>
      </c>
      <c r="S41" s="5" cm="1">
        <f t="array" aca="1" ref="S41" ca="1">INDEX($E$2:$E$129, RANDBETWEEN(1,129))</f>
        <v>0.85</v>
      </c>
      <c r="T41" s="5"/>
      <c r="U41" s="5"/>
      <c r="V41" s="5"/>
      <c r="X41" s="13" t="s">
        <v>43</v>
      </c>
      <c r="Y41" s="5" t="s">
        <v>1342</v>
      </c>
    </row>
    <row r="42" spans="1:25" x14ac:dyDescent="0.35">
      <c r="A42" s="5">
        <v>546774</v>
      </c>
      <c r="B42" s="5">
        <v>15036</v>
      </c>
      <c r="C42" s="5">
        <v>12</v>
      </c>
      <c r="D42" s="6">
        <v>40618.65625</v>
      </c>
      <c r="E42" s="8">
        <v>0.75</v>
      </c>
      <c r="F42" s="5">
        <v>14505</v>
      </c>
      <c r="G42" s="5" t="s">
        <v>8</v>
      </c>
      <c r="H42" s="5">
        <f t="shared" si="8"/>
        <v>0.23404255319148937</v>
      </c>
      <c r="I42" s="5">
        <f t="shared" si="9"/>
        <v>6.5076026784813848E-2</v>
      </c>
      <c r="J42" s="5" t="str">
        <f t="shared" si="10"/>
        <v>HIGH</v>
      </c>
      <c r="K42" s="8">
        <f t="shared" si="11"/>
        <v>0</v>
      </c>
      <c r="L42" s="8">
        <f t="shared" si="12"/>
        <v>-0.73456878016154581</v>
      </c>
      <c r="M42" s="5" t="str">
        <f t="shared" si="13"/>
        <v>LOW</v>
      </c>
      <c r="N42" s="5" cm="1">
        <f t="array" aca="1" ref="N42" ca="1">INDEX($N$2:$N$15,RANDBETWEEN(1, ROWS($N$2:$N$15)))</f>
        <v>2</v>
      </c>
      <c r="O42" s="5" cm="1">
        <f t="array" aca="1" ref="O42" ca="1">INDEX($O$2:$O$15,RANDBETWEEN(1, ROWS($O$2:$O$15)))</f>
        <v>4</v>
      </c>
      <c r="P42" s="5">
        <f t="shared" ca="1" si="14"/>
        <v>7.4566929133858268</v>
      </c>
      <c r="Q42" s="5">
        <f t="shared" ca="1" si="15"/>
        <v>4.3622047244094491</v>
      </c>
      <c r="R42" s="5" cm="1">
        <f t="array" aca="1" ref="R42" ca="1">INDEX($C$2:$C$128, RANDBETWEEN(1,128))</f>
        <v>6</v>
      </c>
      <c r="S42" s="5" cm="1">
        <f t="array" aca="1" ref="S42" ca="1">INDEX($E$2:$E$129, RANDBETWEEN(1,129))</f>
        <v>0.79</v>
      </c>
      <c r="T42" s="5"/>
      <c r="U42" s="5"/>
      <c r="V42" s="5"/>
      <c r="X42" s="13"/>
      <c r="Y42" s="5"/>
    </row>
    <row r="43" spans="1:25" x14ac:dyDescent="0.35">
      <c r="A43" s="5">
        <v>546884</v>
      </c>
      <c r="B43" s="5">
        <v>15036</v>
      </c>
      <c r="C43" s="5">
        <v>1</v>
      </c>
      <c r="D43" s="6">
        <v>40619.755555555559</v>
      </c>
      <c r="E43" s="8">
        <v>1.63</v>
      </c>
      <c r="F43" s="5" t="s">
        <v>1331</v>
      </c>
      <c r="G43" s="5" t="s">
        <v>8</v>
      </c>
      <c r="H43" s="5">
        <f t="shared" si="8"/>
        <v>0</v>
      </c>
      <c r="I43" s="5">
        <f t="shared" si="9"/>
        <v>-0.93394825253809688</v>
      </c>
      <c r="J43" s="5" t="str">
        <f t="shared" si="10"/>
        <v>LOW</v>
      </c>
      <c r="K43" s="8">
        <f t="shared" si="11"/>
        <v>0.96703296703296704</v>
      </c>
      <c r="L43" s="8">
        <f t="shared" si="12"/>
        <v>1.9352005489719497</v>
      </c>
      <c r="M43" s="5" t="str">
        <f t="shared" si="13"/>
        <v>HIGH</v>
      </c>
      <c r="N43" s="5" cm="1">
        <f t="array" aca="1" ref="N43" ca="1">INDEX($N$2:$N$15,RANDBETWEEN(1, ROWS($N$2:$N$15)))</f>
        <v>9</v>
      </c>
      <c r="O43" s="5" cm="1">
        <f t="array" aca="1" ref="O43" ca="1">INDEX($O$2:$O$15,RANDBETWEEN(1, ROWS($O$2:$O$15)))</f>
        <v>5</v>
      </c>
      <c r="P43" s="5">
        <f t="shared" ca="1" si="14"/>
        <v>7.4566929133858268</v>
      </c>
      <c r="Q43" s="5">
        <f t="shared" ca="1" si="15"/>
        <v>4.3622047244094491</v>
      </c>
      <c r="R43" s="5" cm="1">
        <f t="array" aca="1" ref="R43" ca="1">INDEX($C$2:$C$128, RANDBETWEEN(1,128))</f>
        <v>2</v>
      </c>
      <c r="S43" s="5" cm="1">
        <f t="array" aca="1" ref="S43" ca="1">INDEX($E$2:$E$129, RANDBETWEEN(1,129))</f>
        <v>0.83</v>
      </c>
      <c r="T43" s="5"/>
      <c r="U43" s="5"/>
      <c r="V43" s="5"/>
      <c r="X43" s="13"/>
      <c r="Y43" s="5"/>
    </row>
    <row r="44" spans="1:25" x14ac:dyDescent="0.35">
      <c r="A44" s="5">
        <v>546891</v>
      </c>
      <c r="B44" s="5">
        <v>15036</v>
      </c>
      <c r="C44" s="5">
        <v>12</v>
      </c>
      <c r="D44" s="6">
        <v>40619.762499999997</v>
      </c>
      <c r="E44" s="8">
        <v>1.63</v>
      </c>
      <c r="F44" s="5" t="s">
        <v>1331</v>
      </c>
      <c r="G44" s="5" t="s">
        <v>8</v>
      </c>
      <c r="H44" s="5">
        <f t="shared" si="8"/>
        <v>0.23404255319148937</v>
      </c>
      <c r="I44" s="5">
        <f t="shared" si="9"/>
        <v>6.5076026784813848E-2</v>
      </c>
      <c r="J44" s="5" t="str">
        <f t="shared" si="10"/>
        <v>HIGH</v>
      </c>
      <c r="K44" s="8">
        <f t="shared" si="11"/>
        <v>0.96703296703296704</v>
      </c>
      <c r="L44" s="8">
        <f t="shared" si="12"/>
        <v>1.9352005489719497</v>
      </c>
      <c r="M44" s="5" t="str">
        <f t="shared" si="13"/>
        <v>HIGH</v>
      </c>
      <c r="N44" s="5" cm="1">
        <f t="array" aca="1" ref="N44" ca="1">INDEX($N$2:$N$15,RANDBETWEEN(1, ROWS($N$2:$N$15)))</f>
        <v>8</v>
      </c>
      <c r="O44" s="5" cm="1">
        <f t="array" aca="1" ref="O44" ca="1">INDEX($O$2:$O$15,RANDBETWEEN(1, ROWS($O$2:$O$15)))</f>
        <v>4</v>
      </c>
      <c r="P44" s="5">
        <f t="shared" ca="1" si="14"/>
        <v>7.4566929133858268</v>
      </c>
      <c r="Q44" s="5">
        <f t="shared" ca="1" si="15"/>
        <v>4.3622047244094491</v>
      </c>
      <c r="R44" s="5" cm="1">
        <f t="array" aca="1" ref="R44" ca="1">INDEX($C$2:$C$128, RANDBETWEEN(1,128))</f>
        <v>2</v>
      </c>
      <c r="S44" s="5" cm="1">
        <f t="array" aca="1" ref="S44" ca="1">INDEX($E$2:$E$129, RANDBETWEEN(1,129))</f>
        <v>0.85</v>
      </c>
      <c r="T44" s="5"/>
      <c r="U44" s="5"/>
      <c r="V44" s="5"/>
      <c r="X44" s="13" t="s">
        <v>44</v>
      </c>
      <c r="Y44" s="5">
        <f>_xlfn.STDEV.S(C:C)</f>
        <v>11.010743410015277</v>
      </c>
    </row>
    <row r="45" spans="1:25" x14ac:dyDescent="0.35">
      <c r="A45" s="5">
        <v>546892</v>
      </c>
      <c r="B45" s="5">
        <v>15036</v>
      </c>
      <c r="C45" s="5">
        <v>4</v>
      </c>
      <c r="D45" s="6">
        <v>40619.763888888891</v>
      </c>
      <c r="E45" s="8">
        <v>1.63</v>
      </c>
      <c r="F45" s="5" t="s">
        <v>1331</v>
      </c>
      <c r="G45" s="5" t="s">
        <v>8</v>
      </c>
      <c r="H45" s="5">
        <f t="shared" si="8"/>
        <v>6.3829787234042548E-2</v>
      </c>
      <c r="I45" s="5">
        <f t="shared" si="9"/>
        <v>-0.66148708545003032</v>
      </c>
      <c r="J45" s="5" t="str">
        <f t="shared" si="10"/>
        <v>LOW</v>
      </c>
      <c r="K45" s="8">
        <f t="shared" si="11"/>
        <v>0.96703296703296704</v>
      </c>
      <c r="L45" s="8">
        <f t="shared" si="12"/>
        <v>1.9352005489719497</v>
      </c>
      <c r="M45" s="5" t="str">
        <f t="shared" si="13"/>
        <v>HIGH</v>
      </c>
      <c r="N45" s="5" cm="1">
        <f t="array" aca="1" ref="N45" ca="1">INDEX($N$2:$N$15,RANDBETWEEN(1, ROWS($N$2:$N$15)))</f>
        <v>9</v>
      </c>
      <c r="O45" s="5" cm="1">
        <f t="array" aca="1" ref="O45" ca="1">INDEX($O$2:$O$15,RANDBETWEEN(1, ROWS($O$2:$O$15)))</f>
        <v>3</v>
      </c>
      <c r="P45" s="5">
        <f t="shared" ca="1" si="14"/>
        <v>7.4566929133858268</v>
      </c>
      <c r="Q45" s="5">
        <f t="shared" ca="1" si="15"/>
        <v>4.3622047244094491</v>
      </c>
      <c r="R45" s="5" cm="1">
        <f t="array" aca="1" ref="R45" ca="1">INDEX($C$2:$C$128, RANDBETWEEN(1,128))</f>
        <v>5</v>
      </c>
      <c r="S45" s="5" cm="1">
        <f t="array" aca="1" ref="S45" ca="1">INDEX($E$2:$E$129, RANDBETWEEN(1,129))</f>
        <v>0.75</v>
      </c>
      <c r="T45" s="5"/>
      <c r="U45" s="5"/>
      <c r="V45" s="5"/>
      <c r="X45" s="13" t="s">
        <v>45</v>
      </c>
      <c r="Y45" s="5">
        <f>_xlfn.STDEV.S(E:E)</f>
        <v>0.32961649173099689</v>
      </c>
    </row>
    <row r="46" spans="1:25" x14ac:dyDescent="0.35">
      <c r="A46" s="5">
        <v>546896</v>
      </c>
      <c r="B46" s="5">
        <v>15036</v>
      </c>
      <c r="C46" s="5">
        <v>17</v>
      </c>
      <c r="D46" s="6">
        <v>40619.76666666667</v>
      </c>
      <c r="E46" s="12">
        <v>0.99</v>
      </c>
      <c r="F46" s="5" t="s">
        <v>1331</v>
      </c>
      <c r="G46" s="5" t="s">
        <v>8</v>
      </c>
      <c r="H46" s="5">
        <f t="shared" si="8"/>
        <v>0.34042553191489361</v>
      </c>
      <c r="I46" s="5">
        <f t="shared" si="9"/>
        <v>0.51917797193159143</v>
      </c>
      <c r="J46" s="5" t="str">
        <f t="shared" si="10"/>
        <v>HIGH</v>
      </c>
      <c r="K46" s="8">
        <f t="shared" si="11"/>
        <v>0.26373626373626374</v>
      </c>
      <c r="L46" s="8">
        <f t="shared" si="12"/>
        <v>-6.4498722160469908E-3</v>
      </c>
      <c r="M46" s="5" t="str">
        <f t="shared" si="13"/>
        <v>LOW</v>
      </c>
      <c r="N46" s="5" cm="1">
        <f t="array" aca="1" ref="N46" ca="1">INDEX($N$2:$N$15,RANDBETWEEN(1, ROWS($N$2:$N$15)))</f>
        <v>2</v>
      </c>
      <c r="O46" s="5" cm="1">
        <f t="array" aca="1" ref="O46" ca="1">INDEX($O$2:$O$15,RANDBETWEEN(1, ROWS($O$2:$O$15)))</f>
        <v>4</v>
      </c>
      <c r="P46" s="5">
        <f t="shared" ca="1" si="14"/>
        <v>7.4566929133858268</v>
      </c>
      <c r="Q46" s="5">
        <f t="shared" ca="1" si="15"/>
        <v>4.3622047244094491</v>
      </c>
      <c r="R46" s="5" cm="1">
        <f t="array" aca="1" ref="R46" ca="1">INDEX($C$2:$C$128, RANDBETWEEN(1,128))</f>
        <v>5</v>
      </c>
      <c r="S46" s="5" cm="1">
        <f t="array" aca="1" ref="S46" ca="1">INDEX($E$2:$E$129, RANDBETWEEN(1,129))</f>
        <v>0.83</v>
      </c>
      <c r="T46" s="5"/>
      <c r="U46" s="5"/>
      <c r="V46" s="5"/>
      <c r="X46" s="13"/>
      <c r="Y46" s="5"/>
    </row>
    <row r="47" spans="1:25" x14ac:dyDescent="0.35">
      <c r="A47" s="5">
        <v>547000</v>
      </c>
      <c r="B47" s="5">
        <v>15036</v>
      </c>
      <c r="C47" s="5">
        <v>12</v>
      </c>
      <c r="D47" s="6">
        <v>40620.57708333333</v>
      </c>
      <c r="E47" s="8">
        <v>0.75</v>
      </c>
      <c r="F47" s="5">
        <v>14282</v>
      </c>
      <c r="G47" s="5" t="s">
        <v>8</v>
      </c>
      <c r="H47" s="5">
        <f t="shared" si="8"/>
        <v>0.23404255319148937</v>
      </c>
      <c r="I47" s="5">
        <f t="shared" si="9"/>
        <v>6.5076026784813848E-2</v>
      </c>
      <c r="J47" s="5" t="str">
        <f t="shared" si="10"/>
        <v>HIGH</v>
      </c>
      <c r="K47" s="8">
        <f t="shared" si="11"/>
        <v>0</v>
      </c>
      <c r="L47" s="8">
        <f t="shared" si="12"/>
        <v>-0.73456878016154581</v>
      </c>
      <c r="M47" s="5" t="str">
        <f t="shared" si="13"/>
        <v>LOW</v>
      </c>
      <c r="N47" s="5" cm="1">
        <f t="array" aca="1" ref="N47" ca="1">INDEX($N$2:$N$15,RANDBETWEEN(1, ROWS($N$2:$N$15)))</f>
        <v>12</v>
      </c>
      <c r="O47" s="5" cm="1">
        <f t="array" aca="1" ref="O47" ca="1">INDEX($O$2:$O$15,RANDBETWEEN(1, ROWS($O$2:$O$15)))</f>
        <v>5</v>
      </c>
      <c r="P47" s="5">
        <f t="shared" ca="1" si="14"/>
        <v>7.4566929133858268</v>
      </c>
      <c r="Q47" s="5">
        <f t="shared" ca="1" si="15"/>
        <v>4.3622047244094491</v>
      </c>
      <c r="R47" s="5" cm="1">
        <f t="array" aca="1" ref="R47" ca="1">INDEX($C$2:$C$128, RANDBETWEEN(1,128))</f>
        <v>20</v>
      </c>
      <c r="S47" s="5" cm="1">
        <f t="array" aca="1" ref="S47" ca="1">INDEX($E$2:$E$129, RANDBETWEEN(1,129))</f>
        <v>0.85</v>
      </c>
      <c r="T47" s="5"/>
      <c r="U47" s="5"/>
      <c r="V47" s="5"/>
      <c r="X47" s="13" t="s">
        <v>46</v>
      </c>
      <c r="Y47" s="5">
        <f>($C$2-$Y$21)/$Y$44</f>
        <v>3.3346100318416125</v>
      </c>
    </row>
    <row r="48" spans="1:25" x14ac:dyDescent="0.35">
      <c r="A48" s="5">
        <v>547062</v>
      </c>
      <c r="B48" s="5">
        <v>15036</v>
      </c>
      <c r="C48" s="5">
        <v>12</v>
      </c>
      <c r="D48" s="6">
        <v>40622.561111111114</v>
      </c>
      <c r="E48" s="8">
        <v>0.75</v>
      </c>
      <c r="F48" s="5">
        <v>16728</v>
      </c>
      <c r="G48" s="5" t="s">
        <v>8</v>
      </c>
      <c r="H48" s="5">
        <f t="shared" si="8"/>
        <v>0.23404255319148937</v>
      </c>
      <c r="I48" s="5">
        <f t="shared" si="9"/>
        <v>6.5076026784813848E-2</v>
      </c>
      <c r="J48" s="5" t="str">
        <f t="shared" si="10"/>
        <v>HIGH</v>
      </c>
      <c r="K48" s="8">
        <f t="shared" si="11"/>
        <v>0</v>
      </c>
      <c r="L48" s="8">
        <f t="shared" si="12"/>
        <v>-0.73456878016154581</v>
      </c>
      <c r="M48" s="5" t="str">
        <f t="shared" si="13"/>
        <v>LOW</v>
      </c>
      <c r="N48" s="5" cm="1">
        <f t="array" aca="1" ref="N48" ca="1">INDEX($N$2:$N$15,RANDBETWEEN(1, ROWS($N$2:$N$15)))</f>
        <v>4</v>
      </c>
      <c r="O48" s="5" cm="1">
        <f t="array" aca="1" ref="O48" ca="1">INDEX($O$2:$O$15,RANDBETWEEN(1, ROWS($O$2:$O$15)))</f>
        <v>4</v>
      </c>
      <c r="P48" s="5">
        <f t="shared" ca="1" si="14"/>
        <v>7.4566929133858268</v>
      </c>
      <c r="Q48" s="5">
        <f t="shared" ca="1" si="15"/>
        <v>4.3622047244094491</v>
      </c>
      <c r="R48" s="5" cm="1">
        <f t="array" aca="1" ref="R48" ca="1">INDEX($C$2:$C$128, RANDBETWEEN(1,128))</f>
        <v>24</v>
      </c>
      <c r="S48" s="5" cm="1">
        <f t="array" aca="1" ref="S48" ca="1">INDEX($E$2:$E$129, RANDBETWEEN(1,129))</f>
        <v>0.83</v>
      </c>
      <c r="T48" s="5"/>
      <c r="U48" s="5"/>
      <c r="V48" s="5"/>
      <c r="X48" s="13" t="s">
        <v>47</v>
      </c>
      <c r="Y48" s="8">
        <f>($E$2-$Y$22)/$Y$45</f>
        <v>-0.43118590185092137</v>
      </c>
    </row>
    <row r="49" spans="1:22" x14ac:dyDescent="0.35">
      <c r="A49" s="5">
        <v>547078</v>
      </c>
      <c r="B49" s="5">
        <v>15036</v>
      </c>
      <c r="C49" s="5">
        <v>24</v>
      </c>
      <c r="D49" s="6">
        <v>40622.611805555556</v>
      </c>
      <c r="E49" s="8">
        <v>0.75</v>
      </c>
      <c r="F49" s="5">
        <v>14408</v>
      </c>
      <c r="G49" s="5" t="s">
        <v>8</v>
      </c>
      <c r="H49" s="5">
        <f t="shared" si="8"/>
        <v>0.48936170212765956</v>
      </c>
      <c r="I49" s="5">
        <f t="shared" si="9"/>
        <v>1.1549206951370801</v>
      </c>
      <c r="J49" s="5" t="str">
        <f t="shared" si="10"/>
        <v>HIGH</v>
      </c>
      <c r="K49" s="8">
        <f t="shared" si="11"/>
        <v>0</v>
      </c>
      <c r="L49" s="8">
        <f t="shared" si="12"/>
        <v>-0.73456878016154581</v>
      </c>
      <c r="M49" s="5" t="str">
        <f t="shared" si="13"/>
        <v>LOW</v>
      </c>
      <c r="N49" s="5" cm="1">
        <f t="array" aca="1" ref="N49" ca="1">INDEX($N$2:$N$15,RANDBETWEEN(1, ROWS($N$2:$N$15)))</f>
        <v>4</v>
      </c>
      <c r="O49" s="5" cm="1">
        <f t="array" aca="1" ref="O49" ca="1">INDEX($O$2:$O$15,RANDBETWEEN(1, ROWS($O$2:$O$15)))</f>
        <v>5</v>
      </c>
      <c r="P49" s="5">
        <f t="shared" ca="1" si="14"/>
        <v>7.4566929133858268</v>
      </c>
      <c r="Q49" s="5">
        <f t="shared" ca="1" si="15"/>
        <v>4.3622047244094491</v>
      </c>
      <c r="R49" s="5" cm="1">
        <f t="array" aca="1" ref="R49" ca="1">INDEX($C$2:$C$128, RANDBETWEEN(1,128))</f>
        <v>5</v>
      </c>
      <c r="S49" s="5" cm="1">
        <f t="array" aca="1" ref="S49" ca="1">INDEX($E$2:$E$129, RANDBETWEEN(1,129))</f>
        <v>0.83</v>
      </c>
      <c r="T49" s="5"/>
      <c r="U49" s="5"/>
      <c r="V49" s="5"/>
    </row>
    <row r="50" spans="1:22" x14ac:dyDescent="0.35">
      <c r="A50" s="5">
        <v>547200</v>
      </c>
      <c r="B50" s="5">
        <v>15036</v>
      </c>
      <c r="C50" s="5">
        <v>24</v>
      </c>
      <c r="D50" s="6">
        <v>40623.542361111111</v>
      </c>
      <c r="E50" s="8">
        <v>0.75</v>
      </c>
      <c r="F50" s="5">
        <v>16036</v>
      </c>
      <c r="G50" s="5" t="s">
        <v>8</v>
      </c>
      <c r="H50" s="5">
        <f t="shared" si="8"/>
        <v>0.48936170212765956</v>
      </c>
      <c r="I50" s="5">
        <f t="shared" si="9"/>
        <v>1.1549206951370801</v>
      </c>
      <c r="J50" s="5" t="str">
        <f t="shared" si="10"/>
        <v>HIGH</v>
      </c>
      <c r="K50" s="8">
        <f t="shared" si="11"/>
        <v>0</v>
      </c>
      <c r="L50" s="8">
        <f t="shared" si="12"/>
        <v>-0.73456878016154581</v>
      </c>
      <c r="M50" s="5" t="str">
        <f t="shared" si="13"/>
        <v>LOW</v>
      </c>
      <c r="N50" s="5" cm="1">
        <f t="array" aca="1" ref="N50" ca="1">INDEX($N$2:$N$15,RANDBETWEEN(1, ROWS($N$2:$N$15)))</f>
        <v>12</v>
      </c>
      <c r="O50" s="5" cm="1">
        <f t="array" aca="1" ref="O50" ca="1">INDEX($O$2:$O$15,RANDBETWEEN(1, ROWS($O$2:$O$15)))</f>
        <v>3</v>
      </c>
      <c r="P50" s="5">
        <f t="shared" ca="1" si="14"/>
        <v>7.4566929133858268</v>
      </c>
      <c r="Q50" s="5">
        <f t="shared" ca="1" si="15"/>
        <v>4.3622047244094491</v>
      </c>
      <c r="R50" s="5" t="e" cm="1">
        <f t="array" aca="1" ref="R50" ca="1">INDEX($C$2:$C$128, RANDBETWEEN(1,128))</f>
        <v>#REF!</v>
      </c>
      <c r="S50" s="5" cm="1">
        <f t="array" aca="1" ref="S50" ca="1">INDEX($E$2:$E$129, RANDBETWEEN(1,129))</f>
        <v>0.83</v>
      </c>
      <c r="T50" s="5"/>
      <c r="U50" s="5"/>
      <c r="V50" s="5"/>
    </row>
    <row r="51" spans="1:22" x14ac:dyDescent="0.35">
      <c r="A51" s="5">
        <v>547248</v>
      </c>
      <c r="B51" s="5">
        <v>15036</v>
      </c>
      <c r="C51" s="5">
        <v>11</v>
      </c>
      <c r="D51" s="6">
        <v>40624.390972222223</v>
      </c>
      <c r="E51" s="8">
        <v>1.63</v>
      </c>
      <c r="F51" s="5" t="s">
        <v>1331</v>
      </c>
      <c r="G51" s="5" t="s">
        <v>8</v>
      </c>
      <c r="H51" s="5">
        <f t="shared" si="8"/>
        <v>0.21276595744680851</v>
      </c>
      <c r="I51" s="5">
        <f t="shared" si="9"/>
        <v>-2.5744362244541675E-2</v>
      </c>
      <c r="J51" s="5" t="str">
        <f t="shared" si="10"/>
        <v>LOW</v>
      </c>
      <c r="K51" s="8">
        <f t="shared" si="11"/>
        <v>0.96703296703296704</v>
      </c>
      <c r="L51" s="8">
        <f t="shared" si="12"/>
        <v>1.9352005489719497</v>
      </c>
      <c r="M51" s="5" t="str">
        <f t="shared" si="13"/>
        <v>HIGH</v>
      </c>
      <c r="N51" s="5" cm="1">
        <f t="array" aca="1" ref="N51" ca="1">INDEX($N$2:$N$15,RANDBETWEEN(1, ROWS($N$2:$N$15)))</f>
        <v>4</v>
      </c>
      <c r="O51" s="5" cm="1">
        <f t="array" aca="1" ref="O51" ca="1">INDEX($O$2:$O$15,RANDBETWEEN(1, ROWS($O$2:$O$15)))</f>
        <v>7</v>
      </c>
      <c r="P51" s="5">
        <f t="shared" ca="1" si="14"/>
        <v>7.4566929133858268</v>
      </c>
      <c r="Q51" s="5">
        <f t="shared" ca="1" si="15"/>
        <v>4.3622047244094491</v>
      </c>
      <c r="R51" s="5" cm="1">
        <f t="array" aca="1" ref="R51" ca="1">INDEX($C$2:$C$128, RANDBETWEEN(1,128))</f>
        <v>12</v>
      </c>
      <c r="S51" s="5" cm="1">
        <f t="array" aca="1" ref="S51" ca="1">INDEX($E$2:$E$129, RANDBETWEEN(1,129))</f>
        <v>1.63</v>
      </c>
      <c r="T51" s="5"/>
      <c r="U51" s="5"/>
      <c r="V51" s="5"/>
    </row>
    <row r="52" spans="1:22" x14ac:dyDescent="0.35">
      <c r="A52" s="5">
        <v>547249</v>
      </c>
      <c r="B52" s="5">
        <v>15036</v>
      </c>
      <c r="C52" s="5">
        <v>12</v>
      </c>
      <c r="D52" s="6">
        <v>40624.393750000003</v>
      </c>
      <c r="E52" s="8">
        <v>1.63</v>
      </c>
      <c r="F52" s="5" t="s">
        <v>1331</v>
      </c>
      <c r="G52" s="5" t="s">
        <v>8</v>
      </c>
      <c r="H52" s="5">
        <f t="shared" si="8"/>
        <v>0.23404255319148937</v>
      </c>
      <c r="I52" s="5">
        <f t="shared" si="9"/>
        <v>6.5076026784813848E-2</v>
      </c>
      <c r="J52" s="5" t="str">
        <f t="shared" si="10"/>
        <v>HIGH</v>
      </c>
      <c r="K52" s="8">
        <f t="shared" si="11"/>
        <v>0.96703296703296704</v>
      </c>
      <c r="L52" s="8">
        <f t="shared" si="12"/>
        <v>1.9352005489719497</v>
      </c>
      <c r="M52" s="5" t="str">
        <f t="shared" si="13"/>
        <v>HIGH</v>
      </c>
      <c r="N52" s="5" cm="1">
        <f t="array" aca="1" ref="N52" ca="1">INDEX($N$2:$N$15,RANDBETWEEN(1, ROWS($N$2:$N$15)))</f>
        <v>12</v>
      </c>
      <c r="O52" s="5" cm="1">
        <f t="array" aca="1" ref="O52" ca="1">INDEX($O$2:$O$15,RANDBETWEEN(1, ROWS($O$2:$O$15)))</f>
        <v>7</v>
      </c>
      <c r="P52" s="5">
        <f t="shared" ca="1" si="14"/>
        <v>7.4566929133858268</v>
      </c>
      <c r="Q52" s="5">
        <f t="shared" ca="1" si="15"/>
        <v>4.3622047244094491</v>
      </c>
      <c r="R52" s="5" cm="1">
        <f t="array" aca="1" ref="R52" ca="1">INDEX($C$2:$C$128, RANDBETWEEN(1,128))</f>
        <v>4</v>
      </c>
      <c r="S52" s="5" cm="1">
        <f t="array" aca="1" ref="S52" ca="1">INDEX($E$2:$E$129, RANDBETWEEN(1,129))</f>
        <v>1.63</v>
      </c>
      <c r="T52" s="5"/>
      <c r="U52" s="5"/>
      <c r="V52" s="5"/>
    </row>
    <row r="53" spans="1:22" x14ac:dyDescent="0.35">
      <c r="A53" s="5">
        <v>547385</v>
      </c>
      <c r="B53" s="5">
        <v>15036</v>
      </c>
      <c r="C53" s="5">
        <v>22</v>
      </c>
      <c r="D53" s="6">
        <v>40624.658333333333</v>
      </c>
      <c r="E53" s="8">
        <v>1.63</v>
      </c>
      <c r="F53" s="5" t="s">
        <v>1331</v>
      </c>
      <c r="G53" s="5" t="s">
        <v>8</v>
      </c>
      <c r="H53" s="5">
        <f t="shared" si="8"/>
        <v>0.44680851063829785</v>
      </c>
      <c r="I53" s="5">
        <f t="shared" si="9"/>
        <v>0.97327991707836903</v>
      </c>
      <c r="J53" s="5" t="str">
        <f t="shared" si="10"/>
        <v>HIGH</v>
      </c>
      <c r="K53" s="8">
        <f t="shared" si="11"/>
        <v>0.96703296703296704</v>
      </c>
      <c r="L53" s="8">
        <f t="shared" si="12"/>
        <v>1.9352005489719497</v>
      </c>
      <c r="M53" s="5" t="str">
        <f t="shared" si="13"/>
        <v>HIGH</v>
      </c>
      <c r="N53" s="5" cm="1">
        <f t="array" aca="1" ref="N53" ca="1">INDEX($N$2:$N$15,RANDBETWEEN(1, ROWS($N$2:$N$15)))</f>
        <v>9</v>
      </c>
      <c r="O53" s="5" cm="1">
        <f t="array" aca="1" ref="O53" ca="1">INDEX($O$2:$O$15,RANDBETWEEN(1, ROWS($O$2:$O$15)))</f>
        <v>7</v>
      </c>
      <c r="P53" s="5">
        <f t="shared" ca="1" si="14"/>
        <v>7.4566929133858268</v>
      </c>
      <c r="Q53" s="5">
        <f t="shared" ca="1" si="15"/>
        <v>4.3622047244094491</v>
      </c>
      <c r="R53" s="5" cm="1">
        <f t="array" aca="1" ref="R53" ca="1">INDEX($C$2:$C$128, RANDBETWEEN(1,128))</f>
        <v>1</v>
      </c>
      <c r="S53" s="5" cm="1">
        <f t="array" aca="1" ref="S53" ca="1">INDEX($E$2:$E$129, RANDBETWEEN(1,129))</f>
        <v>0.85</v>
      </c>
      <c r="T53" s="5"/>
      <c r="U53" s="5"/>
      <c r="V53" s="5"/>
    </row>
    <row r="54" spans="1:22" x14ac:dyDescent="0.35">
      <c r="A54" s="5">
        <v>547386</v>
      </c>
      <c r="B54" s="5">
        <v>15036</v>
      </c>
      <c r="C54" s="5">
        <v>6</v>
      </c>
      <c r="D54" s="6">
        <v>40624.661111111112</v>
      </c>
      <c r="E54" s="8">
        <v>1.63</v>
      </c>
      <c r="F54" s="5" t="s">
        <v>1331</v>
      </c>
      <c r="G54" s="5" t="s">
        <v>8</v>
      </c>
      <c r="H54" s="5">
        <f t="shared" si="8"/>
        <v>0.10638297872340426</v>
      </c>
      <c r="I54" s="5">
        <f t="shared" si="9"/>
        <v>-0.47984630739131928</v>
      </c>
      <c r="J54" s="5" t="str">
        <f t="shared" si="10"/>
        <v>LOW</v>
      </c>
      <c r="K54" s="8">
        <f t="shared" si="11"/>
        <v>0.96703296703296704</v>
      </c>
      <c r="L54" s="8">
        <f t="shared" si="12"/>
        <v>1.9352005489719497</v>
      </c>
      <c r="M54" s="5" t="str">
        <f t="shared" si="13"/>
        <v>HIGH</v>
      </c>
      <c r="N54" s="5" cm="1">
        <f t="array" aca="1" ref="N54" ca="1">INDEX($N$2:$N$15,RANDBETWEEN(1, ROWS($N$2:$N$15)))</f>
        <v>9</v>
      </c>
      <c r="O54" s="5" cm="1">
        <f t="array" aca="1" ref="O54" ca="1">INDEX($O$2:$O$15,RANDBETWEEN(1, ROWS($O$2:$O$15)))</f>
        <v>5</v>
      </c>
      <c r="P54" s="5">
        <f t="shared" ca="1" si="14"/>
        <v>7.4566929133858268</v>
      </c>
      <c r="Q54" s="5">
        <f t="shared" ca="1" si="15"/>
        <v>4.3622047244094491</v>
      </c>
      <c r="R54" s="5" cm="1">
        <f t="array" aca="1" ref="R54" ca="1">INDEX($C$2:$C$128, RANDBETWEEN(1,128))</f>
        <v>24</v>
      </c>
      <c r="S54" s="5" cm="1">
        <f t="array" aca="1" ref="S54" ca="1">INDEX($E$2:$E$129, RANDBETWEEN(1,129))</f>
        <v>0.81</v>
      </c>
      <c r="T54" s="5"/>
      <c r="U54" s="5"/>
      <c r="V54" s="5"/>
    </row>
    <row r="55" spans="1:22" x14ac:dyDescent="0.35">
      <c r="A55" s="5">
        <v>547862</v>
      </c>
      <c r="B55" s="5" t="s">
        <v>1331</v>
      </c>
      <c r="C55" s="5">
        <v>12</v>
      </c>
      <c r="D55" s="6">
        <v>40629.537499999999</v>
      </c>
      <c r="E55" s="8">
        <v>0.75</v>
      </c>
      <c r="F55" s="5">
        <v>12841</v>
      </c>
      <c r="G55" s="5" t="s">
        <v>8</v>
      </c>
      <c r="H55" s="5">
        <f t="shared" si="8"/>
        <v>0.23404255319148937</v>
      </c>
      <c r="I55" s="5">
        <f t="shared" si="9"/>
        <v>6.5076026784813848E-2</v>
      </c>
      <c r="J55" s="5" t="str">
        <f t="shared" si="10"/>
        <v>HIGH</v>
      </c>
      <c r="K55" s="8">
        <f t="shared" si="11"/>
        <v>0</v>
      </c>
      <c r="L55" s="8">
        <f t="shared" si="12"/>
        <v>-0.73456878016154581</v>
      </c>
      <c r="M55" s="5" t="str">
        <f t="shared" si="13"/>
        <v>LOW</v>
      </c>
      <c r="N55" s="5" cm="1">
        <f t="array" aca="1" ref="N55" ca="1">INDEX($N$2:$N$15,RANDBETWEEN(1, ROWS($N$2:$N$15)))</f>
        <v>2</v>
      </c>
      <c r="O55" s="5" cm="1">
        <f t="array" aca="1" ref="O55" ca="1">INDEX($O$2:$O$15,RANDBETWEEN(1, ROWS($O$2:$O$15)))</f>
        <v>4</v>
      </c>
      <c r="P55" s="5">
        <f t="shared" ca="1" si="14"/>
        <v>7.4566929133858268</v>
      </c>
      <c r="Q55" s="5">
        <f t="shared" ca="1" si="15"/>
        <v>4.3622047244094491</v>
      </c>
      <c r="R55" s="5" cm="1">
        <f t="array" aca="1" ref="R55" ca="1">INDEX($C$2:$C$128, RANDBETWEEN(1,128))</f>
        <v>24</v>
      </c>
      <c r="S55" s="5" cm="1">
        <f t="array" aca="1" ref="S55" ca="1">INDEX($E$2:$E$129, RANDBETWEEN(1,129))</f>
        <v>0.85</v>
      </c>
      <c r="T55" s="5"/>
      <c r="U55" s="5"/>
      <c r="V55" s="5"/>
    </row>
    <row r="56" spans="1:22" x14ac:dyDescent="0.35">
      <c r="A56" s="5">
        <v>547879</v>
      </c>
      <c r="B56" s="5">
        <v>15036</v>
      </c>
      <c r="C56" s="5">
        <v>12</v>
      </c>
      <c r="D56" s="6">
        <v>40629.668749999997</v>
      </c>
      <c r="E56" s="8">
        <v>0.75</v>
      </c>
      <c r="F56" s="5">
        <v>12877</v>
      </c>
      <c r="G56" s="5" t="s">
        <v>8</v>
      </c>
      <c r="H56" s="5">
        <f t="shared" si="8"/>
        <v>0.23404255319148937</v>
      </c>
      <c r="I56" s="5">
        <f t="shared" si="9"/>
        <v>6.5076026784813848E-2</v>
      </c>
      <c r="J56" s="5" t="str">
        <f t="shared" si="10"/>
        <v>HIGH</v>
      </c>
      <c r="K56" s="8">
        <f t="shared" si="11"/>
        <v>0</v>
      </c>
      <c r="L56" s="8">
        <f t="shared" si="12"/>
        <v>-0.73456878016154581</v>
      </c>
      <c r="M56" s="5" t="str">
        <f t="shared" si="13"/>
        <v>LOW</v>
      </c>
      <c r="N56" s="5" cm="1">
        <f t="array" aca="1" ref="N56" ca="1">INDEX($N$2:$N$15,RANDBETWEEN(1, ROWS($N$2:$N$15)))</f>
        <v>8</v>
      </c>
      <c r="O56" s="5" cm="1">
        <f t="array" aca="1" ref="O56" ca="1">INDEX($O$2:$O$15,RANDBETWEEN(1, ROWS($O$2:$O$15)))</f>
        <v>4</v>
      </c>
      <c r="P56" s="5">
        <f t="shared" ca="1" si="14"/>
        <v>7.4566929133858268</v>
      </c>
      <c r="Q56" s="5">
        <f t="shared" ca="1" si="15"/>
        <v>4.3622047244094491</v>
      </c>
      <c r="R56" s="5" cm="1">
        <f t="array" aca="1" ref="R56" ca="1">INDEX($C$2:$C$128, RANDBETWEEN(1,128))</f>
        <v>24</v>
      </c>
      <c r="S56" s="5" cm="1">
        <f t="array" aca="1" ref="S56" ca="1">INDEX($E$2:$E$129, RANDBETWEEN(1,129))</f>
        <v>0.79</v>
      </c>
      <c r="T56" s="5"/>
      <c r="U56" s="5"/>
      <c r="V56" s="5"/>
    </row>
    <row r="57" spans="1:22" x14ac:dyDescent="0.35">
      <c r="A57" s="5">
        <v>547925</v>
      </c>
      <c r="B57" s="5">
        <v>15036</v>
      </c>
      <c r="C57" s="5">
        <v>24</v>
      </c>
      <c r="D57" s="6">
        <v>40630.581250000003</v>
      </c>
      <c r="E57" s="8">
        <v>0.75</v>
      </c>
      <c r="F57" s="5">
        <v>12481</v>
      </c>
      <c r="G57" s="5" t="s">
        <v>21</v>
      </c>
      <c r="H57" s="5">
        <f t="shared" si="8"/>
        <v>0.48936170212765956</v>
      </c>
      <c r="I57" s="5">
        <f t="shared" si="9"/>
        <v>1.1549206951370801</v>
      </c>
      <c r="J57" s="5" t="str">
        <f t="shared" si="10"/>
        <v>HIGH</v>
      </c>
      <c r="K57" s="8">
        <f t="shared" si="11"/>
        <v>0</v>
      </c>
      <c r="L57" s="8">
        <f t="shared" si="12"/>
        <v>-0.73456878016154581</v>
      </c>
      <c r="M57" s="5" t="str">
        <f t="shared" si="13"/>
        <v>LOW</v>
      </c>
      <c r="N57" s="5" cm="1">
        <f t="array" aca="1" ref="N57" ca="1">INDEX($N$2:$N$15,RANDBETWEEN(1, ROWS($N$2:$N$15)))</f>
        <v>11</v>
      </c>
      <c r="O57" s="5" cm="1">
        <f t="array" aca="1" ref="O57" ca="1">INDEX($O$2:$O$15,RANDBETWEEN(1, ROWS($O$2:$O$15)))</f>
        <v>4</v>
      </c>
      <c r="P57" s="5">
        <f t="shared" ca="1" si="14"/>
        <v>7.4566929133858268</v>
      </c>
      <c r="Q57" s="5">
        <f t="shared" ca="1" si="15"/>
        <v>4.3622047244094491</v>
      </c>
      <c r="R57" s="5" cm="1">
        <f t="array" aca="1" ref="R57" ca="1">INDEX($C$2:$C$128, RANDBETWEEN(1,128))</f>
        <v>12</v>
      </c>
      <c r="S57" s="5" cm="1">
        <f t="array" aca="1" ref="S57" ca="1">INDEX($E$2:$E$129, RANDBETWEEN(1,129))</f>
        <v>0.85</v>
      </c>
      <c r="T57" s="5"/>
      <c r="U57" s="5"/>
      <c r="V57" s="5"/>
    </row>
    <row r="58" spans="1:22" x14ac:dyDescent="0.35">
      <c r="A58" s="5">
        <v>547967</v>
      </c>
      <c r="B58" s="5">
        <v>15036</v>
      </c>
      <c r="C58" s="5">
        <v>4</v>
      </c>
      <c r="D58" s="6">
        <v>40630.65902777778</v>
      </c>
      <c r="E58" s="8">
        <v>1.63</v>
      </c>
      <c r="F58" s="5" t="s">
        <v>1331</v>
      </c>
      <c r="G58" s="5" t="s">
        <v>8</v>
      </c>
      <c r="H58" s="5">
        <f t="shared" si="8"/>
        <v>6.3829787234042548E-2</v>
      </c>
      <c r="I58" s="5">
        <f t="shared" si="9"/>
        <v>-0.66148708545003032</v>
      </c>
      <c r="J58" s="5" t="str">
        <f t="shared" si="10"/>
        <v>LOW</v>
      </c>
      <c r="K58" s="8">
        <f t="shared" si="11"/>
        <v>0.96703296703296704</v>
      </c>
      <c r="L58" s="8">
        <f t="shared" si="12"/>
        <v>1.9352005489719497</v>
      </c>
      <c r="M58" s="5" t="str">
        <f t="shared" si="13"/>
        <v>HIGH</v>
      </c>
      <c r="N58" s="5" cm="1">
        <f t="array" aca="1" ref="N58" ca="1">INDEX($N$2:$N$15,RANDBETWEEN(1, ROWS($N$2:$N$15)))</f>
        <v>11</v>
      </c>
      <c r="O58" s="5" cm="1">
        <f t="array" aca="1" ref="O58" ca="1">INDEX($O$2:$O$15,RANDBETWEEN(1, ROWS($O$2:$O$15)))</f>
        <v>7</v>
      </c>
      <c r="P58" s="5">
        <f t="shared" ca="1" si="14"/>
        <v>7.4566929133858268</v>
      </c>
      <c r="Q58" s="5">
        <f t="shared" ca="1" si="15"/>
        <v>4.3622047244094491</v>
      </c>
      <c r="R58" s="5" cm="1">
        <f t="array" aca="1" ref="R58" ca="1">INDEX($C$2:$C$128, RANDBETWEEN(1,128))</f>
        <v>2</v>
      </c>
      <c r="S58" s="5" cm="1">
        <f t="array" aca="1" ref="S58" ca="1">INDEX($E$2:$E$129, RANDBETWEEN(1,129))</f>
        <v>1.63</v>
      </c>
      <c r="T58" s="5"/>
      <c r="U58" s="5"/>
      <c r="V58" s="5"/>
    </row>
    <row r="59" spans="1:22" x14ac:dyDescent="0.35">
      <c r="A59" s="5">
        <v>548310</v>
      </c>
      <c r="B59" s="5">
        <v>15036</v>
      </c>
      <c r="C59" s="5">
        <v>12</v>
      </c>
      <c r="D59" s="6">
        <v>40632.50277777778</v>
      </c>
      <c r="E59" s="8">
        <v>0.83</v>
      </c>
      <c r="F59" s="5" t="s">
        <v>1331</v>
      </c>
      <c r="G59" s="5" t="s">
        <v>8</v>
      </c>
      <c r="H59" s="5">
        <f t="shared" si="8"/>
        <v>0.23404255319148937</v>
      </c>
      <c r="I59" s="5">
        <f t="shared" si="9"/>
        <v>6.5076026784813848E-2</v>
      </c>
      <c r="J59" s="5" t="str">
        <f t="shared" si="10"/>
        <v>HIGH</v>
      </c>
      <c r="K59" s="8">
        <f t="shared" si="11"/>
        <v>8.7912087912087877E-2</v>
      </c>
      <c r="L59" s="8">
        <f t="shared" si="12"/>
        <v>-0.49186247751304629</v>
      </c>
      <c r="M59" s="5" t="str">
        <f t="shared" si="13"/>
        <v>LOW</v>
      </c>
      <c r="N59" s="5" cm="1">
        <f t="array" aca="1" ref="N59" ca="1">INDEX($N$2:$N$15,RANDBETWEEN(1, ROWS($N$2:$N$15)))</f>
        <v>2</v>
      </c>
      <c r="O59" s="5" cm="1">
        <f t="array" aca="1" ref="O59" ca="1">INDEX($O$2:$O$15,RANDBETWEEN(1, ROWS($O$2:$O$15)))</f>
        <v>5</v>
      </c>
      <c r="P59" s="5">
        <f t="shared" ca="1" si="14"/>
        <v>7.4566929133858268</v>
      </c>
      <c r="Q59" s="5">
        <f t="shared" ca="1" si="15"/>
        <v>4.3622047244094491</v>
      </c>
      <c r="R59" s="5" cm="1">
        <f t="array" aca="1" ref="R59" ca="1">INDEX($C$2:$C$128, RANDBETWEEN(1,128))</f>
        <v>12</v>
      </c>
      <c r="S59" s="5" cm="1">
        <f t="array" aca="1" ref="S59" ca="1">INDEX($E$2:$E$129, RANDBETWEEN(1,129))</f>
        <v>0.83</v>
      </c>
      <c r="T59" s="5"/>
      <c r="U59" s="5"/>
      <c r="V59" s="5"/>
    </row>
    <row r="60" spans="1:22" x14ac:dyDescent="0.35">
      <c r="A60" s="5">
        <v>548522</v>
      </c>
      <c r="B60" s="5">
        <v>15036</v>
      </c>
      <c r="C60" s="5">
        <v>1</v>
      </c>
      <c r="D60" s="6">
        <v>40633.696527777778</v>
      </c>
      <c r="E60" s="8">
        <v>1.63</v>
      </c>
      <c r="F60" s="5" t="s">
        <v>1331</v>
      </c>
      <c r="G60" s="5" t="s">
        <v>8</v>
      </c>
      <c r="H60" s="5">
        <f t="shared" si="8"/>
        <v>0</v>
      </c>
      <c r="I60" s="5">
        <f t="shared" si="9"/>
        <v>-0.93394825253809688</v>
      </c>
      <c r="J60" s="5" t="str">
        <f t="shared" si="10"/>
        <v>LOW</v>
      </c>
      <c r="K60" s="8">
        <f t="shared" si="11"/>
        <v>0.96703296703296704</v>
      </c>
      <c r="L60" s="8">
        <f t="shared" si="12"/>
        <v>1.9352005489719497</v>
      </c>
      <c r="M60" s="5" t="str">
        <f t="shared" si="13"/>
        <v>HIGH</v>
      </c>
      <c r="N60" s="5" cm="1">
        <f t="array" aca="1" ref="N60" ca="1">INDEX($N$2:$N$15,RANDBETWEEN(1, ROWS($N$2:$N$15)))</f>
        <v>2</v>
      </c>
      <c r="O60" s="5" cm="1">
        <f t="array" aca="1" ref="O60" ca="1">INDEX($O$2:$O$15,RANDBETWEEN(1, ROWS($O$2:$O$15)))</f>
        <v>5</v>
      </c>
      <c r="P60" s="5">
        <f t="shared" ca="1" si="14"/>
        <v>7.4566929133858268</v>
      </c>
      <c r="Q60" s="5">
        <f t="shared" ca="1" si="15"/>
        <v>4.3622047244094491</v>
      </c>
      <c r="R60" s="5" cm="1">
        <f t="array" aca="1" ref="R60" ca="1">INDEX($C$2:$C$128, RANDBETWEEN(1,128))</f>
        <v>11</v>
      </c>
      <c r="S60" s="5" cm="1">
        <f t="array" aca="1" ref="S60" ca="1">INDEX($E$2:$E$129, RANDBETWEEN(1,129))</f>
        <v>0.85</v>
      </c>
      <c r="T60" s="5"/>
      <c r="U60" s="5"/>
      <c r="V60" s="5"/>
    </row>
    <row r="61" spans="1:22" x14ac:dyDescent="0.35">
      <c r="A61" s="5">
        <v>548617</v>
      </c>
      <c r="B61" s="5">
        <v>15036</v>
      </c>
      <c r="C61" s="5">
        <v>12</v>
      </c>
      <c r="D61" s="6">
        <v>40634.493055555555</v>
      </c>
      <c r="E61" s="8">
        <v>0.83</v>
      </c>
      <c r="F61" s="5">
        <v>16592</v>
      </c>
      <c r="G61" s="5" t="s">
        <v>8</v>
      </c>
      <c r="H61" s="5">
        <f t="shared" si="8"/>
        <v>0.23404255319148937</v>
      </c>
      <c r="I61" s="5">
        <f t="shared" si="9"/>
        <v>6.5076026784813848E-2</v>
      </c>
      <c r="J61" s="5" t="str">
        <f t="shared" si="10"/>
        <v>HIGH</v>
      </c>
      <c r="K61" s="8">
        <f t="shared" si="11"/>
        <v>8.7912087912087877E-2</v>
      </c>
      <c r="L61" s="8">
        <f t="shared" si="12"/>
        <v>-0.49186247751304629</v>
      </c>
      <c r="M61" s="5" t="str">
        <f t="shared" si="13"/>
        <v>LOW</v>
      </c>
      <c r="N61" s="5" cm="1">
        <f t="array" aca="1" ref="N61" ca="1">INDEX($N$2:$N$15,RANDBETWEEN(1, ROWS($N$2:$N$15)))</f>
        <v>9</v>
      </c>
      <c r="O61" s="5" cm="1">
        <f t="array" aca="1" ref="O61" ca="1">INDEX($O$2:$O$15,RANDBETWEEN(1, ROWS($O$2:$O$15)))</f>
        <v>7</v>
      </c>
      <c r="P61" s="5">
        <f t="shared" ca="1" si="14"/>
        <v>7.4566929133858268</v>
      </c>
      <c r="Q61" s="5">
        <f t="shared" ca="1" si="15"/>
        <v>4.3622047244094491</v>
      </c>
      <c r="R61" s="5" cm="1">
        <f t="array" aca="1" ref="R61" ca="1">INDEX($C$2:$C$128, RANDBETWEEN(1,128))</f>
        <v>48</v>
      </c>
      <c r="S61" s="5" cm="1">
        <f t="array" aca="1" ref="S61" ca="1">INDEX($E$2:$E$129, RANDBETWEEN(1,129))</f>
        <v>0.85</v>
      </c>
      <c r="T61" s="5"/>
      <c r="U61" s="5"/>
      <c r="V61" s="5"/>
    </row>
    <row r="62" spans="1:22" x14ac:dyDescent="0.35">
      <c r="A62" s="5">
        <v>548893</v>
      </c>
      <c r="B62" s="5">
        <v>15036</v>
      </c>
      <c r="C62" s="5">
        <v>6</v>
      </c>
      <c r="D62" s="6">
        <v>40637.662499999999</v>
      </c>
      <c r="E62" s="8">
        <v>1.63</v>
      </c>
      <c r="F62" s="5" t="s">
        <v>1331</v>
      </c>
      <c r="G62" s="5" t="s">
        <v>8</v>
      </c>
      <c r="H62" s="5">
        <f t="shared" si="8"/>
        <v>0.10638297872340426</v>
      </c>
      <c r="I62" s="5">
        <f t="shared" si="9"/>
        <v>-0.47984630739131928</v>
      </c>
      <c r="J62" s="5" t="str">
        <f t="shared" si="10"/>
        <v>LOW</v>
      </c>
      <c r="K62" s="8">
        <f t="shared" si="11"/>
        <v>0.96703296703296704</v>
      </c>
      <c r="L62" s="8">
        <f t="shared" si="12"/>
        <v>1.9352005489719497</v>
      </c>
      <c r="M62" s="5" t="str">
        <f t="shared" si="13"/>
        <v>HIGH</v>
      </c>
      <c r="N62" s="5" cm="1">
        <f t="array" aca="1" ref="N62" ca="1">INDEX($N$2:$N$15,RANDBETWEEN(1, ROWS($N$2:$N$15)))</f>
        <v>2</v>
      </c>
      <c r="O62" s="5" cm="1">
        <f t="array" aca="1" ref="O62" ca="1">INDEX($O$2:$O$15,RANDBETWEEN(1, ROWS($O$2:$O$15)))</f>
        <v>1</v>
      </c>
      <c r="P62" s="5">
        <f t="shared" ca="1" si="14"/>
        <v>7.4566929133858268</v>
      </c>
      <c r="Q62" s="5">
        <f t="shared" ca="1" si="15"/>
        <v>4.3622047244094491</v>
      </c>
      <c r="R62" s="5" cm="1">
        <f t="array" aca="1" ref="R62" ca="1">INDEX($C$2:$C$128, RANDBETWEEN(1,128))</f>
        <v>36</v>
      </c>
      <c r="S62" s="5" cm="1">
        <f t="array" aca="1" ref="S62" ca="1">INDEX($E$2:$E$129, RANDBETWEEN(1,129))</f>
        <v>0.75</v>
      </c>
      <c r="T62" s="5"/>
      <c r="U62" s="5"/>
      <c r="V62" s="5"/>
    </row>
    <row r="63" spans="1:22" x14ac:dyDescent="0.35">
      <c r="A63" s="5">
        <v>549259</v>
      </c>
      <c r="B63" s="5">
        <v>15036</v>
      </c>
      <c r="C63" s="5">
        <v>48</v>
      </c>
      <c r="D63" s="6">
        <v>40640.522916666669</v>
      </c>
      <c r="E63" s="8">
        <v>0.75</v>
      </c>
      <c r="F63" s="5">
        <v>13712</v>
      </c>
      <c r="G63" s="5" t="s">
        <v>8</v>
      </c>
      <c r="H63" s="5">
        <f t="shared" si="8"/>
        <v>1</v>
      </c>
      <c r="I63" s="5">
        <f t="shared" si="9"/>
        <v>3.3346100318416125</v>
      </c>
      <c r="J63" s="5" t="str">
        <f t="shared" si="10"/>
        <v>HIGH</v>
      </c>
      <c r="K63" s="8">
        <f t="shared" si="11"/>
        <v>0</v>
      </c>
      <c r="L63" s="8">
        <f t="shared" si="12"/>
        <v>-0.73456878016154581</v>
      </c>
      <c r="M63" s="5" t="str">
        <f t="shared" si="13"/>
        <v>LOW</v>
      </c>
      <c r="N63" s="5" cm="1">
        <f t="array" aca="1" ref="N63" ca="1">INDEX($N$2:$N$15,RANDBETWEEN(1, ROWS($N$2:$N$15)))</f>
        <v>11</v>
      </c>
      <c r="O63" s="5" cm="1">
        <f t="array" aca="1" ref="O63" ca="1">INDEX($O$2:$O$15,RANDBETWEEN(1, ROWS($O$2:$O$15)))</f>
        <v>1</v>
      </c>
      <c r="P63" s="5">
        <f t="shared" ca="1" si="14"/>
        <v>7.4566929133858268</v>
      </c>
      <c r="Q63" s="5">
        <f t="shared" ca="1" si="15"/>
        <v>4.3622047244094491</v>
      </c>
      <c r="R63" s="5" cm="1">
        <f t="array" aca="1" ref="R63" ca="1">INDEX($C$2:$C$128, RANDBETWEEN(1,128))</f>
        <v>48</v>
      </c>
      <c r="S63" s="5" cm="1">
        <f t="array" aca="1" ref="S63" ca="1">INDEX($E$2:$E$129, RANDBETWEEN(1,129))</f>
        <v>0.83</v>
      </c>
      <c r="T63" s="5"/>
      <c r="U63" s="5"/>
      <c r="V63" s="5"/>
    </row>
    <row r="64" spans="1:22" x14ac:dyDescent="0.35">
      <c r="A64" s="5">
        <v>549316</v>
      </c>
      <c r="B64" s="5">
        <v>15036</v>
      </c>
      <c r="C64" s="5">
        <v>36</v>
      </c>
      <c r="D64" s="6">
        <v>40641.412499999999</v>
      </c>
      <c r="E64" s="8">
        <v>0.75</v>
      </c>
      <c r="F64" s="5">
        <v>12705</v>
      </c>
      <c r="G64" s="5" t="s">
        <v>21</v>
      </c>
      <c r="H64" s="5">
        <f t="shared" si="8"/>
        <v>0.74468085106382975</v>
      </c>
      <c r="I64" s="5">
        <f t="shared" si="9"/>
        <v>2.2447653634893463</v>
      </c>
      <c r="J64" s="5" t="str">
        <f t="shared" si="10"/>
        <v>HIGH</v>
      </c>
      <c r="K64" s="8">
        <f t="shared" si="11"/>
        <v>0</v>
      </c>
      <c r="L64" s="8">
        <f t="shared" si="12"/>
        <v>-0.73456878016154581</v>
      </c>
      <c r="M64" s="5" t="str">
        <f t="shared" si="13"/>
        <v>LOW</v>
      </c>
      <c r="N64" s="5" cm="1">
        <f t="array" aca="1" ref="N64" ca="1">INDEX($N$2:$N$15,RANDBETWEEN(1, ROWS($N$2:$N$15)))</f>
        <v>9</v>
      </c>
      <c r="O64" s="5" cm="1">
        <f t="array" aca="1" ref="O64" ca="1">INDEX($O$2:$O$15,RANDBETWEEN(1, ROWS($O$2:$O$15)))</f>
        <v>4</v>
      </c>
      <c r="P64" s="5">
        <f t="shared" ca="1" si="14"/>
        <v>7.4566929133858268</v>
      </c>
      <c r="Q64" s="5">
        <f t="shared" ca="1" si="15"/>
        <v>4.3622047244094491</v>
      </c>
      <c r="R64" s="5" cm="1">
        <f t="array" aca="1" ref="R64" ca="1">INDEX($C$2:$C$128, RANDBETWEEN(1,128))</f>
        <v>3</v>
      </c>
      <c r="S64" s="5" cm="1">
        <f t="array" aca="1" ref="S64" ca="1">INDEX($E$2:$E$129, RANDBETWEEN(1,129))</f>
        <v>0.81</v>
      </c>
      <c r="T64" s="5"/>
      <c r="U64" s="5"/>
      <c r="V64" s="5"/>
    </row>
    <row r="65" spans="1:22" x14ac:dyDescent="0.35">
      <c r="A65" s="5">
        <v>549431</v>
      </c>
      <c r="B65" s="5">
        <v>15036</v>
      </c>
      <c r="C65" s="5">
        <v>36</v>
      </c>
      <c r="D65" s="6">
        <v>40641.511805555558</v>
      </c>
      <c r="E65" s="8">
        <v>0.83</v>
      </c>
      <c r="F65" s="5">
        <v>15874</v>
      </c>
      <c r="G65" s="5" t="s">
        <v>8</v>
      </c>
      <c r="H65" s="5">
        <f t="shared" si="8"/>
        <v>0.74468085106382975</v>
      </c>
      <c r="I65" s="5">
        <f t="shared" si="9"/>
        <v>2.2447653634893463</v>
      </c>
      <c r="J65" s="5" t="str">
        <f t="shared" si="10"/>
        <v>HIGH</v>
      </c>
      <c r="K65" s="8">
        <f t="shared" si="11"/>
        <v>8.7912087912087877E-2</v>
      </c>
      <c r="L65" s="8">
        <f t="shared" si="12"/>
        <v>-0.49186247751304629</v>
      </c>
      <c r="M65" s="5" t="str">
        <f t="shared" si="13"/>
        <v>LOW</v>
      </c>
      <c r="N65" s="5" cm="1">
        <f t="array" aca="1" ref="N65" ca="1">INDEX($N$2:$N$15,RANDBETWEEN(1, ROWS($N$2:$N$15)))</f>
        <v>8</v>
      </c>
      <c r="O65" s="5" cm="1">
        <f t="array" aca="1" ref="O65" ca="1">INDEX($O$2:$O$15,RANDBETWEEN(1, ROWS($O$2:$O$15)))</f>
        <v>4</v>
      </c>
      <c r="P65" s="5">
        <f t="shared" ca="1" si="14"/>
        <v>7.4566929133858268</v>
      </c>
      <c r="Q65" s="5">
        <f t="shared" ca="1" si="15"/>
        <v>4.3622047244094491</v>
      </c>
      <c r="R65" s="5" cm="1">
        <f t="array" aca="1" ref="R65" ca="1">INDEX($C$2:$C$128, RANDBETWEEN(1,128))</f>
        <v>24</v>
      </c>
      <c r="S65" s="5" cm="1">
        <f t="array" aca="1" ref="S65" ca="1">INDEX($E$2:$E$129, RANDBETWEEN(1,129))</f>
        <v>0.81</v>
      </c>
      <c r="T65" s="5"/>
      <c r="U65" s="5"/>
      <c r="V65" s="5"/>
    </row>
    <row r="66" spans="1:22" x14ac:dyDescent="0.35">
      <c r="A66" s="5">
        <v>549524</v>
      </c>
      <c r="B66" s="5">
        <v>15036</v>
      </c>
      <c r="C66" s="5">
        <v>1</v>
      </c>
      <c r="D66" s="6">
        <v>40641.65347222222</v>
      </c>
      <c r="E66" s="8">
        <v>1.63</v>
      </c>
      <c r="F66" s="5" t="s">
        <v>1331</v>
      </c>
      <c r="G66" s="5" t="s">
        <v>8</v>
      </c>
      <c r="H66" s="5">
        <f t="shared" ref="H66:H97" si="16">(C66-1)/(48-1)</f>
        <v>0</v>
      </c>
      <c r="I66" s="5">
        <f t="shared" ref="I66:I97" si="17">(C66-$Y$21)/$Y$44</f>
        <v>-0.93394825253809688</v>
      </c>
      <c r="J66" s="5" t="str">
        <f t="shared" ref="J66:J97" si="18">IF(C66&gt;$Y$6, "HIGH", "LOW")</f>
        <v>LOW</v>
      </c>
      <c r="K66" s="8">
        <f t="shared" ref="K66:K97" si="19">(E66-0.75)/(1.66-0.75)</f>
        <v>0.96703296703296704</v>
      </c>
      <c r="L66" s="8">
        <f t="shared" ref="L66:L97" si="20">(E66-$Y$22)/$Y$45</f>
        <v>1.9352005489719497</v>
      </c>
      <c r="M66" s="5" t="str">
        <f t="shared" ref="M66:M97" si="21">IF(E66&gt;$Y$7, "HIGH", "LOW")</f>
        <v>HIGH</v>
      </c>
      <c r="N66" s="5" cm="1">
        <f t="array" aca="1" ref="N66" ca="1">INDEX($N$2:$N$15,RANDBETWEEN(1, ROWS($N$2:$N$15)))</f>
        <v>11</v>
      </c>
      <c r="O66" s="5" cm="1">
        <f t="array" aca="1" ref="O66" ca="1">INDEX($O$2:$O$15,RANDBETWEEN(1, ROWS($O$2:$O$15)))</f>
        <v>3</v>
      </c>
      <c r="P66" s="5">
        <f t="shared" ref="P66:P97" ca="1" si="22">AVERAGE(N:N)</f>
        <v>7.4566929133858268</v>
      </c>
      <c r="Q66" s="5">
        <f t="shared" ref="Q66:Q97" ca="1" si="23">AVERAGE(O:O)</f>
        <v>4.3622047244094491</v>
      </c>
      <c r="R66" s="5" cm="1">
        <f t="array" aca="1" ref="R66" ca="1">INDEX($C$2:$C$128, RANDBETWEEN(1,128))</f>
        <v>2</v>
      </c>
      <c r="S66" s="5" cm="1">
        <f t="array" aca="1" ref="S66" ca="1">INDEX($E$2:$E$129, RANDBETWEEN(1,129))</f>
        <v>0.81</v>
      </c>
      <c r="T66" s="5"/>
      <c r="U66" s="5"/>
      <c r="V66" s="5"/>
    </row>
    <row r="67" spans="1:22" x14ac:dyDescent="0.35">
      <c r="A67" s="5">
        <v>549525</v>
      </c>
      <c r="B67" s="5">
        <v>15036</v>
      </c>
      <c r="C67" s="5">
        <v>17</v>
      </c>
      <c r="D67" s="6">
        <v>40641.655555555553</v>
      </c>
      <c r="E67" s="8">
        <v>1.63</v>
      </c>
      <c r="F67" s="5" t="s">
        <v>1331</v>
      </c>
      <c r="G67" s="5" t="s">
        <v>8</v>
      </c>
      <c r="H67" s="5">
        <f t="shared" si="16"/>
        <v>0.34042553191489361</v>
      </c>
      <c r="I67" s="5">
        <f t="shared" si="17"/>
        <v>0.51917797193159143</v>
      </c>
      <c r="J67" s="5" t="str">
        <f t="shared" si="18"/>
        <v>HIGH</v>
      </c>
      <c r="K67" s="8">
        <f t="shared" si="19"/>
        <v>0.96703296703296704</v>
      </c>
      <c r="L67" s="8">
        <f t="shared" si="20"/>
        <v>1.9352005489719497</v>
      </c>
      <c r="M67" s="5" t="str">
        <f t="shared" si="21"/>
        <v>HIGH</v>
      </c>
      <c r="N67" s="5" cm="1">
        <f t="array" aca="1" ref="N67" ca="1">INDEX($N$2:$N$15,RANDBETWEEN(1, ROWS($N$2:$N$15)))</f>
        <v>2</v>
      </c>
      <c r="O67" s="5" cm="1">
        <f t="array" aca="1" ref="O67" ca="1">INDEX($O$2:$O$15,RANDBETWEEN(1, ROWS($O$2:$O$15)))</f>
        <v>1</v>
      </c>
      <c r="P67" s="5">
        <f t="shared" ca="1" si="22"/>
        <v>7.4566929133858268</v>
      </c>
      <c r="Q67" s="5">
        <f t="shared" ca="1" si="23"/>
        <v>4.3622047244094491</v>
      </c>
      <c r="R67" s="5" cm="1">
        <f t="array" aca="1" ref="R67" ca="1">INDEX($C$2:$C$128, RANDBETWEEN(1,128))</f>
        <v>6</v>
      </c>
      <c r="S67" s="5" cm="1">
        <f t="array" aca="1" ref="S67" ca="1">INDEX($E$2:$E$129, RANDBETWEEN(1,129))</f>
        <v>0.85</v>
      </c>
      <c r="T67" s="5"/>
      <c r="U67" s="5"/>
      <c r="V67" s="5"/>
    </row>
    <row r="68" spans="1:22" x14ac:dyDescent="0.35">
      <c r="A68" s="5">
        <v>549538</v>
      </c>
      <c r="B68" s="5">
        <v>15036</v>
      </c>
      <c r="C68" s="5">
        <v>3</v>
      </c>
      <c r="D68" s="6">
        <v>40641.725694444445</v>
      </c>
      <c r="E68" s="8">
        <v>0.83</v>
      </c>
      <c r="F68" s="5">
        <v>17961</v>
      </c>
      <c r="G68" s="5" t="s">
        <v>8</v>
      </c>
      <c r="H68" s="5">
        <f t="shared" si="16"/>
        <v>4.2553191489361701E-2</v>
      </c>
      <c r="I68" s="5">
        <f t="shared" si="17"/>
        <v>-0.75230747447938584</v>
      </c>
      <c r="J68" s="5" t="str">
        <f t="shared" si="18"/>
        <v>LOW</v>
      </c>
      <c r="K68" s="8">
        <f t="shared" si="19"/>
        <v>8.7912087912087877E-2</v>
      </c>
      <c r="L68" s="8">
        <f t="shared" si="20"/>
        <v>-0.49186247751304629</v>
      </c>
      <c r="M68" s="5" t="str">
        <f t="shared" si="21"/>
        <v>LOW</v>
      </c>
      <c r="N68" s="5" cm="1">
        <f t="array" aca="1" ref="N68" ca="1">INDEX($N$2:$N$15,RANDBETWEEN(1, ROWS($N$2:$N$15)))</f>
        <v>4</v>
      </c>
      <c r="O68" s="5" cm="1">
        <f t="array" aca="1" ref="O68" ca="1">INDEX($O$2:$O$15,RANDBETWEEN(1, ROWS($O$2:$O$15)))</f>
        <v>3</v>
      </c>
      <c r="P68" s="5">
        <f t="shared" ca="1" si="22"/>
        <v>7.4566929133858268</v>
      </c>
      <c r="Q68" s="5">
        <f t="shared" ca="1" si="23"/>
        <v>4.3622047244094491</v>
      </c>
      <c r="R68" s="5" cm="1">
        <f t="array" aca="1" ref="R68" ca="1">INDEX($C$2:$C$128, RANDBETWEEN(1,128))</f>
        <v>20</v>
      </c>
      <c r="S68" s="5" cm="1">
        <f t="array" aca="1" ref="S68" ca="1">INDEX($E$2:$E$129, RANDBETWEEN(1,129))</f>
        <v>1.63</v>
      </c>
      <c r="T68" s="5"/>
      <c r="U68" s="5"/>
      <c r="V68" s="5"/>
    </row>
    <row r="69" spans="1:22" x14ac:dyDescent="0.35">
      <c r="A69" s="5">
        <v>549711</v>
      </c>
      <c r="B69" s="5">
        <v>15036</v>
      </c>
      <c r="C69" s="5">
        <v>12</v>
      </c>
      <c r="D69" s="6">
        <v>40644.588194444441</v>
      </c>
      <c r="E69" s="8">
        <v>0.83</v>
      </c>
      <c r="F69" s="5">
        <v>13654</v>
      </c>
      <c r="G69" s="5" t="s">
        <v>8</v>
      </c>
      <c r="H69" s="5">
        <f t="shared" si="16"/>
        <v>0.23404255319148937</v>
      </c>
      <c r="I69" s="5">
        <f t="shared" si="17"/>
        <v>6.5076026784813848E-2</v>
      </c>
      <c r="J69" s="5" t="str">
        <f t="shared" si="18"/>
        <v>HIGH</v>
      </c>
      <c r="K69" s="8">
        <f t="shared" si="19"/>
        <v>8.7912087912087877E-2</v>
      </c>
      <c r="L69" s="8">
        <f t="shared" si="20"/>
        <v>-0.49186247751304629</v>
      </c>
      <c r="M69" s="5" t="str">
        <f t="shared" si="21"/>
        <v>LOW</v>
      </c>
      <c r="N69" s="5" cm="1">
        <f t="array" aca="1" ref="N69" ca="1">INDEX($N$2:$N$15,RANDBETWEEN(1, ROWS($N$2:$N$15)))</f>
        <v>4</v>
      </c>
      <c r="O69" s="5" cm="1">
        <f t="array" aca="1" ref="O69" ca="1">INDEX($O$2:$O$15,RANDBETWEEN(1, ROWS($O$2:$O$15)))</f>
        <v>7</v>
      </c>
      <c r="P69" s="5">
        <f t="shared" ca="1" si="22"/>
        <v>7.4566929133858268</v>
      </c>
      <c r="Q69" s="5">
        <f t="shared" ca="1" si="23"/>
        <v>4.3622047244094491</v>
      </c>
      <c r="R69" s="5" cm="1">
        <f t="array" aca="1" ref="R69" ca="1">INDEX($C$2:$C$128, RANDBETWEEN(1,128))</f>
        <v>1</v>
      </c>
      <c r="S69" s="5" cm="1">
        <f t="array" aca="1" ref="S69" ca="1">INDEX($E$2:$E$129, RANDBETWEEN(1,129))</f>
        <v>0.85</v>
      </c>
      <c r="T69" s="5"/>
      <c r="U69" s="5"/>
      <c r="V69" s="5"/>
    </row>
    <row r="70" spans="1:22" x14ac:dyDescent="0.35">
      <c r="A70" s="5">
        <v>549743</v>
      </c>
      <c r="B70" s="5">
        <v>15036</v>
      </c>
      <c r="C70" s="5">
        <v>12</v>
      </c>
      <c r="D70" s="6">
        <v>40645.420138888891</v>
      </c>
      <c r="E70" s="8">
        <v>0.83</v>
      </c>
      <c r="F70" s="5">
        <v>16186</v>
      </c>
      <c r="G70" s="5" t="s">
        <v>8</v>
      </c>
      <c r="H70" s="5">
        <f t="shared" si="16"/>
        <v>0.23404255319148937</v>
      </c>
      <c r="I70" s="5">
        <f t="shared" si="17"/>
        <v>6.5076026784813848E-2</v>
      </c>
      <c r="J70" s="5" t="str">
        <f t="shared" si="18"/>
        <v>HIGH</v>
      </c>
      <c r="K70" s="8">
        <f t="shared" si="19"/>
        <v>8.7912087912087877E-2</v>
      </c>
      <c r="L70" s="8">
        <f t="shared" si="20"/>
        <v>-0.49186247751304629</v>
      </c>
      <c r="M70" s="5" t="str">
        <f t="shared" si="21"/>
        <v>LOW</v>
      </c>
      <c r="N70" s="5" cm="1">
        <f t="array" aca="1" ref="N70" ca="1">INDEX($N$2:$N$15,RANDBETWEEN(1, ROWS($N$2:$N$15)))</f>
        <v>11</v>
      </c>
      <c r="O70" s="5" cm="1">
        <f t="array" aca="1" ref="O70" ca="1">INDEX($O$2:$O$15,RANDBETWEEN(1, ROWS($O$2:$O$15)))</f>
        <v>5</v>
      </c>
      <c r="P70" s="5">
        <f t="shared" ca="1" si="22"/>
        <v>7.4566929133858268</v>
      </c>
      <c r="Q70" s="5">
        <f t="shared" ca="1" si="23"/>
        <v>4.3622047244094491</v>
      </c>
      <c r="R70" s="5" cm="1">
        <f t="array" aca="1" ref="R70" ca="1">INDEX($C$2:$C$128, RANDBETWEEN(1,128))</f>
        <v>1</v>
      </c>
      <c r="S70" s="5" cm="1">
        <f t="array" aca="1" ref="S70" ca="1">INDEX($E$2:$E$129, RANDBETWEEN(1,129))</f>
        <v>0.83</v>
      </c>
      <c r="T70" s="5"/>
      <c r="U70" s="5"/>
      <c r="V70" s="5"/>
    </row>
    <row r="71" spans="1:22" x14ac:dyDescent="0.35">
      <c r="A71" s="5">
        <v>549964</v>
      </c>
      <c r="B71" s="5">
        <v>15036</v>
      </c>
      <c r="C71" s="5">
        <v>12</v>
      </c>
      <c r="D71" s="6">
        <v>40646.591666666667</v>
      </c>
      <c r="E71" s="8">
        <v>0.83</v>
      </c>
      <c r="F71" s="5">
        <v>13122</v>
      </c>
      <c r="G71" s="5" t="s">
        <v>8</v>
      </c>
      <c r="H71" s="5">
        <f t="shared" si="16"/>
        <v>0.23404255319148937</v>
      </c>
      <c r="I71" s="5">
        <f t="shared" si="17"/>
        <v>6.5076026784813848E-2</v>
      </c>
      <c r="J71" s="5" t="str">
        <f t="shared" si="18"/>
        <v>HIGH</v>
      </c>
      <c r="K71" s="8">
        <f t="shared" si="19"/>
        <v>8.7912087912087877E-2</v>
      </c>
      <c r="L71" s="8">
        <f t="shared" si="20"/>
        <v>-0.49186247751304629</v>
      </c>
      <c r="M71" s="5" t="str">
        <f t="shared" si="21"/>
        <v>LOW</v>
      </c>
      <c r="N71" s="5" cm="1">
        <f t="array" aca="1" ref="N71" ca="1">INDEX($N$2:$N$15,RANDBETWEEN(1, ROWS($N$2:$N$15)))</f>
        <v>9</v>
      </c>
      <c r="O71" s="5" cm="1">
        <f t="array" aca="1" ref="O71" ca="1">INDEX($O$2:$O$15,RANDBETWEEN(1, ROWS($O$2:$O$15)))</f>
        <v>7</v>
      </c>
      <c r="P71" s="5">
        <f t="shared" ca="1" si="22"/>
        <v>7.4566929133858268</v>
      </c>
      <c r="Q71" s="5">
        <f t="shared" ca="1" si="23"/>
        <v>4.3622047244094491</v>
      </c>
      <c r="R71" s="5" cm="1">
        <f t="array" aca="1" ref="R71" ca="1">INDEX($C$2:$C$128, RANDBETWEEN(1,128))</f>
        <v>12</v>
      </c>
      <c r="S71" s="5" cm="1">
        <f t="array" aca="1" ref="S71" ca="1">INDEX($E$2:$E$129, RANDBETWEEN(1,129))</f>
        <v>0.81</v>
      </c>
      <c r="T71" s="5"/>
      <c r="U71" s="5"/>
      <c r="V71" s="5"/>
    </row>
    <row r="72" spans="1:22" x14ac:dyDescent="0.35">
      <c r="A72" s="5">
        <v>549975</v>
      </c>
      <c r="B72" s="5">
        <v>15036</v>
      </c>
      <c r="C72" s="5">
        <v>12</v>
      </c>
      <c r="D72" s="6">
        <v>40646.609722222223</v>
      </c>
      <c r="E72" s="8">
        <v>0.83</v>
      </c>
      <c r="F72" s="5">
        <v>16175</v>
      </c>
      <c r="G72" s="5" t="s">
        <v>8</v>
      </c>
      <c r="H72" s="5">
        <f t="shared" si="16"/>
        <v>0.23404255319148937</v>
      </c>
      <c r="I72" s="5">
        <f t="shared" si="17"/>
        <v>6.5076026784813848E-2</v>
      </c>
      <c r="J72" s="5" t="str">
        <f t="shared" si="18"/>
        <v>HIGH</v>
      </c>
      <c r="K72" s="8">
        <f t="shared" si="19"/>
        <v>8.7912087912087877E-2</v>
      </c>
      <c r="L72" s="8">
        <f t="shared" si="20"/>
        <v>-0.49186247751304629</v>
      </c>
      <c r="M72" s="5" t="str">
        <f t="shared" si="21"/>
        <v>LOW</v>
      </c>
      <c r="N72" s="5" cm="1">
        <f t="array" aca="1" ref="N72" ca="1">INDEX($N$2:$N$15,RANDBETWEEN(1, ROWS($N$2:$N$15)))</f>
        <v>8</v>
      </c>
      <c r="O72" s="5" cm="1">
        <f t="array" aca="1" ref="O72" ca="1">INDEX($O$2:$O$15,RANDBETWEEN(1, ROWS($O$2:$O$15)))</f>
        <v>7</v>
      </c>
      <c r="P72" s="5">
        <f t="shared" ca="1" si="22"/>
        <v>7.4566929133858268</v>
      </c>
      <c r="Q72" s="5">
        <f t="shared" ca="1" si="23"/>
        <v>4.3622047244094491</v>
      </c>
      <c r="R72" s="5" cm="1">
        <f t="array" aca="1" ref="R72" ca="1">INDEX($C$2:$C$128, RANDBETWEEN(1,128))</f>
        <v>12</v>
      </c>
      <c r="S72" s="5" cm="1">
        <f t="array" aca="1" ref="S72" ca="1">INDEX($E$2:$E$129, RANDBETWEEN(1,129))</f>
        <v>1.63</v>
      </c>
      <c r="T72" s="5"/>
      <c r="U72" s="5"/>
      <c r="V72" s="5"/>
    </row>
    <row r="73" spans="1:22" x14ac:dyDescent="0.35">
      <c r="A73" s="5">
        <v>550138</v>
      </c>
      <c r="B73" s="5">
        <v>15036</v>
      </c>
      <c r="C73" s="5">
        <v>24</v>
      </c>
      <c r="D73" s="6">
        <v>40647.584722222222</v>
      </c>
      <c r="E73" s="8">
        <v>0.83</v>
      </c>
      <c r="F73" s="5">
        <v>12841</v>
      </c>
      <c r="G73" s="5" t="s">
        <v>8</v>
      </c>
      <c r="H73" s="5">
        <f t="shared" si="16"/>
        <v>0.48936170212765956</v>
      </c>
      <c r="I73" s="5">
        <f t="shared" si="17"/>
        <v>1.1549206951370801</v>
      </c>
      <c r="J73" s="5" t="str">
        <f t="shared" si="18"/>
        <v>HIGH</v>
      </c>
      <c r="K73" s="8">
        <f t="shared" si="19"/>
        <v>8.7912087912087877E-2</v>
      </c>
      <c r="L73" s="8">
        <f t="shared" si="20"/>
        <v>-0.49186247751304629</v>
      </c>
      <c r="M73" s="5" t="str">
        <f t="shared" si="21"/>
        <v>LOW</v>
      </c>
      <c r="N73" s="5" cm="1">
        <f t="array" aca="1" ref="N73" ca="1">INDEX($N$2:$N$15,RANDBETWEEN(1, ROWS($N$2:$N$15)))</f>
        <v>11</v>
      </c>
      <c r="O73" s="5" cm="1">
        <f t="array" aca="1" ref="O73" ca="1">INDEX($O$2:$O$15,RANDBETWEEN(1, ROWS($O$2:$O$15)))</f>
        <v>5</v>
      </c>
      <c r="P73" s="5">
        <f t="shared" ca="1" si="22"/>
        <v>7.4566929133858268</v>
      </c>
      <c r="Q73" s="5">
        <f t="shared" ca="1" si="23"/>
        <v>4.3622047244094491</v>
      </c>
      <c r="R73" s="5" cm="1">
        <f t="array" aca="1" ref="R73" ca="1">INDEX($C$2:$C$128, RANDBETWEEN(1,128))</f>
        <v>1</v>
      </c>
      <c r="S73" s="5" cm="1">
        <f t="array" aca="1" ref="S73" ca="1">INDEX($E$2:$E$129, RANDBETWEEN(1,129))</f>
        <v>0.83</v>
      </c>
      <c r="T73" s="5"/>
      <c r="U73" s="5"/>
      <c r="V73" s="5"/>
    </row>
    <row r="74" spans="1:22" x14ac:dyDescent="0.35">
      <c r="A74" s="5">
        <v>550218</v>
      </c>
      <c r="B74" s="5">
        <v>15036</v>
      </c>
      <c r="C74" s="5">
        <v>12</v>
      </c>
      <c r="D74" s="6">
        <v>40648.46875</v>
      </c>
      <c r="E74" s="8">
        <v>0.83</v>
      </c>
      <c r="F74" s="5">
        <v>14408</v>
      </c>
      <c r="G74" s="5" t="s">
        <v>1331</v>
      </c>
      <c r="H74" s="5">
        <f t="shared" si="16"/>
        <v>0.23404255319148937</v>
      </c>
      <c r="I74" s="5">
        <f t="shared" si="17"/>
        <v>6.5076026784813848E-2</v>
      </c>
      <c r="J74" s="5" t="str">
        <f t="shared" si="18"/>
        <v>HIGH</v>
      </c>
      <c r="K74" s="8">
        <f t="shared" si="19"/>
        <v>8.7912087912087877E-2</v>
      </c>
      <c r="L74" s="8">
        <f t="shared" si="20"/>
        <v>-0.49186247751304629</v>
      </c>
      <c r="M74" s="5" t="str">
        <f t="shared" si="21"/>
        <v>LOW</v>
      </c>
      <c r="N74" s="5" cm="1">
        <f t="array" aca="1" ref="N74" ca="1">INDEX($N$2:$N$15,RANDBETWEEN(1, ROWS($N$2:$N$15)))</f>
        <v>9</v>
      </c>
      <c r="O74" s="5" cm="1">
        <f t="array" aca="1" ref="O74" ca="1">INDEX($O$2:$O$15,RANDBETWEEN(1, ROWS($O$2:$O$15)))</f>
        <v>7</v>
      </c>
      <c r="P74" s="5">
        <f t="shared" ca="1" si="22"/>
        <v>7.4566929133858268</v>
      </c>
      <c r="Q74" s="5">
        <f t="shared" ca="1" si="23"/>
        <v>4.3622047244094491</v>
      </c>
      <c r="R74" s="5" cm="1">
        <f t="array" aca="1" ref="R74" ca="1">INDEX($C$2:$C$128, RANDBETWEEN(1,128))</f>
        <v>20</v>
      </c>
      <c r="S74" s="5" cm="1">
        <f t="array" aca="1" ref="S74" ca="1">INDEX($E$2:$E$129, RANDBETWEEN(1,129))</f>
        <v>1.63</v>
      </c>
      <c r="T74" s="5"/>
      <c r="U74" s="5"/>
      <c r="V74" s="5"/>
    </row>
    <row r="75" spans="1:22" x14ac:dyDescent="0.35">
      <c r="A75" s="5">
        <v>550315</v>
      </c>
      <c r="B75" s="5">
        <v>15036</v>
      </c>
      <c r="C75" s="5">
        <v>24</v>
      </c>
      <c r="D75" s="6">
        <v>40650.488888888889</v>
      </c>
      <c r="E75" s="8">
        <v>0.83</v>
      </c>
      <c r="F75" s="5">
        <v>17990</v>
      </c>
      <c r="G75" s="5" t="s">
        <v>1331</v>
      </c>
      <c r="H75" s="5">
        <f t="shared" si="16"/>
        <v>0.48936170212765956</v>
      </c>
      <c r="I75" s="5">
        <f t="shared" si="17"/>
        <v>1.1549206951370801</v>
      </c>
      <c r="J75" s="5" t="str">
        <f t="shared" si="18"/>
        <v>HIGH</v>
      </c>
      <c r="K75" s="8">
        <f t="shared" si="19"/>
        <v>8.7912087912087877E-2</v>
      </c>
      <c r="L75" s="8">
        <f t="shared" si="20"/>
        <v>-0.49186247751304629</v>
      </c>
      <c r="M75" s="5" t="str">
        <f t="shared" si="21"/>
        <v>LOW</v>
      </c>
      <c r="N75" s="5" cm="1">
        <f t="array" aca="1" ref="N75" ca="1">INDEX($N$2:$N$15,RANDBETWEEN(1, ROWS($N$2:$N$15)))</f>
        <v>9</v>
      </c>
      <c r="O75" s="5" cm="1">
        <f t="array" aca="1" ref="O75" ca="1">INDEX($O$2:$O$15,RANDBETWEEN(1, ROWS($O$2:$O$15)))</f>
        <v>1</v>
      </c>
      <c r="P75" s="5">
        <f t="shared" ca="1" si="22"/>
        <v>7.4566929133858268</v>
      </c>
      <c r="Q75" s="5">
        <f t="shared" ca="1" si="23"/>
        <v>4.3622047244094491</v>
      </c>
      <c r="R75" s="5" cm="1">
        <f t="array" aca="1" ref="R75" ca="1">INDEX($C$2:$C$128, RANDBETWEEN(1,128))</f>
        <v>1</v>
      </c>
      <c r="S75" s="5" cm="1">
        <f t="array" aca="1" ref="S75" ca="1">INDEX($E$2:$E$129, RANDBETWEEN(1,129))</f>
        <v>0.85</v>
      </c>
      <c r="T75" s="5"/>
      <c r="U75" s="5"/>
      <c r="V75" s="5"/>
    </row>
    <row r="76" spans="1:22" x14ac:dyDescent="0.35">
      <c r="A76" s="5">
        <v>550323</v>
      </c>
      <c r="B76" s="5">
        <v>15036</v>
      </c>
      <c r="C76" s="5">
        <v>48</v>
      </c>
      <c r="D76" s="6">
        <v>40650.539583333331</v>
      </c>
      <c r="E76" s="8">
        <v>0.83</v>
      </c>
      <c r="F76" s="5">
        <v>13692</v>
      </c>
      <c r="G76" s="5" t="s">
        <v>8</v>
      </c>
      <c r="H76" s="5">
        <f t="shared" si="16"/>
        <v>1</v>
      </c>
      <c r="I76" s="5">
        <f t="shared" si="17"/>
        <v>3.3346100318416125</v>
      </c>
      <c r="J76" s="5" t="str">
        <f t="shared" si="18"/>
        <v>HIGH</v>
      </c>
      <c r="K76" s="8">
        <f t="shared" si="19"/>
        <v>8.7912087912087877E-2</v>
      </c>
      <c r="L76" s="8">
        <f t="shared" si="20"/>
        <v>-0.49186247751304629</v>
      </c>
      <c r="M76" s="5" t="str">
        <f t="shared" si="21"/>
        <v>LOW</v>
      </c>
      <c r="N76" s="5" cm="1">
        <f t="array" aca="1" ref="N76" ca="1">INDEX($N$2:$N$15,RANDBETWEEN(1, ROWS($N$2:$N$15)))</f>
        <v>12</v>
      </c>
      <c r="O76" s="5" cm="1">
        <f t="array" aca="1" ref="O76" ca="1">INDEX($O$2:$O$15,RANDBETWEEN(1, ROWS($O$2:$O$15)))</f>
        <v>4</v>
      </c>
      <c r="P76" s="5">
        <f t="shared" ca="1" si="22"/>
        <v>7.4566929133858268</v>
      </c>
      <c r="Q76" s="5">
        <f t="shared" ca="1" si="23"/>
        <v>4.3622047244094491</v>
      </c>
      <c r="R76" s="5" cm="1">
        <f t="array" aca="1" ref="R76" ca="1">INDEX($C$2:$C$128, RANDBETWEEN(1,128))</f>
        <v>12</v>
      </c>
      <c r="S76" s="5" cm="1">
        <f t="array" aca="1" ref="S76" ca="1">INDEX($E$2:$E$129, RANDBETWEEN(1,129))</f>
        <v>0.75</v>
      </c>
      <c r="T76" s="5"/>
      <c r="U76" s="5"/>
      <c r="V76" s="5"/>
    </row>
    <row r="77" spans="1:22" x14ac:dyDescent="0.35">
      <c r="A77" s="5">
        <v>550336</v>
      </c>
      <c r="B77" s="5">
        <v>15036</v>
      </c>
      <c r="C77" s="5">
        <v>48</v>
      </c>
      <c r="D77" s="6">
        <v>40650.621527777781</v>
      </c>
      <c r="E77" s="8">
        <v>0.83</v>
      </c>
      <c r="F77" s="5">
        <v>13089</v>
      </c>
      <c r="G77" s="5" t="s">
        <v>8</v>
      </c>
      <c r="H77" s="5">
        <f t="shared" si="16"/>
        <v>1</v>
      </c>
      <c r="I77" s="5">
        <f t="shared" si="17"/>
        <v>3.3346100318416125</v>
      </c>
      <c r="J77" s="5" t="str">
        <f t="shared" si="18"/>
        <v>HIGH</v>
      </c>
      <c r="K77" s="8">
        <f t="shared" si="19"/>
        <v>8.7912087912087877E-2</v>
      </c>
      <c r="L77" s="8">
        <f t="shared" si="20"/>
        <v>-0.49186247751304629</v>
      </c>
      <c r="M77" s="5" t="str">
        <f t="shared" si="21"/>
        <v>LOW</v>
      </c>
      <c r="N77" s="5" cm="1">
        <f t="array" aca="1" ref="N77" ca="1">INDEX($N$2:$N$15,RANDBETWEEN(1, ROWS($N$2:$N$15)))</f>
        <v>4</v>
      </c>
      <c r="O77" s="5" cm="1">
        <f t="array" aca="1" ref="O77" ca="1">INDEX($O$2:$O$15,RANDBETWEEN(1, ROWS($O$2:$O$15)))</f>
        <v>4</v>
      </c>
      <c r="P77" s="5">
        <f t="shared" ca="1" si="22"/>
        <v>7.4566929133858268</v>
      </c>
      <c r="Q77" s="5">
        <f t="shared" ca="1" si="23"/>
        <v>4.3622047244094491</v>
      </c>
      <c r="R77" s="5" cm="1">
        <f t="array" aca="1" ref="R77" ca="1">INDEX($C$2:$C$128, RANDBETWEEN(1,128))</f>
        <v>1</v>
      </c>
      <c r="S77" s="5" cm="1">
        <f t="array" aca="1" ref="S77" ca="1">INDEX($E$2:$E$129, RANDBETWEEN(1,129))</f>
        <v>1.63</v>
      </c>
      <c r="T77" s="5"/>
      <c r="U77" s="5"/>
      <c r="V77" s="5"/>
    </row>
    <row r="78" spans="1:22" x14ac:dyDescent="0.35">
      <c r="A78" s="5">
        <v>550452</v>
      </c>
      <c r="B78" s="5">
        <v>10002</v>
      </c>
      <c r="C78" s="5">
        <v>1</v>
      </c>
      <c r="D78" s="6">
        <v>40651.538888888892</v>
      </c>
      <c r="E78" s="8">
        <v>0.85</v>
      </c>
      <c r="F78" s="5">
        <v>14525</v>
      </c>
      <c r="G78" s="5" t="s">
        <v>8</v>
      </c>
      <c r="H78" s="5">
        <f t="shared" si="16"/>
        <v>0</v>
      </c>
      <c r="I78" s="5">
        <f t="shared" si="17"/>
        <v>-0.93394825253809688</v>
      </c>
      <c r="J78" s="5" t="str">
        <f t="shared" si="18"/>
        <v>LOW</v>
      </c>
      <c r="K78" s="8">
        <f t="shared" si="19"/>
        <v>0.10989010989010987</v>
      </c>
      <c r="L78" s="8">
        <f t="shared" si="20"/>
        <v>-0.43118590185092137</v>
      </c>
      <c r="M78" s="5" t="str">
        <f t="shared" si="21"/>
        <v>LOW</v>
      </c>
      <c r="N78" s="5">
        <v>9</v>
      </c>
      <c r="O78" s="5">
        <v>1</v>
      </c>
      <c r="P78" s="5">
        <f t="shared" ca="1" si="22"/>
        <v>7.4566929133858268</v>
      </c>
      <c r="Q78" s="5">
        <f t="shared" ca="1" si="23"/>
        <v>4.3622047244094491</v>
      </c>
      <c r="R78" s="5" cm="1">
        <f t="array" aca="1" ref="R78" ca="1">INDEX($C$2:$C$128, RANDBETWEEN(1,128))</f>
        <v>12</v>
      </c>
      <c r="S78" s="5" cm="1">
        <f t="array" aca="1" ref="S78" ca="1">INDEX($E$2:$E$129, RANDBETWEEN(1,129))</f>
        <v>0.83</v>
      </c>
      <c r="T78" s="5"/>
      <c r="U78" s="5"/>
      <c r="V78" s="5"/>
    </row>
    <row r="79" spans="1:22" x14ac:dyDescent="0.35">
      <c r="A79" s="5">
        <v>550458</v>
      </c>
      <c r="B79" s="5">
        <v>15036</v>
      </c>
      <c r="C79" s="5">
        <v>2</v>
      </c>
      <c r="D79" s="6">
        <v>40651.550694444442</v>
      </c>
      <c r="E79" s="8">
        <v>1.63</v>
      </c>
      <c r="F79" s="5" t="s">
        <v>1331</v>
      </c>
      <c r="G79" s="5" t="s">
        <v>8</v>
      </c>
      <c r="H79" s="5">
        <f t="shared" si="16"/>
        <v>2.1276595744680851E-2</v>
      </c>
      <c r="I79" s="5">
        <f t="shared" si="17"/>
        <v>-0.84312786350874136</v>
      </c>
      <c r="J79" s="5" t="str">
        <f t="shared" si="18"/>
        <v>LOW</v>
      </c>
      <c r="K79" s="8">
        <f t="shared" si="19"/>
        <v>0.96703296703296704</v>
      </c>
      <c r="L79" s="8">
        <f t="shared" si="20"/>
        <v>1.9352005489719497</v>
      </c>
      <c r="M79" s="5" t="str">
        <f t="shared" si="21"/>
        <v>HIGH</v>
      </c>
      <c r="N79" s="5" cm="1">
        <f t="array" aca="1" ref="N79" ca="1">INDEX($N$2:$N$15,RANDBETWEEN(1, ROWS($N$2:$N$15)))</f>
        <v>9</v>
      </c>
      <c r="O79" s="5" cm="1">
        <f t="array" aca="1" ref="O79" ca="1">INDEX($O$2:$O$15,RANDBETWEEN(1, ROWS($O$2:$O$15)))</f>
        <v>3</v>
      </c>
      <c r="P79" s="5">
        <f t="shared" ca="1" si="22"/>
        <v>7.4566929133858268</v>
      </c>
      <c r="Q79" s="5">
        <f t="shared" ca="1" si="23"/>
        <v>4.3622047244094491</v>
      </c>
      <c r="R79" s="5" cm="1">
        <f t="array" aca="1" ref="R79" ca="1">INDEX($C$2:$C$128, RANDBETWEEN(1,128))</f>
        <v>12</v>
      </c>
      <c r="S79" s="5" cm="1">
        <f t="array" aca="1" ref="S79" ca="1">INDEX($E$2:$E$129, RANDBETWEEN(1,129))</f>
        <v>0.85</v>
      </c>
      <c r="T79" s="5"/>
      <c r="U79" s="5"/>
      <c r="V79" s="5"/>
    </row>
    <row r="80" spans="1:22" x14ac:dyDescent="0.35">
      <c r="A80" s="5">
        <v>550468</v>
      </c>
      <c r="B80" s="5">
        <v>15036</v>
      </c>
      <c r="C80" s="5">
        <v>12</v>
      </c>
      <c r="D80" s="6">
        <v>40651.571527777778</v>
      </c>
      <c r="E80" s="8">
        <v>0.83</v>
      </c>
      <c r="F80" s="5">
        <v>16700</v>
      </c>
      <c r="G80" s="5" t="s">
        <v>8</v>
      </c>
      <c r="H80" s="5">
        <f t="shared" si="16"/>
        <v>0.23404255319148937</v>
      </c>
      <c r="I80" s="5">
        <f t="shared" si="17"/>
        <v>6.5076026784813848E-2</v>
      </c>
      <c r="J80" s="5" t="str">
        <f t="shared" si="18"/>
        <v>HIGH</v>
      </c>
      <c r="K80" s="8">
        <f t="shared" si="19"/>
        <v>8.7912087912087877E-2</v>
      </c>
      <c r="L80" s="8">
        <f t="shared" si="20"/>
        <v>-0.49186247751304629</v>
      </c>
      <c r="M80" s="5" t="str">
        <f t="shared" si="21"/>
        <v>LOW</v>
      </c>
      <c r="N80" s="5" cm="1">
        <f t="array" aca="1" ref="N80" ca="1">INDEX($N$2:$N$15,RANDBETWEEN(1, ROWS($N$2:$N$15)))</f>
        <v>8</v>
      </c>
      <c r="O80" s="5" cm="1">
        <f t="array" aca="1" ref="O80" ca="1">INDEX($O$2:$O$15,RANDBETWEEN(1, ROWS($O$2:$O$15)))</f>
        <v>1</v>
      </c>
      <c r="P80" s="5">
        <f t="shared" ca="1" si="22"/>
        <v>7.4566929133858268</v>
      </c>
      <c r="Q80" s="5">
        <f t="shared" ca="1" si="23"/>
        <v>4.3622047244094491</v>
      </c>
      <c r="R80" s="5" cm="1">
        <f t="array" aca="1" ref="R80" ca="1">INDEX($C$2:$C$128, RANDBETWEEN(1,128))</f>
        <v>1</v>
      </c>
      <c r="S80" s="5" cm="1">
        <f t="array" aca="1" ref="S80" ca="1">INDEX($E$2:$E$129, RANDBETWEEN(1,129))</f>
        <v>1.63</v>
      </c>
      <c r="T80" s="5"/>
      <c r="U80" s="5"/>
      <c r="V80" s="5"/>
    </row>
    <row r="81" spans="1:22" x14ac:dyDescent="0.35">
      <c r="A81" s="5">
        <v>550470</v>
      </c>
      <c r="B81" s="5">
        <v>15036</v>
      </c>
      <c r="C81" s="5">
        <v>4</v>
      </c>
      <c r="D81" s="6">
        <v>40651.575694444444</v>
      </c>
      <c r="E81" s="8">
        <v>1.63</v>
      </c>
      <c r="F81" s="5" t="s">
        <v>1331</v>
      </c>
      <c r="G81" s="5" t="s">
        <v>8</v>
      </c>
      <c r="H81" s="5">
        <f t="shared" si="16"/>
        <v>6.3829787234042548E-2</v>
      </c>
      <c r="I81" s="5">
        <f t="shared" si="17"/>
        <v>-0.66148708545003032</v>
      </c>
      <c r="J81" s="5" t="str">
        <f t="shared" si="18"/>
        <v>LOW</v>
      </c>
      <c r="K81" s="8">
        <f t="shared" si="19"/>
        <v>0.96703296703296704</v>
      </c>
      <c r="L81" s="8">
        <f t="shared" si="20"/>
        <v>1.9352005489719497</v>
      </c>
      <c r="M81" s="5" t="str">
        <f t="shared" si="21"/>
        <v>HIGH</v>
      </c>
      <c r="N81" s="5" cm="1">
        <f t="array" aca="1" ref="N81" ca="1">INDEX($N$2:$N$15,RANDBETWEEN(1, ROWS($N$2:$N$15)))</f>
        <v>2</v>
      </c>
      <c r="O81" s="5" cm="1">
        <f t="array" aca="1" ref="O81" ca="1">INDEX($O$2:$O$15,RANDBETWEEN(1, ROWS($O$2:$O$15)))</f>
        <v>5</v>
      </c>
      <c r="P81" s="5">
        <f t="shared" ca="1" si="22"/>
        <v>7.4566929133858268</v>
      </c>
      <c r="Q81" s="5">
        <f t="shared" ca="1" si="23"/>
        <v>4.3622047244094491</v>
      </c>
      <c r="R81" s="5" cm="1">
        <f t="array" aca="1" ref="R81" ca="1">INDEX($C$2:$C$128, RANDBETWEEN(1,128))</f>
        <v>5</v>
      </c>
      <c r="S81" s="5" cm="1">
        <f t="array" aca="1" ref="S81" ca="1">INDEX($E$2:$E$129, RANDBETWEEN(1,129))</f>
        <v>0.85</v>
      </c>
      <c r="T81" s="5"/>
      <c r="U81" s="5"/>
      <c r="V81" s="5"/>
    </row>
    <row r="82" spans="1:22" x14ac:dyDescent="0.35">
      <c r="A82" s="5">
        <v>550471</v>
      </c>
      <c r="B82" s="5">
        <v>15036</v>
      </c>
      <c r="C82" s="5">
        <v>3</v>
      </c>
      <c r="D82" s="6">
        <v>40651.577777777777</v>
      </c>
      <c r="E82" s="8">
        <v>1.63</v>
      </c>
      <c r="F82" s="5" t="s">
        <v>1331</v>
      </c>
      <c r="G82" s="5" t="s">
        <v>8</v>
      </c>
      <c r="H82" s="5">
        <f t="shared" si="16"/>
        <v>4.2553191489361701E-2</v>
      </c>
      <c r="I82" s="5">
        <f t="shared" si="17"/>
        <v>-0.75230747447938584</v>
      </c>
      <c r="J82" s="5" t="str">
        <f t="shared" si="18"/>
        <v>LOW</v>
      </c>
      <c r="K82" s="8">
        <f t="shared" si="19"/>
        <v>0.96703296703296704</v>
      </c>
      <c r="L82" s="8">
        <f t="shared" si="20"/>
        <v>1.9352005489719497</v>
      </c>
      <c r="M82" s="5" t="str">
        <f t="shared" si="21"/>
        <v>HIGH</v>
      </c>
      <c r="N82" s="5" cm="1">
        <f t="array" aca="1" ref="N82" ca="1">INDEX($N$2:$N$15,RANDBETWEEN(1, ROWS($N$2:$N$15)))</f>
        <v>2</v>
      </c>
      <c r="O82" s="5" cm="1">
        <f t="array" aca="1" ref="O82" ca="1">INDEX($O$2:$O$15,RANDBETWEEN(1, ROWS($O$2:$O$15)))</f>
        <v>5</v>
      </c>
      <c r="P82" s="5">
        <f t="shared" ca="1" si="22"/>
        <v>7.4566929133858268</v>
      </c>
      <c r="Q82" s="5">
        <f t="shared" ca="1" si="23"/>
        <v>4.3622047244094491</v>
      </c>
      <c r="R82" s="5" cm="1">
        <f t="array" aca="1" ref="R82" ca="1">INDEX($C$2:$C$128, RANDBETWEEN(1,128))</f>
        <v>12</v>
      </c>
      <c r="S82" s="5" cm="1">
        <f t="array" aca="1" ref="S82" ca="1">INDEX($E$2:$E$129, RANDBETWEEN(1,129))</f>
        <v>0.83</v>
      </c>
      <c r="T82" s="5"/>
      <c r="U82" s="5"/>
      <c r="V82" s="5"/>
    </row>
    <row r="83" spans="1:22" x14ac:dyDescent="0.35">
      <c r="A83" s="5">
        <v>550474</v>
      </c>
      <c r="B83" s="5">
        <v>15036</v>
      </c>
      <c r="C83" s="5">
        <v>2</v>
      </c>
      <c r="D83" s="6">
        <v>40651.581944444442</v>
      </c>
      <c r="E83" s="8">
        <v>1.63</v>
      </c>
      <c r="F83" s="5" t="s">
        <v>1331</v>
      </c>
      <c r="G83" s="5" t="s">
        <v>8</v>
      </c>
      <c r="H83" s="5">
        <f t="shared" si="16"/>
        <v>2.1276595744680851E-2</v>
      </c>
      <c r="I83" s="5">
        <f t="shared" si="17"/>
        <v>-0.84312786350874136</v>
      </c>
      <c r="J83" s="5" t="str">
        <f t="shared" si="18"/>
        <v>LOW</v>
      </c>
      <c r="K83" s="8">
        <f t="shared" si="19"/>
        <v>0.96703296703296704</v>
      </c>
      <c r="L83" s="8">
        <f t="shared" si="20"/>
        <v>1.9352005489719497</v>
      </c>
      <c r="M83" s="5" t="str">
        <f t="shared" si="21"/>
        <v>HIGH</v>
      </c>
      <c r="N83" s="5" cm="1">
        <f t="array" aca="1" ref="N83" ca="1">INDEX($N$2:$N$15,RANDBETWEEN(1, ROWS($N$2:$N$15)))</f>
        <v>2</v>
      </c>
      <c r="O83" s="5" cm="1">
        <f t="array" aca="1" ref="O83" ca="1">INDEX($O$2:$O$15,RANDBETWEEN(1, ROWS($O$2:$O$15)))</f>
        <v>7</v>
      </c>
      <c r="P83" s="5">
        <f t="shared" ca="1" si="22"/>
        <v>7.4566929133858268</v>
      </c>
      <c r="Q83" s="5">
        <f t="shared" ca="1" si="23"/>
        <v>4.3622047244094491</v>
      </c>
      <c r="R83" s="5" cm="1">
        <f t="array" aca="1" ref="R83" ca="1">INDEX($C$2:$C$128, RANDBETWEEN(1,128))</f>
        <v>12</v>
      </c>
      <c r="S83" s="5" cm="1">
        <f t="array" aca="1" ref="S83" ca="1">INDEX($E$2:$E$129, RANDBETWEEN(1,129))</f>
        <v>0.85</v>
      </c>
      <c r="T83" s="5"/>
      <c r="U83" s="5"/>
      <c r="V83" s="5"/>
    </row>
    <row r="84" spans="1:22" x14ac:dyDescent="0.35">
      <c r="A84" s="5">
        <v>550479</v>
      </c>
      <c r="B84" s="5">
        <v>15036</v>
      </c>
      <c r="C84" s="5">
        <v>24</v>
      </c>
      <c r="D84" s="6">
        <v>40651.584027777775</v>
      </c>
      <c r="E84" s="8">
        <v>0.83</v>
      </c>
      <c r="F84" s="5">
        <v>15625</v>
      </c>
      <c r="G84" s="5" t="s">
        <v>8</v>
      </c>
      <c r="H84" s="5">
        <f t="shared" si="16"/>
        <v>0.48936170212765956</v>
      </c>
      <c r="I84" s="5">
        <f t="shared" si="17"/>
        <v>1.1549206951370801</v>
      </c>
      <c r="J84" s="5" t="str">
        <f t="shared" si="18"/>
        <v>HIGH</v>
      </c>
      <c r="K84" s="8">
        <f t="shared" si="19"/>
        <v>8.7912087912087877E-2</v>
      </c>
      <c r="L84" s="8">
        <f t="shared" si="20"/>
        <v>-0.49186247751304629</v>
      </c>
      <c r="M84" s="5" t="str">
        <f t="shared" si="21"/>
        <v>LOW</v>
      </c>
      <c r="N84" s="5" cm="1">
        <f t="array" aca="1" ref="N84" ca="1">INDEX($N$2:$N$15,RANDBETWEEN(1, ROWS($N$2:$N$15)))</f>
        <v>9</v>
      </c>
      <c r="O84" s="5" cm="1">
        <f t="array" aca="1" ref="O84" ca="1">INDEX($O$2:$O$15,RANDBETWEEN(1, ROWS($O$2:$O$15)))</f>
        <v>7</v>
      </c>
      <c r="P84" s="5">
        <f t="shared" ca="1" si="22"/>
        <v>7.4566929133858268</v>
      </c>
      <c r="Q84" s="5">
        <f t="shared" ca="1" si="23"/>
        <v>4.3622047244094491</v>
      </c>
      <c r="R84" s="5" cm="1">
        <f t="array" aca="1" ref="R84" ca="1">INDEX($C$2:$C$128, RANDBETWEEN(1,128))</f>
        <v>12</v>
      </c>
      <c r="S84" s="5" cm="1">
        <f t="array" aca="1" ref="S84" ca="1">INDEX($E$2:$E$129, RANDBETWEEN(1,129))</f>
        <v>0.85</v>
      </c>
      <c r="T84" s="5"/>
      <c r="U84" s="5"/>
      <c r="V84" s="5"/>
    </row>
    <row r="85" spans="1:22" x14ac:dyDescent="0.35">
      <c r="A85" s="5">
        <v>550517</v>
      </c>
      <c r="B85" s="5">
        <v>15036</v>
      </c>
      <c r="C85" s="5">
        <v>24</v>
      </c>
      <c r="D85" s="6">
        <v>40652.345138888886</v>
      </c>
      <c r="E85" s="8">
        <v>0.83</v>
      </c>
      <c r="F85" s="5">
        <v>14352</v>
      </c>
      <c r="G85" s="5" t="s">
        <v>8</v>
      </c>
      <c r="H85" s="5">
        <f t="shared" si="16"/>
        <v>0.48936170212765956</v>
      </c>
      <c r="I85" s="5">
        <f t="shared" si="17"/>
        <v>1.1549206951370801</v>
      </c>
      <c r="J85" s="5" t="str">
        <f t="shared" si="18"/>
        <v>HIGH</v>
      </c>
      <c r="K85" s="8">
        <f t="shared" si="19"/>
        <v>8.7912087912087877E-2</v>
      </c>
      <c r="L85" s="8">
        <f t="shared" si="20"/>
        <v>-0.49186247751304629</v>
      </c>
      <c r="M85" s="5" t="str">
        <f t="shared" si="21"/>
        <v>LOW</v>
      </c>
      <c r="N85" s="5" cm="1">
        <f t="array" aca="1" ref="N85" ca="1">INDEX($N$2:$N$15,RANDBETWEEN(1, ROWS($N$2:$N$15)))</f>
        <v>11</v>
      </c>
      <c r="O85" s="5" cm="1">
        <f t="array" aca="1" ref="O85" ca="1">INDEX($O$2:$O$15,RANDBETWEEN(1, ROWS($O$2:$O$15)))</f>
        <v>7</v>
      </c>
      <c r="P85" s="5">
        <f t="shared" ca="1" si="22"/>
        <v>7.4566929133858268</v>
      </c>
      <c r="Q85" s="5">
        <f t="shared" ca="1" si="23"/>
        <v>4.3622047244094491</v>
      </c>
      <c r="R85" s="5" cm="1">
        <f t="array" aca="1" ref="R85" ca="1">INDEX($C$2:$C$128, RANDBETWEEN(1,128))</f>
        <v>20</v>
      </c>
      <c r="S85" s="5" cm="1">
        <f t="array" aca="1" ref="S85" ca="1">INDEX($E$2:$E$129, RANDBETWEEN(1,129))</f>
        <v>0.85</v>
      </c>
      <c r="T85" s="5"/>
      <c r="U85" s="5"/>
      <c r="V85" s="5"/>
    </row>
    <row r="86" spans="1:22" x14ac:dyDescent="0.35">
      <c r="A86" s="5">
        <v>550519</v>
      </c>
      <c r="B86" s="5">
        <v>15036</v>
      </c>
      <c r="C86" s="5">
        <v>24</v>
      </c>
      <c r="D86" s="6">
        <v>40652.396527777775</v>
      </c>
      <c r="E86" s="8">
        <v>0.83</v>
      </c>
      <c r="F86" s="5">
        <v>13141</v>
      </c>
      <c r="G86" s="5" t="s">
        <v>8</v>
      </c>
      <c r="H86" s="5">
        <f t="shared" si="16"/>
        <v>0.48936170212765956</v>
      </c>
      <c r="I86" s="5">
        <f t="shared" si="17"/>
        <v>1.1549206951370801</v>
      </c>
      <c r="J86" s="5" t="str">
        <f t="shared" si="18"/>
        <v>HIGH</v>
      </c>
      <c r="K86" s="8">
        <f t="shared" si="19"/>
        <v>8.7912087912087877E-2</v>
      </c>
      <c r="L86" s="8">
        <f t="shared" si="20"/>
        <v>-0.49186247751304629</v>
      </c>
      <c r="M86" s="5" t="str">
        <f t="shared" si="21"/>
        <v>LOW</v>
      </c>
      <c r="N86" s="5" cm="1">
        <f t="array" aca="1" ref="N86" ca="1">INDEX($N$2:$N$15,RANDBETWEEN(1, ROWS($N$2:$N$15)))</f>
        <v>4</v>
      </c>
      <c r="O86" s="5" cm="1">
        <f t="array" aca="1" ref="O86" ca="1">INDEX($O$2:$O$15,RANDBETWEEN(1, ROWS($O$2:$O$15)))</f>
        <v>1</v>
      </c>
      <c r="P86" s="5">
        <f t="shared" ca="1" si="22"/>
        <v>7.4566929133858268</v>
      </c>
      <c r="Q86" s="5">
        <f t="shared" ca="1" si="23"/>
        <v>4.3622047244094491</v>
      </c>
      <c r="R86" s="5" cm="1">
        <f t="array" aca="1" ref="R86" ca="1">INDEX($C$2:$C$128, RANDBETWEEN(1,128))</f>
        <v>48</v>
      </c>
      <c r="S86" s="5" cm="1">
        <f t="array" aca="1" ref="S86" ca="1">INDEX($E$2:$E$129, RANDBETWEEN(1,129))</f>
        <v>0.83</v>
      </c>
      <c r="T86" s="5"/>
      <c r="U86" s="5"/>
      <c r="V86" s="5"/>
    </row>
    <row r="87" spans="1:22" x14ac:dyDescent="0.35">
      <c r="A87" s="5">
        <v>550521</v>
      </c>
      <c r="B87" s="5">
        <v>15036</v>
      </c>
      <c r="C87" s="5">
        <v>24</v>
      </c>
      <c r="D87" s="6">
        <v>40652.40902777778</v>
      </c>
      <c r="E87" s="8">
        <v>0.83</v>
      </c>
      <c r="F87" s="5">
        <v>13647</v>
      </c>
      <c r="G87" s="5" t="s">
        <v>8</v>
      </c>
      <c r="H87" s="5">
        <f t="shared" si="16"/>
        <v>0.48936170212765956</v>
      </c>
      <c r="I87" s="5">
        <f t="shared" si="17"/>
        <v>1.1549206951370801</v>
      </c>
      <c r="J87" s="5" t="str">
        <f t="shared" si="18"/>
        <v>HIGH</v>
      </c>
      <c r="K87" s="8">
        <f t="shared" si="19"/>
        <v>8.7912087912087877E-2</v>
      </c>
      <c r="L87" s="8">
        <f t="shared" si="20"/>
        <v>-0.49186247751304629</v>
      </c>
      <c r="M87" s="5" t="str">
        <f t="shared" si="21"/>
        <v>LOW</v>
      </c>
      <c r="N87" s="5" cm="1">
        <f t="array" aca="1" ref="N87" ca="1">INDEX($N$2:$N$15,RANDBETWEEN(1, ROWS($N$2:$N$15)))</f>
        <v>12</v>
      </c>
      <c r="O87" s="5" cm="1">
        <f t="array" aca="1" ref="O87" ca="1">INDEX($O$2:$O$15,RANDBETWEEN(1, ROWS($O$2:$O$15)))</f>
        <v>1</v>
      </c>
      <c r="P87" s="5">
        <f t="shared" ca="1" si="22"/>
        <v>7.4566929133858268</v>
      </c>
      <c r="Q87" s="5">
        <f t="shared" ca="1" si="23"/>
        <v>4.3622047244094491</v>
      </c>
      <c r="R87" s="5" cm="1">
        <f t="array" aca="1" ref="R87" ca="1">INDEX($C$2:$C$128, RANDBETWEEN(1,128))</f>
        <v>1</v>
      </c>
      <c r="S87" s="5" cm="1">
        <f t="array" aca="1" ref="S87" ca="1">INDEX($E$2:$E$129, RANDBETWEEN(1,129))</f>
        <v>0.85</v>
      </c>
      <c r="T87" s="5"/>
      <c r="U87" s="5"/>
      <c r="V87" s="5"/>
    </row>
    <row r="88" spans="1:22" x14ac:dyDescent="0.35">
      <c r="A88" s="5">
        <v>550542</v>
      </c>
      <c r="B88" s="5">
        <v>15036</v>
      </c>
      <c r="C88" s="5">
        <v>5</v>
      </c>
      <c r="D88" s="6">
        <v>40652.484027777777</v>
      </c>
      <c r="E88" s="8">
        <v>1.63</v>
      </c>
      <c r="F88" s="5" t="s">
        <v>1331</v>
      </c>
      <c r="G88" s="5" t="s">
        <v>8</v>
      </c>
      <c r="H88" s="5">
        <f t="shared" si="16"/>
        <v>8.5106382978723402E-2</v>
      </c>
      <c r="I88" s="5">
        <f t="shared" si="17"/>
        <v>-0.5706666964206748</v>
      </c>
      <c r="J88" s="5" t="str">
        <f t="shared" si="18"/>
        <v>LOW</v>
      </c>
      <c r="K88" s="8">
        <f t="shared" si="19"/>
        <v>0.96703296703296704</v>
      </c>
      <c r="L88" s="8">
        <f t="shared" si="20"/>
        <v>1.9352005489719497</v>
      </c>
      <c r="M88" s="5" t="str">
        <f t="shared" si="21"/>
        <v>HIGH</v>
      </c>
      <c r="N88" s="5" cm="1">
        <f t="array" aca="1" ref="N88" ca="1">INDEX($N$2:$N$15,RANDBETWEEN(1, ROWS($N$2:$N$15)))</f>
        <v>4</v>
      </c>
      <c r="O88" s="5" cm="1">
        <f t="array" aca="1" ref="O88" ca="1">INDEX($O$2:$O$15,RANDBETWEEN(1, ROWS($O$2:$O$15)))</f>
        <v>7</v>
      </c>
      <c r="P88" s="5">
        <f t="shared" ca="1" si="22"/>
        <v>7.4566929133858268</v>
      </c>
      <c r="Q88" s="5">
        <f t="shared" ca="1" si="23"/>
        <v>4.3622047244094491</v>
      </c>
      <c r="R88" s="5" cm="1">
        <f t="array" aca="1" ref="R88" ca="1">INDEX($C$2:$C$128, RANDBETWEEN(1,128))</f>
        <v>12</v>
      </c>
      <c r="S88" s="5" cm="1">
        <f t="array" aca="1" ref="S88" ca="1">INDEX($E$2:$E$129, RANDBETWEEN(1,129))</f>
        <v>0.85</v>
      </c>
      <c r="T88" s="5"/>
      <c r="U88" s="5"/>
      <c r="V88" s="5"/>
    </row>
    <row r="89" spans="1:22" x14ac:dyDescent="0.35">
      <c r="A89" s="5">
        <v>550636</v>
      </c>
      <c r="B89" s="5">
        <v>15036</v>
      </c>
      <c r="C89" s="5">
        <v>1</v>
      </c>
      <c r="D89" s="6">
        <v>40652.650694444441</v>
      </c>
      <c r="E89" s="8">
        <v>1.63</v>
      </c>
      <c r="F89" s="5" t="s">
        <v>1331</v>
      </c>
      <c r="G89" s="5" t="s">
        <v>8</v>
      </c>
      <c r="H89" s="5">
        <f t="shared" si="16"/>
        <v>0</v>
      </c>
      <c r="I89" s="5">
        <f t="shared" si="17"/>
        <v>-0.93394825253809688</v>
      </c>
      <c r="J89" s="5" t="str">
        <f t="shared" si="18"/>
        <v>LOW</v>
      </c>
      <c r="K89" s="8">
        <f t="shared" si="19"/>
        <v>0.96703296703296704</v>
      </c>
      <c r="L89" s="8">
        <f t="shared" si="20"/>
        <v>1.9352005489719497</v>
      </c>
      <c r="M89" s="5" t="str">
        <f t="shared" si="21"/>
        <v>HIGH</v>
      </c>
      <c r="N89" s="5" cm="1">
        <f t="array" aca="1" ref="N89" ca="1">INDEX($N$2:$N$15,RANDBETWEEN(1, ROWS($N$2:$N$15)))</f>
        <v>9</v>
      </c>
      <c r="O89" s="5" cm="1">
        <f t="array" aca="1" ref="O89" ca="1">INDEX($O$2:$O$15,RANDBETWEEN(1, ROWS($O$2:$O$15)))</f>
        <v>5</v>
      </c>
      <c r="P89" s="5">
        <f t="shared" ca="1" si="22"/>
        <v>7.4566929133858268</v>
      </c>
      <c r="Q89" s="5">
        <f t="shared" ca="1" si="23"/>
        <v>4.3622047244094491</v>
      </c>
      <c r="R89" s="5" cm="1">
        <f t="array" aca="1" ref="R89" ca="1">INDEX($C$2:$C$128, RANDBETWEEN(1,128))</f>
        <v>5</v>
      </c>
      <c r="S89" s="5" cm="1">
        <f t="array" aca="1" ref="S89" ca="1">INDEX($E$2:$E$129, RANDBETWEEN(1,129))</f>
        <v>1.66</v>
      </c>
      <c r="T89" s="5"/>
      <c r="U89" s="5"/>
      <c r="V89" s="5"/>
    </row>
    <row r="90" spans="1:22" x14ac:dyDescent="0.35">
      <c r="A90" s="5">
        <v>550659</v>
      </c>
      <c r="B90" s="5">
        <v>15036</v>
      </c>
      <c r="C90" s="5">
        <v>12</v>
      </c>
      <c r="D90" s="6">
        <v>40653.376388888886</v>
      </c>
      <c r="E90" s="8">
        <v>0.83</v>
      </c>
      <c r="F90" s="5">
        <v>17730</v>
      </c>
      <c r="G90" s="5" t="s">
        <v>8</v>
      </c>
      <c r="H90" s="5">
        <f t="shared" si="16"/>
        <v>0.23404255319148937</v>
      </c>
      <c r="I90" s="5">
        <f t="shared" si="17"/>
        <v>6.5076026784813848E-2</v>
      </c>
      <c r="J90" s="5" t="str">
        <f t="shared" si="18"/>
        <v>HIGH</v>
      </c>
      <c r="K90" s="8">
        <f t="shared" si="19"/>
        <v>8.7912087912087877E-2</v>
      </c>
      <c r="L90" s="8">
        <f t="shared" si="20"/>
        <v>-0.49186247751304629</v>
      </c>
      <c r="M90" s="5" t="str">
        <f t="shared" si="21"/>
        <v>LOW</v>
      </c>
      <c r="N90" s="5" cm="1">
        <f t="array" aca="1" ref="N90" ca="1">INDEX($N$2:$N$15,RANDBETWEEN(1, ROWS($N$2:$N$15)))</f>
        <v>4</v>
      </c>
      <c r="O90" s="5" cm="1">
        <f t="array" aca="1" ref="O90" ca="1">INDEX($O$2:$O$15,RANDBETWEEN(1, ROWS($O$2:$O$15)))</f>
        <v>7</v>
      </c>
      <c r="P90" s="5">
        <f t="shared" ca="1" si="22"/>
        <v>7.4566929133858268</v>
      </c>
      <c r="Q90" s="5">
        <f t="shared" ca="1" si="23"/>
        <v>4.3622047244094491</v>
      </c>
      <c r="R90" s="5" cm="1">
        <f t="array" aca="1" ref="R90" ca="1">INDEX($C$2:$C$128, RANDBETWEEN(1,128))</f>
        <v>12</v>
      </c>
      <c r="S90" s="5" cm="1">
        <f t="array" aca="1" ref="S90" ca="1">INDEX($E$2:$E$129, RANDBETWEEN(1,129))</f>
        <v>0</v>
      </c>
      <c r="T90" s="5"/>
      <c r="U90" s="5"/>
      <c r="V90" s="5"/>
    </row>
    <row r="91" spans="1:22" x14ac:dyDescent="0.35">
      <c r="A91" s="5">
        <v>550775</v>
      </c>
      <c r="B91" s="5">
        <v>15036</v>
      </c>
      <c r="C91" s="5">
        <v>12</v>
      </c>
      <c r="D91" s="6">
        <v>40653.554166666669</v>
      </c>
      <c r="E91" s="8">
        <v>0.83</v>
      </c>
      <c r="F91" s="5">
        <v>15805</v>
      </c>
      <c r="G91" s="5" t="s">
        <v>8</v>
      </c>
      <c r="H91" s="5">
        <f t="shared" si="16"/>
        <v>0.23404255319148937</v>
      </c>
      <c r="I91" s="5">
        <f t="shared" si="17"/>
        <v>6.5076026784813848E-2</v>
      </c>
      <c r="J91" s="5" t="str">
        <f t="shared" si="18"/>
        <v>HIGH</v>
      </c>
      <c r="K91" s="8">
        <f t="shared" si="19"/>
        <v>8.7912087912087877E-2</v>
      </c>
      <c r="L91" s="8">
        <f t="shared" si="20"/>
        <v>-0.49186247751304629</v>
      </c>
      <c r="M91" s="5" t="str">
        <f t="shared" si="21"/>
        <v>LOW</v>
      </c>
      <c r="N91" s="5" cm="1">
        <f t="array" aca="1" ref="N91" ca="1">INDEX($N$2:$N$15,RANDBETWEEN(1, ROWS($N$2:$N$15)))</f>
        <v>11</v>
      </c>
      <c r="O91" s="5" cm="1">
        <f t="array" aca="1" ref="O91" ca="1">INDEX($O$2:$O$15,RANDBETWEEN(1, ROWS($O$2:$O$15)))</f>
        <v>4</v>
      </c>
      <c r="P91" s="5">
        <f t="shared" ca="1" si="22"/>
        <v>7.4566929133858268</v>
      </c>
      <c r="Q91" s="5">
        <f t="shared" ca="1" si="23"/>
        <v>4.3622047244094491</v>
      </c>
      <c r="R91" s="5" cm="1">
        <f t="array" aca="1" ref="R91" ca="1">INDEX($C$2:$C$128, RANDBETWEEN(1,128))</f>
        <v>20</v>
      </c>
      <c r="S91" s="5" cm="1">
        <f t="array" aca="1" ref="S91" ca="1">INDEX($E$2:$E$129, RANDBETWEEN(1,129))</f>
        <v>0.79</v>
      </c>
      <c r="T91" s="5"/>
      <c r="U91" s="5"/>
      <c r="V91" s="5"/>
    </row>
    <row r="92" spans="1:22" x14ac:dyDescent="0.35">
      <c r="A92" s="5">
        <v>550785</v>
      </c>
      <c r="B92" s="5">
        <v>15036</v>
      </c>
      <c r="C92" s="5">
        <v>12</v>
      </c>
      <c r="D92" s="6">
        <v>40653.584722222222</v>
      </c>
      <c r="E92" s="8">
        <v>0.83</v>
      </c>
      <c r="F92" s="5">
        <v>15517</v>
      </c>
      <c r="G92" s="5" t="s">
        <v>8</v>
      </c>
      <c r="H92" s="5">
        <f t="shared" si="16"/>
        <v>0.23404255319148937</v>
      </c>
      <c r="I92" s="5">
        <f t="shared" si="17"/>
        <v>6.5076026784813848E-2</v>
      </c>
      <c r="J92" s="5" t="str">
        <f t="shared" si="18"/>
        <v>HIGH</v>
      </c>
      <c r="K92" s="8">
        <f t="shared" si="19"/>
        <v>8.7912087912087877E-2</v>
      </c>
      <c r="L92" s="8">
        <f t="shared" si="20"/>
        <v>-0.49186247751304629</v>
      </c>
      <c r="M92" s="5" t="str">
        <f t="shared" si="21"/>
        <v>LOW</v>
      </c>
      <c r="N92" s="5" cm="1">
        <f t="array" aca="1" ref="N92" ca="1">INDEX($N$2:$N$15,RANDBETWEEN(1, ROWS($N$2:$N$15)))</f>
        <v>11</v>
      </c>
      <c r="O92" s="5" cm="1">
        <f t="array" aca="1" ref="O92" ca="1">INDEX($O$2:$O$15,RANDBETWEEN(1, ROWS($O$2:$O$15)))</f>
        <v>1</v>
      </c>
      <c r="P92" s="5">
        <f t="shared" ca="1" si="22"/>
        <v>7.4566929133858268</v>
      </c>
      <c r="Q92" s="5">
        <f t="shared" ca="1" si="23"/>
        <v>4.3622047244094491</v>
      </c>
      <c r="R92" s="5" cm="1">
        <f t="array" aca="1" ref="R92" ca="1">INDEX($C$2:$C$128, RANDBETWEEN(1,128))</f>
        <v>1</v>
      </c>
      <c r="S92" s="5" cm="1">
        <f t="array" aca="1" ref="S92" ca="1">INDEX($E$2:$E$129, RANDBETWEEN(1,129))</f>
        <v>0.75</v>
      </c>
      <c r="T92" s="5"/>
      <c r="U92" s="5"/>
      <c r="V92" s="5"/>
    </row>
    <row r="93" spans="1:22" x14ac:dyDescent="0.35">
      <c r="A93" s="5">
        <v>550802</v>
      </c>
      <c r="B93" s="5">
        <v>15036</v>
      </c>
      <c r="C93" s="5">
        <v>12</v>
      </c>
      <c r="D93" s="6">
        <v>40653.63958333333</v>
      </c>
      <c r="E93" s="8">
        <v>0.83</v>
      </c>
      <c r="F93" s="5">
        <v>17120</v>
      </c>
      <c r="G93" s="5" t="s">
        <v>8</v>
      </c>
      <c r="H93" s="5">
        <f t="shared" si="16"/>
        <v>0.23404255319148937</v>
      </c>
      <c r="I93" s="5">
        <f t="shared" si="17"/>
        <v>6.5076026784813848E-2</v>
      </c>
      <c r="J93" s="5" t="str">
        <f t="shared" si="18"/>
        <v>HIGH</v>
      </c>
      <c r="K93" s="8">
        <f t="shared" si="19"/>
        <v>8.7912087912087877E-2</v>
      </c>
      <c r="L93" s="8">
        <f t="shared" si="20"/>
        <v>-0.49186247751304629</v>
      </c>
      <c r="M93" s="5" t="str">
        <f t="shared" si="21"/>
        <v>LOW</v>
      </c>
      <c r="N93" s="5" cm="1">
        <f t="array" aca="1" ref="N93" ca="1">INDEX($N$2:$N$15,RANDBETWEEN(1, ROWS($N$2:$N$15)))</f>
        <v>12</v>
      </c>
      <c r="O93" s="5" cm="1">
        <f t="array" aca="1" ref="O93" ca="1">INDEX($O$2:$O$15,RANDBETWEEN(1, ROWS($O$2:$O$15)))</f>
        <v>4</v>
      </c>
      <c r="P93" s="5">
        <f t="shared" ca="1" si="22"/>
        <v>7.4566929133858268</v>
      </c>
      <c r="Q93" s="5">
        <f t="shared" ca="1" si="23"/>
        <v>4.3622047244094491</v>
      </c>
      <c r="R93" s="5" cm="1">
        <f t="array" aca="1" ref="R93" ca="1">INDEX($C$2:$C$128, RANDBETWEEN(1,128))</f>
        <v>2</v>
      </c>
      <c r="S93" s="5" cm="1">
        <f t="array" aca="1" ref="S93" ca="1">INDEX($E$2:$E$129, RANDBETWEEN(1,129))</f>
        <v>0.81</v>
      </c>
      <c r="T93" s="5"/>
      <c r="U93" s="5"/>
      <c r="V93" s="5"/>
    </row>
    <row r="94" spans="1:22" x14ac:dyDescent="0.35">
      <c r="A94" s="5">
        <v>550972</v>
      </c>
      <c r="B94" s="5">
        <v>15036</v>
      </c>
      <c r="C94" s="5">
        <v>1</v>
      </c>
      <c r="D94" s="6">
        <v>40654.711805555555</v>
      </c>
      <c r="E94" s="8">
        <v>0.83</v>
      </c>
      <c r="F94" s="5">
        <v>14031</v>
      </c>
      <c r="G94" s="5" t="s">
        <v>8</v>
      </c>
      <c r="H94" s="5">
        <f t="shared" si="16"/>
        <v>0</v>
      </c>
      <c r="I94" s="5">
        <f t="shared" si="17"/>
        <v>-0.93394825253809688</v>
      </c>
      <c r="J94" s="5" t="str">
        <f t="shared" si="18"/>
        <v>LOW</v>
      </c>
      <c r="K94" s="8">
        <f t="shared" si="19"/>
        <v>8.7912087912087877E-2</v>
      </c>
      <c r="L94" s="8">
        <f t="shared" si="20"/>
        <v>-0.49186247751304629</v>
      </c>
      <c r="M94" s="5" t="str">
        <f t="shared" si="21"/>
        <v>LOW</v>
      </c>
      <c r="N94" s="5" cm="1">
        <f t="array" aca="1" ref="N94" ca="1">INDEX($N$2:$N$15,RANDBETWEEN(1, ROWS($N$2:$N$15)))</f>
        <v>4</v>
      </c>
      <c r="O94" s="5" cm="1">
        <f t="array" aca="1" ref="O94" ca="1">INDEX($O$2:$O$15,RANDBETWEEN(1, ROWS($O$2:$O$15)))</f>
        <v>5</v>
      </c>
      <c r="P94" s="5">
        <f t="shared" ca="1" si="22"/>
        <v>7.4566929133858268</v>
      </c>
      <c r="Q94" s="5">
        <f t="shared" ca="1" si="23"/>
        <v>4.3622047244094491</v>
      </c>
      <c r="R94" s="5" cm="1">
        <f t="array" aca="1" ref="R94" ca="1">INDEX($C$2:$C$128, RANDBETWEEN(1,128))</f>
        <v>24</v>
      </c>
      <c r="S94" s="5" cm="1">
        <f t="array" aca="1" ref="S94" ca="1">INDEX($E$2:$E$129, RANDBETWEEN(1,129))</f>
        <v>1.63</v>
      </c>
      <c r="T94" s="5"/>
      <c r="U94" s="5"/>
      <c r="V94" s="5"/>
    </row>
    <row r="95" spans="1:22" x14ac:dyDescent="0.35">
      <c r="A95" s="5">
        <v>551174</v>
      </c>
      <c r="B95" s="5">
        <v>15036</v>
      </c>
      <c r="C95" s="5">
        <v>15</v>
      </c>
      <c r="D95" s="6">
        <v>40659.709722222222</v>
      </c>
      <c r="E95" s="8">
        <v>0.83</v>
      </c>
      <c r="F95" s="5" t="s">
        <v>1331</v>
      </c>
      <c r="G95" s="5" t="s">
        <v>8</v>
      </c>
      <c r="H95" s="5">
        <f t="shared" si="16"/>
        <v>0.2978723404255319</v>
      </c>
      <c r="I95" s="5">
        <f t="shared" si="17"/>
        <v>0.33753719387288039</v>
      </c>
      <c r="J95" s="5" t="str">
        <f t="shared" si="18"/>
        <v>HIGH</v>
      </c>
      <c r="K95" s="8">
        <f t="shared" si="19"/>
        <v>8.7912087912087877E-2</v>
      </c>
      <c r="L95" s="8">
        <f t="shared" si="20"/>
        <v>-0.49186247751304629</v>
      </c>
      <c r="M95" s="5" t="str">
        <f t="shared" si="21"/>
        <v>LOW</v>
      </c>
      <c r="N95" s="5" cm="1">
        <f t="array" aca="1" ref="N95" ca="1">INDEX($N$2:$N$15,RANDBETWEEN(1, ROWS($N$2:$N$15)))</f>
        <v>12</v>
      </c>
      <c r="O95" s="5" cm="1">
        <f t="array" aca="1" ref="O95" ca="1">INDEX($O$2:$O$15,RANDBETWEEN(1, ROWS($O$2:$O$15)))</f>
        <v>4</v>
      </c>
      <c r="P95" s="5">
        <f t="shared" ca="1" si="22"/>
        <v>7.4566929133858268</v>
      </c>
      <c r="Q95" s="5">
        <f t="shared" ca="1" si="23"/>
        <v>4.3622047244094491</v>
      </c>
      <c r="R95" s="5" cm="1">
        <f t="array" aca="1" ref="R95" ca="1">INDEX($C$2:$C$128, RANDBETWEEN(1,128))</f>
        <v>22</v>
      </c>
      <c r="S95" s="5" cm="1">
        <f t="array" aca="1" ref="S95" ca="1">INDEX($E$2:$E$129, RANDBETWEEN(1,129))</f>
        <v>0</v>
      </c>
      <c r="T95" s="5"/>
      <c r="U95" s="5"/>
      <c r="V95" s="5"/>
    </row>
    <row r="96" spans="1:22" x14ac:dyDescent="0.35">
      <c r="A96" s="5">
        <v>551182</v>
      </c>
      <c r="B96" s="5">
        <v>15036</v>
      </c>
      <c r="C96" s="5">
        <v>24</v>
      </c>
      <c r="D96" s="6">
        <v>40660.363194444442</v>
      </c>
      <c r="E96" s="8">
        <v>0.83</v>
      </c>
      <c r="F96" s="5">
        <v>14282</v>
      </c>
      <c r="G96" s="5" t="s">
        <v>8</v>
      </c>
      <c r="H96" s="5">
        <f t="shared" si="16"/>
        <v>0.48936170212765956</v>
      </c>
      <c r="I96" s="5">
        <f t="shared" si="17"/>
        <v>1.1549206951370801</v>
      </c>
      <c r="J96" s="5" t="str">
        <f t="shared" si="18"/>
        <v>HIGH</v>
      </c>
      <c r="K96" s="8">
        <f t="shared" si="19"/>
        <v>8.7912087912087877E-2</v>
      </c>
      <c r="L96" s="8">
        <f t="shared" si="20"/>
        <v>-0.49186247751304629</v>
      </c>
      <c r="M96" s="5" t="str">
        <f t="shared" si="21"/>
        <v>LOW</v>
      </c>
      <c r="N96" s="5" cm="1">
        <f t="array" aca="1" ref="N96" ca="1">INDEX($N$2:$N$15,RANDBETWEEN(1, ROWS($N$2:$N$15)))</f>
        <v>8</v>
      </c>
      <c r="O96" s="5" cm="1">
        <f t="array" aca="1" ref="O96" ca="1">INDEX($O$2:$O$15,RANDBETWEEN(1, ROWS($O$2:$O$15)))</f>
        <v>4</v>
      </c>
      <c r="P96" s="5">
        <f t="shared" ca="1" si="22"/>
        <v>7.4566929133858268</v>
      </c>
      <c r="Q96" s="5">
        <f t="shared" ca="1" si="23"/>
        <v>4.3622047244094491</v>
      </c>
      <c r="R96" s="5" cm="1">
        <f t="array" aca="1" ref="R96" ca="1">INDEX($C$2:$C$128, RANDBETWEEN(1,128))</f>
        <v>6</v>
      </c>
      <c r="S96" s="5" cm="1">
        <f t="array" aca="1" ref="S96" ca="1">INDEX($E$2:$E$129, RANDBETWEEN(1,129))</f>
        <v>0.83</v>
      </c>
      <c r="T96" s="5"/>
      <c r="U96" s="5"/>
      <c r="V96" s="5"/>
    </row>
    <row r="97" spans="1:22" x14ac:dyDescent="0.35">
      <c r="A97" s="5">
        <v>551391</v>
      </c>
      <c r="B97" s="5">
        <v>10125</v>
      </c>
      <c r="C97" s="5">
        <v>1</v>
      </c>
      <c r="D97" s="6">
        <v>40661.504166666666</v>
      </c>
      <c r="E97" s="8">
        <v>0.85</v>
      </c>
      <c r="F97" s="5">
        <v>15514</v>
      </c>
      <c r="G97" s="5" t="s">
        <v>8</v>
      </c>
      <c r="H97" s="5">
        <f t="shared" si="16"/>
        <v>0</v>
      </c>
      <c r="I97" s="5">
        <f t="shared" si="17"/>
        <v>-0.93394825253809688</v>
      </c>
      <c r="J97" s="5" t="str">
        <f t="shared" si="18"/>
        <v>LOW</v>
      </c>
      <c r="K97" s="8">
        <f t="shared" si="19"/>
        <v>0.10989010989010987</v>
      </c>
      <c r="L97" s="8">
        <f t="shared" si="20"/>
        <v>-0.43118590185092137</v>
      </c>
      <c r="M97" s="5" t="str">
        <f t="shared" si="21"/>
        <v>LOW</v>
      </c>
      <c r="N97" s="5">
        <v>10</v>
      </c>
      <c r="O97" s="5">
        <v>8</v>
      </c>
      <c r="P97" s="5">
        <f t="shared" ca="1" si="22"/>
        <v>7.4566929133858268</v>
      </c>
      <c r="Q97" s="5">
        <f t="shared" ca="1" si="23"/>
        <v>4.3622047244094491</v>
      </c>
      <c r="R97" s="5" cm="1">
        <f t="array" aca="1" ref="R97" ca="1">INDEX($C$2:$C$128, RANDBETWEEN(1,128))</f>
        <v>3</v>
      </c>
      <c r="S97" s="5" cm="1">
        <f t="array" aca="1" ref="S97" ca="1">INDEX($E$2:$E$129, RANDBETWEEN(1,129))</f>
        <v>0.85</v>
      </c>
      <c r="T97" s="5"/>
      <c r="U97" s="5"/>
      <c r="V97" s="5"/>
    </row>
    <row r="98" spans="1:22" x14ac:dyDescent="0.35">
      <c r="A98" s="5">
        <v>551616</v>
      </c>
      <c r="B98" s="5">
        <v>10125</v>
      </c>
      <c r="C98" s="5">
        <v>1</v>
      </c>
      <c r="D98" s="6">
        <v>40666.486111111109</v>
      </c>
      <c r="E98" s="8">
        <v>0.85</v>
      </c>
      <c r="F98" s="5">
        <v>15048</v>
      </c>
      <c r="G98" s="5" t="s">
        <v>8</v>
      </c>
      <c r="H98" s="5">
        <f t="shared" ref="H98:H128" si="24">(C98-1)/(48-1)</f>
        <v>0</v>
      </c>
      <c r="I98" s="5">
        <f t="shared" ref="I98:I128" si="25">(C98-$Y$21)/$Y$44</f>
        <v>-0.93394825253809688</v>
      </c>
      <c r="J98" s="5" t="str">
        <f t="shared" ref="J98:J128" si="26">IF(C98&gt;$Y$6, "HIGH", "LOW")</f>
        <v>LOW</v>
      </c>
      <c r="K98" s="8">
        <f t="shared" ref="K98:K128" si="27">(E98-0.75)/(1.66-0.75)</f>
        <v>0.10989010989010987</v>
      </c>
      <c r="L98" s="8">
        <f t="shared" ref="L98:L128" si="28">(E98-$Y$22)/$Y$45</f>
        <v>-0.43118590185092137</v>
      </c>
      <c r="M98" s="5" t="str">
        <f t="shared" ref="M98:M128" si="29">IF(E98&gt;$Y$7, "HIGH", "LOW")</f>
        <v>LOW</v>
      </c>
      <c r="N98" s="5">
        <v>13</v>
      </c>
      <c r="O98" s="5">
        <v>2</v>
      </c>
      <c r="P98" s="5">
        <f t="shared" ref="P98:P128" ca="1" si="30">AVERAGE(N:N)</f>
        <v>7.4566929133858268</v>
      </c>
      <c r="Q98" s="5">
        <f t="shared" ref="Q98:Q128" ca="1" si="31">AVERAGE(O:O)</f>
        <v>4.3622047244094491</v>
      </c>
      <c r="R98" s="5" cm="1">
        <f t="array" aca="1" ref="R98" ca="1">INDEX($C$2:$C$128, RANDBETWEEN(1,128))</f>
        <v>2</v>
      </c>
      <c r="S98" s="5" t="e" cm="1">
        <f t="array" aca="1" ref="S98" ca="1">INDEX($E$2:$E$129, RANDBETWEEN(1,129))</f>
        <v>#REF!</v>
      </c>
      <c r="T98" s="5"/>
      <c r="U98" s="5"/>
      <c r="V98" s="5"/>
    </row>
    <row r="99" spans="1:22" x14ac:dyDescent="0.35">
      <c r="A99" s="5">
        <v>552269</v>
      </c>
      <c r="B99" s="5">
        <v>10125</v>
      </c>
      <c r="C99" s="5">
        <v>1</v>
      </c>
      <c r="D99" s="6">
        <v>40671.494444444441</v>
      </c>
      <c r="E99" s="8">
        <v>0.85</v>
      </c>
      <c r="F99" s="5">
        <v>16121</v>
      </c>
      <c r="G99" s="5" t="s">
        <v>8</v>
      </c>
      <c r="H99" s="5">
        <f t="shared" si="24"/>
        <v>0</v>
      </c>
      <c r="I99" s="5">
        <f t="shared" si="25"/>
        <v>-0.93394825253809688</v>
      </c>
      <c r="J99" s="5" t="str">
        <f t="shared" si="26"/>
        <v>LOW</v>
      </c>
      <c r="K99" s="8">
        <f t="shared" si="27"/>
        <v>0.10989010989010987</v>
      </c>
      <c r="L99" s="8">
        <f t="shared" si="28"/>
        <v>-0.43118590185092137</v>
      </c>
      <c r="M99" s="5" t="str">
        <f t="shared" si="29"/>
        <v>LOW</v>
      </c>
      <c r="N99" s="5" cm="1">
        <f t="array" aca="1" ref="N99" ca="1">INDEX($N$2:$N$15,RANDBETWEEN(1, ROWS($N$2:$N$15)))</f>
        <v>4</v>
      </c>
      <c r="O99" s="5" cm="1">
        <f t="array" aca="1" ref="O99" ca="1">INDEX($O$2:$O$15,RANDBETWEEN(1, ROWS($O$2:$O$15)))</f>
        <v>7</v>
      </c>
      <c r="P99" s="5">
        <f t="shared" ca="1" si="30"/>
        <v>7.4566929133858268</v>
      </c>
      <c r="Q99" s="5">
        <f t="shared" ca="1" si="31"/>
        <v>4.3622047244094491</v>
      </c>
      <c r="R99" s="5" cm="1">
        <f t="array" aca="1" ref="R99" ca="1">INDEX($C$2:$C$128, RANDBETWEEN(1,128))</f>
        <v>36</v>
      </c>
      <c r="S99" s="5" cm="1">
        <f t="array" aca="1" ref="S99" ca="1">INDEX($E$2:$E$129, RANDBETWEEN(1,129))</f>
        <v>0.75</v>
      </c>
      <c r="T99" s="5"/>
      <c r="U99" s="5"/>
      <c r="V99" s="5"/>
    </row>
    <row r="100" spans="1:22" x14ac:dyDescent="0.35">
      <c r="A100" s="5">
        <v>552310</v>
      </c>
      <c r="B100" s="5">
        <v>10125</v>
      </c>
      <c r="C100" s="5">
        <v>3</v>
      </c>
      <c r="D100" s="6">
        <v>40671.640277777777</v>
      </c>
      <c r="E100" s="8">
        <v>0.85</v>
      </c>
      <c r="F100" s="5">
        <v>17323</v>
      </c>
      <c r="G100" s="5" t="s">
        <v>8</v>
      </c>
      <c r="H100" s="5">
        <f t="shared" si="24"/>
        <v>4.2553191489361701E-2</v>
      </c>
      <c r="I100" s="5">
        <f t="shared" si="25"/>
        <v>-0.75230747447938584</v>
      </c>
      <c r="J100" s="5" t="str">
        <f t="shared" si="26"/>
        <v>LOW</v>
      </c>
      <c r="K100" s="8">
        <f t="shared" si="27"/>
        <v>0.10989010989010987</v>
      </c>
      <c r="L100" s="8">
        <f t="shared" si="28"/>
        <v>-0.43118590185092137</v>
      </c>
      <c r="M100" s="5" t="str">
        <f t="shared" si="29"/>
        <v>LOW</v>
      </c>
      <c r="N100" s="5" cm="1">
        <f t="array" aca="1" ref="N100" ca="1">INDEX($N$2:$N$15,RANDBETWEEN(1, ROWS($N$2:$N$15)))</f>
        <v>4</v>
      </c>
      <c r="O100" s="5" cm="1">
        <f t="array" aca="1" ref="O100" ca="1">INDEX($O$2:$O$15,RANDBETWEEN(1, ROWS($O$2:$O$15)))</f>
        <v>5</v>
      </c>
      <c r="P100" s="5">
        <f t="shared" ca="1" si="30"/>
        <v>7.4566929133858268</v>
      </c>
      <c r="Q100" s="5">
        <f t="shared" ca="1" si="31"/>
        <v>4.3622047244094491</v>
      </c>
      <c r="R100" s="5" cm="1">
        <f t="array" aca="1" ref="R100" ca="1">INDEX($C$2:$C$128, RANDBETWEEN(1,128))</f>
        <v>5</v>
      </c>
      <c r="S100" s="5" cm="1">
        <f t="array" aca="1" ref="S100" ca="1">INDEX($E$2:$E$129, RANDBETWEEN(1,129))</f>
        <v>0.81</v>
      </c>
      <c r="T100" s="5"/>
      <c r="U100" s="5"/>
      <c r="V100" s="5"/>
    </row>
    <row r="101" spans="1:22" x14ac:dyDescent="0.35">
      <c r="A101" s="5">
        <v>553385</v>
      </c>
      <c r="B101" s="5">
        <v>10125</v>
      </c>
      <c r="C101" s="5">
        <v>1</v>
      </c>
      <c r="D101" s="6">
        <v>40679.661805555559</v>
      </c>
      <c r="E101" s="8">
        <v>0.85</v>
      </c>
      <c r="F101" s="5">
        <v>16710</v>
      </c>
      <c r="G101" s="5" t="s">
        <v>8</v>
      </c>
      <c r="H101" s="5">
        <f t="shared" si="24"/>
        <v>0</v>
      </c>
      <c r="I101" s="5">
        <f t="shared" si="25"/>
        <v>-0.93394825253809688</v>
      </c>
      <c r="J101" s="5" t="str">
        <f t="shared" si="26"/>
        <v>LOW</v>
      </c>
      <c r="K101" s="8">
        <f t="shared" si="27"/>
        <v>0.10989010989010987</v>
      </c>
      <c r="L101" s="8">
        <f t="shared" si="28"/>
        <v>-0.43118590185092137</v>
      </c>
      <c r="M101" s="5" t="str">
        <f t="shared" si="29"/>
        <v>LOW</v>
      </c>
      <c r="N101" s="5" cm="1">
        <f t="array" aca="1" ref="N101" ca="1">INDEX($N$2:$N$15,RANDBETWEEN(1, ROWS($N$2:$N$15)))</f>
        <v>9</v>
      </c>
      <c r="O101" s="5" cm="1">
        <f t="array" aca="1" ref="O101" ca="1">INDEX($O$2:$O$15,RANDBETWEEN(1, ROWS($O$2:$O$15)))</f>
        <v>5</v>
      </c>
      <c r="P101" s="5">
        <f t="shared" ca="1" si="30"/>
        <v>7.4566929133858268</v>
      </c>
      <c r="Q101" s="5">
        <f t="shared" ca="1" si="31"/>
        <v>4.3622047244094491</v>
      </c>
      <c r="R101" s="5" cm="1">
        <f t="array" aca="1" ref="R101" ca="1">INDEX($C$2:$C$128, RANDBETWEEN(1,128))</f>
        <v>1</v>
      </c>
      <c r="S101" s="5" cm="1">
        <f t="array" aca="1" ref="S101" ca="1">INDEX($E$2:$E$129, RANDBETWEEN(1,129))</f>
        <v>1.63</v>
      </c>
      <c r="T101" s="5"/>
      <c r="U101" s="5"/>
      <c r="V101" s="5"/>
    </row>
    <row r="102" spans="1:22" x14ac:dyDescent="0.35">
      <c r="A102" s="5">
        <v>554117</v>
      </c>
      <c r="B102" s="5">
        <v>10125</v>
      </c>
      <c r="C102" s="5">
        <v>1</v>
      </c>
      <c r="D102" s="6">
        <v>40685.633333333331</v>
      </c>
      <c r="E102" s="8">
        <v>0.85</v>
      </c>
      <c r="F102" s="5">
        <v>13758</v>
      </c>
      <c r="G102" s="5" t="s">
        <v>8</v>
      </c>
      <c r="H102" s="5">
        <f t="shared" si="24"/>
        <v>0</v>
      </c>
      <c r="I102" s="5">
        <f t="shared" si="25"/>
        <v>-0.93394825253809688</v>
      </c>
      <c r="J102" s="5" t="str">
        <f t="shared" si="26"/>
        <v>LOW</v>
      </c>
      <c r="K102" s="8">
        <f t="shared" si="27"/>
        <v>0.10989010989010987</v>
      </c>
      <c r="L102" s="8">
        <f t="shared" si="28"/>
        <v>-0.43118590185092137</v>
      </c>
      <c r="M102" s="5" t="str">
        <f t="shared" si="29"/>
        <v>LOW</v>
      </c>
      <c r="N102" s="5" cm="1">
        <f t="array" aca="1" ref="N102" ca="1">INDEX($N$2:$N$15,RANDBETWEEN(1, ROWS($N$2:$N$15)))</f>
        <v>11</v>
      </c>
      <c r="O102" s="5" cm="1">
        <f t="array" aca="1" ref="O102" ca="1">INDEX($O$2:$O$15,RANDBETWEEN(1, ROWS($O$2:$O$15)))</f>
        <v>1</v>
      </c>
      <c r="P102" s="5">
        <f t="shared" ca="1" si="30"/>
        <v>7.4566929133858268</v>
      </c>
      <c r="Q102" s="5">
        <f t="shared" ca="1" si="31"/>
        <v>4.3622047244094491</v>
      </c>
      <c r="R102" s="5" cm="1">
        <f t="array" aca="1" ref="R102" ca="1">INDEX($C$2:$C$128, RANDBETWEEN(1,128))</f>
        <v>12</v>
      </c>
      <c r="S102" s="5" t="e" cm="1">
        <f t="array" aca="1" ref="S102" ca="1">INDEX($E$2:$E$129, RANDBETWEEN(1,129))</f>
        <v>#REF!</v>
      </c>
      <c r="T102" s="5"/>
      <c r="U102" s="5"/>
      <c r="V102" s="5"/>
    </row>
    <row r="103" spans="1:22" x14ac:dyDescent="0.35">
      <c r="A103" s="5">
        <v>555579</v>
      </c>
      <c r="B103" s="5">
        <v>10125</v>
      </c>
      <c r="C103" s="5">
        <v>1</v>
      </c>
      <c r="D103" s="6">
        <v>40699.668055555558</v>
      </c>
      <c r="E103" s="8">
        <v>0.85</v>
      </c>
      <c r="F103" s="5">
        <v>13983</v>
      </c>
      <c r="G103" s="5" t="s">
        <v>8</v>
      </c>
      <c r="H103" s="5">
        <f t="shared" si="24"/>
        <v>0</v>
      </c>
      <c r="I103" s="5">
        <f t="shared" si="25"/>
        <v>-0.93394825253809688</v>
      </c>
      <c r="J103" s="5" t="str">
        <f t="shared" si="26"/>
        <v>LOW</v>
      </c>
      <c r="K103" s="8">
        <f t="shared" si="27"/>
        <v>0.10989010989010987</v>
      </c>
      <c r="L103" s="8">
        <f t="shared" si="28"/>
        <v>-0.43118590185092137</v>
      </c>
      <c r="M103" s="5" t="str">
        <f t="shared" si="29"/>
        <v>LOW</v>
      </c>
      <c r="N103" s="5" cm="1">
        <f t="array" aca="1" ref="N103" ca="1">INDEX($N$2:$N$15,RANDBETWEEN(1, ROWS($N$2:$N$15)))</f>
        <v>11</v>
      </c>
      <c r="O103" s="5" cm="1">
        <f t="array" aca="1" ref="O103" ca="1">INDEX($O$2:$O$15,RANDBETWEEN(1, ROWS($O$2:$O$15)))</f>
        <v>4</v>
      </c>
      <c r="P103" s="5">
        <f t="shared" ca="1" si="30"/>
        <v>7.4566929133858268</v>
      </c>
      <c r="Q103" s="5">
        <f t="shared" ca="1" si="31"/>
        <v>4.3622047244094491</v>
      </c>
      <c r="R103" s="5" cm="1">
        <f t="array" aca="1" ref="R103" ca="1">INDEX($C$2:$C$128, RANDBETWEEN(1,128))</f>
        <v>3</v>
      </c>
      <c r="S103" s="5" cm="1">
        <f t="array" aca="1" ref="S103" ca="1">INDEX($E$2:$E$129, RANDBETWEEN(1,129))</f>
        <v>0.85</v>
      </c>
      <c r="T103" s="5"/>
      <c r="U103" s="5"/>
      <c r="V103" s="5"/>
    </row>
    <row r="104" spans="1:22" x14ac:dyDescent="0.35">
      <c r="A104" s="5">
        <v>556222</v>
      </c>
      <c r="B104" s="5">
        <v>10125</v>
      </c>
      <c r="C104" s="5">
        <v>12</v>
      </c>
      <c r="D104" s="6">
        <v>40703.599305555559</v>
      </c>
      <c r="E104" s="8">
        <v>0.85</v>
      </c>
      <c r="F104" s="5">
        <v>17522</v>
      </c>
      <c r="G104" s="5" t="s">
        <v>8</v>
      </c>
      <c r="H104" s="5">
        <f t="shared" si="24"/>
        <v>0.23404255319148937</v>
      </c>
      <c r="I104" s="5">
        <f t="shared" si="25"/>
        <v>6.5076026784813848E-2</v>
      </c>
      <c r="J104" s="5" t="str">
        <f t="shared" si="26"/>
        <v>HIGH</v>
      </c>
      <c r="K104" s="8">
        <f t="shared" si="27"/>
        <v>0.10989010989010987</v>
      </c>
      <c r="L104" s="8">
        <f t="shared" si="28"/>
        <v>-0.43118590185092137</v>
      </c>
      <c r="M104" s="5" t="str">
        <f t="shared" si="29"/>
        <v>LOW</v>
      </c>
      <c r="N104" s="5" cm="1">
        <f t="array" aca="1" ref="N104" ca="1">INDEX($N$2:$N$15,RANDBETWEEN(1, ROWS($N$2:$N$15)))</f>
        <v>9</v>
      </c>
      <c r="O104" s="5" cm="1">
        <f t="array" aca="1" ref="O104" ca="1">INDEX($O$2:$O$15,RANDBETWEEN(1, ROWS($O$2:$O$15)))</f>
        <v>1</v>
      </c>
      <c r="P104" s="5">
        <f t="shared" ca="1" si="30"/>
        <v>7.4566929133858268</v>
      </c>
      <c r="Q104" s="5">
        <f t="shared" ca="1" si="31"/>
        <v>4.3622047244094491</v>
      </c>
      <c r="R104" s="5" cm="1">
        <f t="array" aca="1" ref="R104" ca="1">INDEX($C$2:$C$128, RANDBETWEEN(1,128))</f>
        <v>10</v>
      </c>
      <c r="S104" s="5" cm="1">
        <f t="array" aca="1" ref="S104" ca="1">INDEX($E$2:$E$129, RANDBETWEEN(1,129))</f>
        <v>0.85</v>
      </c>
      <c r="T104" s="5"/>
      <c r="U104" s="5"/>
      <c r="V104" s="5"/>
    </row>
    <row r="105" spans="1:22" x14ac:dyDescent="0.35">
      <c r="A105" s="5">
        <v>557938</v>
      </c>
      <c r="B105" s="5">
        <v>10125</v>
      </c>
      <c r="C105" s="5">
        <v>2</v>
      </c>
      <c r="D105" s="6">
        <v>40717.649305555555</v>
      </c>
      <c r="E105" s="8">
        <v>1.63</v>
      </c>
      <c r="F105" s="5" t="s">
        <v>1331</v>
      </c>
      <c r="G105" s="5" t="s">
        <v>8</v>
      </c>
      <c r="H105" s="5">
        <f t="shared" si="24"/>
        <v>2.1276595744680851E-2</v>
      </c>
      <c r="I105" s="5">
        <f t="shared" si="25"/>
        <v>-0.84312786350874136</v>
      </c>
      <c r="J105" s="5" t="str">
        <f t="shared" si="26"/>
        <v>LOW</v>
      </c>
      <c r="K105" s="8">
        <f t="shared" si="27"/>
        <v>0.96703296703296704</v>
      </c>
      <c r="L105" s="8">
        <f t="shared" si="28"/>
        <v>1.9352005489719497</v>
      </c>
      <c r="M105" s="5" t="str">
        <f t="shared" si="29"/>
        <v>HIGH</v>
      </c>
      <c r="N105" s="5" cm="1">
        <f t="array" aca="1" ref="N105" ca="1">INDEX($N$2:$N$15,RANDBETWEEN(1, ROWS($N$2:$N$15)))</f>
        <v>11</v>
      </c>
      <c r="O105" s="5" cm="1">
        <f t="array" aca="1" ref="O105" ca="1">INDEX($O$2:$O$15,RANDBETWEEN(1, ROWS($O$2:$O$15)))</f>
        <v>4</v>
      </c>
      <c r="P105" s="5">
        <f t="shared" ca="1" si="30"/>
        <v>7.4566929133858268</v>
      </c>
      <c r="Q105" s="5">
        <f t="shared" ca="1" si="31"/>
        <v>4.3622047244094491</v>
      </c>
      <c r="R105" s="5" cm="1">
        <f t="array" aca="1" ref="R105" ca="1">INDEX($C$2:$C$128, RANDBETWEEN(1,128))</f>
        <v>12</v>
      </c>
      <c r="S105" s="5" cm="1">
        <f t="array" aca="1" ref="S105" ca="1">INDEX($E$2:$E$129, RANDBETWEEN(1,129))</f>
        <v>0.81</v>
      </c>
      <c r="T105" s="5"/>
      <c r="U105" s="5"/>
      <c r="V105" s="5"/>
    </row>
    <row r="106" spans="1:22" x14ac:dyDescent="0.35">
      <c r="A106" s="5">
        <v>558700</v>
      </c>
      <c r="B106" s="5">
        <v>10125</v>
      </c>
      <c r="C106" s="5">
        <v>1</v>
      </c>
      <c r="D106" s="6">
        <v>40725.522916666669</v>
      </c>
      <c r="E106" s="8">
        <v>0.85</v>
      </c>
      <c r="F106" s="5">
        <v>17920</v>
      </c>
      <c r="G106" s="5" t="s">
        <v>8</v>
      </c>
      <c r="H106" s="5">
        <f t="shared" si="24"/>
        <v>0</v>
      </c>
      <c r="I106" s="5">
        <f t="shared" si="25"/>
        <v>-0.93394825253809688</v>
      </c>
      <c r="J106" s="5" t="str">
        <f t="shared" si="26"/>
        <v>LOW</v>
      </c>
      <c r="K106" s="8">
        <f t="shared" si="27"/>
        <v>0.10989010989010987</v>
      </c>
      <c r="L106" s="8">
        <f t="shared" si="28"/>
        <v>-0.43118590185092137</v>
      </c>
      <c r="M106" s="5" t="str">
        <f t="shared" si="29"/>
        <v>LOW</v>
      </c>
      <c r="N106" s="5" cm="1">
        <f t="array" aca="1" ref="N106" ca="1">INDEX($N$2:$N$15,RANDBETWEEN(1, ROWS($N$2:$N$15)))</f>
        <v>4</v>
      </c>
      <c r="O106" s="5" cm="1">
        <f t="array" aca="1" ref="O106" ca="1">INDEX($O$2:$O$15,RANDBETWEEN(1, ROWS($O$2:$O$15)))</f>
        <v>4</v>
      </c>
      <c r="P106" s="5">
        <f t="shared" ca="1" si="30"/>
        <v>7.4566929133858268</v>
      </c>
      <c r="Q106" s="5">
        <f t="shared" ca="1" si="31"/>
        <v>4.3622047244094491</v>
      </c>
      <c r="R106" s="5" cm="1">
        <f t="array" aca="1" ref="R106" ca="1">INDEX($C$2:$C$128, RANDBETWEEN(1,128))</f>
        <v>12</v>
      </c>
      <c r="S106" s="5" cm="1">
        <f t="array" aca="1" ref="S106" ca="1">INDEX($E$2:$E$129, RANDBETWEEN(1,129))</f>
        <v>1.63</v>
      </c>
      <c r="T106" s="5"/>
      <c r="U106" s="5"/>
      <c r="V106" s="5"/>
    </row>
    <row r="107" spans="1:22" x14ac:dyDescent="0.35">
      <c r="A107" s="5">
        <v>558700</v>
      </c>
      <c r="B107" s="5">
        <v>10125</v>
      </c>
      <c r="C107" s="5">
        <v>3</v>
      </c>
      <c r="D107" s="6">
        <v>40725.522916666669</v>
      </c>
      <c r="E107" s="8">
        <v>0.85</v>
      </c>
      <c r="F107" s="5">
        <v>17920</v>
      </c>
      <c r="G107" s="5" t="s">
        <v>8</v>
      </c>
      <c r="H107" s="5">
        <f t="shared" si="24"/>
        <v>4.2553191489361701E-2</v>
      </c>
      <c r="I107" s="5">
        <f t="shared" si="25"/>
        <v>-0.75230747447938584</v>
      </c>
      <c r="J107" s="5" t="str">
        <f t="shared" si="26"/>
        <v>LOW</v>
      </c>
      <c r="K107" s="8">
        <f t="shared" si="27"/>
        <v>0.10989010989010987</v>
      </c>
      <c r="L107" s="8">
        <f t="shared" si="28"/>
        <v>-0.43118590185092137</v>
      </c>
      <c r="M107" s="5" t="str">
        <f t="shared" si="29"/>
        <v>LOW</v>
      </c>
      <c r="N107" s="5" cm="1">
        <f t="array" aca="1" ref="N107" ca="1">INDEX($N$2:$N$15,RANDBETWEEN(1, ROWS($N$2:$N$15)))</f>
        <v>11</v>
      </c>
      <c r="O107" s="5" cm="1">
        <f t="array" aca="1" ref="O107" ca="1">INDEX($O$2:$O$15,RANDBETWEEN(1, ROWS($O$2:$O$15)))</f>
        <v>3</v>
      </c>
      <c r="P107" s="5">
        <f t="shared" ca="1" si="30"/>
        <v>7.4566929133858268</v>
      </c>
      <c r="Q107" s="5">
        <f t="shared" ca="1" si="31"/>
        <v>4.3622047244094491</v>
      </c>
      <c r="R107" s="5" cm="1">
        <f t="array" aca="1" ref="R107" ca="1">INDEX($C$2:$C$128, RANDBETWEEN(1,128))</f>
        <v>24</v>
      </c>
      <c r="S107" s="5" cm="1">
        <f t="array" aca="1" ref="S107" ca="1">INDEX($E$2:$E$129, RANDBETWEEN(1,129))</f>
        <v>0.85</v>
      </c>
      <c r="T107" s="5"/>
      <c r="U107" s="5"/>
      <c r="V107" s="5"/>
    </row>
    <row r="108" spans="1:22" x14ac:dyDescent="0.35">
      <c r="A108" s="5">
        <v>558860</v>
      </c>
      <c r="B108" s="5">
        <v>10125</v>
      </c>
      <c r="C108" s="5">
        <v>1</v>
      </c>
      <c r="D108" s="6">
        <v>40728.512499999997</v>
      </c>
      <c r="E108" s="8">
        <v>0.85</v>
      </c>
      <c r="F108" s="5">
        <v>17975</v>
      </c>
      <c r="G108" s="5" t="s">
        <v>8</v>
      </c>
      <c r="H108" s="5">
        <f t="shared" si="24"/>
        <v>0</v>
      </c>
      <c r="I108" s="5">
        <f t="shared" si="25"/>
        <v>-0.93394825253809688</v>
      </c>
      <c r="J108" s="5" t="str">
        <f t="shared" si="26"/>
        <v>LOW</v>
      </c>
      <c r="K108" s="8">
        <f t="shared" si="27"/>
        <v>0.10989010989010987</v>
      </c>
      <c r="L108" s="8">
        <f t="shared" si="28"/>
        <v>-0.43118590185092137</v>
      </c>
      <c r="M108" s="5" t="str">
        <f t="shared" si="29"/>
        <v>LOW</v>
      </c>
      <c r="N108" s="5" cm="1">
        <f t="array" aca="1" ref="N108" ca="1">INDEX($N$2:$N$15,RANDBETWEEN(1, ROWS($N$2:$N$15)))</f>
        <v>9</v>
      </c>
      <c r="O108" s="5" cm="1">
        <f t="array" aca="1" ref="O108" ca="1">INDEX($O$2:$O$15,RANDBETWEEN(1, ROWS($O$2:$O$15)))</f>
        <v>7</v>
      </c>
      <c r="P108" s="5">
        <f t="shared" ca="1" si="30"/>
        <v>7.4566929133858268</v>
      </c>
      <c r="Q108" s="5">
        <f t="shared" ca="1" si="31"/>
        <v>4.3622047244094491</v>
      </c>
      <c r="R108" s="5" cm="1">
        <f t="array" aca="1" ref="R108" ca="1">INDEX($C$2:$C$128, RANDBETWEEN(1,128))</f>
        <v>17</v>
      </c>
      <c r="S108" s="5" cm="1">
        <f t="array" aca="1" ref="S108" ca="1">INDEX($E$2:$E$129, RANDBETWEEN(1,129))</f>
        <v>1.63</v>
      </c>
      <c r="T108" s="5"/>
      <c r="U108" s="5"/>
      <c r="V108" s="5"/>
    </row>
    <row r="109" spans="1:22" x14ac:dyDescent="0.35">
      <c r="A109" s="5">
        <v>558868</v>
      </c>
      <c r="B109" s="5">
        <v>10125</v>
      </c>
      <c r="C109" s="5">
        <v>20</v>
      </c>
      <c r="D109" s="6">
        <v>40728.532638888886</v>
      </c>
      <c r="E109" s="8">
        <v>0.85</v>
      </c>
      <c r="F109" s="5">
        <v>13266</v>
      </c>
      <c r="G109" s="5" t="s">
        <v>8</v>
      </c>
      <c r="H109" s="5">
        <f t="shared" si="24"/>
        <v>0.40425531914893614</v>
      </c>
      <c r="I109" s="5">
        <f t="shared" si="25"/>
        <v>0.79163913901965799</v>
      </c>
      <c r="J109" s="5" t="str">
        <f t="shared" si="26"/>
        <v>HIGH</v>
      </c>
      <c r="K109" s="8">
        <f t="shared" si="27"/>
        <v>0.10989010989010987</v>
      </c>
      <c r="L109" s="8">
        <f t="shared" si="28"/>
        <v>-0.43118590185092137</v>
      </c>
      <c r="M109" s="5" t="str">
        <f t="shared" si="29"/>
        <v>LOW</v>
      </c>
      <c r="N109" s="5" cm="1">
        <f t="array" aca="1" ref="N109" ca="1">INDEX($N$2:$N$15,RANDBETWEEN(1, ROWS($N$2:$N$15)))</f>
        <v>2</v>
      </c>
      <c r="O109" s="5" cm="1">
        <f t="array" aca="1" ref="O109" ca="1">INDEX($O$2:$O$15,RANDBETWEEN(1, ROWS($O$2:$O$15)))</f>
        <v>1</v>
      </c>
      <c r="P109" s="5">
        <f t="shared" ca="1" si="30"/>
        <v>7.4566929133858268</v>
      </c>
      <c r="Q109" s="5">
        <f t="shared" ca="1" si="31"/>
        <v>4.3622047244094491</v>
      </c>
      <c r="R109" s="5" cm="1">
        <f t="array" aca="1" ref="R109" ca="1">INDEX($C$2:$C$128, RANDBETWEEN(1,128))</f>
        <v>20</v>
      </c>
      <c r="S109" s="5" cm="1">
        <f t="array" aca="1" ref="S109" ca="1">INDEX($E$2:$E$129, RANDBETWEEN(1,129))</f>
        <v>0.83</v>
      </c>
      <c r="T109" s="5"/>
      <c r="U109" s="5"/>
      <c r="V109" s="5"/>
    </row>
    <row r="110" spans="1:22" x14ac:dyDescent="0.35">
      <c r="A110" s="5">
        <v>559337</v>
      </c>
      <c r="B110" s="5">
        <v>10125</v>
      </c>
      <c r="C110" s="5">
        <v>1</v>
      </c>
      <c r="D110" s="6">
        <v>40731.685416666667</v>
      </c>
      <c r="E110" s="8">
        <v>1.63</v>
      </c>
      <c r="F110" s="5" t="s">
        <v>1331</v>
      </c>
      <c r="G110" s="5" t="s">
        <v>8</v>
      </c>
      <c r="H110" s="5">
        <f t="shared" si="24"/>
        <v>0</v>
      </c>
      <c r="I110" s="5">
        <f t="shared" si="25"/>
        <v>-0.93394825253809688</v>
      </c>
      <c r="J110" s="5" t="str">
        <f t="shared" si="26"/>
        <v>LOW</v>
      </c>
      <c r="K110" s="8">
        <f t="shared" si="27"/>
        <v>0.96703296703296704</v>
      </c>
      <c r="L110" s="8">
        <f t="shared" si="28"/>
        <v>1.9352005489719497</v>
      </c>
      <c r="M110" s="5" t="str">
        <f t="shared" si="29"/>
        <v>HIGH</v>
      </c>
      <c r="N110" s="5" cm="1">
        <f t="array" aca="1" ref="N110" ca="1">INDEX($N$2:$N$15,RANDBETWEEN(1, ROWS($N$2:$N$15)))</f>
        <v>2</v>
      </c>
      <c r="O110" s="5" cm="1">
        <f t="array" aca="1" ref="O110" ca="1">INDEX($O$2:$O$15,RANDBETWEEN(1, ROWS($O$2:$O$15)))</f>
        <v>5</v>
      </c>
      <c r="P110" s="5">
        <f t="shared" ca="1" si="30"/>
        <v>7.4566929133858268</v>
      </c>
      <c r="Q110" s="5">
        <f t="shared" ca="1" si="31"/>
        <v>4.3622047244094491</v>
      </c>
      <c r="R110" s="5" cm="1">
        <f t="array" aca="1" ref="R110" ca="1">INDEX($C$2:$C$128, RANDBETWEEN(1,128))</f>
        <v>48</v>
      </c>
      <c r="S110" s="5" cm="1">
        <f t="array" aca="1" ref="S110" ca="1">INDEX($E$2:$E$129, RANDBETWEEN(1,129))</f>
        <v>0.85</v>
      </c>
      <c r="T110" s="5"/>
      <c r="U110" s="5"/>
      <c r="V110" s="5"/>
    </row>
    <row r="111" spans="1:22" x14ac:dyDescent="0.35">
      <c r="A111" s="5">
        <v>559536</v>
      </c>
      <c r="B111" s="5">
        <v>10125</v>
      </c>
      <c r="C111" s="5">
        <v>5</v>
      </c>
      <c r="D111" s="6">
        <v>40734.511805555558</v>
      </c>
      <c r="E111" s="8">
        <v>0.85</v>
      </c>
      <c r="F111" s="5">
        <v>16283</v>
      </c>
      <c r="G111" s="5" t="s">
        <v>8</v>
      </c>
      <c r="H111" s="5">
        <f t="shared" si="24"/>
        <v>8.5106382978723402E-2</v>
      </c>
      <c r="I111" s="5">
        <f t="shared" si="25"/>
        <v>-0.5706666964206748</v>
      </c>
      <c r="J111" s="5" t="str">
        <f t="shared" si="26"/>
        <v>LOW</v>
      </c>
      <c r="K111" s="8">
        <f t="shared" si="27"/>
        <v>0.10989010989010987</v>
      </c>
      <c r="L111" s="8">
        <f t="shared" si="28"/>
        <v>-0.43118590185092137</v>
      </c>
      <c r="M111" s="5" t="str">
        <f t="shared" si="29"/>
        <v>LOW</v>
      </c>
      <c r="N111" s="5" cm="1">
        <f t="array" aca="1" ref="N111" ca="1">INDEX($N$2:$N$15,RANDBETWEEN(1, ROWS($N$2:$N$15)))</f>
        <v>2</v>
      </c>
      <c r="O111" s="5" cm="1">
        <f t="array" aca="1" ref="O111" ca="1">INDEX($O$2:$O$15,RANDBETWEEN(1, ROWS($O$2:$O$15)))</f>
        <v>7</v>
      </c>
      <c r="P111" s="5">
        <f t="shared" ca="1" si="30"/>
        <v>7.4566929133858268</v>
      </c>
      <c r="Q111" s="5">
        <f t="shared" ca="1" si="31"/>
        <v>4.3622047244094491</v>
      </c>
      <c r="R111" s="5" cm="1">
        <f t="array" aca="1" ref="R111" ca="1">INDEX($C$2:$C$128, RANDBETWEEN(1,128))</f>
        <v>1</v>
      </c>
      <c r="S111" s="5" cm="1">
        <f t="array" aca="1" ref="S111" ca="1">INDEX($E$2:$E$129, RANDBETWEEN(1,129))</f>
        <v>0.75</v>
      </c>
      <c r="T111" s="5"/>
      <c r="U111" s="5"/>
      <c r="V111" s="5"/>
    </row>
    <row r="112" spans="1:22" x14ac:dyDescent="0.35">
      <c r="A112" s="5">
        <v>559979</v>
      </c>
      <c r="B112" s="5">
        <v>10125</v>
      </c>
      <c r="C112" s="5">
        <v>20</v>
      </c>
      <c r="D112" s="6">
        <v>40738.472222222219</v>
      </c>
      <c r="E112" s="8">
        <v>0.85</v>
      </c>
      <c r="F112" s="5">
        <v>14862</v>
      </c>
      <c r="G112" s="5" t="s">
        <v>8</v>
      </c>
      <c r="H112" s="5">
        <f t="shared" si="24"/>
        <v>0.40425531914893614</v>
      </c>
      <c r="I112" s="5">
        <f t="shared" si="25"/>
        <v>0.79163913901965799</v>
      </c>
      <c r="J112" s="5" t="str">
        <f t="shared" si="26"/>
        <v>HIGH</v>
      </c>
      <c r="K112" s="8">
        <f t="shared" si="27"/>
        <v>0.10989010989010987</v>
      </c>
      <c r="L112" s="8">
        <f t="shared" si="28"/>
        <v>-0.43118590185092137</v>
      </c>
      <c r="M112" s="5" t="str">
        <f t="shared" si="29"/>
        <v>LOW</v>
      </c>
      <c r="N112" s="5" cm="1">
        <f t="array" aca="1" ref="N112" ca="1">INDEX($N$2:$N$15,RANDBETWEEN(1, ROWS($N$2:$N$15)))</f>
        <v>9</v>
      </c>
      <c r="O112" s="5" cm="1">
        <f t="array" aca="1" ref="O112" ca="1">INDEX($O$2:$O$15,RANDBETWEEN(1, ROWS($O$2:$O$15)))</f>
        <v>3</v>
      </c>
      <c r="P112" s="5">
        <f t="shared" ca="1" si="30"/>
        <v>7.4566929133858268</v>
      </c>
      <c r="Q112" s="5">
        <f t="shared" ca="1" si="31"/>
        <v>4.3622047244094491</v>
      </c>
      <c r="R112" s="5" cm="1">
        <f t="array" aca="1" ref="R112" ca="1">INDEX($C$2:$C$128, RANDBETWEEN(1,128))</f>
        <v>12</v>
      </c>
      <c r="S112" s="5" cm="1">
        <f t="array" aca="1" ref="S112" ca="1">INDEX($E$2:$E$129, RANDBETWEEN(1,129))</f>
        <v>0.85</v>
      </c>
      <c r="T112" s="5"/>
      <c r="U112" s="5"/>
      <c r="V112" s="5"/>
    </row>
    <row r="113" spans="1:22" x14ac:dyDescent="0.35">
      <c r="A113" s="5">
        <v>559984</v>
      </c>
      <c r="B113" s="5">
        <v>10125</v>
      </c>
      <c r="C113" s="5">
        <v>5</v>
      </c>
      <c r="D113" s="6">
        <v>40738.489583333336</v>
      </c>
      <c r="E113" s="8">
        <v>0.85</v>
      </c>
      <c r="F113" s="5">
        <v>16657</v>
      </c>
      <c r="G113" s="5" t="s">
        <v>8</v>
      </c>
      <c r="H113" s="5">
        <f t="shared" si="24"/>
        <v>8.5106382978723402E-2</v>
      </c>
      <c r="I113" s="5">
        <f t="shared" si="25"/>
        <v>-0.5706666964206748</v>
      </c>
      <c r="J113" s="5" t="str">
        <f t="shared" si="26"/>
        <v>LOW</v>
      </c>
      <c r="K113" s="8">
        <f t="shared" si="27"/>
        <v>0.10989010989010987</v>
      </c>
      <c r="L113" s="8">
        <f t="shared" si="28"/>
        <v>-0.43118590185092137</v>
      </c>
      <c r="M113" s="5" t="str">
        <f t="shared" si="29"/>
        <v>LOW</v>
      </c>
      <c r="N113" s="5" cm="1">
        <f t="array" aca="1" ref="N113" ca="1">INDEX($N$2:$N$15,RANDBETWEEN(1, ROWS($N$2:$N$15)))</f>
        <v>4</v>
      </c>
      <c r="O113" s="5" cm="1">
        <f t="array" aca="1" ref="O113" ca="1">INDEX($O$2:$O$15,RANDBETWEEN(1, ROWS($O$2:$O$15)))</f>
        <v>7</v>
      </c>
      <c r="P113" s="5">
        <f t="shared" ca="1" si="30"/>
        <v>7.4566929133858268</v>
      </c>
      <c r="Q113" s="5">
        <f t="shared" ca="1" si="31"/>
        <v>4.3622047244094491</v>
      </c>
      <c r="R113" s="5" cm="1">
        <f t="array" aca="1" ref="R113" ca="1">INDEX($C$2:$C$128, RANDBETWEEN(1,128))</f>
        <v>4</v>
      </c>
      <c r="S113" s="5" cm="1">
        <f t="array" aca="1" ref="S113" ca="1">INDEX($E$2:$E$129, RANDBETWEEN(1,129))</f>
        <v>0.75</v>
      </c>
      <c r="T113" s="5"/>
      <c r="U113" s="5"/>
      <c r="V113" s="5"/>
    </row>
    <row r="114" spans="1:22" x14ac:dyDescent="0.35">
      <c r="A114" s="5">
        <v>560366</v>
      </c>
      <c r="B114" s="5">
        <v>10125</v>
      </c>
      <c r="C114" s="5">
        <v>20</v>
      </c>
      <c r="D114" s="6">
        <v>40742.513194444444</v>
      </c>
      <c r="E114" s="8">
        <v>0.85</v>
      </c>
      <c r="F114" s="5">
        <v>16859</v>
      </c>
      <c r="G114" s="5" t="s">
        <v>8</v>
      </c>
      <c r="H114" s="5">
        <f t="shared" si="24"/>
        <v>0.40425531914893614</v>
      </c>
      <c r="I114" s="5">
        <f t="shared" si="25"/>
        <v>0.79163913901965799</v>
      </c>
      <c r="J114" s="5" t="str">
        <f t="shared" si="26"/>
        <v>HIGH</v>
      </c>
      <c r="K114" s="8">
        <f t="shared" si="27"/>
        <v>0.10989010989010987</v>
      </c>
      <c r="L114" s="8">
        <f t="shared" si="28"/>
        <v>-0.43118590185092137</v>
      </c>
      <c r="M114" s="5" t="str">
        <f t="shared" si="29"/>
        <v>LOW</v>
      </c>
      <c r="N114" s="5" cm="1">
        <f t="array" aca="1" ref="N114" ca="1">INDEX($N$2:$N$15,RANDBETWEEN(1, ROWS($N$2:$N$15)))</f>
        <v>9</v>
      </c>
      <c r="O114" s="5" cm="1">
        <f t="array" aca="1" ref="O114" ca="1">INDEX($O$2:$O$15,RANDBETWEEN(1, ROWS($O$2:$O$15)))</f>
        <v>5</v>
      </c>
      <c r="P114" s="5">
        <f t="shared" ca="1" si="30"/>
        <v>7.4566929133858268</v>
      </c>
      <c r="Q114" s="5">
        <f t="shared" ca="1" si="31"/>
        <v>4.3622047244094491</v>
      </c>
      <c r="R114" s="5" cm="1">
        <f t="array" aca="1" ref="R114" ca="1">INDEX($C$2:$C$128, RANDBETWEEN(1,128))</f>
        <v>17</v>
      </c>
      <c r="S114" s="5" cm="1">
        <f t="array" aca="1" ref="S114" ca="1">INDEX($E$2:$E$129, RANDBETWEEN(1,129))</f>
        <v>0.83</v>
      </c>
      <c r="T114" s="5"/>
      <c r="U114" s="5"/>
      <c r="V114" s="5"/>
    </row>
    <row r="115" spans="1:22" x14ac:dyDescent="0.35">
      <c r="A115" s="5">
        <v>563034</v>
      </c>
      <c r="B115" s="5">
        <v>10125</v>
      </c>
      <c r="C115" s="5">
        <v>40</v>
      </c>
      <c r="D115" s="6">
        <v>40766.620138888888</v>
      </c>
      <c r="E115" s="8">
        <v>0.85</v>
      </c>
      <c r="F115" s="5">
        <v>17644</v>
      </c>
      <c r="G115" s="5" t="s">
        <v>8</v>
      </c>
      <c r="H115" s="5">
        <f t="shared" si="24"/>
        <v>0.82978723404255317</v>
      </c>
      <c r="I115" s="5">
        <f t="shared" si="25"/>
        <v>2.6080469196067684</v>
      </c>
      <c r="J115" s="5" t="str">
        <f t="shared" si="26"/>
        <v>HIGH</v>
      </c>
      <c r="K115" s="8">
        <f t="shared" si="27"/>
        <v>0.10989010989010987</v>
      </c>
      <c r="L115" s="8">
        <f t="shared" si="28"/>
        <v>-0.43118590185092137</v>
      </c>
      <c r="M115" s="5" t="str">
        <f t="shared" si="29"/>
        <v>LOW</v>
      </c>
      <c r="N115" s="5" cm="1">
        <f t="array" aca="1" ref="N115" ca="1">INDEX($N$2:$N$15,RANDBETWEEN(1, ROWS($N$2:$N$15)))</f>
        <v>4</v>
      </c>
      <c r="O115" s="5" cm="1">
        <f t="array" aca="1" ref="O115" ca="1">INDEX($O$2:$O$15,RANDBETWEEN(1, ROWS($O$2:$O$15)))</f>
        <v>4</v>
      </c>
      <c r="P115" s="5">
        <f t="shared" ca="1" si="30"/>
        <v>7.4566929133858268</v>
      </c>
      <c r="Q115" s="5">
        <f t="shared" ca="1" si="31"/>
        <v>4.3622047244094491</v>
      </c>
      <c r="R115" s="5" cm="1">
        <f t="array" aca="1" ref="R115" ca="1">INDEX($C$2:$C$128, RANDBETWEEN(1,128))</f>
        <v>24</v>
      </c>
      <c r="S115" s="5" cm="1">
        <f t="array" aca="1" ref="S115" ca="1">INDEX($E$2:$E$129, RANDBETWEEN(1,129))</f>
        <v>0.85</v>
      </c>
      <c r="T115" s="5"/>
      <c r="U115" s="5"/>
      <c r="V115" s="5"/>
    </row>
    <row r="116" spans="1:22" x14ac:dyDescent="0.35">
      <c r="A116" s="5">
        <v>563744</v>
      </c>
      <c r="B116" s="5">
        <v>10125</v>
      </c>
      <c r="C116" s="5">
        <v>20</v>
      </c>
      <c r="D116" s="6">
        <v>40774.399305555555</v>
      </c>
      <c r="E116" s="8">
        <v>0.85</v>
      </c>
      <c r="F116" s="5">
        <v>13266</v>
      </c>
      <c r="G116" s="5" t="s">
        <v>8</v>
      </c>
      <c r="H116" s="5">
        <f t="shared" si="24"/>
        <v>0.40425531914893614</v>
      </c>
      <c r="I116" s="5">
        <f t="shared" si="25"/>
        <v>0.79163913901965799</v>
      </c>
      <c r="J116" s="5" t="str">
        <f t="shared" si="26"/>
        <v>HIGH</v>
      </c>
      <c r="K116" s="8">
        <f t="shared" si="27"/>
        <v>0.10989010989010987</v>
      </c>
      <c r="L116" s="8">
        <f t="shared" si="28"/>
        <v>-0.43118590185092137</v>
      </c>
      <c r="M116" s="5" t="str">
        <f t="shared" si="29"/>
        <v>LOW</v>
      </c>
      <c r="N116" s="5" cm="1">
        <f t="array" aca="1" ref="N116" ca="1">INDEX($N$2:$N$15,RANDBETWEEN(1, ROWS($N$2:$N$15)))</f>
        <v>4</v>
      </c>
      <c r="O116" s="5" cm="1">
        <f t="array" aca="1" ref="O116" ca="1">INDEX($O$2:$O$15,RANDBETWEEN(1, ROWS($O$2:$O$15)))</f>
        <v>5</v>
      </c>
      <c r="P116" s="5">
        <f t="shared" ca="1" si="30"/>
        <v>7.4566929133858268</v>
      </c>
      <c r="Q116" s="5">
        <f t="shared" ca="1" si="31"/>
        <v>4.3622047244094491</v>
      </c>
      <c r="R116" s="5" cm="1">
        <f t="array" aca="1" ref="R116" ca="1">INDEX($C$2:$C$128, RANDBETWEEN(1,128))</f>
        <v>1</v>
      </c>
      <c r="S116" s="5" cm="1">
        <f t="array" aca="1" ref="S116" ca="1">INDEX($E$2:$E$129, RANDBETWEEN(1,129))</f>
        <v>0.75</v>
      </c>
      <c r="T116" s="5"/>
      <c r="U116" s="5"/>
      <c r="V116" s="5"/>
    </row>
    <row r="117" spans="1:22" x14ac:dyDescent="0.35">
      <c r="A117" s="5">
        <v>564300</v>
      </c>
      <c r="B117" s="5">
        <v>10125</v>
      </c>
      <c r="C117" s="5">
        <v>5</v>
      </c>
      <c r="D117" s="6">
        <v>40779.479861111111</v>
      </c>
      <c r="E117" s="8">
        <v>0.85</v>
      </c>
      <c r="F117" s="5">
        <v>16723</v>
      </c>
      <c r="G117" s="5" t="s">
        <v>8</v>
      </c>
      <c r="H117" s="5">
        <f t="shared" si="24"/>
        <v>8.5106382978723402E-2</v>
      </c>
      <c r="I117" s="5">
        <f t="shared" si="25"/>
        <v>-0.5706666964206748</v>
      </c>
      <c r="J117" s="5" t="str">
        <f t="shared" si="26"/>
        <v>LOW</v>
      </c>
      <c r="K117" s="8">
        <f t="shared" si="27"/>
        <v>0.10989010989010987</v>
      </c>
      <c r="L117" s="8">
        <f t="shared" si="28"/>
        <v>-0.43118590185092137</v>
      </c>
      <c r="M117" s="5" t="str">
        <f t="shared" si="29"/>
        <v>LOW</v>
      </c>
      <c r="N117" s="5" cm="1">
        <f t="array" aca="1" ref="N117" ca="1">INDEX($N$2:$N$15,RANDBETWEEN(1, ROWS($N$2:$N$15)))</f>
        <v>8</v>
      </c>
      <c r="O117" s="5" cm="1">
        <f t="array" aca="1" ref="O117" ca="1">INDEX($O$2:$O$15,RANDBETWEEN(1, ROWS($O$2:$O$15)))</f>
        <v>3</v>
      </c>
      <c r="P117" s="5">
        <f t="shared" ca="1" si="30"/>
        <v>7.4566929133858268</v>
      </c>
      <c r="Q117" s="5">
        <f t="shared" ca="1" si="31"/>
        <v>4.3622047244094491</v>
      </c>
      <c r="R117" s="5" cm="1">
        <f t="array" aca="1" ref="R117" ca="1">INDEX($C$2:$C$128, RANDBETWEEN(1,128))</f>
        <v>12</v>
      </c>
      <c r="S117" s="5" cm="1">
        <f t="array" aca="1" ref="S117" ca="1">INDEX($E$2:$E$129, RANDBETWEEN(1,129))</f>
        <v>0.83</v>
      </c>
      <c r="T117" s="5"/>
      <c r="U117" s="5"/>
      <c r="V117" s="5"/>
    </row>
    <row r="118" spans="1:22" x14ac:dyDescent="0.35">
      <c r="A118" s="5">
        <v>564337</v>
      </c>
      <c r="B118" s="5">
        <v>10125</v>
      </c>
      <c r="C118" s="5">
        <v>20</v>
      </c>
      <c r="D118" s="6">
        <v>40779.611111111109</v>
      </c>
      <c r="E118" s="8">
        <v>0.85</v>
      </c>
      <c r="F118" s="5">
        <v>12649</v>
      </c>
      <c r="G118" s="5" t="s">
        <v>21</v>
      </c>
      <c r="H118" s="5">
        <f t="shared" si="24"/>
        <v>0.40425531914893614</v>
      </c>
      <c r="I118" s="5">
        <f t="shared" si="25"/>
        <v>0.79163913901965799</v>
      </c>
      <c r="J118" s="5" t="str">
        <f t="shared" si="26"/>
        <v>HIGH</v>
      </c>
      <c r="K118" s="8">
        <f t="shared" si="27"/>
        <v>0.10989010989010987</v>
      </c>
      <c r="L118" s="8">
        <f t="shared" si="28"/>
        <v>-0.43118590185092137</v>
      </c>
      <c r="M118" s="5" t="str">
        <f t="shared" si="29"/>
        <v>LOW</v>
      </c>
      <c r="N118" s="5" cm="1">
        <f t="array" aca="1" ref="N118" ca="1">INDEX($N$2:$N$15,RANDBETWEEN(1, ROWS($N$2:$N$15)))</f>
        <v>11</v>
      </c>
      <c r="O118" s="5" cm="1">
        <f t="array" aca="1" ref="O118" ca="1">INDEX($O$2:$O$15,RANDBETWEEN(1, ROWS($O$2:$O$15)))</f>
        <v>1</v>
      </c>
      <c r="P118" s="5">
        <f t="shared" ca="1" si="30"/>
        <v>7.4566929133858268</v>
      </c>
      <c r="Q118" s="5">
        <f t="shared" ca="1" si="31"/>
        <v>4.3622047244094491</v>
      </c>
      <c r="R118" s="5" cm="1">
        <f t="array" aca="1" ref="R118" ca="1">INDEX($C$2:$C$128, RANDBETWEEN(1,128))</f>
        <v>1</v>
      </c>
      <c r="S118" s="5" cm="1">
        <f t="array" aca="1" ref="S118" ca="1">INDEX($E$2:$E$129, RANDBETWEEN(1,129))</f>
        <v>1.63</v>
      </c>
      <c r="T118" s="5"/>
      <c r="U118" s="5"/>
      <c r="V118" s="5"/>
    </row>
    <row r="119" spans="1:22" x14ac:dyDescent="0.35">
      <c r="A119" s="5">
        <v>565585</v>
      </c>
      <c r="B119" s="5">
        <v>10125</v>
      </c>
      <c r="C119" s="5">
        <v>20</v>
      </c>
      <c r="D119" s="6">
        <v>40791.556944444441</v>
      </c>
      <c r="E119" s="8">
        <v>0.85</v>
      </c>
      <c r="F119" s="5">
        <v>16172</v>
      </c>
      <c r="G119" s="5" t="s">
        <v>8</v>
      </c>
      <c r="H119" s="5">
        <f t="shared" si="24"/>
        <v>0.40425531914893614</v>
      </c>
      <c r="I119" s="5">
        <f t="shared" si="25"/>
        <v>0.79163913901965799</v>
      </c>
      <c r="J119" s="5" t="str">
        <f t="shared" si="26"/>
        <v>HIGH</v>
      </c>
      <c r="K119" s="8">
        <f t="shared" si="27"/>
        <v>0.10989010989010987</v>
      </c>
      <c r="L119" s="8">
        <f t="shared" si="28"/>
        <v>-0.43118590185092137</v>
      </c>
      <c r="M119" s="5" t="str">
        <f t="shared" si="29"/>
        <v>LOW</v>
      </c>
      <c r="N119" s="5" cm="1">
        <f t="array" aca="1" ref="N119" ca="1">INDEX($N$2:$N$15,RANDBETWEEN(1, ROWS($N$2:$N$15)))</f>
        <v>12</v>
      </c>
      <c r="O119" s="5" cm="1">
        <f t="array" aca="1" ref="O119" ca="1">INDEX($O$2:$O$15,RANDBETWEEN(1, ROWS($O$2:$O$15)))</f>
        <v>5</v>
      </c>
      <c r="P119" s="5">
        <f t="shared" ca="1" si="30"/>
        <v>7.4566929133858268</v>
      </c>
      <c r="Q119" s="5">
        <f t="shared" ca="1" si="31"/>
        <v>4.3622047244094491</v>
      </c>
      <c r="R119" s="5" cm="1">
        <f t="array" aca="1" ref="R119" ca="1">INDEX($C$2:$C$128, RANDBETWEEN(1,128))</f>
        <v>12</v>
      </c>
      <c r="S119" s="5" cm="1">
        <f t="array" aca="1" ref="S119" ca="1">INDEX($E$2:$E$129, RANDBETWEEN(1,129))</f>
        <v>0.85</v>
      </c>
      <c r="T119" s="5"/>
      <c r="U119" s="5"/>
      <c r="V119" s="5"/>
    </row>
    <row r="120" spans="1:22" x14ac:dyDescent="0.35">
      <c r="A120" s="5">
        <v>568568</v>
      </c>
      <c r="B120" s="5">
        <v>10125</v>
      </c>
      <c r="C120" s="5">
        <v>20</v>
      </c>
      <c r="D120" s="6">
        <v>40814.366666666669</v>
      </c>
      <c r="E120" s="8">
        <v>0.85</v>
      </c>
      <c r="F120" s="5">
        <v>14412</v>
      </c>
      <c r="G120" s="5" t="s">
        <v>8</v>
      </c>
      <c r="H120" s="5">
        <f t="shared" si="24"/>
        <v>0.40425531914893614</v>
      </c>
      <c r="I120" s="5">
        <f t="shared" si="25"/>
        <v>0.79163913901965799</v>
      </c>
      <c r="J120" s="5" t="str">
        <f t="shared" si="26"/>
        <v>HIGH</v>
      </c>
      <c r="K120" s="8">
        <f t="shared" si="27"/>
        <v>0.10989010989010987</v>
      </c>
      <c r="L120" s="8">
        <f t="shared" si="28"/>
        <v>-0.43118590185092137</v>
      </c>
      <c r="M120" s="5" t="str">
        <f t="shared" si="29"/>
        <v>LOW</v>
      </c>
      <c r="N120" s="5" cm="1">
        <f t="array" aca="1" ref="N120" ca="1">INDEX($N$2:$N$15,RANDBETWEEN(1, ROWS($N$2:$N$15)))</f>
        <v>4</v>
      </c>
      <c r="O120" s="5" cm="1">
        <f t="array" aca="1" ref="O120" ca="1">INDEX($O$2:$O$15,RANDBETWEEN(1, ROWS($O$2:$O$15)))</f>
        <v>7</v>
      </c>
      <c r="P120" s="5">
        <f t="shared" ca="1" si="30"/>
        <v>7.4566929133858268</v>
      </c>
      <c r="Q120" s="5">
        <f t="shared" ca="1" si="31"/>
        <v>4.3622047244094491</v>
      </c>
      <c r="R120" s="5" cm="1">
        <f t="array" aca="1" ref="R120" ca="1">INDEX($C$2:$C$128, RANDBETWEEN(1,128))</f>
        <v>3</v>
      </c>
      <c r="S120" s="5" cm="1">
        <f t="array" aca="1" ref="S120" ca="1">INDEX($E$2:$E$129, RANDBETWEEN(1,129))</f>
        <v>0.83</v>
      </c>
      <c r="T120" s="5"/>
      <c r="U120" s="5"/>
      <c r="V120" s="5"/>
    </row>
    <row r="121" spans="1:22" x14ac:dyDescent="0.35">
      <c r="A121" s="5">
        <v>568650</v>
      </c>
      <c r="B121" s="5">
        <v>10125</v>
      </c>
      <c r="C121" s="5">
        <v>20</v>
      </c>
      <c r="D121" s="6">
        <v>40814.49722222222</v>
      </c>
      <c r="E121" s="8">
        <v>0.85</v>
      </c>
      <c r="F121" s="5">
        <v>13505</v>
      </c>
      <c r="G121" s="5" t="s">
        <v>16</v>
      </c>
      <c r="H121" s="5">
        <f t="shared" si="24"/>
        <v>0.40425531914893614</v>
      </c>
      <c r="I121" s="5">
        <f t="shared" si="25"/>
        <v>0.79163913901965799</v>
      </c>
      <c r="J121" s="5" t="str">
        <f t="shared" si="26"/>
        <v>HIGH</v>
      </c>
      <c r="K121" s="8">
        <f t="shared" si="27"/>
        <v>0.10989010989010987</v>
      </c>
      <c r="L121" s="8">
        <f t="shared" si="28"/>
        <v>-0.43118590185092137</v>
      </c>
      <c r="M121" s="5" t="str">
        <f t="shared" si="29"/>
        <v>LOW</v>
      </c>
      <c r="N121" s="5" cm="1">
        <f t="array" aca="1" ref="N121" ca="1">INDEX($N$2:$N$15,RANDBETWEEN(1, ROWS($N$2:$N$15)))</f>
        <v>4</v>
      </c>
      <c r="O121" s="5" cm="1">
        <f t="array" aca="1" ref="O121" ca="1">INDEX($O$2:$O$15,RANDBETWEEN(1, ROWS($O$2:$O$15)))</f>
        <v>5</v>
      </c>
      <c r="P121" s="5">
        <f t="shared" ca="1" si="30"/>
        <v>7.4566929133858268</v>
      </c>
      <c r="Q121" s="5">
        <f t="shared" ca="1" si="31"/>
        <v>4.3622047244094491</v>
      </c>
      <c r="R121" s="5" cm="1">
        <f t="array" aca="1" ref="R121" ca="1">INDEX($C$2:$C$128, RANDBETWEEN(1,128))</f>
        <v>5</v>
      </c>
      <c r="S121" s="5" cm="1">
        <f t="array" aca="1" ref="S121" ca="1">INDEX($E$2:$E$129, RANDBETWEEN(1,129))</f>
        <v>0.81</v>
      </c>
      <c r="T121" s="5"/>
      <c r="U121" s="5"/>
      <c r="V121" s="5"/>
    </row>
    <row r="122" spans="1:22" x14ac:dyDescent="0.35">
      <c r="A122" s="5">
        <v>569223</v>
      </c>
      <c r="B122" s="5">
        <v>10125</v>
      </c>
      <c r="C122" s="5">
        <v>7</v>
      </c>
      <c r="D122" s="6">
        <v>40818.575694444444</v>
      </c>
      <c r="E122" s="8">
        <v>0.85</v>
      </c>
      <c r="F122" s="5">
        <v>16283</v>
      </c>
      <c r="G122" s="5" t="s">
        <v>8</v>
      </c>
      <c r="H122" s="5">
        <f t="shared" si="24"/>
        <v>0.1276595744680851</v>
      </c>
      <c r="I122" s="5">
        <f t="shared" si="25"/>
        <v>-0.38902591836196376</v>
      </c>
      <c r="J122" s="5" t="str">
        <f t="shared" si="26"/>
        <v>LOW</v>
      </c>
      <c r="K122" s="8">
        <f t="shared" si="27"/>
        <v>0.10989010989010987</v>
      </c>
      <c r="L122" s="8">
        <f t="shared" si="28"/>
        <v>-0.43118590185092137</v>
      </c>
      <c r="M122" s="5" t="str">
        <f t="shared" si="29"/>
        <v>LOW</v>
      </c>
      <c r="N122" s="5" cm="1">
        <f t="array" aca="1" ref="N122" ca="1">INDEX($N$2:$N$15,RANDBETWEEN(1, ROWS($N$2:$N$15)))</f>
        <v>12</v>
      </c>
      <c r="O122" s="5" cm="1">
        <f t="array" aca="1" ref="O122" ca="1">INDEX($O$2:$O$15,RANDBETWEEN(1, ROWS($O$2:$O$15)))</f>
        <v>7</v>
      </c>
      <c r="P122" s="5">
        <f t="shared" ca="1" si="30"/>
        <v>7.4566929133858268</v>
      </c>
      <c r="Q122" s="5">
        <f t="shared" ca="1" si="31"/>
        <v>4.3622047244094491</v>
      </c>
      <c r="R122" s="5" cm="1">
        <f t="array" aca="1" ref="R122" ca="1">INDEX($C$2:$C$128, RANDBETWEEN(1,128))</f>
        <v>20</v>
      </c>
      <c r="S122" s="5" cm="1">
        <f t="array" aca="1" ref="S122" ca="1">INDEX($E$2:$E$129, RANDBETWEEN(1,129))</f>
        <v>0.83</v>
      </c>
      <c r="T122" s="5"/>
      <c r="U122" s="5"/>
      <c r="V122" s="5"/>
    </row>
    <row r="123" spans="1:22" x14ac:dyDescent="0.35">
      <c r="A123" s="5">
        <v>569897</v>
      </c>
      <c r="B123" s="5">
        <v>10125</v>
      </c>
      <c r="C123" s="5">
        <v>3</v>
      </c>
      <c r="D123" s="6">
        <v>40822.667361111111</v>
      </c>
      <c r="E123" s="8">
        <v>0.85</v>
      </c>
      <c r="F123" s="5">
        <v>17813</v>
      </c>
      <c r="G123" s="5" t="s">
        <v>8</v>
      </c>
      <c r="H123" s="5">
        <f t="shared" si="24"/>
        <v>4.2553191489361701E-2</v>
      </c>
      <c r="I123" s="5">
        <f t="shared" si="25"/>
        <v>-0.75230747447938584</v>
      </c>
      <c r="J123" s="5" t="str">
        <f t="shared" si="26"/>
        <v>LOW</v>
      </c>
      <c r="K123" s="8">
        <f t="shared" si="27"/>
        <v>0.10989010989010987</v>
      </c>
      <c r="L123" s="8">
        <f t="shared" si="28"/>
        <v>-0.43118590185092137</v>
      </c>
      <c r="M123" s="5" t="str">
        <f t="shared" si="29"/>
        <v>LOW</v>
      </c>
      <c r="N123" s="5" cm="1">
        <f t="array" aca="1" ref="N123" ca="1">INDEX($N$2:$N$15,RANDBETWEEN(1, ROWS($N$2:$N$15)))</f>
        <v>12</v>
      </c>
      <c r="O123" s="5" cm="1">
        <f t="array" aca="1" ref="O123" ca="1">INDEX($O$2:$O$15,RANDBETWEEN(1, ROWS($O$2:$O$15)))</f>
        <v>3</v>
      </c>
      <c r="P123" s="5">
        <f t="shared" ca="1" si="30"/>
        <v>7.4566929133858268</v>
      </c>
      <c r="Q123" s="5">
        <f t="shared" ca="1" si="31"/>
        <v>4.3622047244094491</v>
      </c>
      <c r="R123" s="5" cm="1">
        <f t="array" aca="1" ref="R123" ca="1">INDEX($C$2:$C$128, RANDBETWEEN(1,128))</f>
        <v>36</v>
      </c>
      <c r="S123" s="5" cm="1">
        <f t="array" aca="1" ref="S123" ca="1">INDEX($E$2:$E$129, RANDBETWEEN(1,129))</f>
        <v>1.63</v>
      </c>
      <c r="T123" s="5"/>
      <c r="U123" s="5"/>
      <c r="V123" s="5"/>
    </row>
    <row r="124" spans="1:22" x14ac:dyDescent="0.35">
      <c r="A124" s="5">
        <v>570187</v>
      </c>
      <c r="B124" s="5">
        <v>10125</v>
      </c>
      <c r="C124" s="5">
        <v>1</v>
      </c>
      <c r="D124" s="6">
        <v>40823.631249999999</v>
      </c>
      <c r="E124" s="8">
        <v>1.63</v>
      </c>
      <c r="F124" s="5" t="s">
        <v>1331</v>
      </c>
      <c r="G124" s="5" t="s">
        <v>8</v>
      </c>
      <c r="H124" s="5">
        <f t="shared" si="24"/>
        <v>0</v>
      </c>
      <c r="I124" s="5">
        <f t="shared" si="25"/>
        <v>-0.93394825253809688</v>
      </c>
      <c r="J124" s="5" t="str">
        <f t="shared" si="26"/>
        <v>LOW</v>
      </c>
      <c r="K124" s="8">
        <f t="shared" si="27"/>
        <v>0.96703296703296704</v>
      </c>
      <c r="L124" s="8">
        <f t="shared" si="28"/>
        <v>1.9352005489719497</v>
      </c>
      <c r="M124" s="5" t="str">
        <f t="shared" si="29"/>
        <v>HIGH</v>
      </c>
      <c r="N124" s="5" cm="1">
        <f t="array" aca="1" ref="N124" ca="1">INDEX($N$2:$N$15,RANDBETWEEN(1, ROWS($N$2:$N$15)))</f>
        <v>12</v>
      </c>
      <c r="O124" s="5" cm="1">
        <f t="array" aca="1" ref="O124" ca="1">INDEX($O$2:$O$15,RANDBETWEEN(1, ROWS($O$2:$O$15)))</f>
        <v>5</v>
      </c>
      <c r="P124" s="5">
        <f t="shared" ca="1" si="30"/>
        <v>7.4566929133858268</v>
      </c>
      <c r="Q124" s="5">
        <f t="shared" ca="1" si="31"/>
        <v>4.3622047244094491</v>
      </c>
      <c r="R124" s="5" cm="1">
        <f t="array" aca="1" ref="R124" ca="1">INDEX($C$2:$C$128, RANDBETWEEN(1,128))</f>
        <v>5</v>
      </c>
      <c r="S124" s="5" cm="1">
        <f t="array" aca="1" ref="S124" ca="1">INDEX($E$2:$E$129, RANDBETWEEN(1,129))</f>
        <v>0.79</v>
      </c>
      <c r="T124" s="5"/>
      <c r="U124" s="5"/>
      <c r="V124" s="5"/>
    </row>
    <row r="125" spans="1:22" x14ac:dyDescent="0.35">
      <c r="A125" s="5">
        <v>571328</v>
      </c>
      <c r="B125" s="5">
        <v>10125</v>
      </c>
      <c r="C125" s="5">
        <v>20</v>
      </c>
      <c r="D125" s="6">
        <v>40833.477083333331</v>
      </c>
      <c r="E125" s="8">
        <v>0.85</v>
      </c>
      <c r="F125" s="5">
        <v>12473</v>
      </c>
      <c r="G125" s="5" t="s">
        <v>21</v>
      </c>
      <c r="H125" s="5">
        <f t="shared" si="24"/>
        <v>0.40425531914893614</v>
      </c>
      <c r="I125" s="5">
        <f t="shared" si="25"/>
        <v>0.79163913901965799</v>
      </c>
      <c r="J125" s="5" t="str">
        <f t="shared" si="26"/>
        <v>HIGH</v>
      </c>
      <c r="K125" s="8">
        <f t="shared" si="27"/>
        <v>0.10989010989010987</v>
      </c>
      <c r="L125" s="8">
        <f t="shared" si="28"/>
        <v>-0.43118590185092137</v>
      </c>
      <c r="M125" s="5" t="str">
        <f t="shared" si="29"/>
        <v>LOW</v>
      </c>
      <c r="N125" s="5" cm="1">
        <f t="array" aca="1" ref="N125" ca="1">INDEX($N$2:$N$15,RANDBETWEEN(1, ROWS($N$2:$N$15)))</f>
        <v>9</v>
      </c>
      <c r="O125" s="5" cm="1">
        <f t="array" aca="1" ref="O125" ca="1">INDEX($O$2:$O$15,RANDBETWEEN(1, ROWS($O$2:$O$15)))</f>
        <v>4</v>
      </c>
      <c r="P125" s="5">
        <f t="shared" ca="1" si="30"/>
        <v>7.4566929133858268</v>
      </c>
      <c r="Q125" s="5">
        <f t="shared" ca="1" si="31"/>
        <v>4.3622047244094491</v>
      </c>
      <c r="R125" s="5" cm="1">
        <f t="array" aca="1" ref="R125" ca="1">INDEX($C$2:$C$128, RANDBETWEEN(1,128))</f>
        <v>12</v>
      </c>
      <c r="S125" s="5" cm="1">
        <f t="array" aca="1" ref="S125" ca="1">INDEX($E$2:$E$129, RANDBETWEEN(1,129))</f>
        <v>0.83</v>
      </c>
      <c r="T125" s="5"/>
      <c r="U125" s="5"/>
      <c r="V125" s="5"/>
    </row>
    <row r="126" spans="1:22" x14ac:dyDescent="0.35">
      <c r="A126" s="5">
        <v>572558</v>
      </c>
      <c r="B126" s="5">
        <v>10125</v>
      </c>
      <c r="C126" s="5">
        <v>20</v>
      </c>
      <c r="D126" s="6">
        <v>40841.351388888892</v>
      </c>
      <c r="E126" s="8">
        <v>0.85</v>
      </c>
      <c r="F126" s="5">
        <v>14286</v>
      </c>
      <c r="G126" s="5" t="s">
        <v>8</v>
      </c>
      <c r="H126" s="5">
        <f t="shared" si="24"/>
        <v>0.40425531914893614</v>
      </c>
      <c r="I126" s="5">
        <f t="shared" si="25"/>
        <v>0.79163913901965799</v>
      </c>
      <c r="J126" s="5" t="str">
        <f t="shared" si="26"/>
        <v>HIGH</v>
      </c>
      <c r="K126" s="8">
        <f t="shared" si="27"/>
        <v>0.10989010989010987</v>
      </c>
      <c r="L126" s="8">
        <f t="shared" si="28"/>
        <v>-0.43118590185092137</v>
      </c>
      <c r="M126" s="5" t="str">
        <f t="shared" si="29"/>
        <v>LOW</v>
      </c>
      <c r="N126" s="5" cm="1">
        <f t="array" aca="1" ref="N126" ca="1">INDEX($N$2:$N$15,RANDBETWEEN(1, ROWS($N$2:$N$15)))</f>
        <v>2</v>
      </c>
      <c r="O126" s="5" cm="1">
        <f t="array" aca="1" ref="O126" ca="1">INDEX($O$2:$O$15,RANDBETWEEN(1, ROWS($O$2:$O$15)))</f>
        <v>5</v>
      </c>
      <c r="P126" s="5">
        <f t="shared" ca="1" si="30"/>
        <v>7.4566929133858268</v>
      </c>
      <c r="Q126" s="5">
        <f t="shared" ca="1" si="31"/>
        <v>4.3622047244094491</v>
      </c>
      <c r="R126" s="5" cm="1">
        <f t="array" aca="1" ref="R126" ca="1">INDEX($C$2:$C$128, RANDBETWEEN(1,128))</f>
        <v>5</v>
      </c>
      <c r="S126" s="5" cm="1">
        <f t="array" aca="1" ref="S126" ca="1">INDEX($E$2:$E$129, RANDBETWEEN(1,129))</f>
        <v>0.85</v>
      </c>
      <c r="T126" s="5"/>
      <c r="U126" s="5"/>
      <c r="V126" s="5"/>
    </row>
    <row r="127" spans="1:22" x14ac:dyDescent="0.35">
      <c r="A127" s="5">
        <v>574530</v>
      </c>
      <c r="B127" s="5">
        <v>10125</v>
      </c>
      <c r="C127" s="5">
        <v>2</v>
      </c>
      <c r="D127" s="6">
        <v>40851.588194444441</v>
      </c>
      <c r="E127" s="8">
        <v>0.85</v>
      </c>
      <c r="F127" s="5">
        <v>16887</v>
      </c>
      <c r="G127" s="5" t="s">
        <v>8</v>
      </c>
      <c r="H127" s="5">
        <f t="shared" si="24"/>
        <v>2.1276595744680851E-2</v>
      </c>
      <c r="I127" s="5">
        <f t="shared" si="25"/>
        <v>-0.84312786350874136</v>
      </c>
      <c r="J127" s="5" t="str">
        <f t="shared" si="26"/>
        <v>LOW</v>
      </c>
      <c r="K127" s="8">
        <f t="shared" si="27"/>
        <v>0.10989010989010987</v>
      </c>
      <c r="L127" s="8">
        <f t="shared" si="28"/>
        <v>-0.43118590185092137</v>
      </c>
      <c r="M127" s="5" t="str">
        <f t="shared" si="29"/>
        <v>LOW</v>
      </c>
      <c r="N127" s="5" cm="1">
        <f t="array" aca="1" ref="N127" ca="1">INDEX($N$2:$N$15,RANDBETWEEN(1, ROWS($N$2:$N$15)))</f>
        <v>9</v>
      </c>
      <c r="O127" s="5" cm="1">
        <f t="array" aca="1" ref="O127" ca="1">INDEX($O$2:$O$15,RANDBETWEEN(1, ROWS($O$2:$O$15)))</f>
        <v>7</v>
      </c>
      <c r="P127" s="5">
        <f t="shared" ca="1" si="30"/>
        <v>7.4566929133858268</v>
      </c>
      <c r="Q127" s="5">
        <f t="shared" ca="1" si="31"/>
        <v>4.3622047244094491</v>
      </c>
      <c r="R127" s="5" cm="1">
        <f t="array" aca="1" ref="R127" ca="1">INDEX($C$2:$C$128, RANDBETWEEN(1,128))</f>
        <v>24</v>
      </c>
      <c r="S127" s="5" cm="1">
        <f t="array" aca="1" ref="S127" ca="1">INDEX($E$2:$E$129, RANDBETWEEN(1,129))</f>
        <v>0.81</v>
      </c>
      <c r="T127" s="5"/>
      <c r="U127" s="5"/>
      <c r="V127" s="5"/>
    </row>
    <row r="128" spans="1:22" x14ac:dyDescent="0.35">
      <c r="A128" s="5">
        <v>581494</v>
      </c>
      <c r="B128" s="5">
        <v>10125</v>
      </c>
      <c r="C128" s="5">
        <v>20</v>
      </c>
      <c r="D128" s="6">
        <v>40886.425694444442</v>
      </c>
      <c r="E128" s="8">
        <v>0.85</v>
      </c>
      <c r="F128" s="5">
        <v>12518</v>
      </c>
      <c r="G128" s="5" t="s">
        <v>21</v>
      </c>
      <c r="H128" s="5">
        <f t="shared" si="24"/>
        <v>0.40425531914893614</v>
      </c>
      <c r="I128" s="5">
        <f t="shared" si="25"/>
        <v>0.79163913901965799</v>
      </c>
      <c r="J128" s="5" t="str">
        <f t="shared" si="26"/>
        <v>HIGH</v>
      </c>
      <c r="K128" s="8">
        <f t="shared" si="27"/>
        <v>0.10989010989010987</v>
      </c>
      <c r="L128" s="8">
        <f t="shared" si="28"/>
        <v>-0.43118590185092137</v>
      </c>
      <c r="M128" s="5" t="str">
        <f t="shared" si="29"/>
        <v>LOW</v>
      </c>
      <c r="N128" s="5" cm="1">
        <f t="array" aca="1" ref="N128" ca="1">INDEX($N$2:$N$15,RANDBETWEEN(1, ROWS($N$2:$N$15)))</f>
        <v>8</v>
      </c>
      <c r="O128" s="5" cm="1">
        <f t="array" aca="1" ref="O128" ca="1">INDEX($O$2:$O$15,RANDBETWEEN(1, ROWS($O$2:$O$15)))</f>
        <v>1</v>
      </c>
      <c r="P128" s="5">
        <f t="shared" ca="1" si="30"/>
        <v>7.4566929133858268</v>
      </c>
      <c r="Q128" s="5">
        <f t="shared" ca="1" si="31"/>
        <v>4.3622047244094491</v>
      </c>
      <c r="R128" s="5" cm="1">
        <f t="array" aca="1" ref="R128" ca="1">INDEX($C$2:$C$128, RANDBETWEEN(1,128))</f>
        <v>3</v>
      </c>
      <c r="S128" s="5" cm="1">
        <f t="array" aca="1" ref="S128" ca="1">INDEX($E$2:$E$129, RANDBETWEEN(1,129))</f>
        <v>0.83</v>
      </c>
      <c r="T128" s="5"/>
      <c r="U128" s="5"/>
      <c r="V128" s="5"/>
    </row>
    <row r="133" spans="5:12" x14ac:dyDescent="0.35">
      <c r="E133"/>
      <c r="F133"/>
      <c r="G133"/>
      <c r="H133"/>
      <c r="I133"/>
      <c r="J133"/>
      <c r="K133"/>
      <c r="L133"/>
    </row>
    <row r="134" spans="5:12" x14ac:dyDescent="0.35">
      <c r="E134"/>
      <c r="F134"/>
      <c r="G134"/>
      <c r="H134"/>
      <c r="I134"/>
      <c r="J134"/>
      <c r="K134"/>
      <c r="L134"/>
    </row>
    <row r="135" spans="5:12" x14ac:dyDescent="0.35">
      <c r="E135"/>
      <c r="F135"/>
      <c r="G135"/>
      <c r="H135"/>
      <c r="I135"/>
      <c r="J135"/>
      <c r="K135"/>
      <c r="L135"/>
    </row>
    <row r="136" spans="5:12" x14ac:dyDescent="0.35">
      <c r="E136"/>
      <c r="F136"/>
      <c r="G136"/>
      <c r="H136"/>
      <c r="I136"/>
      <c r="J136"/>
      <c r="K136"/>
      <c r="L136"/>
    </row>
    <row r="137" spans="5:12" x14ac:dyDescent="0.35">
      <c r="E137"/>
      <c r="F137"/>
      <c r="G137"/>
      <c r="H137"/>
      <c r="I137"/>
      <c r="J137"/>
      <c r="K137"/>
      <c r="L137"/>
    </row>
    <row r="138" spans="5:12" x14ac:dyDescent="0.35">
      <c r="E138"/>
      <c r="F138"/>
      <c r="G138"/>
      <c r="H138"/>
      <c r="I138"/>
      <c r="J138"/>
      <c r="K138"/>
      <c r="L138"/>
    </row>
  </sheetData>
  <conditionalFormatting sqref="C1:C1048576">
    <cfRule type="colorScale" priority="6">
      <colorScale>
        <cfvo type="num" val="-28.5"/>
        <cfvo type="num" val="55.5"/>
        <color theme="8" tint="0.79998168889431442"/>
        <color theme="8" tint="-0.249977111117893"/>
      </colorScale>
    </cfRule>
    <cfRule type="colorScale" priority="6">
      <colorScale>
        <cfvo type="min"/>
        <cfvo type="max"/>
        <color theme="8" tint="0.79998168889431442"/>
        <color theme="8"/>
      </colorScale>
    </cfRule>
  </conditionalFormatting>
  <conditionalFormatting sqref="C2:C128">
    <cfRule type="colorScale" priority="343">
      <colorScale>
        <cfvo type="min"/>
        <cfvo type="max"/>
        <color theme="8" tint="0.79998168889431442"/>
        <color theme="8" tint="-0.249977111117893"/>
      </colorScale>
    </cfRule>
    <cfRule type="colorScale" priority="344">
      <colorScale>
        <cfvo type="num" val="0"/>
        <cfvo type="num" val="100"/>
        <color theme="8" tint="0.79998168889431442"/>
        <color theme="8" tint="-0.249977111117893"/>
      </colorScale>
    </cfRule>
  </conditionalFormatting>
  <conditionalFormatting sqref="C3">
    <cfRule type="duplicateValues" dxfId="5" priority="1"/>
  </conditionalFormatting>
  <conditionalFormatting sqref="E1:E1048576">
    <cfRule type="colorScale" priority="4">
      <colorScale>
        <cfvo type="num" val="0.48"/>
        <cfvo type="num" val="1.57"/>
        <color theme="8" tint="0.79998168889431442"/>
        <color theme="8" tint="-0.249977111117893"/>
      </colorScale>
    </cfRule>
  </conditionalFormatting>
  <conditionalFormatting sqref="E139:E1048576 E1:E132">
    <cfRule type="colorScale" priority="5">
      <colorScale>
        <cfvo type="min"/>
        <cfvo type="max"/>
        <color theme="8" tint="0.79998168889431442"/>
        <color theme="8" tint="-0.249977111117893"/>
      </colorScale>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93A41-903A-4082-8FDD-6352F0548450}">
  <dimension ref="A1:S735"/>
  <sheetViews>
    <sheetView workbookViewId="0">
      <selection activeCell="G15" sqref="G1:G15"/>
    </sheetView>
  </sheetViews>
  <sheetFormatPr defaultRowHeight="14.5" x14ac:dyDescent="0.35"/>
  <cols>
    <col min="4" max="4" width="19.6328125" bestFit="1" customWidth="1"/>
    <col min="6" max="6" width="15.81640625" bestFit="1" customWidth="1"/>
    <col min="7" max="7" width="15.08984375" bestFit="1" customWidth="1"/>
    <col min="8" max="8" width="17.81640625" bestFit="1" customWidth="1"/>
  </cols>
  <sheetData>
    <row r="1" spans="1:19" x14ac:dyDescent="0.35">
      <c r="A1" t="s">
        <v>88</v>
      </c>
      <c r="B1" t="s">
        <v>54</v>
      </c>
      <c r="C1" t="s">
        <v>89</v>
      </c>
      <c r="D1" t="s">
        <v>90</v>
      </c>
      <c r="E1" t="s">
        <v>91</v>
      </c>
      <c r="F1" t="s">
        <v>92</v>
      </c>
      <c r="G1" t="s">
        <v>93</v>
      </c>
      <c r="H1" t="s">
        <v>94</v>
      </c>
      <c r="I1" t="s">
        <v>95</v>
      </c>
      <c r="J1" t="s">
        <v>96</v>
      </c>
      <c r="K1" t="s">
        <v>97</v>
      </c>
      <c r="L1" t="s">
        <v>98</v>
      </c>
      <c r="M1" t="s">
        <v>99</v>
      </c>
      <c r="N1" t="s">
        <v>100</v>
      </c>
      <c r="O1" t="s">
        <v>101</v>
      </c>
      <c r="P1" t="s">
        <v>102</v>
      </c>
      <c r="Q1" t="s">
        <v>103</v>
      </c>
      <c r="R1" t="s">
        <v>104</v>
      </c>
      <c r="S1" t="s">
        <v>105</v>
      </c>
    </row>
    <row r="2" spans="1:19" x14ac:dyDescent="0.35">
      <c r="A2" t="s">
        <v>106</v>
      </c>
      <c r="B2" t="s">
        <v>107</v>
      </c>
      <c r="C2" t="s">
        <v>108</v>
      </c>
      <c r="D2">
        <v>17.3</v>
      </c>
      <c r="E2">
        <v>33</v>
      </c>
      <c r="F2" t="s">
        <v>56</v>
      </c>
      <c r="G2">
        <v>12</v>
      </c>
      <c r="H2">
        <v>0.9</v>
      </c>
      <c r="I2" t="s">
        <v>109</v>
      </c>
      <c r="J2" t="s">
        <v>110</v>
      </c>
      <c r="K2" t="s">
        <v>111</v>
      </c>
      <c r="L2" t="s">
        <v>112</v>
      </c>
      <c r="M2" t="s">
        <v>113</v>
      </c>
      <c r="N2">
        <v>6</v>
      </c>
      <c r="O2" t="s">
        <v>114</v>
      </c>
      <c r="P2">
        <v>15</v>
      </c>
      <c r="Q2" t="s">
        <v>115</v>
      </c>
      <c r="R2" t="s">
        <v>116</v>
      </c>
      <c r="S2" t="s">
        <v>117</v>
      </c>
    </row>
    <row r="3" spans="1:19" x14ac:dyDescent="0.35">
      <c r="A3" t="s">
        <v>118</v>
      </c>
      <c r="B3" t="s">
        <v>119</v>
      </c>
      <c r="C3" t="s">
        <v>120</v>
      </c>
      <c r="D3">
        <v>4.9000000000000004</v>
      </c>
      <c r="E3">
        <v>12</v>
      </c>
      <c r="F3" t="s">
        <v>58</v>
      </c>
      <c r="G3">
        <v>4</v>
      </c>
      <c r="H3">
        <v>1.2</v>
      </c>
      <c r="I3" t="s">
        <v>121</v>
      </c>
      <c r="J3" t="s">
        <v>122</v>
      </c>
      <c r="K3" t="s">
        <v>123</v>
      </c>
      <c r="L3" t="s">
        <v>124</v>
      </c>
      <c r="M3" t="s">
        <v>125</v>
      </c>
      <c r="N3">
        <v>310</v>
      </c>
      <c r="O3" t="s">
        <v>126</v>
      </c>
      <c r="P3">
        <v>0</v>
      </c>
      <c r="Q3" t="s">
        <v>115</v>
      </c>
      <c r="R3" t="s">
        <v>116</v>
      </c>
      <c r="S3" t="s">
        <v>127</v>
      </c>
    </row>
    <row r="4" spans="1:19" x14ac:dyDescent="0.35">
      <c r="A4" t="s">
        <v>128</v>
      </c>
      <c r="B4" t="s">
        <v>129</v>
      </c>
      <c r="C4" t="s">
        <v>120</v>
      </c>
      <c r="D4">
        <v>1.1000000000000001</v>
      </c>
      <c r="E4">
        <v>11</v>
      </c>
      <c r="F4" t="s">
        <v>58</v>
      </c>
      <c r="G4">
        <v>9</v>
      </c>
      <c r="H4">
        <v>1.1000000000000001</v>
      </c>
      <c r="I4" t="s">
        <v>130</v>
      </c>
      <c r="J4" t="s">
        <v>131</v>
      </c>
      <c r="K4" t="s">
        <v>132</v>
      </c>
      <c r="L4" t="s">
        <v>133</v>
      </c>
      <c r="M4" t="s">
        <v>134</v>
      </c>
      <c r="N4">
        <v>63</v>
      </c>
      <c r="O4" t="s">
        <v>126</v>
      </c>
      <c r="P4">
        <v>4</v>
      </c>
      <c r="Q4" t="s">
        <v>135</v>
      </c>
      <c r="R4" t="s">
        <v>116</v>
      </c>
      <c r="S4" t="s">
        <v>136</v>
      </c>
    </row>
    <row r="5" spans="1:19" x14ac:dyDescent="0.35">
      <c r="A5" t="s">
        <v>137</v>
      </c>
      <c r="B5" t="s">
        <v>138</v>
      </c>
      <c r="C5" t="s">
        <v>120</v>
      </c>
      <c r="D5">
        <v>5.7</v>
      </c>
      <c r="E5">
        <v>29</v>
      </c>
      <c r="F5" t="s">
        <v>60</v>
      </c>
      <c r="G5">
        <v>9</v>
      </c>
      <c r="H5">
        <v>0.4</v>
      </c>
      <c r="I5" t="s">
        <v>139</v>
      </c>
      <c r="J5" t="s">
        <v>140</v>
      </c>
      <c r="K5" t="s">
        <v>141</v>
      </c>
      <c r="L5" t="s">
        <v>111</v>
      </c>
      <c r="M5" t="s">
        <v>113</v>
      </c>
      <c r="N5">
        <v>17</v>
      </c>
      <c r="O5" t="s">
        <v>126</v>
      </c>
      <c r="P5">
        <v>8</v>
      </c>
      <c r="Q5" t="s">
        <v>115</v>
      </c>
      <c r="R5" t="s">
        <v>116</v>
      </c>
      <c r="S5" t="s">
        <v>142</v>
      </c>
    </row>
    <row r="6" spans="1:19" x14ac:dyDescent="0.35">
      <c r="A6" t="s">
        <v>143</v>
      </c>
      <c r="B6" t="s">
        <v>138</v>
      </c>
      <c r="C6" t="s">
        <v>120</v>
      </c>
      <c r="D6">
        <v>8.3000000000000007</v>
      </c>
      <c r="E6">
        <v>23</v>
      </c>
      <c r="F6" t="s">
        <v>60</v>
      </c>
      <c r="G6">
        <v>11</v>
      </c>
      <c r="H6">
        <v>0.5</v>
      </c>
      <c r="I6" t="s">
        <v>144</v>
      </c>
      <c r="J6" t="s">
        <v>145</v>
      </c>
      <c r="K6" t="s">
        <v>141</v>
      </c>
      <c r="L6" t="s">
        <v>146</v>
      </c>
      <c r="M6" t="s">
        <v>134</v>
      </c>
      <c r="N6">
        <v>93</v>
      </c>
      <c r="O6" t="s">
        <v>126</v>
      </c>
      <c r="P6">
        <v>3</v>
      </c>
      <c r="Q6" t="s">
        <v>115</v>
      </c>
      <c r="R6" t="s">
        <v>116</v>
      </c>
      <c r="S6" t="s">
        <v>147</v>
      </c>
    </row>
    <row r="7" spans="1:19" x14ac:dyDescent="0.35">
      <c r="A7" t="s">
        <v>148</v>
      </c>
      <c r="B7" t="s">
        <v>149</v>
      </c>
      <c r="C7" t="s">
        <v>120</v>
      </c>
      <c r="D7">
        <v>2.1</v>
      </c>
      <c r="E7">
        <v>23</v>
      </c>
      <c r="F7" t="s">
        <v>63</v>
      </c>
      <c r="G7">
        <v>8</v>
      </c>
      <c r="H7">
        <v>0.7</v>
      </c>
      <c r="I7" t="s">
        <v>150</v>
      </c>
      <c r="J7" t="s">
        <v>151</v>
      </c>
      <c r="K7" t="s">
        <v>152</v>
      </c>
      <c r="L7" t="s">
        <v>123</v>
      </c>
      <c r="M7" t="s">
        <v>134</v>
      </c>
      <c r="N7">
        <v>85</v>
      </c>
      <c r="O7" t="s">
        <v>126</v>
      </c>
      <c r="P7">
        <v>4</v>
      </c>
      <c r="Q7" t="s">
        <v>115</v>
      </c>
      <c r="R7" t="s">
        <v>153</v>
      </c>
      <c r="S7" t="s">
        <v>142</v>
      </c>
    </row>
    <row r="8" spans="1:19" x14ac:dyDescent="0.35">
      <c r="A8" t="s">
        <v>154</v>
      </c>
      <c r="B8" t="s">
        <v>155</v>
      </c>
      <c r="C8" t="s">
        <v>108</v>
      </c>
      <c r="D8">
        <v>20</v>
      </c>
      <c r="E8">
        <v>38</v>
      </c>
      <c r="F8" t="s">
        <v>56</v>
      </c>
      <c r="G8">
        <v>4</v>
      </c>
      <c r="H8">
        <v>1</v>
      </c>
      <c r="I8" t="s">
        <v>156</v>
      </c>
      <c r="J8" t="s">
        <v>157</v>
      </c>
      <c r="K8" t="s">
        <v>158</v>
      </c>
      <c r="L8" t="s">
        <v>112</v>
      </c>
      <c r="M8" t="s">
        <v>159</v>
      </c>
      <c r="N8">
        <v>277</v>
      </c>
      <c r="O8" t="s">
        <v>126</v>
      </c>
      <c r="P8">
        <v>2</v>
      </c>
      <c r="Q8" t="s">
        <v>115</v>
      </c>
      <c r="R8" t="s">
        <v>65</v>
      </c>
      <c r="S8" t="s">
        <v>142</v>
      </c>
    </row>
    <row r="9" spans="1:19" x14ac:dyDescent="0.35">
      <c r="A9" t="s">
        <v>160</v>
      </c>
      <c r="B9" t="s">
        <v>161</v>
      </c>
      <c r="C9" t="s">
        <v>108</v>
      </c>
      <c r="D9">
        <v>44.4</v>
      </c>
      <c r="E9">
        <v>30</v>
      </c>
      <c r="F9" t="s">
        <v>60</v>
      </c>
      <c r="G9">
        <v>2</v>
      </c>
      <c r="H9">
        <v>1.2</v>
      </c>
      <c r="I9" t="s">
        <v>162</v>
      </c>
      <c r="J9" t="s">
        <v>163</v>
      </c>
      <c r="K9" t="s">
        <v>164</v>
      </c>
      <c r="L9" t="s">
        <v>133</v>
      </c>
      <c r="M9" t="s">
        <v>113</v>
      </c>
      <c r="N9">
        <v>19</v>
      </c>
      <c r="O9" t="s">
        <v>126</v>
      </c>
      <c r="P9">
        <v>10</v>
      </c>
      <c r="Q9" t="s">
        <v>115</v>
      </c>
      <c r="R9" t="s">
        <v>153</v>
      </c>
      <c r="S9" t="s">
        <v>142</v>
      </c>
    </row>
    <row r="10" spans="1:19" x14ac:dyDescent="0.35">
      <c r="A10" t="s">
        <v>165</v>
      </c>
      <c r="B10" t="s">
        <v>119</v>
      </c>
      <c r="C10" t="s">
        <v>166</v>
      </c>
      <c r="D10">
        <v>95.2</v>
      </c>
      <c r="E10">
        <v>32</v>
      </c>
      <c r="F10" t="s">
        <v>65</v>
      </c>
      <c r="G10">
        <v>12</v>
      </c>
      <c r="H10">
        <v>0.8</v>
      </c>
      <c r="I10" t="s">
        <v>156</v>
      </c>
      <c r="J10" t="s">
        <v>167</v>
      </c>
      <c r="K10" t="s">
        <v>141</v>
      </c>
      <c r="L10" t="s">
        <v>123</v>
      </c>
      <c r="M10" t="s">
        <v>113</v>
      </c>
      <c r="N10">
        <v>5</v>
      </c>
      <c r="O10" t="s">
        <v>126</v>
      </c>
      <c r="P10">
        <v>8</v>
      </c>
      <c r="Q10" t="s">
        <v>115</v>
      </c>
      <c r="R10" t="s">
        <v>168</v>
      </c>
      <c r="S10" t="s">
        <v>169</v>
      </c>
    </row>
    <row r="11" spans="1:19" x14ac:dyDescent="0.35">
      <c r="A11" t="s">
        <v>170</v>
      </c>
      <c r="B11" t="s">
        <v>107</v>
      </c>
      <c r="C11" t="s">
        <v>120</v>
      </c>
      <c r="D11">
        <v>7.9</v>
      </c>
      <c r="E11">
        <v>11</v>
      </c>
      <c r="F11" t="s">
        <v>58</v>
      </c>
      <c r="G11">
        <v>3</v>
      </c>
      <c r="H11">
        <v>1.5</v>
      </c>
      <c r="I11" t="s">
        <v>156</v>
      </c>
      <c r="J11" t="s">
        <v>157</v>
      </c>
      <c r="K11" t="s">
        <v>171</v>
      </c>
      <c r="L11" t="s">
        <v>112</v>
      </c>
      <c r="M11" t="s">
        <v>134</v>
      </c>
      <c r="N11">
        <v>75</v>
      </c>
      <c r="O11" t="s">
        <v>126</v>
      </c>
      <c r="P11">
        <v>3</v>
      </c>
      <c r="Q11" t="s">
        <v>115</v>
      </c>
      <c r="R11" t="s">
        <v>168</v>
      </c>
      <c r="S11" t="s">
        <v>147</v>
      </c>
    </row>
    <row r="12" spans="1:19" x14ac:dyDescent="0.35">
      <c r="A12" t="s">
        <v>172</v>
      </c>
      <c r="B12" t="s">
        <v>149</v>
      </c>
      <c r="C12" t="s">
        <v>108</v>
      </c>
      <c r="D12">
        <v>42.4</v>
      </c>
      <c r="E12">
        <v>18</v>
      </c>
      <c r="F12" t="s">
        <v>66</v>
      </c>
      <c r="G12">
        <v>9</v>
      </c>
      <c r="H12">
        <v>0.7</v>
      </c>
      <c r="I12" t="s">
        <v>173</v>
      </c>
      <c r="J12" t="s">
        <v>174</v>
      </c>
      <c r="K12" t="s">
        <v>152</v>
      </c>
      <c r="L12" t="s">
        <v>123</v>
      </c>
      <c r="M12" t="s">
        <v>159</v>
      </c>
      <c r="N12">
        <v>191</v>
      </c>
      <c r="O12" t="s">
        <v>126</v>
      </c>
      <c r="P12">
        <v>1</v>
      </c>
      <c r="Q12" t="s">
        <v>115</v>
      </c>
      <c r="R12" t="s">
        <v>65</v>
      </c>
      <c r="S12" t="s">
        <v>127</v>
      </c>
    </row>
    <row r="13" spans="1:19" x14ac:dyDescent="0.35">
      <c r="A13" t="s">
        <v>175</v>
      </c>
      <c r="B13" t="s">
        <v>176</v>
      </c>
      <c r="C13" t="s">
        <v>120</v>
      </c>
      <c r="D13">
        <v>9.1</v>
      </c>
      <c r="E13">
        <v>28</v>
      </c>
      <c r="F13" t="s">
        <v>56</v>
      </c>
      <c r="G13">
        <v>4</v>
      </c>
      <c r="H13">
        <v>0.5</v>
      </c>
      <c r="I13" t="s">
        <v>162</v>
      </c>
      <c r="J13" t="s">
        <v>177</v>
      </c>
      <c r="K13" t="s">
        <v>124</v>
      </c>
      <c r="L13" t="s">
        <v>178</v>
      </c>
      <c r="M13" t="s">
        <v>159</v>
      </c>
      <c r="N13">
        <v>269</v>
      </c>
      <c r="O13" t="s">
        <v>126</v>
      </c>
      <c r="P13">
        <v>1</v>
      </c>
      <c r="Q13" t="s">
        <v>115</v>
      </c>
      <c r="R13" t="s">
        <v>116</v>
      </c>
      <c r="S13" t="s">
        <v>179</v>
      </c>
    </row>
    <row r="14" spans="1:19" x14ac:dyDescent="0.35">
      <c r="A14" t="s">
        <v>180</v>
      </c>
      <c r="B14" t="s">
        <v>161</v>
      </c>
      <c r="C14" t="s">
        <v>120</v>
      </c>
      <c r="D14">
        <v>1</v>
      </c>
      <c r="E14">
        <v>9</v>
      </c>
      <c r="F14" t="s">
        <v>60</v>
      </c>
      <c r="G14">
        <v>10</v>
      </c>
      <c r="H14">
        <v>0.3</v>
      </c>
      <c r="I14" t="s">
        <v>109</v>
      </c>
      <c r="J14" t="s">
        <v>181</v>
      </c>
      <c r="K14" t="s">
        <v>133</v>
      </c>
      <c r="L14" t="s">
        <v>182</v>
      </c>
      <c r="M14" t="s">
        <v>134</v>
      </c>
      <c r="N14">
        <v>62</v>
      </c>
      <c r="O14" t="s">
        <v>126</v>
      </c>
      <c r="P14">
        <v>3</v>
      </c>
      <c r="Q14" t="s">
        <v>115</v>
      </c>
      <c r="R14" t="s">
        <v>168</v>
      </c>
      <c r="S14" t="s">
        <v>179</v>
      </c>
    </row>
    <row r="15" spans="1:19" x14ac:dyDescent="0.35">
      <c r="A15" t="s">
        <v>183</v>
      </c>
      <c r="B15" t="s">
        <v>184</v>
      </c>
      <c r="C15" t="s">
        <v>166</v>
      </c>
      <c r="D15">
        <v>128.1</v>
      </c>
      <c r="E15">
        <v>34</v>
      </c>
      <c r="F15" t="s">
        <v>65</v>
      </c>
      <c r="G15">
        <v>13</v>
      </c>
      <c r="H15">
        <v>0.8</v>
      </c>
      <c r="I15" t="s">
        <v>185</v>
      </c>
      <c r="J15" t="s">
        <v>186</v>
      </c>
      <c r="K15" t="s">
        <v>124</v>
      </c>
      <c r="L15" t="s">
        <v>187</v>
      </c>
      <c r="M15" t="s">
        <v>113</v>
      </c>
      <c r="N15">
        <v>20</v>
      </c>
      <c r="O15" t="s">
        <v>126</v>
      </c>
      <c r="P15">
        <v>10</v>
      </c>
      <c r="Q15" t="s">
        <v>135</v>
      </c>
      <c r="R15" t="s">
        <v>116</v>
      </c>
      <c r="S15" t="s">
        <v>127</v>
      </c>
    </row>
    <row r="16" spans="1:19" x14ac:dyDescent="0.35">
      <c r="A16" t="s">
        <v>188</v>
      </c>
      <c r="B16" t="s">
        <v>189</v>
      </c>
      <c r="C16" t="s">
        <v>108</v>
      </c>
      <c r="D16">
        <v>39.9</v>
      </c>
      <c r="E16">
        <v>25</v>
      </c>
      <c r="F16" t="s">
        <v>56</v>
      </c>
      <c r="G16">
        <v>2</v>
      </c>
      <c r="H16">
        <v>0.7</v>
      </c>
      <c r="I16" t="s">
        <v>144</v>
      </c>
      <c r="J16" t="s">
        <v>145</v>
      </c>
      <c r="K16" t="s">
        <v>190</v>
      </c>
      <c r="L16" t="s">
        <v>182</v>
      </c>
      <c r="M16" t="s">
        <v>113</v>
      </c>
      <c r="N16">
        <v>22</v>
      </c>
      <c r="O16" t="s">
        <v>126</v>
      </c>
      <c r="P16">
        <v>8</v>
      </c>
      <c r="Q16" t="s">
        <v>135</v>
      </c>
      <c r="R16" t="s">
        <v>65</v>
      </c>
      <c r="S16" t="s">
        <v>179</v>
      </c>
    </row>
    <row r="17" spans="1:19" x14ac:dyDescent="0.35">
      <c r="A17" t="s">
        <v>191</v>
      </c>
      <c r="B17" t="s">
        <v>184</v>
      </c>
      <c r="C17" t="s">
        <v>120</v>
      </c>
      <c r="D17">
        <v>3.3</v>
      </c>
      <c r="E17">
        <v>12</v>
      </c>
      <c r="F17" t="s">
        <v>65</v>
      </c>
      <c r="G17">
        <v>7</v>
      </c>
      <c r="H17">
        <v>0.6</v>
      </c>
      <c r="I17" t="s">
        <v>144</v>
      </c>
      <c r="J17" t="s">
        <v>145</v>
      </c>
      <c r="K17" t="s">
        <v>124</v>
      </c>
      <c r="L17" t="s">
        <v>192</v>
      </c>
      <c r="M17" t="s">
        <v>113</v>
      </c>
      <c r="N17">
        <v>30</v>
      </c>
      <c r="O17" t="s">
        <v>126</v>
      </c>
      <c r="P17">
        <v>10</v>
      </c>
      <c r="Q17" t="s">
        <v>115</v>
      </c>
      <c r="R17" t="s">
        <v>116</v>
      </c>
      <c r="S17" t="s">
        <v>193</v>
      </c>
    </row>
    <row r="18" spans="1:19" x14ac:dyDescent="0.35">
      <c r="A18" t="s">
        <v>194</v>
      </c>
      <c r="B18" t="s">
        <v>155</v>
      </c>
      <c r="C18" t="s">
        <v>120</v>
      </c>
      <c r="D18">
        <v>7.3</v>
      </c>
      <c r="E18">
        <v>25</v>
      </c>
      <c r="F18" t="s">
        <v>58</v>
      </c>
      <c r="G18">
        <v>3</v>
      </c>
      <c r="H18">
        <v>0.9</v>
      </c>
      <c r="I18" t="s">
        <v>156</v>
      </c>
      <c r="J18" t="s">
        <v>167</v>
      </c>
      <c r="K18" t="s">
        <v>112</v>
      </c>
      <c r="L18" t="s">
        <v>195</v>
      </c>
      <c r="M18" t="s">
        <v>134</v>
      </c>
      <c r="N18">
        <v>81</v>
      </c>
      <c r="O18" t="s">
        <v>114</v>
      </c>
      <c r="P18">
        <v>4</v>
      </c>
      <c r="Q18" t="s">
        <v>115</v>
      </c>
      <c r="R18" t="s">
        <v>116</v>
      </c>
      <c r="S18" t="s">
        <v>193</v>
      </c>
    </row>
    <row r="19" spans="1:19" x14ac:dyDescent="0.35">
      <c r="A19" t="s">
        <v>196</v>
      </c>
      <c r="B19" t="s">
        <v>197</v>
      </c>
      <c r="C19" t="s">
        <v>120</v>
      </c>
      <c r="D19">
        <v>8.5</v>
      </c>
      <c r="E19">
        <v>12</v>
      </c>
      <c r="F19" t="s">
        <v>63</v>
      </c>
      <c r="G19">
        <v>5</v>
      </c>
      <c r="H19">
        <v>0.5</v>
      </c>
      <c r="I19" t="s">
        <v>162</v>
      </c>
      <c r="J19" t="s">
        <v>198</v>
      </c>
      <c r="K19" t="s">
        <v>199</v>
      </c>
      <c r="L19" t="s">
        <v>200</v>
      </c>
      <c r="M19" t="s">
        <v>113</v>
      </c>
      <c r="N19">
        <v>20</v>
      </c>
      <c r="O19" t="s">
        <v>201</v>
      </c>
      <c r="P19">
        <v>12</v>
      </c>
      <c r="Q19" t="s">
        <v>135</v>
      </c>
      <c r="R19" t="s">
        <v>116</v>
      </c>
      <c r="S19" t="s">
        <v>169</v>
      </c>
    </row>
    <row r="20" spans="1:19" x14ac:dyDescent="0.35">
      <c r="A20" t="s">
        <v>202</v>
      </c>
      <c r="B20" t="s">
        <v>197</v>
      </c>
      <c r="C20" t="s">
        <v>108</v>
      </c>
      <c r="D20">
        <v>20</v>
      </c>
      <c r="E20">
        <v>17</v>
      </c>
      <c r="F20" t="s">
        <v>58</v>
      </c>
      <c r="G20">
        <v>6</v>
      </c>
      <c r="H20">
        <v>0.3</v>
      </c>
      <c r="I20" t="s">
        <v>156</v>
      </c>
      <c r="J20" t="s">
        <v>203</v>
      </c>
      <c r="K20" t="s">
        <v>199</v>
      </c>
      <c r="L20" t="s">
        <v>200</v>
      </c>
      <c r="M20" t="s">
        <v>134</v>
      </c>
      <c r="N20">
        <v>60</v>
      </c>
      <c r="O20" t="s">
        <v>126</v>
      </c>
      <c r="P20">
        <v>6</v>
      </c>
      <c r="Q20" t="s">
        <v>115</v>
      </c>
      <c r="R20" t="s">
        <v>116</v>
      </c>
      <c r="S20" t="s">
        <v>117</v>
      </c>
    </row>
    <row r="21" spans="1:19" x14ac:dyDescent="0.35">
      <c r="A21" t="s">
        <v>204</v>
      </c>
      <c r="B21" t="s">
        <v>197</v>
      </c>
      <c r="C21" t="s">
        <v>120</v>
      </c>
      <c r="D21">
        <v>2.4</v>
      </c>
      <c r="E21">
        <v>8</v>
      </c>
      <c r="F21" t="s">
        <v>65</v>
      </c>
      <c r="G21">
        <v>5</v>
      </c>
      <c r="H21">
        <v>0.7</v>
      </c>
      <c r="I21" t="s">
        <v>205</v>
      </c>
      <c r="J21" t="s">
        <v>206</v>
      </c>
      <c r="K21" t="s">
        <v>200</v>
      </c>
      <c r="L21" t="s">
        <v>178</v>
      </c>
      <c r="M21" t="s">
        <v>159</v>
      </c>
      <c r="N21">
        <v>234</v>
      </c>
      <c r="O21" t="s">
        <v>126</v>
      </c>
      <c r="P21">
        <v>1</v>
      </c>
      <c r="Q21" t="s">
        <v>115</v>
      </c>
      <c r="R21" t="s">
        <v>168</v>
      </c>
      <c r="S21" t="s">
        <v>136</v>
      </c>
    </row>
    <row r="22" spans="1:19" x14ac:dyDescent="0.35">
      <c r="A22" t="s">
        <v>207</v>
      </c>
      <c r="B22" t="s">
        <v>189</v>
      </c>
      <c r="C22" t="s">
        <v>108</v>
      </c>
      <c r="D22">
        <v>20.399999999999999</v>
      </c>
      <c r="E22">
        <v>43</v>
      </c>
      <c r="F22" t="s">
        <v>60</v>
      </c>
      <c r="G22">
        <v>5</v>
      </c>
      <c r="H22">
        <v>1</v>
      </c>
      <c r="I22" t="s">
        <v>130</v>
      </c>
      <c r="J22" t="s">
        <v>208</v>
      </c>
      <c r="K22" t="s">
        <v>209</v>
      </c>
      <c r="L22" t="s">
        <v>182</v>
      </c>
      <c r="M22" t="s">
        <v>159</v>
      </c>
      <c r="N22">
        <v>309</v>
      </c>
      <c r="O22" t="s">
        <v>114</v>
      </c>
      <c r="P22">
        <v>1</v>
      </c>
      <c r="Q22" t="s">
        <v>115</v>
      </c>
      <c r="R22" t="s">
        <v>168</v>
      </c>
      <c r="S22" t="s">
        <v>142</v>
      </c>
    </row>
    <row r="23" spans="1:19" x14ac:dyDescent="0.35">
      <c r="A23" t="s">
        <v>210</v>
      </c>
      <c r="B23" t="s">
        <v>149</v>
      </c>
      <c r="C23" t="s">
        <v>108</v>
      </c>
      <c r="D23">
        <v>35</v>
      </c>
      <c r="E23">
        <v>35</v>
      </c>
      <c r="F23" t="s">
        <v>60</v>
      </c>
      <c r="G23">
        <v>13</v>
      </c>
      <c r="H23">
        <v>0.9</v>
      </c>
      <c r="I23" t="s">
        <v>130</v>
      </c>
      <c r="J23" t="s">
        <v>208</v>
      </c>
      <c r="K23" t="s">
        <v>211</v>
      </c>
      <c r="L23" t="s">
        <v>152</v>
      </c>
      <c r="M23" t="s">
        <v>113</v>
      </c>
      <c r="N23">
        <v>7</v>
      </c>
      <c r="O23" t="s">
        <v>126</v>
      </c>
      <c r="P23">
        <v>14</v>
      </c>
      <c r="Q23" t="s">
        <v>115</v>
      </c>
      <c r="R23" t="s">
        <v>153</v>
      </c>
      <c r="S23" t="s">
        <v>136</v>
      </c>
    </row>
    <row r="24" spans="1:19" x14ac:dyDescent="0.35">
      <c r="A24" t="s">
        <v>212</v>
      </c>
      <c r="B24" t="s">
        <v>149</v>
      </c>
      <c r="C24" t="s">
        <v>120</v>
      </c>
      <c r="D24">
        <v>2.1</v>
      </c>
      <c r="E24">
        <v>22</v>
      </c>
      <c r="F24" t="s">
        <v>58</v>
      </c>
      <c r="G24">
        <v>10</v>
      </c>
      <c r="H24">
        <v>0.6</v>
      </c>
      <c r="I24" t="s">
        <v>139</v>
      </c>
      <c r="J24" t="s">
        <v>140</v>
      </c>
      <c r="K24" t="s">
        <v>211</v>
      </c>
      <c r="L24" t="s">
        <v>123</v>
      </c>
      <c r="M24" t="s">
        <v>159</v>
      </c>
      <c r="N24">
        <v>341</v>
      </c>
      <c r="O24" t="s">
        <v>201</v>
      </c>
      <c r="P24">
        <v>1</v>
      </c>
      <c r="Q24" t="s">
        <v>115</v>
      </c>
      <c r="R24" t="s">
        <v>116</v>
      </c>
      <c r="S24" t="s">
        <v>193</v>
      </c>
    </row>
    <row r="25" spans="1:19" x14ac:dyDescent="0.35">
      <c r="A25" t="s">
        <v>213</v>
      </c>
      <c r="B25" t="s">
        <v>189</v>
      </c>
      <c r="C25" t="s">
        <v>120</v>
      </c>
      <c r="D25">
        <v>7.1</v>
      </c>
      <c r="E25">
        <v>23</v>
      </c>
      <c r="F25" t="s">
        <v>65</v>
      </c>
      <c r="G25">
        <v>5</v>
      </c>
      <c r="H25">
        <v>1.1000000000000001</v>
      </c>
      <c r="I25" t="s">
        <v>173</v>
      </c>
      <c r="J25" t="s">
        <v>174</v>
      </c>
      <c r="K25" t="s">
        <v>190</v>
      </c>
      <c r="L25" t="s">
        <v>209</v>
      </c>
      <c r="M25" t="s">
        <v>113</v>
      </c>
      <c r="N25">
        <v>23</v>
      </c>
      <c r="O25" t="s">
        <v>126</v>
      </c>
      <c r="P25">
        <v>8</v>
      </c>
      <c r="Q25" t="s">
        <v>214</v>
      </c>
      <c r="R25" t="s">
        <v>153</v>
      </c>
      <c r="S25" t="s">
        <v>142</v>
      </c>
    </row>
    <row r="26" spans="1:19" x14ac:dyDescent="0.35">
      <c r="A26" t="s">
        <v>215</v>
      </c>
      <c r="B26" t="s">
        <v>155</v>
      </c>
      <c r="C26" t="s">
        <v>120</v>
      </c>
      <c r="D26">
        <v>6.7</v>
      </c>
      <c r="E26">
        <v>16</v>
      </c>
      <c r="F26" t="s">
        <v>56</v>
      </c>
      <c r="G26">
        <v>6</v>
      </c>
      <c r="H26">
        <v>1.1000000000000001</v>
      </c>
      <c r="I26" t="s">
        <v>173</v>
      </c>
      <c r="J26" t="s">
        <v>216</v>
      </c>
      <c r="K26" t="s">
        <v>158</v>
      </c>
      <c r="L26" t="s">
        <v>112</v>
      </c>
      <c r="M26" t="s">
        <v>113</v>
      </c>
      <c r="N26">
        <v>14</v>
      </c>
      <c r="O26" t="s">
        <v>126</v>
      </c>
      <c r="P26">
        <v>9</v>
      </c>
      <c r="Q26" t="s">
        <v>115</v>
      </c>
      <c r="R26" t="s">
        <v>116</v>
      </c>
      <c r="S26" t="s">
        <v>193</v>
      </c>
    </row>
    <row r="27" spans="1:19" x14ac:dyDescent="0.35">
      <c r="A27" t="s">
        <v>217</v>
      </c>
      <c r="B27" t="s">
        <v>218</v>
      </c>
      <c r="C27" t="s">
        <v>120</v>
      </c>
      <c r="D27">
        <v>2.2999999999999998</v>
      </c>
      <c r="E27">
        <v>24</v>
      </c>
      <c r="F27" t="s">
        <v>63</v>
      </c>
      <c r="G27">
        <v>9</v>
      </c>
      <c r="H27">
        <v>1</v>
      </c>
      <c r="I27" t="s">
        <v>139</v>
      </c>
      <c r="J27" t="s">
        <v>140</v>
      </c>
      <c r="K27" t="s">
        <v>152</v>
      </c>
      <c r="L27" t="s">
        <v>141</v>
      </c>
      <c r="M27" t="s">
        <v>159</v>
      </c>
      <c r="N27">
        <v>271</v>
      </c>
      <c r="O27" t="s">
        <v>126</v>
      </c>
      <c r="P27">
        <v>2</v>
      </c>
      <c r="Q27" t="s">
        <v>115</v>
      </c>
      <c r="R27" t="s">
        <v>65</v>
      </c>
      <c r="S27" t="s">
        <v>169</v>
      </c>
    </row>
    <row r="28" spans="1:19" x14ac:dyDescent="0.35">
      <c r="A28" t="s">
        <v>219</v>
      </c>
      <c r="B28" t="s">
        <v>184</v>
      </c>
      <c r="C28" t="s">
        <v>108</v>
      </c>
      <c r="D28">
        <v>47.9</v>
      </c>
      <c r="E28">
        <v>38</v>
      </c>
      <c r="F28" t="s">
        <v>56</v>
      </c>
      <c r="G28">
        <v>13</v>
      </c>
      <c r="H28">
        <v>0.1</v>
      </c>
      <c r="I28" t="s">
        <v>139</v>
      </c>
      <c r="J28" t="s">
        <v>140</v>
      </c>
      <c r="K28" t="s">
        <v>192</v>
      </c>
      <c r="L28" t="s">
        <v>124</v>
      </c>
      <c r="M28" t="s">
        <v>113</v>
      </c>
      <c r="N28">
        <v>7</v>
      </c>
      <c r="O28" t="s">
        <v>126</v>
      </c>
      <c r="P28">
        <v>12</v>
      </c>
      <c r="Q28" t="s">
        <v>115</v>
      </c>
      <c r="R28" t="s">
        <v>116</v>
      </c>
      <c r="S28" t="s">
        <v>127</v>
      </c>
    </row>
    <row r="29" spans="1:19" x14ac:dyDescent="0.35">
      <c r="A29" t="s">
        <v>220</v>
      </c>
      <c r="B29" t="s">
        <v>161</v>
      </c>
      <c r="C29" t="s">
        <v>108</v>
      </c>
      <c r="D29">
        <v>37.200000000000003</v>
      </c>
      <c r="E29">
        <v>27</v>
      </c>
      <c r="F29" t="s">
        <v>65</v>
      </c>
      <c r="G29">
        <v>9</v>
      </c>
      <c r="H29">
        <v>1.3</v>
      </c>
      <c r="I29" t="s">
        <v>185</v>
      </c>
      <c r="J29" t="s">
        <v>186</v>
      </c>
      <c r="K29" t="s">
        <v>182</v>
      </c>
      <c r="L29" t="s">
        <v>164</v>
      </c>
      <c r="M29" t="s">
        <v>125</v>
      </c>
      <c r="N29">
        <v>223</v>
      </c>
      <c r="O29" t="s">
        <v>201</v>
      </c>
      <c r="P29">
        <v>0</v>
      </c>
      <c r="Q29" t="s">
        <v>115</v>
      </c>
      <c r="R29" t="s">
        <v>153</v>
      </c>
      <c r="S29" t="s">
        <v>179</v>
      </c>
    </row>
    <row r="30" spans="1:19" x14ac:dyDescent="0.35">
      <c r="A30" t="s">
        <v>221</v>
      </c>
      <c r="B30" t="s">
        <v>197</v>
      </c>
      <c r="C30" t="s">
        <v>120</v>
      </c>
      <c r="D30">
        <v>6</v>
      </c>
      <c r="E30">
        <v>29</v>
      </c>
      <c r="F30" t="s">
        <v>63</v>
      </c>
      <c r="G30">
        <v>2</v>
      </c>
      <c r="H30">
        <v>1.2</v>
      </c>
      <c r="I30" t="s">
        <v>144</v>
      </c>
      <c r="J30" t="s">
        <v>145</v>
      </c>
      <c r="K30" t="s">
        <v>200</v>
      </c>
      <c r="L30" t="s">
        <v>178</v>
      </c>
      <c r="M30" t="s">
        <v>159</v>
      </c>
      <c r="N30">
        <v>223</v>
      </c>
      <c r="O30" t="s">
        <v>126</v>
      </c>
      <c r="P30">
        <v>2</v>
      </c>
      <c r="Q30" t="s">
        <v>115</v>
      </c>
      <c r="R30" t="s">
        <v>116</v>
      </c>
      <c r="S30" t="s">
        <v>117</v>
      </c>
    </row>
    <row r="31" spans="1:19" x14ac:dyDescent="0.35">
      <c r="A31" t="s">
        <v>222</v>
      </c>
      <c r="B31" t="s">
        <v>155</v>
      </c>
      <c r="C31" t="s">
        <v>120</v>
      </c>
      <c r="D31">
        <v>4.2</v>
      </c>
      <c r="E31">
        <v>20</v>
      </c>
      <c r="F31" t="s">
        <v>56</v>
      </c>
      <c r="G31">
        <v>7</v>
      </c>
      <c r="H31">
        <v>1.4</v>
      </c>
      <c r="I31" t="s">
        <v>185</v>
      </c>
      <c r="J31" t="s">
        <v>223</v>
      </c>
      <c r="K31" t="s">
        <v>195</v>
      </c>
      <c r="L31" t="s">
        <v>112</v>
      </c>
      <c r="M31" t="s">
        <v>113</v>
      </c>
      <c r="N31">
        <v>24</v>
      </c>
      <c r="O31" t="s">
        <v>126</v>
      </c>
      <c r="P31">
        <v>12</v>
      </c>
      <c r="Q31" t="s">
        <v>115</v>
      </c>
      <c r="R31" t="s">
        <v>65</v>
      </c>
      <c r="S31" t="s">
        <v>117</v>
      </c>
    </row>
    <row r="32" spans="1:19" x14ac:dyDescent="0.35">
      <c r="A32" t="s">
        <v>224</v>
      </c>
      <c r="B32" t="s">
        <v>149</v>
      </c>
      <c r="C32" t="s">
        <v>108</v>
      </c>
      <c r="D32">
        <v>34.5</v>
      </c>
      <c r="E32">
        <v>43</v>
      </c>
      <c r="F32" t="s">
        <v>60</v>
      </c>
      <c r="G32">
        <v>6</v>
      </c>
      <c r="H32">
        <v>0.8</v>
      </c>
      <c r="I32" t="s">
        <v>185</v>
      </c>
      <c r="J32" t="s">
        <v>225</v>
      </c>
      <c r="K32" t="s">
        <v>123</v>
      </c>
      <c r="L32" t="s">
        <v>152</v>
      </c>
      <c r="M32" t="s">
        <v>125</v>
      </c>
      <c r="N32">
        <v>356</v>
      </c>
      <c r="O32" t="s">
        <v>126</v>
      </c>
      <c r="P32">
        <v>2</v>
      </c>
      <c r="Q32" t="s">
        <v>115</v>
      </c>
      <c r="R32" t="s">
        <v>65</v>
      </c>
      <c r="S32" t="s">
        <v>147</v>
      </c>
    </row>
    <row r="33" spans="1:19" x14ac:dyDescent="0.35">
      <c r="A33" t="s">
        <v>226</v>
      </c>
      <c r="B33" t="s">
        <v>176</v>
      </c>
      <c r="C33" t="s">
        <v>120</v>
      </c>
      <c r="D33">
        <v>4.7</v>
      </c>
      <c r="E33">
        <v>12</v>
      </c>
      <c r="F33" t="s">
        <v>65</v>
      </c>
      <c r="G33">
        <v>6</v>
      </c>
      <c r="H33">
        <v>0.7</v>
      </c>
      <c r="I33" t="s">
        <v>205</v>
      </c>
      <c r="J33" t="s">
        <v>206</v>
      </c>
      <c r="K33" t="s">
        <v>124</v>
      </c>
      <c r="L33" t="s">
        <v>178</v>
      </c>
      <c r="M33" t="s">
        <v>159</v>
      </c>
      <c r="N33">
        <v>172</v>
      </c>
      <c r="O33" t="s">
        <v>114</v>
      </c>
      <c r="P33">
        <v>1</v>
      </c>
      <c r="Q33" t="s">
        <v>135</v>
      </c>
      <c r="R33" t="s">
        <v>116</v>
      </c>
      <c r="S33" t="s">
        <v>117</v>
      </c>
    </row>
    <row r="34" spans="1:19" x14ac:dyDescent="0.35">
      <c r="A34" t="s">
        <v>227</v>
      </c>
      <c r="B34" t="s">
        <v>176</v>
      </c>
      <c r="C34" t="s">
        <v>166</v>
      </c>
      <c r="D34">
        <v>144.9</v>
      </c>
      <c r="E34">
        <v>40</v>
      </c>
      <c r="F34" t="s">
        <v>58</v>
      </c>
      <c r="G34">
        <v>9</v>
      </c>
      <c r="H34">
        <v>0.8</v>
      </c>
      <c r="I34" t="s">
        <v>156</v>
      </c>
      <c r="J34" t="s">
        <v>157</v>
      </c>
      <c r="K34" t="s">
        <v>228</v>
      </c>
      <c r="L34" t="s">
        <v>124</v>
      </c>
      <c r="M34" t="s">
        <v>159</v>
      </c>
      <c r="N34">
        <v>199</v>
      </c>
      <c r="O34" t="s">
        <v>114</v>
      </c>
      <c r="P34">
        <v>2</v>
      </c>
      <c r="Q34" t="s">
        <v>214</v>
      </c>
      <c r="R34" t="s">
        <v>116</v>
      </c>
      <c r="S34" t="s">
        <v>147</v>
      </c>
    </row>
    <row r="35" spans="1:19" x14ac:dyDescent="0.35">
      <c r="A35" t="s">
        <v>229</v>
      </c>
      <c r="B35" t="s">
        <v>107</v>
      </c>
      <c r="C35" t="s">
        <v>108</v>
      </c>
      <c r="D35">
        <v>34.799999999999997</v>
      </c>
      <c r="E35">
        <v>21</v>
      </c>
      <c r="F35" t="s">
        <v>58</v>
      </c>
      <c r="G35">
        <v>3</v>
      </c>
      <c r="H35">
        <v>0.7</v>
      </c>
      <c r="I35" t="s">
        <v>156</v>
      </c>
      <c r="J35" t="s">
        <v>157</v>
      </c>
      <c r="K35" t="s">
        <v>111</v>
      </c>
      <c r="L35" t="s">
        <v>112</v>
      </c>
      <c r="M35" t="s">
        <v>134</v>
      </c>
      <c r="N35">
        <v>89</v>
      </c>
      <c r="O35" t="s">
        <v>126</v>
      </c>
      <c r="P35">
        <v>5</v>
      </c>
      <c r="Q35" t="s">
        <v>214</v>
      </c>
      <c r="R35" t="s">
        <v>116</v>
      </c>
      <c r="S35" t="s">
        <v>179</v>
      </c>
    </row>
    <row r="36" spans="1:19" x14ac:dyDescent="0.35">
      <c r="A36" t="s">
        <v>230</v>
      </c>
      <c r="B36" t="s">
        <v>197</v>
      </c>
      <c r="C36" t="s">
        <v>120</v>
      </c>
      <c r="D36">
        <v>5.7</v>
      </c>
      <c r="E36">
        <v>22</v>
      </c>
      <c r="F36" t="s">
        <v>65</v>
      </c>
      <c r="G36">
        <v>11</v>
      </c>
      <c r="H36">
        <v>0.8</v>
      </c>
      <c r="I36" t="s">
        <v>130</v>
      </c>
      <c r="J36" t="s">
        <v>208</v>
      </c>
      <c r="K36" t="s">
        <v>199</v>
      </c>
      <c r="L36" t="s">
        <v>200</v>
      </c>
      <c r="M36" t="s">
        <v>113</v>
      </c>
      <c r="N36">
        <v>15</v>
      </c>
      <c r="O36" t="s">
        <v>126</v>
      </c>
      <c r="P36">
        <v>15</v>
      </c>
      <c r="Q36" t="s">
        <v>115</v>
      </c>
      <c r="R36" t="s">
        <v>168</v>
      </c>
      <c r="S36" t="s">
        <v>169</v>
      </c>
    </row>
    <row r="37" spans="1:19" x14ac:dyDescent="0.35">
      <c r="A37" t="s">
        <v>231</v>
      </c>
      <c r="B37" t="s">
        <v>184</v>
      </c>
      <c r="C37" t="s">
        <v>120</v>
      </c>
      <c r="D37">
        <v>2.6</v>
      </c>
      <c r="E37">
        <v>22</v>
      </c>
      <c r="F37" t="s">
        <v>56</v>
      </c>
      <c r="G37">
        <v>3</v>
      </c>
      <c r="H37">
        <v>0.6</v>
      </c>
      <c r="I37" t="s">
        <v>139</v>
      </c>
      <c r="J37" t="s">
        <v>140</v>
      </c>
      <c r="K37" t="s">
        <v>192</v>
      </c>
      <c r="L37" t="s">
        <v>124</v>
      </c>
      <c r="M37" t="s">
        <v>113</v>
      </c>
      <c r="N37">
        <v>9</v>
      </c>
      <c r="O37" t="s">
        <v>126</v>
      </c>
      <c r="P37">
        <v>9</v>
      </c>
      <c r="Q37" t="s">
        <v>115</v>
      </c>
      <c r="R37" t="s">
        <v>116</v>
      </c>
      <c r="S37" t="s">
        <v>142</v>
      </c>
    </row>
    <row r="38" spans="1:19" x14ac:dyDescent="0.35">
      <c r="A38" t="s">
        <v>232</v>
      </c>
      <c r="B38" t="s">
        <v>197</v>
      </c>
      <c r="C38" t="s">
        <v>120</v>
      </c>
      <c r="D38">
        <v>4.3</v>
      </c>
      <c r="E38">
        <v>18</v>
      </c>
      <c r="F38" t="s">
        <v>65</v>
      </c>
      <c r="G38">
        <v>10</v>
      </c>
      <c r="H38">
        <v>0.8</v>
      </c>
      <c r="I38" t="s">
        <v>150</v>
      </c>
      <c r="J38" t="s">
        <v>151</v>
      </c>
      <c r="K38" t="s">
        <v>199</v>
      </c>
      <c r="L38" t="s">
        <v>200</v>
      </c>
      <c r="M38" t="s">
        <v>113</v>
      </c>
      <c r="N38">
        <v>21</v>
      </c>
      <c r="O38" t="s">
        <v>114</v>
      </c>
      <c r="P38">
        <v>9</v>
      </c>
      <c r="Q38" t="s">
        <v>115</v>
      </c>
      <c r="R38" t="s">
        <v>168</v>
      </c>
      <c r="S38" t="s">
        <v>127</v>
      </c>
    </row>
    <row r="39" spans="1:19" x14ac:dyDescent="0.35">
      <c r="A39" t="s">
        <v>233</v>
      </c>
      <c r="B39" t="s">
        <v>138</v>
      </c>
      <c r="C39" t="s">
        <v>120</v>
      </c>
      <c r="D39">
        <v>6.6</v>
      </c>
      <c r="E39">
        <v>14</v>
      </c>
      <c r="F39" t="s">
        <v>63</v>
      </c>
      <c r="G39">
        <v>9</v>
      </c>
      <c r="H39">
        <v>1.5</v>
      </c>
      <c r="I39" t="s">
        <v>162</v>
      </c>
      <c r="J39" t="s">
        <v>198</v>
      </c>
      <c r="K39" t="s">
        <v>111</v>
      </c>
      <c r="L39" t="s">
        <v>146</v>
      </c>
      <c r="M39" t="s">
        <v>134</v>
      </c>
      <c r="N39">
        <v>82</v>
      </c>
      <c r="O39" t="s">
        <v>114</v>
      </c>
      <c r="P39">
        <v>4</v>
      </c>
      <c r="Q39" t="s">
        <v>115</v>
      </c>
      <c r="R39" t="s">
        <v>153</v>
      </c>
      <c r="S39" t="s">
        <v>179</v>
      </c>
    </row>
    <row r="40" spans="1:19" x14ac:dyDescent="0.35">
      <c r="A40" t="s">
        <v>234</v>
      </c>
      <c r="B40" t="s">
        <v>161</v>
      </c>
      <c r="C40" t="s">
        <v>108</v>
      </c>
      <c r="D40">
        <v>17.3</v>
      </c>
      <c r="E40">
        <v>40</v>
      </c>
      <c r="F40" t="s">
        <v>63</v>
      </c>
      <c r="G40">
        <v>13</v>
      </c>
      <c r="H40">
        <v>0.6</v>
      </c>
      <c r="I40" t="s">
        <v>173</v>
      </c>
      <c r="J40" t="s">
        <v>174</v>
      </c>
      <c r="K40" t="s">
        <v>164</v>
      </c>
      <c r="L40" t="s">
        <v>182</v>
      </c>
      <c r="M40" t="s">
        <v>113</v>
      </c>
      <c r="N40">
        <v>13</v>
      </c>
      <c r="O40" t="s">
        <v>126</v>
      </c>
      <c r="P40">
        <v>12</v>
      </c>
      <c r="Q40" t="s">
        <v>115</v>
      </c>
      <c r="R40" t="s">
        <v>153</v>
      </c>
      <c r="S40" t="s">
        <v>193</v>
      </c>
    </row>
    <row r="41" spans="1:19" x14ac:dyDescent="0.35">
      <c r="A41" t="s">
        <v>235</v>
      </c>
      <c r="B41" t="s">
        <v>149</v>
      </c>
      <c r="C41" t="s">
        <v>120</v>
      </c>
      <c r="D41">
        <v>4</v>
      </c>
      <c r="E41">
        <v>27</v>
      </c>
      <c r="F41" t="s">
        <v>56</v>
      </c>
      <c r="G41">
        <v>7</v>
      </c>
      <c r="H41">
        <v>0.4</v>
      </c>
      <c r="I41" t="s">
        <v>205</v>
      </c>
      <c r="J41" t="s">
        <v>236</v>
      </c>
      <c r="K41" t="s">
        <v>211</v>
      </c>
      <c r="L41" t="s">
        <v>152</v>
      </c>
      <c r="M41" t="s">
        <v>113</v>
      </c>
      <c r="N41">
        <v>26</v>
      </c>
      <c r="O41" t="s">
        <v>126</v>
      </c>
      <c r="P41">
        <v>12</v>
      </c>
      <c r="Q41" t="s">
        <v>115</v>
      </c>
      <c r="R41" t="s">
        <v>116</v>
      </c>
      <c r="S41" t="s">
        <v>147</v>
      </c>
    </row>
    <row r="42" spans="1:19" x14ac:dyDescent="0.35">
      <c r="A42" t="s">
        <v>237</v>
      </c>
      <c r="B42" t="s">
        <v>138</v>
      </c>
      <c r="C42" t="s">
        <v>108</v>
      </c>
      <c r="D42">
        <v>13.2</v>
      </c>
      <c r="E42">
        <v>27</v>
      </c>
      <c r="F42" t="s">
        <v>63</v>
      </c>
      <c r="G42">
        <v>3</v>
      </c>
      <c r="H42">
        <v>1.1000000000000001</v>
      </c>
      <c r="I42" t="s">
        <v>156</v>
      </c>
      <c r="J42" t="s">
        <v>157</v>
      </c>
      <c r="K42" t="s">
        <v>141</v>
      </c>
      <c r="L42" t="s">
        <v>146</v>
      </c>
      <c r="M42" t="s">
        <v>113</v>
      </c>
      <c r="N42">
        <v>28</v>
      </c>
      <c r="O42" t="s">
        <v>126</v>
      </c>
      <c r="P42">
        <v>13</v>
      </c>
      <c r="Q42" t="s">
        <v>214</v>
      </c>
      <c r="R42" t="s">
        <v>168</v>
      </c>
      <c r="S42" t="s">
        <v>169</v>
      </c>
    </row>
    <row r="43" spans="1:19" x14ac:dyDescent="0.35">
      <c r="A43" t="s">
        <v>238</v>
      </c>
      <c r="B43" t="s">
        <v>197</v>
      </c>
      <c r="C43" t="s">
        <v>120</v>
      </c>
      <c r="D43">
        <v>9.6999999999999993</v>
      </c>
      <c r="E43">
        <v>23</v>
      </c>
      <c r="F43" t="s">
        <v>58</v>
      </c>
      <c r="G43">
        <v>2</v>
      </c>
      <c r="H43">
        <v>0.9</v>
      </c>
      <c r="I43" t="s">
        <v>139</v>
      </c>
      <c r="J43" t="s">
        <v>239</v>
      </c>
      <c r="K43" t="s">
        <v>200</v>
      </c>
      <c r="L43" t="s">
        <v>178</v>
      </c>
      <c r="M43" t="s">
        <v>113</v>
      </c>
      <c r="N43">
        <v>9</v>
      </c>
      <c r="O43" t="s">
        <v>126</v>
      </c>
      <c r="P43">
        <v>13</v>
      </c>
      <c r="Q43" t="s">
        <v>115</v>
      </c>
      <c r="R43" t="s">
        <v>168</v>
      </c>
      <c r="S43" t="s">
        <v>142</v>
      </c>
    </row>
    <row r="44" spans="1:19" x14ac:dyDescent="0.35">
      <c r="A44" t="s">
        <v>240</v>
      </c>
      <c r="B44" t="s">
        <v>138</v>
      </c>
      <c r="C44" t="s">
        <v>120</v>
      </c>
      <c r="D44">
        <v>1.6</v>
      </c>
      <c r="E44">
        <v>30</v>
      </c>
      <c r="F44" t="s">
        <v>65</v>
      </c>
      <c r="G44">
        <v>6</v>
      </c>
      <c r="H44">
        <v>1.5</v>
      </c>
      <c r="I44" t="s">
        <v>162</v>
      </c>
      <c r="J44" t="s">
        <v>163</v>
      </c>
      <c r="K44" t="s">
        <v>141</v>
      </c>
      <c r="L44" t="s">
        <v>111</v>
      </c>
      <c r="M44" t="s">
        <v>113</v>
      </c>
      <c r="N44">
        <v>9</v>
      </c>
      <c r="O44" t="s">
        <v>114</v>
      </c>
      <c r="P44">
        <v>13</v>
      </c>
      <c r="Q44" t="s">
        <v>115</v>
      </c>
      <c r="R44" t="s">
        <v>65</v>
      </c>
      <c r="S44" t="s">
        <v>147</v>
      </c>
    </row>
    <row r="45" spans="1:19" x14ac:dyDescent="0.35">
      <c r="A45" t="s">
        <v>241</v>
      </c>
      <c r="B45" t="s">
        <v>197</v>
      </c>
      <c r="C45" t="s">
        <v>120</v>
      </c>
      <c r="D45">
        <v>9.3000000000000007</v>
      </c>
      <c r="E45">
        <v>23</v>
      </c>
      <c r="F45" t="s">
        <v>56</v>
      </c>
      <c r="G45">
        <v>10</v>
      </c>
      <c r="H45">
        <v>0.6</v>
      </c>
      <c r="I45" t="s">
        <v>205</v>
      </c>
      <c r="J45" t="s">
        <v>206</v>
      </c>
      <c r="K45" t="s">
        <v>199</v>
      </c>
      <c r="L45" t="s">
        <v>178</v>
      </c>
      <c r="M45" t="s">
        <v>159</v>
      </c>
      <c r="N45">
        <v>184</v>
      </c>
      <c r="O45" t="s">
        <v>126</v>
      </c>
      <c r="P45">
        <v>1</v>
      </c>
      <c r="Q45" t="s">
        <v>115</v>
      </c>
      <c r="R45" t="s">
        <v>168</v>
      </c>
      <c r="S45" t="s">
        <v>179</v>
      </c>
    </row>
    <row r="46" spans="1:19" x14ac:dyDescent="0.35">
      <c r="A46" t="s">
        <v>242</v>
      </c>
      <c r="B46" t="s">
        <v>119</v>
      </c>
      <c r="C46" t="s">
        <v>120</v>
      </c>
      <c r="D46">
        <v>8.3000000000000007</v>
      </c>
      <c r="E46">
        <v>16</v>
      </c>
      <c r="F46" t="s">
        <v>63</v>
      </c>
      <c r="G46">
        <v>2</v>
      </c>
      <c r="H46">
        <v>0.8</v>
      </c>
      <c r="I46" t="s">
        <v>173</v>
      </c>
      <c r="J46" t="s">
        <v>216</v>
      </c>
      <c r="K46" t="s">
        <v>123</v>
      </c>
      <c r="L46" t="s">
        <v>141</v>
      </c>
      <c r="M46" t="s">
        <v>159</v>
      </c>
      <c r="N46">
        <v>343</v>
      </c>
      <c r="O46" t="s">
        <v>126</v>
      </c>
      <c r="P46">
        <v>2</v>
      </c>
      <c r="Q46" t="s">
        <v>115</v>
      </c>
      <c r="R46" t="s">
        <v>168</v>
      </c>
      <c r="S46" t="s">
        <v>179</v>
      </c>
    </row>
    <row r="47" spans="1:19" x14ac:dyDescent="0.35">
      <c r="A47" t="s">
        <v>243</v>
      </c>
      <c r="B47" t="s">
        <v>107</v>
      </c>
      <c r="C47" t="s">
        <v>108</v>
      </c>
      <c r="D47">
        <v>37.700000000000003</v>
      </c>
      <c r="E47">
        <v>41</v>
      </c>
      <c r="F47" t="s">
        <v>63</v>
      </c>
      <c r="G47">
        <v>8</v>
      </c>
      <c r="H47">
        <v>1.4</v>
      </c>
      <c r="I47" t="s">
        <v>150</v>
      </c>
      <c r="J47" t="s">
        <v>244</v>
      </c>
      <c r="K47" t="s">
        <v>171</v>
      </c>
      <c r="L47" t="s">
        <v>111</v>
      </c>
      <c r="M47" t="s">
        <v>125</v>
      </c>
      <c r="N47">
        <v>276</v>
      </c>
      <c r="O47" t="s">
        <v>126</v>
      </c>
      <c r="P47">
        <v>0</v>
      </c>
      <c r="Q47" t="s">
        <v>135</v>
      </c>
      <c r="R47" t="s">
        <v>116</v>
      </c>
      <c r="S47" t="s">
        <v>179</v>
      </c>
    </row>
    <row r="48" spans="1:19" x14ac:dyDescent="0.35">
      <c r="A48" t="s">
        <v>245</v>
      </c>
      <c r="B48" t="s">
        <v>189</v>
      </c>
      <c r="C48" t="s">
        <v>108</v>
      </c>
      <c r="D48">
        <v>23.7</v>
      </c>
      <c r="E48">
        <v>18</v>
      </c>
      <c r="F48" t="s">
        <v>58</v>
      </c>
      <c r="G48">
        <v>9</v>
      </c>
      <c r="H48">
        <v>1.5</v>
      </c>
      <c r="I48" t="s">
        <v>246</v>
      </c>
      <c r="J48" t="s">
        <v>247</v>
      </c>
      <c r="K48" t="s">
        <v>190</v>
      </c>
      <c r="L48" t="s">
        <v>209</v>
      </c>
      <c r="M48" t="s">
        <v>134</v>
      </c>
      <c r="N48">
        <v>90</v>
      </c>
      <c r="O48" t="s">
        <v>126</v>
      </c>
      <c r="P48">
        <v>5</v>
      </c>
      <c r="Q48" t="s">
        <v>115</v>
      </c>
      <c r="R48" t="s">
        <v>116</v>
      </c>
      <c r="S48" t="s">
        <v>117</v>
      </c>
    </row>
    <row r="49" spans="1:19" x14ac:dyDescent="0.35">
      <c r="A49" t="s">
        <v>248</v>
      </c>
      <c r="B49" t="s">
        <v>119</v>
      </c>
      <c r="C49" t="s">
        <v>120</v>
      </c>
      <c r="D49">
        <v>3</v>
      </c>
      <c r="E49">
        <v>16</v>
      </c>
      <c r="F49" t="s">
        <v>66</v>
      </c>
      <c r="G49">
        <v>9</v>
      </c>
      <c r="H49">
        <v>0.9</v>
      </c>
      <c r="I49" t="s">
        <v>130</v>
      </c>
      <c r="J49" t="s">
        <v>208</v>
      </c>
      <c r="K49" t="s">
        <v>123</v>
      </c>
      <c r="L49" t="s">
        <v>124</v>
      </c>
      <c r="M49" t="s">
        <v>113</v>
      </c>
      <c r="N49">
        <v>12</v>
      </c>
      <c r="O49" t="s">
        <v>126</v>
      </c>
      <c r="P49">
        <v>11</v>
      </c>
      <c r="Q49" t="s">
        <v>115</v>
      </c>
      <c r="R49" t="s">
        <v>65</v>
      </c>
      <c r="S49" t="s">
        <v>117</v>
      </c>
    </row>
    <row r="50" spans="1:19" x14ac:dyDescent="0.35">
      <c r="A50" t="s">
        <v>249</v>
      </c>
      <c r="B50" t="s">
        <v>119</v>
      </c>
      <c r="C50" t="s">
        <v>108</v>
      </c>
      <c r="D50">
        <v>25</v>
      </c>
      <c r="E50">
        <v>17</v>
      </c>
      <c r="F50" t="s">
        <v>65</v>
      </c>
      <c r="G50">
        <v>7</v>
      </c>
      <c r="H50">
        <v>0.6</v>
      </c>
      <c r="I50" t="s">
        <v>246</v>
      </c>
      <c r="J50" t="s">
        <v>250</v>
      </c>
      <c r="K50" t="s">
        <v>124</v>
      </c>
      <c r="L50" t="s">
        <v>123</v>
      </c>
      <c r="M50" t="s">
        <v>159</v>
      </c>
      <c r="N50">
        <v>150</v>
      </c>
      <c r="O50" t="s">
        <v>126</v>
      </c>
      <c r="P50">
        <v>1</v>
      </c>
      <c r="Q50" t="s">
        <v>115</v>
      </c>
      <c r="R50" t="s">
        <v>168</v>
      </c>
      <c r="S50" t="s">
        <v>193</v>
      </c>
    </row>
    <row r="51" spans="1:19" x14ac:dyDescent="0.35">
      <c r="A51" t="s">
        <v>251</v>
      </c>
      <c r="B51" t="s">
        <v>161</v>
      </c>
      <c r="C51" t="s">
        <v>120</v>
      </c>
      <c r="D51">
        <v>8.1</v>
      </c>
      <c r="E51">
        <v>20</v>
      </c>
      <c r="F51" t="s">
        <v>66</v>
      </c>
      <c r="G51">
        <v>12</v>
      </c>
      <c r="H51">
        <v>0.6</v>
      </c>
      <c r="I51" t="s">
        <v>156</v>
      </c>
      <c r="J51" t="s">
        <v>157</v>
      </c>
      <c r="K51" t="s">
        <v>133</v>
      </c>
      <c r="L51" t="s">
        <v>182</v>
      </c>
      <c r="M51" t="s">
        <v>134</v>
      </c>
      <c r="N51">
        <v>86</v>
      </c>
      <c r="O51" t="s">
        <v>201</v>
      </c>
      <c r="P51">
        <v>4</v>
      </c>
      <c r="Q51" t="s">
        <v>115</v>
      </c>
      <c r="R51" t="s">
        <v>116</v>
      </c>
      <c r="S51" t="s">
        <v>147</v>
      </c>
    </row>
    <row r="52" spans="1:19" x14ac:dyDescent="0.35">
      <c r="A52" t="s">
        <v>252</v>
      </c>
      <c r="B52" t="s">
        <v>138</v>
      </c>
      <c r="C52" t="s">
        <v>120</v>
      </c>
      <c r="D52">
        <v>2.5</v>
      </c>
      <c r="E52">
        <v>6</v>
      </c>
      <c r="F52" t="s">
        <v>56</v>
      </c>
      <c r="G52">
        <v>7</v>
      </c>
      <c r="H52">
        <v>0.6</v>
      </c>
      <c r="I52" t="s">
        <v>185</v>
      </c>
      <c r="J52" t="s">
        <v>223</v>
      </c>
      <c r="K52" t="s">
        <v>141</v>
      </c>
      <c r="L52" t="s">
        <v>111</v>
      </c>
      <c r="M52" t="s">
        <v>125</v>
      </c>
      <c r="N52">
        <v>356</v>
      </c>
      <c r="O52" t="s">
        <v>114</v>
      </c>
      <c r="P52">
        <v>1</v>
      </c>
      <c r="Q52" t="s">
        <v>115</v>
      </c>
      <c r="R52" t="s">
        <v>116</v>
      </c>
      <c r="S52" t="s">
        <v>193</v>
      </c>
    </row>
    <row r="53" spans="1:19" x14ac:dyDescent="0.35">
      <c r="A53" t="s">
        <v>253</v>
      </c>
      <c r="B53" t="s">
        <v>107</v>
      </c>
      <c r="C53" t="s">
        <v>120</v>
      </c>
      <c r="D53">
        <v>8.1999999999999993</v>
      </c>
      <c r="E53">
        <v>14</v>
      </c>
      <c r="F53" t="s">
        <v>60</v>
      </c>
      <c r="G53">
        <v>9</v>
      </c>
      <c r="H53">
        <v>0.6</v>
      </c>
      <c r="I53" t="s">
        <v>162</v>
      </c>
      <c r="J53" t="s">
        <v>163</v>
      </c>
      <c r="K53" t="s">
        <v>111</v>
      </c>
      <c r="L53" t="s">
        <v>171</v>
      </c>
      <c r="M53" t="s">
        <v>113</v>
      </c>
      <c r="N53">
        <v>23</v>
      </c>
      <c r="O53" t="s">
        <v>126</v>
      </c>
      <c r="P53">
        <v>14</v>
      </c>
      <c r="Q53" t="s">
        <v>115</v>
      </c>
      <c r="R53" t="s">
        <v>168</v>
      </c>
      <c r="S53" t="s">
        <v>179</v>
      </c>
    </row>
    <row r="54" spans="1:19" x14ac:dyDescent="0.35">
      <c r="A54" t="s">
        <v>254</v>
      </c>
      <c r="B54" t="s">
        <v>155</v>
      </c>
      <c r="C54" t="s">
        <v>120</v>
      </c>
      <c r="D54">
        <v>8.8000000000000007</v>
      </c>
      <c r="E54">
        <v>29</v>
      </c>
      <c r="F54" t="s">
        <v>63</v>
      </c>
      <c r="G54">
        <v>3</v>
      </c>
      <c r="H54">
        <v>0.7</v>
      </c>
      <c r="I54" t="s">
        <v>121</v>
      </c>
      <c r="J54" t="s">
        <v>255</v>
      </c>
      <c r="K54" t="s">
        <v>158</v>
      </c>
      <c r="L54" t="s">
        <v>195</v>
      </c>
      <c r="M54" t="s">
        <v>134</v>
      </c>
      <c r="N54">
        <v>88</v>
      </c>
      <c r="O54" t="s">
        <v>126</v>
      </c>
      <c r="P54">
        <v>6</v>
      </c>
      <c r="Q54" t="s">
        <v>115</v>
      </c>
      <c r="R54" t="s">
        <v>116</v>
      </c>
      <c r="S54" t="s">
        <v>147</v>
      </c>
    </row>
    <row r="55" spans="1:19" x14ac:dyDescent="0.35">
      <c r="A55" t="s">
        <v>256</v>
      </c>
      <c r="B55" t="s">
        <v>138</v>
      </c>
      <c r="C55" t="s">
        <v>120</v>
      </c>
      <c r="D55">
        <v>8.1999999999999993</v>
      </c>
      <c r="E55">
        <v>9</v>
      </c>
      <c r="F55" t="s">
        <v>66</v>
      </c>
      <c r="G55">
        <v>4</v>
      </c>
      <c r="H55">
        <v>0.8</v>
      </c>
      <c r="I55" t="s">
        <v>109</v>
      </c>
      <c r="J55" t="s">
        <v>181</v>
      </c>
      <c r="K55" t="s">
        <v>141</v>
      </c>
      <c r="L55" t="s">
        <v>146</v>
      </c>
      <c r="M55" t="s">
        <v>134</v>
      </c>
      <c r="N55">
        <v>75</v>
      </c>
      <c r="O55" t="s">
        <v>201</v>
      </c>
      <c r="P55">
        <v>6</v>
      </c>
      <c r="Q55" t="s">
        <v>115</v>
      </c>
      <c r="R55" t="s">
        <v>116</v>
      </c>
      <c r="S55" t="s">
        <v>193</v>
      </c>
    </row>
    <row r="56" spans="1:19" x14ac:dyDescent="0.35">
      <c r="A56" t="s">
        <v>257</v>
      </c>
      <c r="B56" t="s">
        <v>119</v>
      </c>
      <c r="C56" t="s">
        <v>120</v>
      </c>
      <c r="D56">
        <v>2.9</v>
      </c>
      <c r="E56">
        <v>6</v>
      </c>
      <c r="F56" t="s">
        <v>58</v>
      </c>
      <c r="G56">
        <v>3</v>
      </c>
      <c r="H56">
        <v>0.4</v>
      </c>
      <c r="I56" t="s">
        <v>130</v>
      </c>
      <c r="J56" t="s">
        <v>258</v>
      </c>
      <c r="K56" t="s">
        <v>123</v>
      </c>
      <c r="L56" t="s">
        <v>124</v>
      </c>
      <c r="M56" t="s">
        <v>134</v>
      </c>
      <c r="N56">
        <v>71</v>
      </c>
      <c r="O56" t="s">
        <v>126</v>
      </c>
      <c r="P56">
        <v>6</v>
      </c>
      <c r="Q56" t="s">
        <v>115</v>
      </c>
      <c r="R56" t="s">
        <v>168</v>
      </c>
      <c r="S56" t="s">
        <v>136</v>
      </c>
    </row>
    <row r="57" spans="1:19" x14ac:dyDescent="0.35">
      <c r="A57" t="s">
        <v>259</v>
      </c>
      <c r="B57" t="s">
        <v>149</v>
      </c>
      <c r="C57" t="s">
        <v>166</v>
      </c>
      <c r="D57">
        <v>166.9</v>
      </c>
      <c r="E57">
        <v>37</v>
      </c>
      <c r="F57" t="s">
        <v>63</v>
      </c>
      <c r="G57">
        <v>8</v>
      </c>
      <c r="H57">
        <v>0.5</v>
      </c>
      <c r="I57" t="s">
        <v>185</v>
      </c>
      <c r="J57" t="s">
        <v>225</v>
      </c>
      <c r="K57" t="s">
        <v>152</v>
      </c>
      <c r="L57" t="s">
        <v>211</v>
      </c>
      <c r="M57" t="s">
        <v>113</v>
      </c>
      <c r="N57">
        <v>18</v>
      </c>
      <c r="O57" t="s">
        <v>126</v>
      </c>
      <c r="P57">
        <v>8</v>
      </c>
      <c r="Q57" t="s">
        <v>115</v>
      </c>
      <c r="R57" t="s">
        <v>116</v>
      </c>
      <c r="S57" t="s">
        <v>179</v>
      </c>
    </row>
    <row r="58" spans="1:19" x14ac:dyDescent="0.35">
      <c r="A58" t="s">
        <v>260</v>
      </c>
      <c r="B58" t="s">
        <v>155</v>
      </c>
      <c r="C58" t="s">
        <v>120</v>
      </c>
      <c r="D58">
        <v>9.1</v>
      </c>
      <c r="E58">
        <v>22</v>
      </c>
      <c r="F58" t="s">
        <v>60</v>
      </c>
      <c r="G58">
        <v>11</v>
      </c>
      <c r="H58">
        <v>0.2</v>
      </c>
      <c r="I58" t="s">
        <v>185</v>
      </c>
      <c r="J58" t="s">
        <v>186</v>
      </c>
      <c r="K58" t="s">
        <v>112</v>
      </c>
      <c r="L58" t="s">
        <v>195</v>
      </c>
      <c r="M58" t="s">
        <v>134</v>
      </c>
      <c r="N58">
        <v>71</v>
      </c>
      <c r="O58" t="s">
        <v>126</v>
      </c>
      <c r="P58">
        <v>5</v>
      </c>
      <c r="Q58" t="s">
        <v>115</v>
      </c>
      <c r="R58" t="s">
        <v>116</v>
      </c>
      <c r="S58" t="s">
        <v>193</v>
      </c>
    </row>
    <row r="59" spans="1:19" x14ac:dyDescent="0.35">
      <c r="A59" t="s">
        <v>261</v>
      </c>
      <c r="B59" t="s">
        <v>138</v>
      </c>
      <c r="C59" t="s">
        <v>120</v>
      </c>
      <c r="D59">
        <v>6.7</v>
      </c>
      <c r="E59">
        <v>17</v>
      </c>
      <c r="F59" t="s">
        <v>60</v>
      </c>
      <c r="G59">
        <v>11</v>
      </c>
      <c r="H59">
        <v>1</v>
      </c>
      <c r="I59" t="s">
        <v>130</v>
      </c>
      <c r="J59" t="s">
        <v>262</v>
      </c>
      <c r="K59" t="s">
        <v>146</v>
      </c>
      <c r="L59" t="s">
        <v>111</v>
      </c>
      <c r="M59" t="s">
        <v>125</v>
      </c>
      <c r="N59">
        <v>372</v>
      </c>
      <c r="O59" t="s">
        <v>126</v>
      </c>
      <c r="P59">
        <v>2</v>
      </c>
      <c r="Q59" t="s">
        <v>135</v>
      </c>
      <c r="R59" t="s">
        <v>116</v>
      </c>
      <c r="S59" t="s">
        <v>147</v>
      </c>
    </row>
    <row r="60" spans="1:19" x14ac:dyDescent="0.35">
      <c r="A60" t="s">
        <v>263</v>
      </c>
      <c r="B60" t="s">
        <v>155</v>
      </c>
      <c r="C60" t="s">
        <v>108</v>
      </c>
      <c r="D60">
        <v>21.9</v>
      </c>
      <c r="E60">
        <v>29</v>
      </c>
      <c r="F60" t="s">
        <v>63</v>
      </c>
      <c r="G60">
        <v>7</v>
      </c>
      <c r="H60">
        <v>0.5</v>
      </c>
      <c r="I60" t="s">
        <v>246</v>
      </c>
      <c r="J60" t="s">
        <v>264</v>
      </c>
      <c r="K60" t="s">
        <v>112</v>
      </c>
      <c r="L60" t="s">
        <v>158</v>
      </c>
      <c r="M60" t="s">
        <v>113</v>
      </c>
      <c r="N60">
        <v>7</v>
      </c>
      <c r="O60" t="s">
        <v>126</v>
      </c>
      <c r="P60">
        <v>11</v>
      </c>
      <c r="Q60" t="s">
        <v>115</v>
      </c>
      <c r="R60" t="s">
        <v>168</v>
      </c>
      <c r="S60" t="s">
        <v>136</v>
      </c>
    </row>
    <row r="61" spans="1:19" x14ac:dyDescent="0.35">
      <c r="A61" t="s">
        <v>265</v>
      </c>
      <c r="B61" t="s">
        <v>129</v>
      </c>
      <c r="C61" t="s">
        <v>120</v>
      </c>
      <c r="D61">
        <v>1.7</v>
      </c>
      <c r="E61">
        <v>23</v>
      </c>
      <c r="F61" t="s">
        <v>66</v>
      </c>
      <c r="G61">
        <v>10</v>
      </c>
      <c r="H61">
        <v>1</v>
      </c>
      <c r="I61" t="s">
        <v>144</v>
      </c>
      <c r="J61" t="s">
        <v>145</v>
      </c>
      <c r="K61" t="s">
        <v>164</v>
      </c>
      <c r="L61" t="s">
        <v>132</v>
      </c>
      <c r="M61" t="s">
        <v>159</v>
      </c>
      <c r="N61">
        <v>257</v>
      </c>
      <c r="O61" t="s">
        <v>201</v>
      </c>
      <c r="P61">
        <v>2</v>
      </c>
      <c r="Q61" t="s">
        <v>115</v>
      </c>
      <c r="R61" t="s">
        <v>116</v>
      </c>
      <c r="S61" t="s">
        <v>117</v>
      </c>
    </row>
    <row r="62" spans="1:19" x14ac:dyDescent="0.35">
      <c r="A62" t="s">
        <v>266</v>
      </c>
      <c r="B62" t="s">
        <v>176</v>
      </c>
      <c r="C62" t="s">
        <v>120</v>
      </c>
      <c r="D62">
        <v>9.6</v>
      </c>
      <c r="E62">
        <v>16</v>
      </c>
      <c r="F62" t="s">
        <v>56</v>
      </c>
      <c r="G62">
        <v>9</v>
      </c>
      <c r="H62">
        <v>1.2</v>
      </c>
      <c r="I62" t="s">
        <v>205</v>
      </c>
      <c r="J62" t="s">
        <v>206</v>
      </c>
      <c r="K62" t="s">
        <v>124</v>
      </c>
      <c r="L62" t="s">
        <v>228</v>
      </c>
      <c r="M62" t="s">
        <v>134</v>
      </c>
      <c r="N62">
        <v>67</v>
      </c>
      <c r="O62" t="s">
        <v>201</v>
      </c>
      <c r="P62">
        <v>3</v>
      </c>
      <c r="Q62" t="s">
        <v>115</v>
      </c>
      <c r="R62" t="s">
        <v>168</v>
      </c>
      <c r="S62" t="s">
        <v>142</v>
      </c>
    </row>
    <row r="63" spans="1:19" x14ac:dyDescent="0.35">
      <c r="A63" t="s">
        <v>267</v>
      </c>
      <c r="B63" t="s">
        <v>119</v>
      </c>
      <c r="C63" t="s">
        <v>120</v>
      </c>
      <c r="D63">
        <v>10</v>
      </c>
      <c r="E63">
        <v>19</v>
      </c>
      <c r="F63" t="s">
        <v>60</v>
      </c>
      <c r="G63">
        <v>8</v>
      </c>
      <c r="H63">
        <v>1</v>
      </c>
      <c r="I63" t="s">
        <v>173</v>
      </c>
      <c r="J63" t="s">
        <v>216</v>
      </c>
      <c r="K63" t="s">
        <v>123</v>
      </c>
      <c r="L63" t="s">
        <v>141</v>
      </c>
      <c r="M63" t="s">
        <v>159</v>
      </c>
      <c r="N63">
        <v>208</v>
      </c>
      <c r="O63" t="s">
        <v>114</v>
      </c>
      <c r="P63">
        <v>1</v>
      </c>
      <c r="Q63" t="s">
        <v>135</v>
      </c>
      <c r="R63" t="s">
        <v>116</v>
      </c>
      <c r="S63" t="s">
        <v>147</v>
      </c>
    </row>
    <row r="64" spans="1:19" x14ac:dyDescent="0.35">
      <c r="A64" t="s">
        <v>268</v>
      </c>
      <c r="B64" t="s">
        <v>119</v>
      </c>
      <c r="C64" t="s">
        <v>120</v>
      </c>
      <c r="D64">
        <v>6.9</v>
      </c>
      <c r="E64">
        <v>14</v>
      </c>
      <c r="F64" t="s">
        <v>56</v>
      </c>
      <c r="G64">
        <v>6</v>
      </c>
      <c r="H64">
        <v>0</v>
      </c>
      <c r="I64" t="s">
        <v>144</v>
      </c>
      <c r="J64" t="s">
        <v>269</v>
      </c>
      <c r="K64" t="s">
        <v>141</v>
      </c>
      <c r="L64" t="s">
        <v>123</v>
      </c>
      <c r="M64" t="s">
        <v>134</v>
      </c>
      <c r="N64">
        <v>63</v>
      </c>
      <c r="O64" t="s">
        <v>126</v>
      </c>
      <c r="P64">
        <v>3</v>
      </c>
      <c r="Q64" t="s">
        <v>135</v>
      </c>
      <c r="R64" t="s">
        <v>168</v>
      </c>
      <c r="S64" t="s">
        <v>117</v>
      </c>
    </row>
    <row r="65" spans="1:19" x14ac:dyDescent="0.35">
      <c r="A65" t="s">
        <v>270</v>
      </c>
      <c r="B65" t="s">
        <v>129</v>
      </c>
      <c r="C65" t="s">
        <v>120</v>
      </c>
      <c r="D65">
        <v>8.8000000000000007</v>
      </c>
      <c r="E65">
        <v>6</v>
      </c>
      <c r="F65" t="s">
        <v>56</v>
      </c>
      <c r="G65">
        <v>8</v>
      </c>
      <c r="H65">
        <v>1.3</v>
      </c>
      <c r="I65" t="s">
        <v>246</v>
      </c>
      <c r="J65" t="s">
        <v>247</v>
      </c>
      <c r="K65" t="s">
        <v>132</v>
      </c>
      <c r="L65" t="s">
        <v>133</v>
      </c>
      <c r="M65" t="s">
        <v>159</v>
      </c>
      <c r="N65">
        <v>211</v>
      </c>
      <c r="O65" t="s">
        <v>126</v>
      </c>
      <c r="P65">
        <v>1</v>
      </c>
      <c r="Q65" t="s">
        <v>115</v>
      </c>
      <c r="R65" t="s">
        <v>116</v>
      </c>
      <c r="S65" t="s">
        <v>142</v>
      </c>
    </row>
    <row r="66" spans="1:19" x14ac:dyDescent="0.35">
      <c r="A66" t="s">
        <v>271</v>
      </c>
      <c r="B66" t="s">
        <v>161</v>
      </c>
      <c r="C66" t="s">
        <v>120</v>
      </c>
      <c r="D66">
        <v>5.7</v>
      </c>
      <c r="E66">
        <v>23</v>
      </c>
      <c r="F66" t="s">
        <v>63</v>
      </c>
      <c r="G66">
        <v>3</v>
      </c>
      <c r="H66">
        <v>0.4</v>
      </c>
      <c r="I66" t="s">
        <v>173</v>
      </c>
      <c r="J66" t="s">
        <v>174</v>
      </c>
      <c r="K66" t="s">
        <v>133</v>
      </c>
      <c r="L66" t="s">
        <v>182</v>
      </c>
      <c r="M66" t="s">
        <v>113</v>
      </c>
      <c r="N66">
        <v>18</v>
      </c>
      <c r="O66" t="s">
        <v>126</v>
      </c>
      <c r="P66">
        <v>14</v>
      </c>
      <c r="Q66" t="s">
        <v>115</v>
      </c>
      <c r="R66" t="s">
        <v>168</v>
      </c>
      <c r="S66" t="s">
        <v>127</v>
      </c>
    </row>
    <row r="67" spans="1:19" x14ac:dyDescent="0.35">
      <c r="A67" t="s">
        <v>272</v>
      </c>
      <c r="B67" t="s">
        <v>189</v>
      </c>
      <c r="C67" t="s">
        <v>108</v>
      </c>
      <c r="D67">
        <v>13.6</v>
      </c>
      <c r="E67">
        <v>41</v>
      </c>
      <c r="F67" t="s">
        <v>56</v>
      </c>
      <c r="G67">
        <v>3</v>
      </c>
      <c r="H67">
        <v>0.5</v>
      </c>
      <c r="I67" t="s">
        <v>173</v>
      </c>
      <c r="J67" t="s">
        <v>216</v>
      </c>
      <c r="K67" t="s">
        <v>190</v>
      </c>
      <c r="L67" t="s">
        <v>209</v>
      </c>
      <c r="M67" t="s">
        <v>125</v>
      </c>
      <c r="N67">
        <v>238</v>
      </c>
      <c r="O67" t="s">
        <v>126</v>
      </c>
      <c r="P67">
        <v>0</v>
      </c>
      <c r="Q67" t="s">
        <v>115</v>
      </c>
      <c r="R67" t="s">
        <v>168</v>
      </c>
      <c r="S67" t="s">
        <v>136</v>
      </c>
    </row>
    <row r="68" spans="1:19" x14ac:dyDescent="0.35">
      <c r="A68" t="s">
        <v>273</v>
      </c>
      <c r="B68" t="s">
        <v>161</v>
      </c>
      <c r="C68" t="s">
        <v>120</v>
      </c>
      <c r="D68">
        <v>2.7</v>
      </c>
      <c r="E68">
        <v>24</v>
      </c>
      <c r="F68" t="s">
        <v>65</v>
      </c>
      <c r="G68">
        <v>10</v>
      </c>
      <c r="H68">
        <v>0.7</v>
      </c>
      <c r="I68" t="s">
        <v>130</v>
      </c>
      <c r="J68" t="s">
        <v>131</v>
      </c>
      <c r="K68" t="s">
        <v>182</v>
      </c>
      <c r="L68" t="s">
        <v>164</v>
      </c>
      <c r="M68" t="s">
        <v>134</v>
      </c>
      <c r="N68">
        <v>83</v>
      </c>
      <c r="O68" t="s">
        <v>114</v>
      </c>
      <c r="P68">
        <v>5</v>
      </c>
      <c r="Q68" t="s">
        <v>115</v>
      </c>
      <c r="R68" t="s">
        <v>116</v>
      </c>
      <c r="S68" t="s">
        <v>193</v>
      </c>
    </row>
    <row r="69" spans="1:19" x14ac:dyDescent="0.35">
      <c r="A69" t="s">
        <v>274</v>
      </c>
      <c r="B69" t="s">
        <v>155</v>
      </c>
      <c r="C69" t="s">
        <v>120</v>
      </c>
      <c r="D69">
        <v>1.8</v>
      </c>
      <c r="E69">
        <v>27</v>
      </c>
      <c r="F69" t="s">
        <v>65</v>
      </c>
      <c r="G69">
        <v>4</v>
      </c>
      <c r="H69">
        <v>0.4</v>
      </c>
      <c r="I69" t="s">
        <v>173</v>
      </c>
      <c r="J69" t="s">
        <v>174</v>
      </c>
      <c r="K69" t="s">
        <v>195</v>
      </c>
      <c r="L69" t="s">
        <v>158</v>
      </c>
      <c r="M69" t="s">
        <v>159</v>
      </c>
      <c r="N69">
        <v>158</v>
      </c>
      <c r="O69" t="s">
        <v>126</v>
      </c>
      <c r="P69">
        <v>1</v>
      </c>
      <c r="Q69" t="s">
        <v>115</v>
      </c>
      <c r="R69" t="s">
        <v>116</v>
      </c>
      <c r="S69" t="s">
        <v>169</v>
      </c>
    </row>
    <row r="70" spans="1:19" x14ac:dyDescent="0.35">
      <c r="A70" t="s">
        <v>275</v>
      </c>
      <c r="B70" t="s">
        <v>138</v>
      </c>
      <c r="C70" t="s">
        <v>120</v>
      </c>
      <c r="D70">
        <v>1.4</v>
      </c>
      <c r="E70">
        <v>18</v>
      </c>
      <c r="F70" t="s">
        <v>58</v>
      </c>
      <c r="G70">
        <v>6</v>
      </c>
      <c r="H70">
        <v>0.8</v>
      </c>
      <c r="I70" t="s">
        <v>162</v>
      </c>
      <c r="J70" t="s">
        <v>163</v>
      </c>
      <c r="K70" t="s">
        <v>111</v>
      </c>
      <c r="L70" t="s">
        <v>141</v>
      </c>
      <c r="M70" t="s">
        <v>134</v>
      </c>
      <c r="N70">
        <v>93</v>
      </c>
      <c r="O70" t="s">
        <v>126</v>
      </c>
      <c r="P70">
        <v>6</v>
      </c>
      <c r="Q70" t="s">
        <v>115</v>
      </c>
      <c r="R70" t="s">
        <v>153</v>
      </c>
      <c r="S70" t="s">
        <v>147</v>
      </c>
    </row>
    <row r="71" spans="1:19" x14ac:dyDescent="0.35">
      <c r="A71" t="s">
        <v>276</v>
      </c>
      <c r="B71" t="s">
        <v>218</v>
      </c>
      <c r="C71" t="s">
        <v>120</v>
      </c>
      <c r="D71">
        <v>4</v>
      </c>
      <c r="E71">
        <v>11</v>
      </c>
      <c r="F71" t="s">
        <v>56</v>
      </c>
      <c r="G71">
        <v>7</v>
      </c>
      <c r="H71">
        <v>1.2</v>
      </c>
      <c r="I71" t="s">
        <v>121</v>
      </c>
      <c r="J71" t="s">
        <v>122</v>
      </c>
      <c r="K71" t="s">
        <v>152</v>
      </c>
      <c r="L71" t="s">
        <v>277</v>
      </c>
      <c r="M71" t="s">
        <v>159</v>
      </c>
      <c r="N71">
        <v>194</v>
      </c>
      <c r="O71" t="s">
        <v>126</v>
      </c>
      <c r="P71">
        <v>2</v>
      </c>
      <c r="Q71" t="s">
        <v>135</v>
      </c>
      <c r="R71" t="s">
        <v>116</v>
      </c>
      <c r="S71" t="s">
        <v>169</v>
      </c>
    </row>
    <row r="72" spans="1:19" x14ac:dyDescent="0.35">
      <c r="A72" t="s">
        <v>278</v>
      </c>
      <c r="B72" t="s">
        <v>107</v>
      </c>
      <c r="C72" t="s">
        <v>120</v>
      </c>
      <c r="D72">
        <v>8.4</v>
      </c>
      <c r="E72">
        <v>26</v>
      </c>
      <c r="F72" t="s">
        <v>60</v>
      </c>
      <c r="G72">
        <v>12</v>
      </c>
      <c r="H72">
        <v>0.8</v>
      </c>
      <c r="I72" t="s">
        <v>130</v>
      </c>
      <c r="J72" t="s">
        <v>262</v>
      </c>
      <c r="K72" t="s">
        <v>111</v>
      </c>
      <c r="L72" t="s">
        <v>171</v>
      </c>
      <c r="M72" t="s">
        <v>113</v>
      </c>
      <c r="N72">
        <v>17</v>
      </c>
      <c r="O72" t="s">
        <v>126</v>
      </c>
      <c r="P72">
        <v>10</v>
      </c>
      <c r="Q72" t="s">
        <v>115</v>
      </c>
      <c r="R72" t="s">
        <v>116</v>
      </c>
      <c r="S72" t="s">
        <v>142</v>
      </c>
    </row>
    <row r="73" spans="1:19" x14ac:dyDescent="0.35">
      <c r="A73" t="s">
        <v>279</v>
      </c>
      <c r="B73" t="s">
        <v>197</v>
      </c>
      <c r="C73" t="s">
        <v>120</v>
      </c>
      <c r="D73">
        <v>9.4</v>
      </c>
      <c r="E73">
        <v>8</v>
      </c>
      <c r="F73" t="s">
        <v>66</v>
      </c>
      <c r="G73">
        <v>5</v>
      </c>
      <c r="H73">
        <v>0.8</v>
      </c>
      <c r="I73" t="s">
        <v>150</v>
      </c>
      <c r="J73" t="s">
        <v>244</v>
      </c>
      <c r="K73" t="s">
        <v>200</v>
      </c>
      <c r="L73" t="s">
        <v>178</v>
      </c>
      <c r="M73" t="s">
        <v>134</v>
      </c>
      <c r="N73">
        <v>81</v>
      </c>
      <c r="O73" t="s">
        <v>126</v>
      </c>
      <c r="P73">
        <v>3</v>
      </c>
      <c r="Q73" t="s">
        <v>115</v>
      </c>
      <c r="R73" t="s">
        <v>168</v>
      </c>
      <c r="S73" t="s">
        <v>147</v>
      </c>
    </row>
    <row r="74" spans="1:19" x14ac:dyDescent="0.35">
      <c r="A74" t="s">
        <v>280</v>
      </c>
      <c r="B74" t="s">
        <v>197</v>
      </c>
      <c r="C74" t="s">
        <v>108</v>
      </c>
      <c r="D74">
        <v>15.2</v>
      </c>
      <c r="E74">
        <v>16</v>
      </c>
      <c r="F74" t="s">
        <v>63</v>
      </c>
      <c r="G74">
        <v>4</v>
      </c>
      <c r="H74">
        <v>0.8</v>
      </c>
      <c r="I74" t="s">
        <v>246</v>
      </c>
      <c r="J74" t="s">
        <v>247</v>
      </c>
      <c r="K74" t="s">
        <v>178</v>
      </c>
      <c r="L74" t="s">
        <v>200</v>
      </c>
      <c r="M74" t="s">
        <v>113</v>
      </c>
      <c r="N74">
        <v>13</v>
      </c>
      <c r="O74" t="s">
        <v>126</v>
      </c>
      <c r="P74">
        <v>14</v>
      </c>
      <c r="Q74" t="s">
        <v>135</v>
      </c>
      <c r="R74" t="s">
        <v>116</v>
      </c>
      <c r="S74" t="s">
        <v>169</v>
      </c>
    </row>
    <row r="75" spans="1:19" x14ac:dyDescent="0.35">
      <c r="A75" t="s">
        <v>281</v>
      </c>
      <c r="B75" t="s">
        <v>155</v>
      </c>
      <c r="C75" t="s">
        <v>120</v>
      </c>
      <c r="D75">
        <v>3.5</v>
      </c>
      <c r="E75">
        <v>29</v>
      </c>
      <c r="F75" t="s">
        <v>60</v>
      </c>
      <c r="G75">
        <v>6</v>
      </c>
      <c r="H75">
        <v>0.4</v>
      </c>
      <c r="I75" t="s">
        <v>150</v>
      </c>
      <c r="J75" t="s">
        <v>244</v>
      </c>
      <c r="K75" t="s">
        <v>112</v>
      </c>
      <c r="L75" t="s">
        <v>195</v>
      </c>
      <c r="M75" t="s">
        <v>113</v>
      </c>
      <c r="N75">
        <v>29</v>
      </c>
      <c r="O75" t="s">
        <v>201</v>
      </c>
      <c r="P75">
        <v>12</v>
      </c>
      <c r="Q75" t="s">
        <v>115</v>
      </c>
      <c r="R75" t="s">
        <v>153</v>
      </c>
      <c r="S75" t="s">
        <v>193</v>
      </c>
    </row>
    <row r="76" spans="1:19" x14ac:dyDescent="0.35">
      <c r="A76" t="s">
        <v>282</v>
      </c>
      <c r="B76" t="s">
        <v>149</v>
      </c>
      <c r="C76" t="s">
        <v>120</v>
      </c>
      <c r="D76">
        <v>6.9</v>
      </c>
      <c r="E76">
        <v>14</v>
      </c>
      <c r="F76" t="s">
        <v>58</v>
      </c>
      <c r="G76">
        <v>10</v>
      </c>
      <c r="H76">
        <v>0.9</v>
      </c>
      <c r="I76" t="s">
        <v>150</v>
      </c>
      <c r="J76" t="s">
        <v>244</v>
      </c>
      <c r="K76" t="s">
        <v>211</v>
      </c>
      <c r="L76" t="s">
        <v>123</v>
      </c>
      <c r="M76" t="s">
        <v>134</v>
      </c>
      <c r="N76">
        <v>66</v>
      </c>
      <c r="O76" t="s">
        <v>114</v>
      </c>
      <c r="P76">
        <v>5</v>
      </c>
      <c r="Q76" t="s">
        <v>115</v>
      </c>
      <c r="R76" t="s">
        <v>65</v>
      </c>
      <c r="S76" t="s">
        <v>136</v>
      </c>
    </row>
    <row r="77" spans="1:19" x14ac:dyDescent="0.35">
      <c r="A77" t="s">
        <v>283</v>
      </c>
      <c r="B77" t="s">
        <v>161</v>
      </c>
      <c r="C77" t="s">
        <v>120</v>
      </c>
      <c r="D77">
        <v>6.4</v>
      </c>
      <c r="E77">
        <v>20</v>
      </c>
      <c r="F77" t="s">
        <v>65</v>
      </c>
      <c r="G77">
        <v>7</v>
      </c>
      <c r="H77">
        <v>1</v>
      </c>
      <c r="I77" t="s">
        <v>156</v>
      </c>
      <c r="J77" t="s">
        <v>203</v>
      </c>
      <c r="K77" t="s">
        <v>133</v>
      </c>
      <c r="L77" t="s">
        <v>164</v>
      </c>
      <c r="M77" t="s">
        <v>113</v>
      </c>
      <c r="N77">
        <v>28</v>
      </c>
      <c r="O77" t="s">
        <v>126</v>
      </c>
      <c r="P77">
        <v>15</v>
      </c>
      <c r="Q77" t="s">
        <v>115</v>
      </c>
      <c r="R77" t="s">
        <v>116</v>
      </c>
      <c r="S77" t="s">
        <v>136</v>
      </c>
    </row>
    <row r="78" spans="1:19" x14ac:dyDescent="0.35">
      <c r="A78" t="s">
        <v>284</v>
      </c>
      <c r="B78" t="s">
        <v>129</v>
      </c>
      <c r="C78" t="s">
        <v>120</v>
      </c>
      <c r="D78">
        <v>6.4</v>
      </c>
      <c r="E78">
        <v>12</v>
      </c>
      <c r="F78" t="s">
        <v>63</v>
      </c>
      <c r="G78">
        <v>10</v>
      </c>
      <c r="H78">
        <v>0.8</v>
      </c>
      <c r="I78" t="s">
        <v>109</v>
      </c>
      <c r="J78" t="s">
        <v>110</v>
      </c>
      <c r="K78" t="s">
        <v>133</v>
      </c>
      <c r="L78" t="s">
        <v>164</v>
      </c>
      <c r="M78" t="s">
        <v>113</v>
      </c>
      <c r="N78">
        <v>29</v>
      </c>
      <c r="O78" t="s">
        <v>126</v>
      </c>
      <c r="P78">
        <v>13</v>
      </c>
      <c r="Q78" t="s">
        <v>115</v>
      </c>
      <c r="R78" t="s">
        <v>168</v>
      </c>
      <c r="S78" t="s">
        <v>127</v>
      </c>
    </row>
    <row r="79" spans="1:19" x14ac:dyDescent="0.35">
      <c r="A79" t="s">
        <v>285</v>
      </c>
      <c r="B79" t="s">
        <v>138</v>
      </c>
      <c r="C79" t="s">
        <v>120</v>
      </c>
      <c r="D79">
        <v>3.9</v>
      </c>
      <c r="E79">
        <v>18</v>
      </c>
      <c r="F79" t="s">
        <v>65</v>
      </c>
      <c r="G79">
        <v>5</v>
      </c>
      <c r="H79">
        <v>0.6</v>
      </c>
      <c r="I79" t="s">
        <v>139</v>
      </c>
      <c r="J79" t="s">
        <v>239</v>
      </c>
      <c r="K79" t="s">
        <v>146</v>
      </c>
      <c r="L79" t="s">
        <v>111</v>
      </c>
      <c r="M79" t="s">
        <v>113</v>
      </c>
      <c r="N79">
        <v>10</v>
      </c>
      <c r="O79" t="s">
        <v>126</v>
      </c>
      <c r="P79">
        <v>14</v>
      </c>
      <c r="Q79" t="s">
        <v>115</v>
      </c>
      <c r="R79" t="s">
        <v>153</v>
      </c>
      <c r="S79" t="s">
        <v>136</v>
      </c>
    </row>
    <row r="80" spans="1:19" x14ac:dyDescent="0.35">
      <c r="A80" t="s">
        <v>286</v>
      </c>
      <c r="B80" t="s">
        <v>176</v>
      </c>
      <c r="C80" t="s">
        <v>166</v>
      </c>
      <c r="D80">
        <v>77.400000000000006</v>
      </c>
      <c r="E80">
        <v>40</v>
      </c>
      <c r="F80" t="s">
        <v>65</v>
      </c>
      <c r="G80">
        <v>3</v>
      </c>
      <c r="H80">
        <v>1.2</v>
      </c>
      <c r="I80" t="s">
        <v>150</v>
      </c>
      <c r="J80" t="s">
        <v>151</v>
      </c>
      <c r="K80" t="s">
        <v>228</v>
      </c>
      <c r="L80" t="s">
        <v>178</v>
      </c>
      <c r="M80" t="s">
        <v>113</v>
      </c>
      <c r="N80">
        <v>24</v>
      </c>
      <c r="O80" t="s">
        <v>126</v>
      </c>
      <c r="P80">
        <v>15</v>
      </c>
      <c r="Q80" t="s">
        <v>135</v>
      </c>
      <c r="R80" t="s">
        <v>168</v>
      </c>
      <c r="S80" t="s">
        <v>147</v>
      </c>
    </row>
    <row r="81" spans="1:19" x14ac:dyDescent="0.35">
      <c r="A81" t="s">
        <v>287</v>
      </c>
      <c r="B81" t="s">
        <v>197</v>
      </c>
      <c r="C81" t="s">
        <v>108</v>
      </c>
      <c r="D81">
        <v>13.3</v>
      </c>
      <c r="E81">
        <v>22</v>
      </c>
      <c r="F81" t="s">
        <v>60</v>
      </c>
      <c r="G81">
        <v>4</v>
      </c>
      <c r="H81">
        <v>1</v>
      </c>
      <c r="I81" t="s">
        <v>139</v>
      </c>
      <c r="J81" t="s">
        <v>140</v>
      </c>
      <c r="K81" t="s">
        <v>200</v>
      </c>
      <c r="L81" t="s">
        <v>178</v>
      </c>
      <c r="M81" t="s">
        <v>125</v>
      </c>
      <c r="N81">
        <v>352</v>
      </c>
      <c r="O81" t="s">
        <v>114</v>
      </c>
      <c r="P81">
        <v>0</v>
      </c>
      <c r="Q81" t="s">
        <v>115</v>
      </c>
      <c r="R81" t="s">
        <v>168</v>
      </c>
      <c r="S81" t="s">
        <v>136</v>
      </c>
    </row>
    <row r="82" spans="1:19" x14ac:dyDescent="0.35">
      <c r="A82" t="s">
        <v>288</v>
      </c>
      <c r="B82" t="s">
        <v>149</v>
      </c>
      <c r="C82" t="s">
        <v>120</v>
      </c>
      <c r="D82">
        <v>10</v>
      </c>
      <c r="E82">
        <v>29</v>
      </c>
      <c r="F82" t="s">
        <v>56</v>
      </c>
      <c r="G82">
        <v>7</v>
      </c>
      <c r="H82">
        <v>1.2</v>
      </c>
      <c r="I82" t="s">
        <v>139</v>
      </c>
      <c r="J82" t="s">
        <v>140</v>
      </c>
      <c r="K82" t="s">
        <v>123</v>
      </c>
      <c r="L82" t="s">
        <v>152</v>
      </c>
      <c r="M82" t="s">
        <v>159</v>
      </c>
      <c r="N82">
        <v>186</v>
      </c>
      <c r="O82" t="s">
        <v>114</v>
      </c>
      <c r="P82">
        <v>2</v>
      </c>
      <c r="Q82" t="s">
        <v>135</v>
      </c>
      <c r="R82" t="s">
        <v>168</v>
      </c>
      <c r="S82" t="s">
        <v>136</v>
      </c>
    </row>
    <row r="83" spans="1:19" x14ac:dyDescent="0.35">
      <c r="A83" t="s">
        <v>289</v>
      </c>
      <c r="B83" t="s">
        <v>161</v>
      </c>
      <c r="C83" t="s">
        <v>120</v>
      </c>
      <c r="D83">
        <v>7.5</v>
      </c>
      <c r="E83">
        <v>17</v>
      </c>
      <c r="F83" t="s">
        <v>63</v>
      </c>
      <c r="G83">
        <v>8</v>
      </c>
      <c r="H83">
        <v>0.8</v>
      </c>
      <c r="I83" t="s">
        <v>139</v>
      </c>
      <c r="J83" t="s">
        <v>140</v>
      </c>
      <c r="K83" t="s">
        <v>133</v>
      </c>
      <c r="L83" t="s">
        <v>164</v>
      </c>
      <c r="M83" t="s">
        <v>134</v>
      </c>
      <c r="N83">
        <v>71</v>
      </c>
      <c r="O83" t="s">
        <v>126</v>
      </c>
      <c r="P83">
        <v>5</v>
      </c>
      <c r="Q83" t="s">
        <v>115</v>
      </c>
      <c r="R83" t="s">
        <v>153</v>
      </c>
      <c r="S83" t="s">
        <v>147</v>
      </c>
    </row>
    <row r="84" spans="1:19" x14ac:dyDescent="0.35">
      <c r="A84" t="s">
        <v>290</v>
      </c>
      <c r="B84" t="s">
        <v>155</v>
      </c>
      <c r="C84" t="s">
        <v>108</v>
      </c>
      <c r="D84">
        <v>17.2</v>
      </c>
      <c r="E84">
        <v>44</v>
      </c>
      <c r="F84" t="s">
        <v>60</v>
      </c>
      <c r="G84">
        <v>7</v>
      </c>
      <c r="H84">
        <v>0.2</v>
      </c>
      <c r="I84" t="s">
        <v>121</v>
      </c>
      <c r="J84" t="s">
        <v>122</v>
      </c>
      <c r="K84" t="s">
        <v>112</v>
      </c>
      <c r="L84" t="s">
        <v>195</v>
      </c>
      <c r="M84" t="s">
        <v>134</v>
      </c>
      <c r="N84">
        <v>84</v>
      </c>
      <c r="O84" t="s">
        <v>126</v>
      </c>
      <c r="P84">
        <v>6</v>
      </c>
      <c r="Q84" t="s">
        <v>115</v>
      </c>
      <c r="R84" t="s">
        <v>116</v>
      </c>
      <c r="S84" t="s">
        <v>142</v>
      </c>
    </row>
    <row r="85" spans="1:19" x14ac:dyDescent="0.35">
      <c r="A85" t="s">
        <v>291</v>
      </c>
      <c r="B85" t="s">
        <v>189</v>
      </c>
      <c r="C85" t="s">
        <v>120</v>
      </c>
      <c r="D85">
        <v>6.3</v>
      </c>
      <c r="E85">
        <v>20</v>
      </c>
      <c r="F85" t="s">
        <v>56</v>
      </c>
      <c r="G85">
        <v>11</v>
      </c>
      <c r="H85">
        <v>0.8</v>
      </c>
      <c r="I85" t="s">
        <v>162</v>
      </c>
      <c r="J85" t="s">
        <v>163</v>
      </c>
      <c r="K85" t="s">
        <v>190</v>
      </c>
      <c r="L85" t="s">
        <v>209</v>
      </c>
      <c r="M85" t="s">
        <v>113</v>
      </c>
      <c r="N85">
        <v>14</v>
      </c>
      <c r="O85" t="s">
        <v>126</v>
      </c>
      <c r="P85">
        <v>12</v>
      </c>
      <c r="Q85" t="s">
        <v>135</v>
      </c>
      <c r="R85" t="s">
        <v>116</v>
      </c>
      <c r="S85" t="s">
        <v>127</v>
      </c>
    </row>
    <row r="86" spans="1:19" x14ac:dyDescent="0.35">
      <c r="A86" t="s">
        <v>292</v>
      </c>
      <c r="B86" t="s">
        <v>176</v>
      </c>
      <c r="C86" t="s">
        <v>120</v>
      </c>
      <c r="D86">
        <v>4.2</v>
      </c>
      <c r="E86">
        <v>14</v>
      </c>
      <c r="F86" t="s">
        <v>58</v>
      </c>
      <c r="G86">
        <v>6</v>
      </c>
      <c r="H86">
        <v>1</v>
      </c>
      <c r="I86" t="s">
        <v>109</v>
      </c>
      <c r="J86" t="s">
        <v>181</v>
      </c>
      <c r="K86" t="s">
        <v>228</v>
      </c>
      <c r="L86" t="s">
        <v>178</v>
      </c>
      <c r="M86" t="s">
        <v>159</v>
      </c>
      <c r="N86">
        <v>283</v>
      </c>
      <c r="O86" t="s">
        <v>126</v>
      </c>
      <c r="P86">
        <v>2</v>
      </c>
      <c r="Q86" t="s">
        <v>115</v>
      </c>
      <c r="R86" t="s">
        <v>65</v>
      </c>
      <c r="S86" t="s">
        <v>142</v>
      </c>
    </row>
    <row r="87" spans="1:19" x14ac:dyDescent="0.35">
      <c r="A87" t="s">
        <v>293</v>
      </c>
      <c r="B87" t="s">
        <v>155</v>
      </c>
      <c r="C87" t="s">
        <v>120</v>
      </c>
      <c r="D87">
        <v>6.8</v>
      </c>
      <c r="E87">
        <v>11</v>
      </c>
      <c r="F87" t="s">
        <v>65</v>
      </c>
      <c r="G87">
        <v>2</v>
      </c>
      <c r="H87">
        <v>1.1000000000000001</v>
      </c>
      <c r="I87" t="s">
        <v>162</v>
      </c>
      <c r="J87" t="s">
        <v>163</v>
      </c>
      <c r="K87" t="s">
        <v>112</v>
      </c>
      <c r="L87" t="s">
        <v>195</v>
      </c>
      <c r="M87" t="s">
        <v>134</v>
      </c>
      <c r="N87">
        <v>79</v>
      </c>
      <c r="O87" t="s">
        <v>126</v>
      </c>
      <c r="P87">
        <v>3</v>
      </c>
      <c r="Q87" t="s">
        <v>115</v>
      </c>
      <c r="R87" t="s">
        <v>116</v>
      </c>
      <c r="S87" t="s">
        <v>142</v>
      </c>
    </row>
    <row r="88" spans="1:19" x14ac:dyDescent="0.35">
      <c r="A88" t="s">
        <v>294</v>
      </c>
      <c r="B88" t="s">
        <v>161</v>
      </c>
      <c r="C88" t="s">
        <v>120</v>
      </c>
      <c r="D88">
        <v>3.3</v>
      </c>
      <c r="E88">
        <v>18</v>
      </c>
      <c r="F88" t="s">
        <v>63</v>
      </c>
      <c r="G88">
        <v>5</v>
      </c>
      <c r="H88">
        <v>0.5</v>
      </c>
      <c r="I88" t="s">
        <v>144</v>
      </c>
      <c r="J88" t="s">
        <v>269</v>
      </c>
      <c r="K88" t="s">
        <v>133</v>
      </c>
      <c r="L88" t="s">
        <v>182</v>
      </c>
      <c r="M88" t="s">
        <v>125</v>
      </c>
      <c r="N88">
        <v>308</v>
      </c>
      <c r="O88" t="s">
        <v>126</v>
      </c>
      <c r="P88">
        <v>2</v>
      </c>
      <c r="Q88" t="s">
        <v>115</v>
      </c>
      <c r="R88" t="s">
        <v>153</v>
      </c>
      <c r="S88" t="s">
        <v>179</v>
      </c>
    </row>
    <row r="89" spans="1:19" x14ac:dyDescent="0.35">
      <c r="A89" t="s">
        <v>295</v>
      </c>
      <c r="B89" t="s">
        <v>176</v>
      </c>
      <c r="C89" t="s">
        <v>108</v>
      </c>
      <c r="D89">
        <v>47.8</v>
      </c>
      <c r="E89">
        <v>30</v>
      </c>
      <c r="F89" t="s">
        <v>65</v>
      </c>
      <c r="G89">
        <v>13</v>
      </c>
      <c r="H89">
        <v>1</v>
      </c>
      <c r="I89" t="s">
        <v>150</v>
      </c>
      <c r="J89" t="s">
        <v>244</v>
      </c>
      <c r="K89" t="s">
        <v>228</v>
      </c>
      <c r="L89" t="s">
        <v>124</v>
      </c>
      <c r="M89" t="s">
        <v>159</v>
      </c>
      <c r="N89">
        <v>345</v>
      </c>
      <c r="O89" t="s">
        <v>126</v>
      </c>
      <c r="P89">
        <v>1</v>
      </c>
      <c r="Q89" t="s">
        <v>214</v>
      </c>
      <c r="R89" t="s">
        <v>153</v>
      </c>
      <c r="S89" t="s">
        <v>169</v>
      </c>
    </row>
    <row r="90" spans="1:19" x14ac:dyDescent="0.35">
      <c r="A90" t="s">
        <v>296</v>
      </c>
      <c r="B90" t="s">
        <v>119</v>
      </c>
      <c r="C90" t="s">
        <v>120</v>
      </c>
      <c r="D90">
        <v>2.4</v>
      </c>
      <c r="E90">
        <v>20</v>
      </c>
      <c r="F90" t="s">
        <v>65</v>
      </c>
      <c r="G90">
        <v>10</v>
      </c>
      <c r="H90">
        <v>0.7</v>
      </c>
      <c r="I90" t="s">
        <v>150</v>
      </c>
      <c r="J90" t="s">
        <v>244</v>
      </c>
      <c r="K90" t="s">
        <v>124</v>
      </c>
      <c r="L90" t="s">
        <v>141</v>
      </c>
      <c r="M90" t="s">
        <v>134</v>
      </c>
      <c r="N90">
        <v>63</v>
      </c>
      <c r="O90" t="s">
        <v>126</v>
      </c>
      <c r="P90">
        <v>4</v>
      </c>
      <c r="Q90" t="s">
        <v>214</v>
      </c>
      <c r="R90" t="s">
        <v>153</v>
      </c>
      <c r="S90" t="s">
        <v>193</v>
      </c>
    </row>
    <row r="91" spans="1:19" x14ac:dyDescent="0.35">
      <c r="A91" t="s">
        <v>297</v>
      </c>
      <c r="B91" t="s">
        <v>218</v>
      </c>
      <c r="C91" t="s">
        <v>120</v>
      </c>
      <c r="D91">
        <v>3.7</v>
      </c>
      <c r="E91">
        <v>21</v>
      </c>
      <c r="F91" t="s">
        <v>66</v>
      </c>
      <c r="G91">
        <v>8</v>
      </c>
      <c r="H91">
        <v>0.6</v>
      </c>
      <c r="I91" t="s">
        <v>205</v>
      </c>
      <c r="J91" t="s">
        <v>298</v>
      </c>
      <c r="K91" t="s">
        <v>152</v>
      </c>
      <c r="L91" t="s">
        <v>277</v>
      </c>
      <c r="M91" t="s">
        <v>113</v>
      </c>
      <c r="N91">
        <v>29</v>
      </c>
      <c r="O91" t="s">
        <v>126</v>
      </c>
      <c r="P91">
        <v>8</v>
      </c>
      <c r="Q91" t="s">
        <v>115</v>
      </c>
      <c r="R91" t="s">
        <v>116</v>
      </c>
      <c r="S91" t="s">
        <v>136</v>
      </c>
    </row>
    <row r="92" spans="1:19" x14ac:dyDescent="0.35">
      <c r="A92" t="s">
        <v>299</v>
      </c>
      <c r="B92" t="s">
        <v>138</v>
      </c>
      <c r="C92" t="s">
        <v>120</v>
      </c>
      <c r="D92">
        <v>6.6</v>
      </c>
      <c r="E92">
        <v>17</v>
      </c>
      <c r="F92" t="s">
        <v>66</v>
      </c>
      <c r="G92">
        <v>7</v>
      </c>
      <c r="H92">
        <v>0.2</v>
      </c>
      <c r="I92" t="s">
        <v>246</v>
      </c>
      <c r="J92" t="s">
        <v>264</v>
      </c>
      <c r="K92" t="s">
        <v>111</v>
      </c>
      <c r="L92" t="s">
        <v>146</v>
      </c>
      <c r="M92" t="s">
        <v>113</v>
      </c>
      <c r="N92">
        <v>27</v>
      </c>
      <c r="O92" t="s">
        <v>114</v>
      </c>
      <c r="P92">
        <v>13</v>
      </c>
      <c r="Q92" t="s">
        <v>135</v>
      </c>
      <c r="R92" t="s">
        <v>168</v>
      </c>
      <c r="S92" t="s">
        <v>117</v>
      </c>
    </row>
    <row r="93" spans="1:19" x14ac:dyDescent="0.35">
      <c r="A93" t="s">
        <v>300</v>
      </c>
      <c r="B93" t="s">
        <v>107</v>
      </c>
      <c r="C93" t="s">
        <v>108</v>
      </c>
      <c r="D93">
        <v>12.9</v>
      </c>
      <c r="E93">
        <v>35</v>
      </c>
      <c r="F93" t="s">
        <v>58</v>
      </c>
      <c r="G93">
        <v>6</v>
      </c>
      <c r="H93">
        <v>0.9</v>
      </c>
      <c r="I93" t="s">
        <v>156</v>
      </c>
      <c r="J93" t="s">
        <v>167</v>
      </c>
      <c r="K93" t="s">
        <v>171</v>
      </c>
      <c r="L93" t="s">
        <v>112</v>
      </c>
      <c r="M93" t="s">
        <v>113</v>
      </c>
      <c r="N93">
        <v>8</v>
      </c>
      <c r="O93" t="s">
        <v>126</v>
      </c>
      <c r="P93">
        <v>15</v>
      </c>
      <c r="Q93" t="s">
        <v>115</v>
      </c>
      <c r="R93" t="s">
        <v>65</v>
      </c>
      <c r="S93" t="s">
        <v>127</v>
      </c>
    </row>
    <row r="94" spans="1:19" x14ac:dyDescent="0.35">
      <c r="A94" t="s">
        <v>301</v>
      </c>
      <c r="B94" t="s">
        <v>119</v>
      </c>
      <c r="C94" t="s">
        <v>120</v>
      </c>
      <c r="D94">
        <v>7.4</v>
      </c>
      <c r="E94">
        <v>12</v>
      </c>
      <c r="F94" t="s">
        <v>56</v>
      </c>
      <c r="G94">
        <v>8</v>
      </c>
      <c r="H94">
        <v>0.5</v>
      </c>
      <c r="I94" t="s">
        <v>144</v>
      </c>
      <c r="J94" t="s">
        <v>145</v>
      </c>
      <c r="K94" t="s">
        <v>123</v>
      </c>
      <c r="L94" t="s">
        <v>141</v>
      </c>
      <c r="M94" t="s">
        <v>113</v>
      </c>
      <c r="N94">
        <v>14</v>
      </c>
      <c r="O94" t="s">
        <v>126</v>
      </c>
      <c r="P94">
        <v>12</v>
      </c>
      <c r="Q94" t="s">
        <v>214</v>
      </c>
      <c r="R94" t="s">
        <v>168</v>
      </c>
      <c r="S94" t="s">
        <v>193</v>
      </c>
    </row>
    <row r="95" spans="1:19" x14ac:dyDescent="0.35">
      <c r="A95" t="s">
        <v>302</v>
      </c>
      <c r="B95" t="s">
        <v>197</v>
      </c>
      <c r="C95" t="s">
        <v>120</v>
      </c>
      <c r="D95">
        <v>6.7</v>
      </c>
      <c r="E95">
        <v>29</v>
      </c>
      <c r="F95" t="s">
        <v>63</v>
      </c>
      <c r="G95">
        <v>10</v>
      </c>
      <c r="H95">
        <v>1</v>
      </c>
      <c r="I95" t="s">
        <v>139</v>
      </c>
      <c r="J95" t="s">
        <v>140</v>
      </c>
      <c r="K95" t="s">
        <v>178</v>
      </c>
      <c r="L95" t="s">
        <v>200</v>
      </c>
      <c r="M95" t="s">
        <v>134</v>
      </c>
      <c r="N95">
        <v>83</v>
      </c>
      <c r="O95" t="s">
        <v>126</v>
      </c>
      <c r="P95">
        <v>4</v>
      </c>
      <c r="Q95" t="s">
        <v>214</v>
      </c>
      <c r="R95" t="s">
        <v>153</v>
      </c>
      <c r="S95" t="s">
        <v>142</v>
      </c>
    </row>
    <row r="96" spans="1:19" x14ac:dyDescent="0.35">
      <c r="A96" t="s">
        <v>303</v>
      </c>
      <c r="B96" t="s">
        <v>189</v>
      </c>
      <c r="C96" t="s">
        <v>120</v>
      </c>
      <c r="D96">
        <v>7.6</v>
      </c>
      <c r="E96">
        <v>26</v>
      </c>
      <c r="F96" t="s">
        <v>56</v>
      </c>
      <c r="G96">
        <v>5</v>
      </c>
      <c r="H96">
        <v>0.7</v>
      </c>
      <c r="I96" t="s">
        <v>205</v>
      </c>
      <c r="J96" t="s">
        <v>298</v>
      </c>
      <c r="K96" t="s">
        <v>209</v>
      </c>
      <c r="L96" t="s">
        <v>190</v>
      </c>
      <c r="M96" t="s">
        <v>113</v>
      </c>
      <c r="N96">
        <v>16</v>
      </c>
      <c r="O96" t="s">
        <v>126</v>
      </c>
      <c r="P96">
        <v>9</v>
      </c>
      <c r="Q96" t="s">
        <v>115</v>
      </c>
      <c r="R96" t="s">
        <v>116</v>
      </c>
      <c r="S96" t="s">
        <v>117</v>
      </c>
    </row>
    <row r="97" spans="1:19" x14ac:dyDescent="0.35">
      <c r="A97" t="s">
        <v>304</v>
      </c>
      <c r="B97" t="s">
        <v>197</v>
      </c>
      <c r="C97" t="s">
        <v>120</v>
      </c>
      <c r="D97">
        <v>6.7</v>
      </c>
      <c r="E97">
        <v>11</v>
      </c>
      <c r="F97" t="s">
        <v>65</v>
      </c>
      <c r="G97">
        <v>3</v>
      </c>
      <c r="H97">
        <v>0.4</v>
      </c>
      <c r="I97" t="s">
        <v>162</v>
      </c>
      <c r="J97" t="s">
        <v>198</v>
      </c>
      <c r="K97" t="s">
        <v>178</v>
      </c>
      <c r="L97" t="s">
        <v>200</v>
      </c>
      <c r="M97" t="s">
        <v>134</v>
      </c>
      <c r="N97">
        <v>62</v>
      </c>
      <c r="O97" t="s">
        <v>126</v>
      </c>
      <c r="P97">
        <v>4</v>
      </c>
      <c r="Q97" t="s">
        <v>135</v>
      </c>
      <c r="R97" t="s">
        <v>168</v>
      </c>
      <c r="S97" t="s">
        <v>193</v>
      </c>
    </row>
    <row r="98" spans="1:19" x14ac:dyDescent="0.35">
      <c r="A98" t="s">
        <v>305</v>
      </c>
      <c r="B98" t="s">
        <v>155</v>
      </c>
      <c r="C98" t="s">
        <v>108</v>
      </c>
      <c r="D98">
        <v>33.1</v>
      </c>
      <c r="E98">
        <v>17</v>
      </c>
      <c r="F98" t="s">
        <v>65</v>
      </c>
      <c r="G98">
        <v>5</v>
      </c>
      <c r="H98">
        <v>0.6</v>
      </c>
      <c r="I98" t="s">
        <v>150</v>
      </c>
      <c r="J98" t="s">
        <v>244</v>
      </c>
      <c r="K98" t="s">
        <v>112</v>
      </c>
      <c r="L98" t="s">
        <v>158</v>
      </c>
      <c r="M98" t="s">
        <v>113</v>
      </c>
      <c r="N98">
        <v>8</v>
      </c>
      <c r="O98" t="s">
        <v>126</v>
      </c>
      <c r="P98">
        <v>12</v>
      </c>
      <c r="Q98" t="s">
        <v>115</v>
      </c>
      <c r="R98" t="s">
        <v>153</v>
      </c>
      <c r="S98" t="s">
        <v>147</v>
      </c>
    </row>
    <row r="99" spans="1:19" x14ac:dyDescent="0.35">
      <c r="A99" t="s">
        <v>306</v>
      </c>
      <c r="B99" t="s">
        <v>184</v>
      </c>
      <c r="C99" t="s">
        <v>120</v>
      </c>
      <c r="D99">
        <v>7.1</v>
      </c>
      <c r="E99">
        <v>11</v>
      </c>
      <c r="F99" t="s">
        <v>66</v>
      </c>
      <c r="G99">
        <v>8</v>
      </c>
      <c r="H99">
        <v>0.4</v>
      </c>
      <c r="I99" t="s">
        <v>121</v>
      </c>
      <c r="J99" t="s">
        <v>255</v>
      </c>
      <c r="K99" t="s">
        <v>192</v>
      </c>
      <c r="L99" t="s">
        <v>124</v>
      </c>
      <c r="M99" t="s">
        <v>113</v>
      </c>
      <c r="N99">
        <v>7</v>
      </c>
      <c r="O99" t="s">
        <v>126</v>
      </c>
      <c r="P99">
        <v>9</v>
      </c>
      <c r="Q99" t="s">
        <v>115</v>
      </c>
      <c r="R99" t="s">
        <v>168</v>
      </c>
      <c r="S99" t="s">
        <v>136</v>
      </c>
    </row>
    <row r="100" spans="1:19" x14ac:dyDescent="0.35">
      <c r="A100" t="s">
        <v>307</v>
      </c>
      <c r="B100" t="s">
        <v>161</v>
      </c>
      <c r="C100" t="s">
        <v>120</v>
      </c>
      <c r="D100">
        <v>4.7</v>
      </c>
      <c r="E100">
        <v>16</v>
      </c>
      <c r="F100" t="s">
        <v>58</v>
      </c>
      <c r="G100">
        <v>9</v>
      </c>
      <c r="H100">
        <v>0.6</v>
      </c>
      <c r="I100" t="s">
        <v>109</v>
      </c>
      <c r="J100" t="s">
        <v>181</v>
      </c>
      <c r="K100" t="s">
        <v>133</v>
      </c>
      <c r="L100" t="s">
        <v>182</v>
      </c>
      <c r="M100" t="s">
        <v>125</v>
      </c>
      <c r="N100">
        <v>427</v>
      </c>
      <c r="O100" t="s">
        <v>114</v>
      </c>
      <c r="P100">
        <v>0</v>
      </c>
      <c r="Q100" t="s">
        <v>115</v>
      </c>
      <c r="R100" t="s">
        <v>168</v>
      </c>
      <c r="S100" t="s">
        <v>136</v>
      </c>
    </row>
    <row r="101" spans="1:19" x14ac:dyDescent="0.35">
      <c r="A101" t="s">
        <v>308</v>
      </c>
      <c r="B101" t="s">
        <v>176</v>
      </c>
      <c r="C101" t="s">
        <v>120</v>
      </c>
      <c r="D101">
        <v>5.6</v>
      </c>
      <c r="E101">
        <v>9</v>
      </c>
      <c r="F101" t="s">
        <v>66</v>
      </c>
      <c r="G101">
        <v>3</v>
      </c>
      <c r="H101">
        <v>0.3</v>
      </c>
      <c r="I101" t="s">
        <v>173</v>
      </c>
      <c r="J101" t="s">
        <v>216</v>
      </c>
      <c r="K101" t="s">
        <v>124</v>
      </c>
      <c r="L101" t="s">
        <v>178</v>
      </c>
      <c r="M101" t="s">
        <v>113</v>
      </c>
      <c r="N101">
        <v>29</v>
      </c>
      <c r="O101" t="s">
        <v>126</v>
      </c>
      <c r="P101">
        <v>8</v>
      </c>
      <c r="Q101" t="s">
        <v>135</v>
      </c>
      <c r="R101" t="s">
        <v>116</v>
      </c>
      <c r="S101" t="s">
        <v>136</v>
      </c>
    </row>
    <row r="102" spans="1:19" x14ac:dyDescent="0.35">
      <c r="A102" t="s">
        <v>309</v>
      </c>
      <c r="B102" t="s">
        <v>184</v>
      </c>
      <c r="C102" t="s">
        <v>108</v>
      </c>
      <c r="D102">
        <v>29.9</v>
      </c>
      <c r="E102">
        <v>41</v>
      </c>
      <c r="F102" t="s">
        <v>65</v>
      </c>
      <c r="G102">
        <v>11</v>
      </c>
      <c r="H102">
        <v>1.5</v>
      </c>
      <c r="I102" t="s">
        <v>109</v>
      </c>
      <c r="J102" t="s">
        <v>181</v>
      </c>
      <c r="K102" t="s">
        <v>187</v>
      </c>
      <c r="L102" t="s">
        <v>192</v>
      </c>
      <c r="M102" t="s">
        <v>159</v>
      </c>
      <c r="N102">
        <v>283</v>
      </c>
      <c r="O102" t="s">
        <v>114</v>
      </c>
      <c r="P102">
        <v>1</v>
      </c>
      <c r="Q102" t="s">
        <v>115</v>
      </c>
      <c r="R102" t="s">
        <v>116</v>
      </c>
      <c r="S102" t="s">
        <v>117</v>
      </c>
    </row>
    <row r="103" spans="1:19" x14ac:dyDescent="0.35">
      <c r="A103" t="s">
        <v>310</v>
      </c>
      <c r="B103" t="s">
        <v>218</v>
      </c>
      <c r="C103" t="s">
        <v>120</v>
      </c>
      <c r="D103">
        <v>4.0999999999999996</v>
      </c>
      <c r="E103">
        <v>29</v>
      </c>
      <c r="F103" t="s">
        <v>65</v>
      </c>
      <c r="G103">
        <v>7</v>
      </c>
      <c r="H103">
        <v>1</v>
      </c>
      <c r="I103" t="s">
        <v>185</v>
      </c>
      <c r="J103" t="s">
        <v>311</v>
      </c>
      <c r="K103" t="s">
        <v>141</v>
      </c>
      <c r="L103" t="s">
        <v>152</v>
      </c>
      <c r="M103" t="s">
        <v>134</v>
      </c>
      <c r="N103">
        <v>60</v>
      </c>
      <c r="O103" t="s">
        <v>114</v>
      </c>
      <c r="P103">
        <v>4</v>
      </c>
      <c r="Q103" t="s">
        <v>135</v>
      </c>
      <c r="R103" t="s">
        <v>116</v>
      </c>
      <c r="S103" t="s">
        <v>147</v>
      </c>
    </row>
    <row r="104" spans="1:19" x14ac:dyDescent="0.35">
      <c r="A104" t="s">
        <v>312</v>
      </c>
      <c r="B104" t="s">
        <v>161</v>
      </c>
      <c r="C104" t="s">
        <v>120</v>
      </c>
      <c r="D104">
        <v>2.1</v>
      </c>
      <c r="E104">
        <v>17</v>
      </c>
      <c r="F104" t="s">
        <v>60</v>
      </c>
      <c r="G104">
        <v>5</v>
      </c>
      <c r="H104">
        <v>0.5</v>
      </c>
      <c r="I104" t="s">
        <v>156</v>
      </c>
      <c r="J104" t="s">
        <v>203</v>
      </c>
      <c r="K104" t="s">
        <v>164</v>
      </c>
      <c r="L104" t="s">
        <v>133</v>
      </c>
      <c r="M104" t="s">
        <v>113</v>
      </c>
      <c r="N104">
        <v>6</v>
      </c>
      <c r="O104" t="s">
        <v>126</v>
      </c>
      <c r="P104">
        <v>11</v>
      </c>
      <c r="Q104" t="s">
        <v>115</v>
      </c>
      <c r="R104" t="s">
        <v>168</v>
      </c>
      <c r="S104" t="s">
        <v>136</v>
      </c>
    </row>
    <row r="105" spans="1:19" x14ac:dyDescent="0.35">
      <c r="A105" t="s">
        <v>313</v>
      </c>
      <c r="B105" t="s">
        <v>129</v>
      </c>
      <c r="C105" t="s">
        <v>120</v>
      </c>
      <c r="D105">
        <v>7.8</v>
      </c>
      <c r="E105">
        <v>20</v>
      </c>
      <c r="F105" t="s">
        <v>65</v>
      </c>
      <c r="G105">
        <v>4</v>
      </c>
      <c r="H105">
        <v>0.7</v>
      </c>
      <c r="I105" t="s">
        <v>205</v>
      </c>
      <c r="J105" t="s">
        <v>236</v>
      </c>
      <c r="K105" t="s">
        <v>164</v>
      </c>
      <c r="L105" t="s">
        <v>133</v>
      </c>
      <c r="M105" t="s">
        <v>159</v>
      </c>
      <c r="N105">
        <v>264</v>
      </c>
      <c r="O105" t="s">
        <v>126</v>
      </c>
      <c r="P105">
        <v>1</v>
      </c>
      <c r="Q105" t="s">
        <v>115</v>
      </c>
      <c r="R105" t="s">
        <v>168</v>
      </c>
      <c r="S105" t="s">
        <v>193</v>
      </c>
    </row>
    <row r="106" spans="1:19" x14ac:dyDescent="0.35">
      <c r="A106" t="s">
        <v>314</v>
      </c>
      <c r="B106" t="s">
        <v>107</v>
      </c>
      <c r="C106" t="s">
        <v>120</v>
      </c>
      <c r="D106">
        <v>2.6</v>
      </c>
      <c r="E106">
        <v>21</v>
      </c>
      <c r="F106" t="s">
        <v>60</v>
      </c>
      <c r="G106">
        <v>5</v>
      </c>
      <c r="H106">
        <v>1.4</v>
      </c>
      <c r="I106" t="s">
        <v>162</v>
      </c>
      <c r="J106" t="s">
        <v>198</v>
      </c>
      <c r="K106" t="s">
        <v>171</v>
      </c>
      <c r="L106" t="s">
        <v>111</v>
      </c>
      <c r="M106" t="s">
        <v>134</v>
      </c>
      <c r="N106">
        <v>81</v>
      </c>
      <c r="O106" t="s">
        <v>126</v>
      </c>
      <c r="P106">
        <v>4</v>
      </c>
      <c r="Q106" t="s">
        <v>115</v>
      </c>
      <c r="R106" t="s">
        <v>65</v>
      </c>
      <c r="S106" t="s">
        <v>193</v>
      </c>
    </row>
    <row r="107" spans="1:19" x14ac:dyDescent="0.35">
      <c r="A107" t="s">
        <v>315</v>
      </c>
      <c r="B107" t="s">
        <v>218</v>
      </c>
      <c r="C107" t="s">
        <v>120</v>
      </c>
      <c r="D107">
        <v>8.1</v>
      </c>
      <c r="E107">
        <v>20</v>
      </c>
      <c r="F107" t="s">
        <v>60</v>
      </c>
      <c r="G107">
        <v>2</v>
      </c>
      <c r="H107">
        <v>0.4</v>
      </c>
      <c r="I107" t="s">
        <v>205</v>
      </c>
      <c r="J107" t="s">
        <v>206</v>
      </c>
      <c r="K107" t="s">
        <v>141</v>
      </c>
      <c r="L107" t="s">
        <v>152</v>
      </c>
      <c r="M107" t="s">
        <v>113</v>
      </c>
      <c r="N107">
        <v>25</v>
      </c>
      <c r="O107" t="s">
        <v>114</v>
      </c>
      <c r="P107">
        <v>12</v>
      </c>
      <c r="Q107" t="s">
        <v>214</v>
      </c>
      <c r="R107" t="s">
        <v>168</v>
      </c>
      <c r="S107" t="s">
        <v>147</v>
      </c>
    </row>
    <row r="108" spans="1:19" x14ac:dyDescent="0.35">
      <c r="A108" t="s">
        <v>316</v>
      </c>
      <c r="B108" t="s">
        <v>218</v>
      </c>
      <c r="C108" t="s">
        <v>120</v>
      </c>
      <c r="D108">
        <v>8.6</v>
      </c>
      <c r="E108">
        <v>7</v>
      </c>
      <c r="F108" t="s">
        <v>58</v>
      </c>
      <c r="G108">
        <v>3</v>
      </c>
      <c r="H108">
        <v>0</v>
      </c>
      <c r="I108" t="s">
        <v>246</v>
      </c>
      <c r="J108" t="s">
        <v>247</v>
      </c>
      <c r="K108" t="s">
        <v>152</v>
      </c>
      <c r="L108" t="s">
        <v>141</v>
      </c>
      <c r="M108" t="s">
        <v>134</v>
      </c>
      <c r="N108">
        <v>80</v>
      </c>
      <c r="O108" t="s">
        <v>114</v>
      </c>
      <c r="P108">
        <v>4</v>
      </c>
      <c r="Q108" t="s">
        <v>214</v>
      </c>
      <c r="R108" t="s">
        <v>153</v>
      </c>
      <c r="S108" t="s">
        <v>142</v>
      </c>
    </row>
    <row r="109" spans="1:19" x14ac:dyDescent="0.35">
      <c r="A109" t="s">
        <v>317</v>
      </c>
      <c r="B109" t="s">
        <v>129</v>
      </c>
      <c r="C109" t="s">
        <v>120</v>
      </c>
      <c r="D109">
        <v>3.3</v>
      </c>
      <c r="E109">
        <v>26</v>
      </c>
      <c r="F109" t="s">
        <v>60</v>
      </c>
      <c r="G109">
        <v>12</v>
      </c>
      <c r="H109">
        <v>0.6</v>
      </c>
      <c r="I109" t="s">
        <v>144</v>
      </c>
      <c r="J109" t="s">
        <v>269</v>
      </c>
      <c r="K109" t="s">
        <v>164</v>
      </c>
      <c r="L109" t="s">
        <v>132</v>
      </c>
      <c r="M109" t="s">
        <v>113</v>
      </c>
      <c r="N109">
        <v>26</v>
      </c>
      <c r="O109" t="s">
        <v>126</v>
      </c>
      <c r="P109">
        <v>15</v>
      </c>
      <c r="Q109" t="s">
        <v>135</v>
      </c>
      <c r="R109" t="s">
        <v>168</v>
      </c>
      <c r="S109" t="s">
        <v>117</v>
      </c>
    </row>
    <row r="110" spans="1:19" x14ac:dyDescent="0.35">
      <c r="A110" t="s">
        <v>318</v>
      </c>
      <c r="B110" t="s">
        <v>197</v>
      </c>
      <c r="C110" t="s">
        <v>120</v>
      </c>
      <c r="D110">
        <v>7.1</v>
      </c>
      <c r="E110">
        <v>6</v>
      </c>
      <c r="F110" t="s">
        <v>60</v>
      </c>
      <c r="G110">
        <v>4</v>
      </c>
      <c r="H110">
        <v>0.3</v>
      </c>
      <c r="I110" t="s">
        <v>150</v>
      </c>
      <c r="J110" t="s">
        <v>244</v>
      </c>
      <c r="K110" t="s">
        <v>200</v>
      </c>
      <c r="L110" t="s">
        <v>178</v>
      </c>
      <c r="M110" t="s">
        <v>159</v>
      </c>
      <c r="N110">
        <v>284</v>
      </c>
      <c r="O110" t="s">
        <v>126</v>
      </c>
      <c r="P110">
        <v>1</v>
      </c>
      <c r="Q110" t="s">
        <v>115</v>
      </c>
      <c r="R110" t="s">
        <v>116</v>
      </c>
      <c r="S110" t="s">
        <v>179</v>
      </c>
    </row>
    <row r="111" spans="1:19" x14ac:dyDescent="0.35">
      <c r="A111" t="s">
        <v>319</v>
      </c>
      <c r="B111" t="s">
        <v>138</v>
      </c>
      <c r="C111" t="s">
        <v>120</v>
      </c>
      <c r="D111">
        <v>1.2</v>
      </c>
      <c r="E111">
        <v>7</v>
      </c>
      <c r="F111" t="s">
        <v>65</v>
      </c>
      <c r="G111">
        <v>10</v>
      </c>
      <c r="H111">
        <v>0.5</v>
      </c>
      <c r="I111" t="s">
        <v>130</v>
      </c>
      <c r="J111" t="s">
        <v>258</v>
      </c>
      <c r="K111" t="s">
        <v>146</v>
      </c>
      <c r="L111" t="s">
        <v>111</v>
      </c>
      <c r="M111" t="s">
        <v>113</v>
      </c>
      <c r="N111">
        <v>21</v>
      </c>
      <c r="O111" t="s">
        <v>126</v>
      </c>
      <c r="P111">
        <v>11</v>
      </c>
      <c r="Q111" t="s">
        <v>135</v>
      </c>
      <c r="R111" t="s">
        <v>168</v>
      </c>
      <c r="S111" t="s">
        <v>136</v>
      </c>
    </row>
    <row r="112" spans="1:19" x14ac:dyDescent="0.35">
      <c r="A112" t="s">
        <v>320</v>
      </c>
      <c r="B112" t="s">
        <v>129</v>
      </c>
      <c r="C112" t="s">
        <v>120</v>
      </c>
      <c r="D112">
        <v>2.1</v>
      </c>
      <c r="E112">
        <v>17</v>
      </c>
      <c r="F112" t="s">
        <v>58</v>
      </c>
      <c r="G112">
        <v>3</v>
      </c>
      <c r="H112">
        <v>0.7</v>
      </c>
      <c r="I112" t="s">
        <v>109</v>
      </c>
      <c r="J112" t="s">
        <v>181</v>
      </c>
      <c r="K112" t="s">
        <v>132</v>
      </c>
      <c r="L112" t="s">
        <v>133</v>
      </c>
      <c r="M112" t="s">
        <v>113</v>
      </c>
      <c r="N112">
        <v>29</v>
      </c>
      <c r="O112" t="s">
        <v>126</v>
      </c>
      <c r="P112">
        <v>15</v>
      </c>
      <c r="Q112" t="s">
        <v>115</v>
      </c>
      <c r="R112" t="s">
        <v>168</v>
      </c>
      <c r="S112" t="s">
        <v>179</v>
      </c>
    </row>
    <row r="113" spans="1:19" x14ac:dyDescent="0.35">
      <c r="A113" t="s">
        <v>321</v>
      </c>
      <c r="B113" t="s">
        <v>189</v>
      </c>
      <c r="C113" t="s">
        <v>120</v>
      </c>
      <c r="D113">
        <v>5.5</v>
      </c>
      <c r="E113">
        <v>5</v>
      </c>
      <c r="F113" t="s">
        <v>63</v>
      </c>
      <c r="G113">
        <v>8</v>
      </c>
      <c r="H113">
        <v>0.5</v>
      </c>
      <c r="I113" t="s">
        <v>144</v>
      </c>
      <c r="J113" t="s">
        <v>145</v>
      </c>
      <c r="K113" t="s">
        <v>182</v>
      </c>
      <c r="L113" t="s">
        <v>190</v>
      </c>
      <c r="M113" t="s">
        <v>113</v>
      </c>
      <c r="N113">
        <v>19</v>
      </c>
      <c r="O113" t="s">
        <v>126</v>
      </c>
      <c r="P113">
        <v>9</v>
      </c>
      <c r="Q113" t="s">
        <v>115</v>
      </c>
      <c r="R113" t="s">
        <v>65</v>
      </c>
      <c r="S113" t="s">
        <v>179</v>
      </c>
    </row>
    <row r="114" spans="1:19" x14ac:dyDescent="0.35">
      <c r="A114" t="s">
        <v>322</v>
      </c>
      <c r="B114" t="s">
        <v>107</v>
      </c>
      <c r="C114" t="s">
        <v>120</v>
      </c>
      <c r="D114">
        <v>2.6</v>
      </c>
      <c r="E114">
        <v>19</v>
      </c>
      <c r="F114" t="s">
        <v>60</v>
      </c>
      <c r="G114">
        <v>3</v>
      </c>
      <c r="H114">
        <v>0.9</v>
      </c>
      <c r="I114" t="s">
        <v>246</v>
      </c>
      <c r="J114" t="s">
        <v>264</v>
      </c>
      <c r="K114" t="s">
        <v>171</v>
      </c>
      <c r="L114" t="s">
        <v>112</v>
      </c>
      <c r="M114" t="s">
        <v>125</v>
      </c>
      <c r="N114">
        <v>267</v>
      </c>
      <c r="O114" t="s">
        <v>126</v>
      </c>
      <c r="P114">
        <v>0</v>
      </c>
      <c r="Q114" t="s">
        <v>135</v>
      </c>
      <c r="R114" t="s">
        <v>153</v>
      </c>
      <c r="S114" t="s">
        <v>147</v>
      </c>
    </row>
    <row r="115" spans="1:19" x14ac:dyDescent="0.35">
      <c r="A115" t="s">
        <v>323</v>
      </c>
      <c r="B115" t="s">
        <v>149</v>
      </c>
      <c r="C115" t="s">
        <v>120</v>
      </c>
      <c r="D115">
        <v>1.8</v>
      </c>
      <c r="E115">
        <v>19</v>
      </c>
      <c r="F115" t="s">
        <v>66</v>
      </c>
      <c r="G115">
        <v>11</v>
      </c>
      <c r="H115">
        <v>0.6</v>
      </c>
      <c r="I115" t="s">
        <v>109</v>
      </c>
      <c r="J115" t="s">
        <v>110</v>
      </c>
      <c r="K115" t="s">
        <v>123</v>
      </c>
      <c r="L115" t="s">
        <v>211</v>
      </c>
      <c r="M115" t="s">
        <v>134</v>
      </c>
      <c r="N115">
        <v>62</v>
      </c>
      <c r="O115" t="s">
        <v>126</v>
      </c>
      <c r="P115">
        <v>3</v>
      </c>
      <c r="Q115" t="s">
        <v>115</v>
      </c>
      <c r="R115" t="s">
        <v>153</v>
      </c>
      <c r="S115" t="s">
        <v>136</v>
      </c>
    </row>
    <row r="116" spans="1:19" x14ac:dyDescent="0.35">
      <c r="A116" t="s">
        <v>324</v>
      </c>
      <c r="B116" t="s">
        <v>119</v>
      </c>
      <c r="C116" t="s">
        <v>108</v>
      </c>
      <c r="D116">
        <v>42.6</v>
      </c>
      <c r="E116">
        <v>36</v>
      </c>
      <c r="F116" t="s">
        <v>65</v>
      </c>
      <c r="G116">
        <v>5</v>
      </c>
      <c r="H116">
        <v>1.2</v>
      </c>
      <c r="I116" t="s">
        <v>139</v>
      </c>
      <c r="J116" t="s">
        <v>239</v>
      </c>
      <c r="K116" t="s">
        <v>124</v>
      </c>
      <c r="L116" t="s">
        <v>141</v>
      </c>
      <c r="M116" t="s">
        <v>159</v>
      </c>
      <c r="N116">
        <v>355</v>
      </c>
      <c r="O116" t="s">
        <v>114</v>
      </c>
      <c r="P116">
        <v>2</v>
      </c>
      <c r="Q116" t="s">
        <v>135</v>
      </c>
      <c r="R116" t="s">
        <v>168</v>
      </c>
      <c r="S116" t="s">
        <v>169</v>
      </c>
    </row>
    <row r="117" spans="1:19" x14ac:dyDescent="0.35">
      <c r="A117" t="s">
        <v>325</v>
      </c>
      <c r="B117" t="s">
        <v>107</v>
      </c>
      <c r="C117" t="s">
        <v>120</v>
      </c>
      <c r="D117">
        <v>5.5</v>
      </c>
      <c r="E117">
        <v>8</v>
      </c>
      <c r="F117" t="s">
        <v>66</v>
      </c>
      <c r="G117">
        <v>9</v>
      </c>
      <c r="H117">
        <v>0.8</v>
      </c>
      <c r="I117" t="s">
        <v>156</v>
      </c>
      <c r="J117" t="s">
        <v>167</v>
      </c>
      <c r="K117" t="s">
        <v>112</v>
      </c>
      <c r="L117" t="s">
        <v>111</v>
      </c>
      <c r="M117" t="s">
        <v>113</v>
      </c>
      <c r="N117">
        <v>10</v>
      </c>
      <c r="O117" t="s">
        <v>126</v>
      </c>
      <c r="P117">
        <v>12</v>
      </c>
      <c r="Q117" t="s">
        <v>115</v>
      </c>
      <c r="R117" t="s">
        <v>116</v>
      </c>
      <c r="S117" t="s">
        <v>179</v>
      </c>
    </row>
    <row r="118" spans="1:19" x14ac:dyDescent="0.35">
      <c r="A118" t="s">
        <v>326</v>
      </c>
      <c r="B118" t="s">
        <v>155</v>
      </c>
      <c r="C118" t="s">
        <v>120</v>
      </c>
      <c r="D118">
        <v>8.9</v>
      </c>
      <c r="E118">
        <v>18</v>
      </c>
      <c r="F118" t="s">
        <v>66</v>
      </c>
      <c r="G118">
        <v>8</v>
      </c>
      <c r="H118">
        <v>0.7</v>
      </c>
      <c r="I118" t="s">
        <v>109</v>
      </c>
      <c r="J118" t="s">
        <v>181</v>
      </c>
      <c r="K118" t="s">
        <v>195</v>
      </c>
      <c r="L118" t="s">
        <v>112</v>
      </c>
      <c r="M118" t="s">
        <v>134</v>
      </c>
      <c r="N118">
        <v>78</v>
      </c>
      <c r="O118" t="s">
        <v>126</v>
      </c>
      <c r="P118">
        <v>5</v>
      </c>
      <c r="Q118" t="s">
        <v>115</v>
      </c>
      <c r="R118" t="s">
        <v>168</v>
      </c>
      <c r="S118" t="s">
        <v>147</v>
      </c>
    </row>
    <row r="119" spans="1:19" x14ac:dyDescent="0.35">
      <c r="A119" t="s">
        <v>327</v>
      </c>
      <c r="B119" t="s">
        <v>197</v>
      </c>
      <c r="C119" t="s">
        <v>108</v>
      </c>
      <c r="D119">
        <v>38.299999999999997</v>
      </c>
      <c r="E119">
        <v>31</v>
      </c>
      <c r="F119" t="s">
        <v>58</v>
      </c>
      <c r="G119">
        <v>8</v>
      </c>
      <c r="H119">
        <v>0.8</v>
      </c>
      <c r="I119" t="s">
        <v>185</v>
      </c>
      <c r="J119" t="s">
        <v>223</v>
      </c>
      <c r="K119" t="s">
        <v>178</v>
      </c>
      <c r="L119" t="s">
        <v>200</v>
      </c>
      <c r="M119" t="s">
        <v>113</v>
      </c>
      <c r="N119">
        <v>24</v>
      </c>
      <c r="O119" t="s">
        <v>126</v>
      </c>
      <c r="P119">
        <v>8</v>
      </c>
      <c r="Q119" t="s">
        <v>135</v>
      </c>
      <c r="R119" t="s">
        <v>65</v>
      </c>
      <c r="S119" t="s">
        <v>127</v>
      </c>
    </row>
    <row r="120" spans="1:19" x14ac:dyDescent="0.35">
      <c r="A120" t="s">
        <v>328</v>
      </c>
      <c r="B120" t="s">
        <v>176</v>
      </c>
      <c r="C120" t="s">
        <v>120</v>
      </c>
      <c r="D120">
        <v>6.7</v>
      </c>
      <c r="E120">
        <v>25</v>
      </c>
      <c r="F120" t="s">
        <v>63</v>
      </c>
      <c r="G120">
        <v>12</v>
      </c>
      <c r="H120">
        <v>0.9</v>
      </c>
      <c r="I120" t="s">
        <v>139</v>
      </c>
      <c r="J120" t="s">
        <v>239</v>
      </c>
      <c r="K120" t="s">
        <v>228</v>
      </c>
      <c r="L120" t="s">
        <v>124</v>
      </c>
      <c r="M120" t="s">
        <v>113</v>
      </c>
      <c r="N120">
        <v>15</v>
      </c>
      <c r="O120" t="s">
        <v>126</v>
      </c>
      <c r="P120">
        <v>8</v>
      </c>
      <c r="Q120" t="s">
        <v>115</v>
      </c>
      <c r="R120" t="s">
        <v>168</v>
      </c>
      <c r="S120" t="s">
        <v>147</v>
      </c>
    </row>
    <row r="121" spans="1:19" x14ac:dyDescent="0.35">
      <c r="A121" t="s">
        <v>329</v>
      </c>
      <c r="B121" t="s">
        <v>189</v>
      </c>
      <c r="C121" t="s">
        <v>120</v>
      </c>
      <c r="D121">
        <v>8.6999999999999993</v>
      </c>
      <c r="E121">
        <v>11</v>
      </c>
      <c r="F121" t="s">
        <v>58</v>
      </c>
      <c r="G121">
        <v>2</v>
      </c>
      <c r="H121">
        <v>0.3</v>
      </c>
      <c r="I121" t="s">
        <v>205</v>
      </c>
      <c r="J121" t="s">
        <v>206</v>
      </c>
      <c r="K121" t="s">
        <v>182</v>
      </c>
      <c r="L121" t="s">
        <v>209</v>
      </c>
      <c r="M121" t="s">
        <v>159</v>
      </c>
      <c r="N121">
        <v>249</v>
      </c>
      <c r="O121" t="s">
        <v>126</v>
      </c>
      <c r="P121">
        <v>2</v>
      </c>
      <c r="Q121" t="s">
        <v>115</v>
      </c>
      <c r="R121" t="s">
        <v>65</v>
      </c>
      <c r="S121" t="s">
        <v>147</v>
      </c>
    </row>
    <row r="122" spans="1:19" x14ac:dyDescent="0.35">
      <c r="A122" t="s">
        <v>330</v>
      </c>
      <c r="B122" t="s">
        <v>161</v>
      </c>
      <c r="C122" t="s">
        <v>120</v>
      </c>
      <c r="D122">
        <v>1.5</v>
      </c>
      <c r="E122">
        <v>11</v>
      </c>
      <c r="F122" t="s">
        <v>58</v>
      </c>
      <c r="G122">
        <v>9</v>
      </c>
      <c r="H122">
        <v>0.7</v>
      </c>
      <c r="I122" t="s">
        <v>109</v>
      </c>
      <c r="J122" t="s">
        <v>181</v>
      </c>
      <c r="K122" t="s">
        <v>164</v>
      </c>
      <c r="L122" t="s">
        <v>133</v>
      </c>
      <c r="M122" t="s">
        <v>113</v>
      </c>
      <c r="N122">
        <v>26</v>
      </c>
      <c r="O122" t="s">
        <v>126</v>
      </c>
      <c r="P122">
        <v>11</v>
      </c>
      <c r="Q122" t="s">
        <v>115</v>
      </c>
      <c r="R122" t="s">
        <v>153</v>
      </c>
      <c r="S122" t="s">
        <v>136</v>
      </c>
    </row>
    <row r="123" spans="1:19" x14ac:dyDescent="0.35">
      <c r="A123" t="s">
        <v>331</v>
      </c>
      <c r="B123" t="s">
        <v>119</v>
      </c>
      <c r="C123" t="s">
        <v>108</v>
      </c>
      <c r="D123">
        <v>20.7</v>
      </c>
      <c r="E123">
        <v>41</v>
      </c>
      <c r="F123" t="s">
        <v>66</v>
      </c>
      <c r="G123">
        <v>11</v>
      </c>
      <c r="H123">
        <v>0.8</v>
      </c>
      <c r="I123" t="s">
        <v>150</v>
      </c>
      <c r="J123" t="s">
        <v>151</v>
      </c>
      <c r="K123" t="s">
        <v>141</v>
      </c>
      <c r="L123" t="s">
        <v>124</v>
      </c>
      <c r="M123" t="s">
        <v>113</v>
      </c>
      <c r="N123">
        <v>22</v>
      </c>
      <c r="O123" t="s">
        <v>114</v>
      </c>
      <c r="P123">
        <v>8</v>
      </c>
      <c r="Q123" t="s">
        <v>115</v>
      </c>
      <c r="R123" t="s">
        <v>116</v>
      </c>
      <c r="S123" t="s">
        <v>169</v>
      </c>
    </row>
    <row r="124" spans="1:19" x14ac:dyDescent="0.35">
      <c r="A124" t="s">
        <v>332</v>
      </c>
      <c r="B124" t="s">
        <v>138</v>
      </c>
      <c r="C124" t="s">
        <v>120</v>
      </c>
      <c r="D124">
        <v>9.4</v>
      </c>
      <c r="E124">
        <v>6</v>
      </c>
      <c r="F124" t="s">
        <v>65</v>
      </c>
      <c r="G124">
        <v>6</v>
      </c>
      <c r="H124">
        <v>0.4</v>
      </c>
      <c r="I124" t="s">
        <v>109</v>
      </c>
      <c r="J124" t="s">
        <v>110</v>
      </c>
      <c r="K124" t="s">
        <v>141</v>
      </c>
      <c r="L124" t="s">
        <v>111</v>
      </c>
      <c r="M124" t="s">
        <v>134</v>
      </c>
      <c r="N124">
        <v>84</v>
      </c>
      <c r="O124" t="s">
        <v>126</v>
      </c>
      <c r="P124">
        <v>3</v>
      </c>
      <c r="Q124" t="s">
        <v>115</v>
      </c>
      <c r="R124" t="s">
        <v>116</v>
      </c>
      <c r="S124" t="s">
        <v>136</v>
      </c>
    </row>
    <row r="125" spans="1:19" x14ac:dyDescent="0.35">
      <c r="A125" t="s">
        <v>333</v>
      </c>
      <c r="B125" t="s">
        <v>119</v>
      </c>
      <c r="C125" t="s">
        <v>120</v>
      </c>
      <c r="D125">
        <v>7.2</v>
      </c>
      <c r="E125">
        <v>19</v>
      </c>
      <c r="F125" t="s">
        <v>58</v>
      </c>
      <c r="G125">
        <v>11</v>
      </c>
      <c r="H125">
        <v>1</v>
      </c>
      <c r="I125" t="s">
        <v>150</v>
      </c>
      <c r="J125" t="s">
        <v>151</v>
      </c>
      <c r="K125" t="s">
        <v>124</v>
      </c>
      <c r="L125" t="s">
        <v>123</v>
      </c>
      <c r="M125" t="s">
        <v>159</v>
      </c>
      <c r="N125">
        <v>326</v>
      </c>
      <c r="O125" t="s">
        <v>126</v>
      </c>
      <c r="P125">
        <v>1</v>
      </c>
      <c r="Q125" t="s">
        <v>115</v>
      </c>
      <c r="R125" t="s">
        <v>153</v>
      </c>
      <c r="S125" t="s">
        <v>136</v>
      </c>
    </row>
    <row r="126" spans="1:19" x14ac:dyDescent="0.35">
      <c r="A126" t="s">
        <v>334</v>
      </c>
      <c r="B126" t="s">
        <v>129</v>
      </c>
      <c r="C126" t="s">
        <v>120</v>
      </c>
      <c r="D126">
        <v>2.9</v>
      </c>
      <c r="E126">
        <v>7</v>
      </c>
      <c r="F126" t="s">
        <v>63</v>
      </c>
      <c r="G126">
        <v>9</v>
      </c>
      <c r="H126">
        <v>0.7</v>
      </c>
      <c r="I126" t="s">
        <v>150</v>
      </c>
      <c r="J126" t="s">
        <v>244</v>
      </c>
      <c r="K126" t="s">
        <v>132</v>
      </c>
      <c r="L126" t="s">
        <v>164</v>
      </c>
      <c r="M126" t="s">
        <v>125</v>
      </c>
      <c r="N126">
        <v>422</v>
      </c>
      <c r="O126" t="s">
        <v>126</v>
      </c>
      <c r="P126">
        <v>2</v>
      </c>
      <c r="Q126" t="s">
        <v>115</v>
      </c>
      <c r="R126" t="s">
        <v>153</v>
      </c>
      <c r="S126" t="s">
        <v>136</v>
      </c>
    </row>
    <row r="127" spans="1:19" x14ac:dyDescent="0.35">
      <c r="A127" t="s">
        <v>335</v>
      </c>
      <c r="B127" t="s">
        <v>155</v>
      </c>
      <c r="C127" t="s">
        <v>120</v>
      </c>
      <c r="D127">
        <v>2.8</v>
      </c>
      <c r="E127">
        <v>27</v>
      </c>
      <c r="F127" t="s">
        <v>56</v>
      </c>
      <c r="G127">
        <v>10</v>
      </c>
      <c r="H127">
        <v>0.9</v>
      </c>
      <c r="I127" t="s">
        <v>109</v>
      </c>
      <c r="J127" t="s">
        <v>181</v>
      </c>
      <c r="K127" t="s">
        <v>112</v>
      </c>
      <c r="L127" t="s">
        <v>158</v>
      </c>
      <c r="M127" t="s">
        <v>159</v>
      </c>
      <c r="N127">
        <v>262</v>
      </c>
      <c r="O127" t="s">
        <v>126</v>
      </c>
      <c r="P127">
        <v>1</v>
      </c>
      <c r="Q127" t="s">
        <v>115</v>
      </c>
      <c r="R127" t="s">
        <v>116</v>
      </c>
      <c r="S127" t="s">
        <v>127</v>
      </c>
    </row>
    <row r="128" spans="1:19" x14ac:dyDescent="0.35">
      <c r="A128" t="s">
        <v>336</v>
      </c>
      <c r="B128" t="s">
        <v>155</v>
      </c>
      <c r="C128" t="s">
        <v>108</v>
      </c>
      <c r="D128">
        <v>24.9</v>
      </c>
      <c r="E128">
        <v>27</v>
      </c>
      <c r="F128" t="s">
        <v>60</v>
      </c>
      <c r="G128">
        <v>4</v>
      </c>
      <c r="H128">
        <v>0.6</v>
      </c>
      <c r="I128" t="s">
        <v>109</v>
      </c>
      <c r="J128" t="s">
        <v>181</v>
      </c>
      <c r="K128" t="s">
        <v>195</v>
      </c>
      <c r="L128" t="s">
        <v>112</v>
      </c>
      <c r="M128" t="s">
        <v>113</v>
      </c>
      <c r="N128">
        <v>13</v>
      </c>
      <c r="O128" t="s">
        <v>126</v>
      </c>
      <c r="P128">
        <v>11</v>
      </c>
      <c r="Q128" t="s">
        <v>115</v>
      </c>
      <c r="R128" t="s">
        <v>168</v>
      </c>
      <c r="S128" t="s">
        <v>193</v>
      </c>
    </row>
    <row r="129" spans="1:19" x14ac:dyDescent="0.35">
      <c r="A129" t="s">
        <v>337</v>
      </c>
      <c r="B129" t="s">
        <v>129</v>
      </c>
      <c r="C129" t="s">
        <v>120</v>
      </c>
      <c r="D129">
        <v>7.3</v>
      </c>
      <c r="E129">
        <v>25</v>
      </c>
      <c r="F129" t="s">
        <v>56</v>
      </c>
      <c r="G129">
        <v>12</v>
      </c>
      <c r="H129">
        <v>0.6</v>
      </c>
      <c r="I129" t="s">
        <v>130</v>
      </c>
      <c r="J129" t="s">
        <v>258</v>
      </c>
      <c r="K129" t="s">
        <v>164</v>
      </c>
      <c r="L129" t="s">
        <v>132</v>
      </c>
      <c r="M129" t="s">
        <v>125</v>
      </c>
      <c r="N129">
        <v>399</v>
      </c>
      <c r="O129" t="s">
        <v>126</v>
      </c>
      <c r="P129">
        <v>0</v>
      </c>
      <c r="Q129" t="s">
        <v>115</v>
      </c>
      <c r="R129" t="s">
        <v>153</v>
      </c>
      <c r="S129" t="s">
        <v>169</v>
      </c>
    </row>
    <row r="130" spans="1:19" x14ac:dyDescent="0.35">
      <c r="A130" t="s">
        <v>338</v>
      </c>
      <c r="B130" t="s">
        <v>155</v>
      </c>
      <c r="C130" t="s">
        <v>108</v>
      </c>
      <c r="D130">
        <v>48.7</v>
      </c>
      <c r="E130">
        <v>19</v>
      </c>
      <c r="F130" t="s">
        <v>65</v>
      </c>
      <c r="G130">
        <v>8</v>
      </c>
      <c r="H130">
        <v>0.9</v>
      </c>
      <c r="I130" t="s">
        <v>130</v>
      </c>
      <c r="J130" t="s">
        <v>262</v>
      </c>
      <c r="K130" t="s">
        <v>112</v>
      </c>
      <c r="L130" t="s">
        <v>158</v>
      </c>
      <c r="M130" t="s">
        <v>125</v>
      </c>
      <c r="N130">
        <v>402</v>
      </c>
      <c r="O130" t="s">
        <v>126</v>
      </c>
      <c r="P130">
        <v>2</v>
      </c>
      <c r="Q130" t="s">
        <v>115</v>
      </c>
      <c r="R130" t="s">
        <v>168</v>
      </c>
      <c r="S130" t="s">
        <v>142</v>
      </c>
    </row>
    <row r="131" spans="1:19" x14ac:dyDescent="0.35">
      <c r="A131" t="s">
        <v>339</v>
      </c>
      <c r="B131" t="s">
        <v>129</v>
      </c>
      <c r="C131" t="s">
        <v>120</v>
      </c>
      <c r="D131">
        <v>4.4000000000000004</v>
      </c>
      <c r="E131">
        <v>29</v>
      </c>
      <c r="F131" t="s">
        <v>63</v>
      </c>
      <c r="G131">
        <v>3</v>
      </c>
      <c r="H131">
        <v>0.6</v>
      </c>
      <c r="I131" t="s">
        <v>156</v>
      </c>
      <c r="J131" t="s">
        <v>167</v>
      </c>
      <c r="K131" t="s">
        <v>132</v>
      </c>
      <c r="L131" t="s">
        <v>133</v>
      </c>
      <c r="M131" t="s">
        <v>159</v>
      </c>
      <c r="N131">
        <v>270</v>
      </c>
      <c r="O131" t="s">
        <v>201</v>
      </c>
      <c r="P131">
        <v>1</v>
      </c>
      <c r="Q131" t="s">
        <v>115</v>
      </c>
      <c r="R131" t="s">
        <v>116</v>
      </c>
      <c r="S131" t="s">
        <v>169</v>
      </c>
    </row>
    <row r="132" spans="1:19" x14ac:dyDescent="0.35">
      <c r="A132" t="s">
        <v>340</v>
      </c>
      <c r="B132" t="s">
        <v>149</v>
      </c>
      <c r="C132" t="s">
        <v>108</v>
      </c>
      <c r="D132">
        <v>31</v>
      </c>
      <c r="E132">
        <v>18</v>
      </c>
      <c r="F132" t="s">
        <v>65</v>
      </c>
      <c r="G132">
        <v>6</v>
      </c>
      <c r="H132">
        <v>1.1000000000000001</v>
      </c>
      <c r="I132" t="s">
        <v>162</v>
      </c>
      <c r="J132" t="s">
        <v>198</v>
      </c>
      <c r="K132" t="s">
        <v>211</v>
      </c>
      <c r="L132" t="s">
        <v>123</v>
      </c>
      <c r="M132" t="s">
        <v>113</v>
      </c>
      <c r="N132">
        <v>15</v>
      </c>
      <c r="O132" t="s">
        <v>126</v>
      </c>
      <c r="P132">
        <v>8</v>
      </c>
      <c r="Q132" t="s">
        <v>115</v>
      </c>
      <c r="R132" t="s">
        <v>153</v>
      </c>
      <c r="S132" t="s">
        <v>127</v>
      </c>
    </row>
    <row r="133" spans="1:19" x14ac:dyDescent="0.35">
      <c r="A133" t="s">
        <v>341</v>
      </c>
      <c r="B133" t="s">
        <v>218</v>
      </c>
      <c r="C133" t="s">
        <v>120</v>
      </c>
      <c r="D133">
        <v>2.1</v>
      </c>
      <c r="E133">
        <v>22</v>
      </c>
      <c r="F133" t="s">
        <v>58</v>
      </c>
      <c r="G133">
        <v>8</v>
      </c>
      <c r="H133">
        <v>0.7</v>
      </c>
      <c r="I133" t="s">
        <v>156</v>
      </c>
      <c r="J133" t="s">
        <v>203</v>
      </c>
      <c r="K133" t="s">
        <v>152</v>
      </c>
      <c r="L133" t="s">
        <v>141</v>
      </c>
      <c r="M133" t="s">
        <v>134</v>
      </c>
      <c r="N133">
        <v>60</v>
      </c>
      <c r="O133" t="s">
        <v>126</v>
      </c>
      <c r="P133">
        <v>6</v>
      </c>
      <c r="Q133" t="s">
        <v>115</v>
      </c>
      <c r="R133" t="s">
        <v>116</v>
      </c>
      <c r="S133" t="s">
        <v>136</v>
      </c>
    </row>
    <row r="134" spans="1:19" x14ac:dyDescent="0.35">
      <c r="A134" t="s">
        <v>342</v>
      </c>
      <c r="B134" t="s">
        <v>184</v>
      </c>
      <c r="C134" t="s">
        <v>120</v>
      </c>
      <c r="D134">
        <v>1.6</v>
      </c>
      <c r="E134">
        <v>24</v>
      </c>
      <c r="F134" t="s">
        <v>58</v>
      </c>
      <c r="G134">
        <v>2</v>
      </c>
      <c r="H134">
        <v>1.1000000000000001</v>
      </c>
      <c r="I134" t="s">
        <v>130</v>
      </c>
      <c r="J134" t="s">
        <v>258</v>
      </c>
      <c r="K134" t="s">
        <v>124</v>
      </c>
      <c r="L134" t="s">
        <v>192</v>
      </c>
      <c r="M134" t="s">
        <v>159</v>
      </c>
      <c r="N134">
        <v>300</v>
      </c>
      <c r="O134" t="s">
        <v>126</v>
      </c>
      <c r="P134">
        <v>1</v>
      </c>
      <c r="Q134" t="s">
        <v>115</v>
      </c>
      <c r="R134" t="s">
        <v>168</v>
      </c>
      <c r="S134" t="s">
        <v>127</v>
      </c>
    </row>
    <row r="135" spans="1:19" x14ac:dyDescent="0.35">
      <c r="A135" t="s">
        <v>343</v>
      </c>
      <c r="B135" t="s">
        <v>149</v>
      </c>
      <c r="C135" t="s">
        <v>120</v>
      </c>
      <c r="D135">
        <v>8.1999999999999993</v>
      </c>
      <c r="E135">
        <v>17</v>
      </c>
      <c r="F135" t="s">
        <v>63</v>
      </c>
      <c r="G135">
        <v>11</v>
      </c>
      <c r="H135">
        <v>1</v>
      </c>
      <c r="I135" t="s">
        <v>156</v>
      </c>
      <c r="J135" t="s">
        <v>167</v>
      </c>
      <c r="K135" t="s">
        <v>123</v>
      </c>
      <c r="L135" t="s">
        <v>152</v>
      </c>
      <c r="M135" t="s">
        <v>113</v>
      </c>
      <c r="N135">
        <v>29</v>
      </c>
      <c r="O135" t="s">
        <v>201</v>
      </c>
      <c r="P135">
        <v>10</v>
      </c>
      <c r="Q135" t="s">
        <v>135</v>
      </c>
      <c r="R135" t="s">
        <v>168</v>
      </c>
      <c r="S135" t="s">
        <v>127</v>
      </c>
    </row>
    <row r="136" spans="1:19" x14ac:dyDescent="0.35">
      <c r="A136" t="s">
        <v>344</v>
      </c>
      <c r="B136" t="s">
        <v>161</v>
      </c>
      <c r="C136" t="s">
        <v>120</v>
      </c>
      <c r="D136">
        <v>8.5</v>
      </c>
      <c r="E136">
        <v>12</v>
      </c>
      <c r="F136" t="s">
        <v>63</v>
      </c>
      <c r="G136">
        <v>6</v>
      </c>
      <c r="H136">
        <v>0.5</v>
      </c>
      <c r="I136" t="s">
        <v>173</v>
      </c>
      <c r="J136" t="s">
        <v>174</v>
      </c>
      <c r="K136" t="s">
        <v>164</v>
      </c>
      <c r="L136" t="s">
        <v>182</v>
      </c>
      <c r="M136" t="s">
        <v>134</v>
      </c>
      <c r="N136">
        <v>84</v>
      </c>
      <c r="O136" t="s">
        <v>126</v>
      </c>
      <c r="P136">
        <v>4</v>
      </c>
      <c r="Q136" t="s">
        <v>115</v>
      </c>
      <c r="R136" t="s">
        <v>116</v>
      </c>
      <c r="S136" t="s">
        <v>179</v>
      </c>
    </row>
    <row r="137" spans="1:19" x14ac:dyDescent="0.35">
      <c r="A137" t="s">
        <v>345</v>
      </c>
      <c r="B137" t="s">
        <v>218</v>
      </c>
      <c r="C137" t="s">
        <v>108</v>
      </c>
      <c r="D137">
        <v>44.1</v>
      </c>
      <c r="E137">
        <v>33</v>
      </c>
      <c r="F137" t="s">
        <v>60</v>
      </c>
      <c r="G137">
        <v>2</v>
      </c>
      <c r="H137">
        <v>0.8</v>
      </c>
      <c r="I137" t="s">
        <v>121</v>
      </c>
      <c r="J137" t="s">
        <v>122</v>
      </c>
      <c r="K137" t="s">
        <v>277</v>
      </c>
      <c r="L137" t="s">
        <v>152</v>
      </c>
      <c r="M137" t="s">
        <v>113</v>
      </c>
      <c r="N137">
        <v>18</v>
      </c>
      <c r="O137" t="s">
        <v>126</v>
      </c>
      <c r="P137">
        <v>9</v>
      </c>
      <c r="Q137" t="s">
        <v>115</v>
      </c>
      <c r="R137" t="s">
        <v>116</v>
      </c>
      <c r="S137" t="s">
        <v>117</v>
      </c>
    </row>
    <row r="138" spans="1:19" x14ac:dyDescent="0.35">
      <c r="A138" t="s">
        <v>346</v>
      </c>
      <c r="B138" t="s">
        <v>176</v>
      </c>
      <c r="C138" t="s">
        <v>108</v>
      </c>
      <c r="D138">
        <v>31</v>
      </c>
      <c r="E138">
        <v>41</v>
      </c>
      <c r="F138" t="s">
        <v>65</v>
      </c>
      <c r="G138">
        <v>9</v>
      </c>
      <c r="H138">
        <v>0</v>
      </c>
      <c r="I138" t="s">
        <v>121</v>
      </c>
      <c r="J138" t="s">
        <v>255</v>
      </c>
      <c r="K138" t="s">
        <v>178</v>
      </c>
      <c r="L138" t="s">
        <v>228</v>
      </c>
      <c r="M138" t="s">
        <v>134</v>
      </c>
      <c r="N138">
        <v>74</v>
      </c>
      <c r="O138" t="s">
        <v>126</v>
      </c>
      <c r="P138">
        <v>3</v>
      </c>
      <c r="Q138" t="s">
        <v>115</v>
      </c>
      <c r="R138" t="s">
        <v>116</v>
      </c>
      <c r="S138" t="s">
        <v>117</v>
      </c>
    </row>
    <row r="139" spans="1:19" x14ac:dyDescent="0.35">
      <c r="A139" t="s">
        <v>347</v>
      </c>
      <c r="B139" t="s">
        <v>155</v>
      </c>
      <c r="C139" t="s">
        <v>108</v>
      </c>
      <c r="D139">
        <v>35.6</v>
      </c>
      <c r="E139">
        <v>19</v>
      </c>
      <c r="F139" t="s">
        <v>58</v>
      </c>
      <c r="G139">
        <v>4</v>
      </c>
      <c r="H139">
        <v>1</v>
      </c>
      <c r="I139" t="s">
        <v>156</v>
      </c>
      <c r="J139" t="s">
        <v>157</v>
      </c>
      <c r="K139" t="s">
        <v>112</v>
      </c>
      <c r="L139" t="s">
        <v>195</v>
      </c>
      <c r="M139" t="s">
        <v>113</v>
      </c>
      <c r="N139">
        <v>27</v>
      </c>
      <c r="O139" t="s">
        <v>126</v>
      </c>
      <c r="P139">
        <v>8</v>
      </c>
      <c r="Q139" t="s">
        <v>115</v>
      </c>
      <c r="R139" t="s">
        <v>116</v>
      </c>
      <c r="S139" t="s">
        <v>142</v>
      </c>
    </row>
    <row r="140" spans="1:19" x14ac:dyDescent="0.35">
      <c r="A140" t="s">
        <v>348</v>
      </c>
      <c r="B140" t="s">
        <v>197</v>
      </c>
      <c r="C140" t="s">
        <v>120</v>
      </c>
      <c r="D140">
        <v>9.1999999999999993</v>
      </c>
      <c r="E140">
        <v>11</v>
      </c>
      <c r="F140" t="s">
        <v>60</v>
      </c>
      <c r="G140">
        <v>2</v>
      </c>
      <c r="H140">
        <v>0.6</v>
      </c>
      <c r="I140" t="s">
        <v>246</v>
      </c>
      <c r="J140" t="s">
        <v>247</v>
      </c>
      <c r="K140" t="s">
        <v>178</v>
      </c>
      <c r="L140" t="s">
        <v>199</v>
      </c>
      <c r="M140" t="s">
        <v>134</v>
      </c>
      <c r="N140">
        <v>67</v>
      </c>
      <c r="O140" t="s">
        <v>114</v>
      </c>
      <c r="P140">
        <v>5</v>
      </c>
      <c r="Q140" t="s">
        <v>115</v>
      </c>
      <c r="R140" t="s">
        <v>168</v>
      </c>
      <c r="S140" t="s">
        <v>117</v>
      </c>
    </row>
    <row r="141" spans="1:19" x14ac:dyDescent="0.35">
      <c r="A141" t="s">
        <v>349</v>
      </c>
      <c r="B141" t="s">
        <v>119</v>
      </c>
      <c r="C141" t="s">
        <v>120</v>
      </c>
      <c r="D141">
        <v>9.4</v>
      </c>
      <c r="E141">
        <v>15</v>
      </c>
      <c r="F141" t="s">
        <v>60</v>
      </c>
      <c r="G141">
        <v>4</v>
      </c>
      <c r="H141">
        <v>1.5</v>
      </c>
      <c r="I141" t="s">
        <v>150</v>
      </c>
      <c r="J141" t="s">
        <v>151</v>
      </c>
      <c r="K141" t="s">
        <v>124</v>
      </c>
      <c r="L141" t="s">
        <v>123</v>
      </c>
      <c r="M141" t="s">
        <v>134</v>
      </c>
      <c r="N141">
        <v>72</v>
      </c>
      <c r="O141" t="s">
        <v>114</v>
      </c>
      <c r="P141">
        <v>6</v>
      </c>
      <c r="Q141" t="s">
        <v>214</v>
      </c>
      <c r="R141" t="s">
        <v>116</v>
      </c>
      <c r="S141" t="s">
        <v>179</v>
      </c>
    </row>
    <row r="142" spans="1:19" x14ac:dyDescent="0.35">
      <c r="A142" t="s">
        <v>350</v>
      </c>
      <c r="B142" t="s">
        <v>138</v>
      </c>
      <c r="C142" t="s">
        <v>120</v>
      </c>
      <c r="D142">
        <v>4.7</v>
      </c>
      <c r="E142">
        <v>28</v>
      </c>
      <c r="F142" t="s">
        <v>65</v>
      </c>
      <c r="G142">
        <v>11</v>
      </c>
      <c r="H142">
        <v>0.9</v>
      </c>
      <c r="I142" t="s">
        <v>130</v>
      </c>
      <c r="J142" t="s">
        <v>131</v>
      </c>
      <c r="K142" t="s">
        <v>111</v>
      </c>
      <c r="L142" t="s">
        <v>141</v>
      </c>
      <c r="M142" t="s">
        <v>113</v>
      </c>
      <c r="N142">
        <v>5</v>
      </c>
      <c r="O142" t="s">
        <v>126</v>
      </c>
      <c r="P142">
        <v>14</v>
      </c>
      <c r="Q142" t="s">
        <v>115</v>
      </c>
      <c r="R142" t="s">
        <v>168</v>
      </c>
      <c r="S142" t="s">
        <v>169</v>
      </c>
    </row>
    <row r="143" spans="1:19" x14ac:dyDescent="0.35">
      <c r="A143" t="s">
        <v>351</v>
      </c>
      <c r="B143" t="s">
        <v>197</v>
      </c>
      <c r="C143" t="s">
        <v>120</v>
      </c>
      <c r="D143">
        <v>4.2</v>
      </c>
      <c r="E143">
        <v>29</v>
      </c>
      <c r="F143" t="s">
        <v>66</v>
      </c>
      <c r="G143">
        <v>4</v>
      </c>
      <c r="H143">
        <v>0.6</v>
      </c>
      <c r="I143" t="s">
        <v>150</v>
      </c>
      <c r="J143" t="s">
        <v>151</v>
      </c>
      <c r="K143" t="s">
        <v>178</v>
      </c>
      <c r="L143" t="s">
        <v>200</v>
      </c>
      <c r="M143" t="s">
        <v>113</v>
      </c>
      <c r="N143">
        <v>22</v>
      </c>
      <c r="O143" t="s">
        <v>201</v>
      </c>
      <c r="P143">
        <v>10</v>
      </c>
      <c r="Q143" t="s">
        <v>115</v>
      </c>
      <c r="R143" t="s">
        <v>153</v>
      </c>
      <c r="S143" t="s">
        <v>127</v>
      </c>
    </row>
    <row r="144" spans="1:19" x14ac:dyDescent="0.35">
      <c r="A144" t="s">
        <v>352</v>
      </c>
      <c r="B144" t="s">
        <v>189</v>
      </c>
      <c r="C144" t="s">
        <v>108</v>
      </c>
      <c r="D144">
        <v>12.7</v>
      </c>
      <c r="E144">
        <v>19</v>
      </c>
      <c r="F144" t="s">
        <v>63</v>
      </c>
      <c r="G144">
        <v>4</v>
      </c>
      <c r="H144">
        <v>0.5</v>
      </c>
      <c r="I144" t="s">
        <v>139</v>
      </c>
      <c r="J144" t="s">
        <v>140</v>
      </c>
      <c r="K144" t="s">
        <v>182</v>
      </c>
      <c r="L144" t="s">
        <v>209</v>
      </c>
      <c r="M144" t="s">
        <v>113</v>
      </c>
      <c r="N144">
        <v>21</v>
      </c>
      <c r="O144" t="s">
        <v>126</v>
      </c>
      <c r="P144">
        <v>14</v>
      </c>
      <c r="Q144" t="s">
        <v>135</v>
      </c>
      <c r="R144" t="s">
        <v>168</v>
      </c>
      <c r="S144" t="s">
        <v>127</v>
      </c>
    </row>
    <row r="145" spans="1:19" x14ac:dyDescent="0.35">
      <c r="A145" t="s">
        <v>353</v>
      </c>
      <c r="B145" t="s">
        <v>218</v>
      </c>
      <c r="C145" t="s">
        <v>120</v>
      </c>
      <c r="D145">
        <v>7.1</v>
      </c>
      <c r="E145">
        <v>12</v>
      </c>
      <c r="F145" t="s">
        <v>58</v>
      </c>
      <c r="G145">
        <v>3</v>
      </c>
      <c r="H145">
        <v>0.8</v>
      </c>
      <c r="I145" t="s">
        <v>162</v>
      </c>
      <c r="J145" t="s">
        <v>198</v>
      </c>
      <c r="K145" t="s">
        <v>152</v>
      </c>
      <c r="L145" t="s">
        <v>277</v>
      </c>
      <c r="M145" t="s">
        <v>159</v>
      </c>
      <c r="N145">
        <v>228</v>
      </c>
      <c r="O145" t="s">
        <v>126</v>
      </c>
      <c r="P145">
        <v>1</v>
      </c>
      <c r="Q145" t="s">
        <v>115</v>
      </c>
      <c r="R145" t="s">
        <v>168</v>
      </c>
      <c r="S145" t="s">
        <v>136</v>
      </c>
    </row>
    <row r="146" spans="1:19" x14ac:dyDescent="0.35">
      <c r="A146" t="s">
        <v>354</v>
      </c>
      <c r="B146" t="s">
        <v>184</v>
      </c>
      <c r="C146" t="s">
        <v>108</v>
      </c>
      <c r="D146">
        <v>37.5</v>
      </c>
      <c r="E146">
        <v>20</v>
      </c>
      <c r="F146" t="s">
        <v>58</v>
      </c>
      <c r="G146">
        <v>6</v>
      </c>
      <c r="H146">
        <v>0.7</v>
      </c>
      <c r="I146" t="s">
        <v>246</v>
      </c>
      <c r="J146" t="s">
        <v>264</v>
      </c>
      <c r="K146" t="s">
        <v>192</v>
      </c>
      <c r="L146" t="s">
        <v>124</v>
      </c>
      <c r="M146" t="s">
        <v>113</v>
      </c>
      <c r="N146">
        <v>22</v>
      </c>
      <c r="O146" t="s">
        <v>126</v>
      </c>
      <c r="P146">
        <v>11</v>
      </c>
      <c r="Q146" t="s">
        <v>115</v>
      </c>
      <c r="R146" t="s">
        <v>153</v>
      </c>
      <c r="S146" t="s">
        <v>147</v>
      </c>
    </row>
    <row r="147" spans="1:19" x14ac:dyDescent="0.35">
      <c r="A147" t="s">
        <v>355</v>
      </c>
      <c r="B147" t="s">
        <v>184</v>
      </c>
      <c r="C147" t="s">
        <v>108</v>
      </c>
      <c r="D147">
        <v>31.2</v>
      </c>
      <c r="E147">
        <v>32</v>
      </c>
      <c r="F147" t="s">
        <v>58</v>
      </c>
      <c r="G147">
        <v>2</v>
      </c>
      <c r="H147">
        <v>1.1000000000000001</v>
      </c>
      <c r="I147" t="s">
        <v>130</v>
      </c>
      <c r="J147" t="s">
        <v>208</v>
      </c>
      <c r="K147" t="s">
        <v>124</v>
      </c>
      <c r="L147" t="s">
        <v>187</v>
      </c>
      <c r="M147" t="s">
        <v>113</v>
      </c>
      <c r="N147">
        <v>28</v>
      </c>
      <c r="O147" t="s">
        <v>126</v>
      </c>
      <c r="P147">
        <v>10</v>
      </c>
      <c r="Q147" t="s">
        <v>115</v>
      </c>
      <c r="R147" t="s">
        <v>116</v>
      </c>
      <c r="S147" t="s">
        <v>179</v>
      </c>
    </row>
    <row r="148" spans="1:19" x14ac:dyDescent="0.35">
      <c r="A148" t="s">
        <v>356</v>
      </c>
      <c r="B148" t="s">
        <v>218</v>
      </c>
      <c r="C148" t="s">
        <v>120</v>
      </c>
      <c r="D148">
        <v>1.2</v>
      </c>
      <c r="E148">
        <v>24</v>
      </c>
      <c r="F148" t="s">
        <v>60</v>
      </c>
      <c r="G148">
        <v>11</v>
      </c>
      <c r="H148">
        <v>1</v>
      </c>
      <c r="I148" t="s">
        <v>246</v>
      </c>
      <c r="J148" t="s">
        <v>250</v>
      </c>
      <c r="K148" t="s">
        <v>277</v>
      </c>
      <c r="L148" t="s">
        <v>141</v>
      </c>
      <c r="M148" t="s">
        <v>159</v>
      </c>
      <c r="N148">
        <v>262</v>
      </c>
      <c r="O148" t="s">
        <v>126</v>
      </c>
      <c r="P148">
        <v>1</v>
      </c>
      <c r="Q148" t="s">
        <v>214</v>
      </c>
      <c r="R148" t="s">
        <v>116</v>
      </c>
      <c r="S148" t="s">
        <v>117</v>
      </c>
    </row>
    <row r="149" spans="1:19" x14ac:dyDescent="0.35">
      <c r="A149" t="s">
        <v>357</v>
      </c>
      <c r="B149" t="s">
        <v>189</v>
      </c>
      <c r="C149" t="s">
        <v>120</v>
      </c>
      <c r="D149">
        <v>6</v>
      </c>
      <c r="E149">
        <v>19</v>
      </c>
      <c r="F149" t="s">
        <v>56</v>
      </c>
      <c r="G149">
        <v>4</v>
      </c>
      <c r="H149">
        <v>0.7</v>
      </c>
      <c r="I149" t="s">
        <v>139</v>
      </c>
      <c r="J149" t="s">
        <v>239</v>
      </c>
      <c r="K149" t="s">
        <v>209</v>
      </c>
      <c r="L149" t="s">
        <v>190</v>
      </c>
      <c r="M149" t="s">
        <v>113</v>
      </c>
      <c r="N149">
        <v>23</v>
      </c>
      <c r="O149" t="s">
        <v>126</v>
      </c>
      <c r="P149">
        <v>9</v>
      </c>
      <c r="Q149" t="s">
        <v>115</v>
      </c>
      <c r="R149" t="s">
        <v>116</v>
      </c>
      <c r="S149" t="s">
        <v>127</v>
      </c>
    </row>
    <row r="150" spans="1:19" x14ac:dyDescent="0.35">
      <c r="A150" t="s">
        <v>358</v>
      </c>
      <c r="B150" t="s">
        <v>155</v>
      </c>
      <c r="C150" t="s">
        <v>120</v>
      </c>
      <c r="D150">
        <v>6.2</v>
      </c>
      <c r="E150">
        <v>8</v>
      </c>
      <c r="F150" t="s">
        <v>56</v>
      </c>
      <c r="G150">
        <v>5</v>
      </c>
      <c r="H150">
        <v>0.9</v>
      </c>
      <c r="I150" t="s">
        <v>173</v>
      </c>
      <c r="J150" t="s">
        <v>174</v>
      </c>
      <c r="K150" t="s">
        <v>195</v>
      </c>
      <c r="L150" t="s">
        <v>158</v>
      </c>
      <c r="M150" t="s">
        <v>134</v>
      </c>
      <c r="N150">
        <v>80</v>
      </c>
      <c r="O150" t="s">
        <v>126</v>
      </c>
      <c r="P150">
        <v>6</v>
      </c>
      <c r="Q150" t="s">
        <v>115</v>
      </c>
      <c r="R150" t="s">
        <v>168</v>
      </c>
      <c r="S150" t="s">
        <v>147</v>
      </c>
    </row>
    <row r="151" spans="1:19" x14ac:dyDescent="0.35">
      <c r="A151" t="s">
        <v>359</v>
      </c>
      <c r="B151" t="s">
        <v>218</v>
      </c>
      <c r="C151" t="s">
        <v>108</v>
      </c>
      <c r="D151">
        <v>38.9</v>
      </c>
      <c r="E151">
        <v>41</v>
      </c>
      <c r="F151" t="s">
        <v>56</v>
      </c>
      <c r="G151">
        <v>8</v>
      </c>
      <c r="H151">
        <v>1.1000000000000001</v>
      </c>
      <c r="I151" t="s">
        <v>121</v>
      </c>
      <c r="J151" t="s">
        <v>122</v>
      </c>
      <c r="K151" t="s">
        <v>277</v>
      </c>
      <c r="L151" t="s">
        <v>141</v>
      </c>
      <c r="M151" t="s">
        <v>159</v>
      </c>
      <c r="N151">
        <v>169</v>
      </c>
      <c r="O151" t="s">
        <v>114</v>
      </c>
      <c r="P151">
        <v>1</v>
      </c>
      <c r="Q151" t="s">
        <v>214</v>
      </c>
      <c r="R151" t="s">
        <v>116</v>
      </c>
      <c r="S151" t="s">
        <v>147</v>
      </c>
    </row>
    <row r="152" spans="1:19" x14ac:dyDescent="0.35">
      <c r="A152" t="s">
        <v>360</v>
      </c>
      <c r="B152" t="s">
        <v>197</v>
      </c>
      <c r="C152" t="s">
        <v>120</v>
      </c>
      <c r="D152">
        <v>8.8000000000000007</v>
      </c>
      <c r="E152">
        <v>20</v>
      </c>
      <c r="F152" t="s">
        <v>65</v>
      </c>
      <c r="G152">
        <v>9</v>
      </c>
      <c r="H152">
        <v>1.5</v>
      </c>
      <c r="I152" t="s">
        <v>173</v>
      </c>
      <c r="J152" t="s">
        <v>216</v>
      </c>
      <c r="K152" t="s">
        <v>199</v>
      </c>
      <c r="L152" t="s">
        <v>200</v>
      </c>
      <c r="M152" t="s">
        <v>134</v>
      </c>
      <c r="N152">
        <v>73</v>
      </c>
      <c r="O152" t="s">
        <v>126</v>
      </c>
      <c r="P152">
        <v>5</v>
      </c>
      <c r="Q152" t="s">
        <v>135</v>
      </c>
      <c r="R152" t="s">
        <v>153</v>
      </c>
      <c r="S152" t="s">
        <v>127</v>
      </c>
    </row>
    <row r="153" spans="1:19" x14ac:dyDescent="0.35">
      <c r="A153" t="s">
        <v>361</v>
      </c>
      <c r="B153" t="s">
        <v>149</v>
      </c>
      <c r="C153" t="s">
        <v>120</v>
      </c>
      <c r="D153">
        <v>2</v>
      </c>
      <c r="E153">
        <v>26</v>
      </c>
      <c r="F153" t="s">
        <v>56</v>
      </c>
      <c r="G153">
        <v>7</v>
      </c>
      <c r="H153">
        <v>0.4</v>
      </c>
      <c r="I153" t="s">
        <v>162</v>
      </c>
      <c r="J153" t="s">
        <v>198</v>
      </c>
      <c r="K153" t="s">
        <v>152</v>
      </c>
      <c r="L153" t="s">
        <v>123</v>
      </c>
      <c r="M153" t="s">
        <v>113</v>
      </c>
      <c r="N153">
        <v>19</v>
      </c>
      <c r="O153" t="s">
        <v>126</v>
      </c>
      <c r="P153">
        <v>13</v>
      </c>
      <c r="Q153" t="s">
        <v>135</v>
      </c>
      <c r="R153" t="s">
        <v>153</v>
      </c>
      <c r="S153" t="s">
        <v>179</v>
      </c>
    </row>
    <row r="154" spans="1:19" x14ac:dyDescent="0.35">
      <c r="A154" t="s">
        <v>362</v>
      </c>
      <c r="B154" t="s">
        <v>218</v>
      </c>
      <c r="C154" t="s">
        <v>108</v>
      </c>
      <c r="D154">
        <v>31.1</v>
      </c>
      <c r="E154">
        <v>34</v>
      </c>
      <c r="F154" t="s">
        <v>65</v>
      </c>
      <c r="G154">
        <v>9</v>
      </c>
      <c r="H154">
        <v>0.9</v>
      </c>
      <c r="I154" t="s">
        <v>162</v>
      </c>
      <c r="J154" t="s">
        <v>198</v>
      </c>
      <c r="K154" t="s">
        <v>152</v>
      </c>
      <c r="L154" t="s">
        <v>141</v>
      </c>
      <c r="M154" t="s">
        <v>113</v>
      </c>
      <c r="N154">
        <v>30</v>
      </c>
      <c r="O154" t="s">
        <v>126</v>
      </c>
      <c r="P154">
        <v>8</v>
      </c>
      <c r="Q154" t="s">
        <v>115</v>
      </c>
      <c r="R154" t="s">
        <v>116</v>
      </c>
      <c r="S154" t="s">
        <v>127</v>
      </c>
    </row>
    <row r="155" spans="1:19" x14ac:dyDescent="0.35">
      <c r="A155" t="s">
        <v>363</v>
      </c>
      <c r="B155" t="s">
        <v>176</v>
      </c>
      <c r="C155" t="s">
        <v>120</v>
      </c>
      <c r="D155">
        <v>1.1000000000000001</v>
      </c>
      <c r="E155">
        <v>28</v>
      </c>
      <c r="F155" t="s">
        <v>65</v>
      </c>
      <c r="G155">
        <v>5</v>
      </c>
      <c r="H155">
        <v>1.4</v>
      </c>
      <c r="I155" t="s">
        <v>162</v>
      </c>
      <c r="J155" t="s">
        <v>163</v>
      </c>
      <c r="K155" t="s">
        <v>124</v>
      </c>
      <c r="L155" t="s">
        <v>178</v>
      </c>
      <c r="M155" t="s">
        <v>113</v>
      </c>
      <c r="N155">
        <v>27</v>
      </c>
      <c r="O155" t="s">
        <v>114</v>
      </c>
      <c r="P155">
        <v>8</v>
      </c>
      <c r="Q155" t="s">
        <v>115</v>
      </c>
      <c r="R155" t="s">
        <v>168</v>
      </c>
      <c r="S155" t="s">
        <v>193</v>
      </c>
    </row>
    <row r="156" spans="1:19" x14ac:dyDescent="0.35">
      <c r="A156" t="s">
        <v>364</v>
      </c>
      <c r="B156" t="s">
        <v>149</v>
      </c>
      <c r="C156" t="s">
        <v>120</v>
      </c>
      <c r="D156">
        <v>6.7</v>
      </c>
      <c r="E156">
        <v>19</v>
      </c>
      <c r="F156" t="s">
        <v>56</v>
      </c>
      <c r="G156">
        <v>12</v>
      </c>
      <c r="H156">
        <v>0.9</v>
      </c>
      <c r="I156" t="s">
        <v>185</v>
      </c>
      <c r="J156" t="s">
        <v>225</v>
      </c>
      <c r="K156" t="s">
        <v>211</v>
      </c>
      <c r="L156" t="s">
        <v>123</v>
      </c>
      <c r="M156" t="s">
        <v>159</v>
      </c>
      <c r="N156">
        <v>293</v>
      </c>
      <c r="O156" t="s">
        <v>126</v>
      </c>
      <c r="P156">
        <v>2</v>
      </c>
      <c r="Q156" t="s">
        <v>115</v>
      </c>
      <c r="R156" t="s">
        <v>116</v>
      </c>
      <c r="S156" t="s">
        <v>193</v>
      </c>
    </row>
    <row r="157" spans="1:19" x14ac:dyDescent="0.35">
      <c r="A157" t="s">
        <v>365</v>
      </c>
      <c r="B157" t="s">
        <v>129</v>
      </c>
      <c r="C157" t="s">
        <v>120</v>
      </c>
      <c r="D157">
        <v>8.1999999999999993</v>
      </c>
      <c r="E157">
        <v>28</v>
      </c>
      <c r="F157" t="s">
        <v>60</v>
      </c>
      <c r="G157">
        <v>8</v>
      </c>
      <c r="H157">
        <v>1.1000000000000001</v>
      </c>
      <c r="I157" t="s">
        <v>205</v>
      </c>
      <c r="J157" t="s">
        <v>298</v>
      </c>
      <c r="K157" t="s">
        <v>133</v>
      </c>
      <c r="L157" t="s">
        <v>164</v>
      </c>
      <c r="M157" t="s">
        <v>113</v>
      </c>
      <c r="N157">
        <v>13</v>
      </c>
      <c r="O157" t="s">
        <v>201</v>
      </c>
      <c r="P157">
        <v>13</v>
      </c>
      <c r="Q157" t="s">
        <v>115</v>
      </c>
      <c r="R157" t="s">
        <v>116</v>
      </c>
      <c r="S157" t="s">
        <v>142</v>
      </c>
    </row>
    <row r="158" spans="1:19" x14ac:dyDescent="0.35">
      <c r="A158" t="s">
        <v>366</v>
      </c>
      <c r="B158" t="s">
        <v>176</v>
      </c>
      <c r="C158" t="s">
        <v>108</v>
      </c>
      <c r="D158">
        <v>44.7</v>
      </c>
      <c r="E158">
        <v>40</v>
      </c>
      <c r="F158" t="s">
        <v>58</v>
      </c>
      <c r="G158">
        <v>3</v>
      </c>
      <c r="H158">
        <v>1.1000000000000001</v>
      </c>
      <c r="I158" t="s">
        <v>246</v>
      </c>
      <c r="J158" t="s">
        <v>247</v>
      </c>
      <c r="K158" t="s">
        <v>228</v>
      </c>
      <c r="L158" t="s">
        <v>178</v>
      </c>
      <c r="M158" t="s">
        <v>159</v>
      </c>
      <c r="N158">
        <v>171</v>
      </c>
      <c r="O158" t="s">
        <v>126</v>
      </c>
      <c r="P158">
        <v>2</v>
      </c>
      <c r="Q158" t="s">
        <v>115</v>
      </c>
      <c r="R158" t="s">
        <v>153</v>
      </c>
      <c r="S158" t="s">
        <v>136</v>
      </c>
    </row>
    <row r="159" spans="1:19" x14ac:dyDescent="0.35">
      <c r="A159" t="s">
        <v>367</v>
      </c>
      <c r="B159" t="s">
        <v>129</v>
      </c>
      <c r="C159" t="s">
        <v>120</v>
      </c>
      <c r="D159">
        <v>6.7</v>
      </c>
      <c r="E159">
        <v>6</v>
      </c>
      <c r="F159" t="s">
        <v>65</v>
      </c>
      <c r="G159">
        <v>11</v>
      </c>
      <c r="H159">
        <v>0.5</v>
      </c>
      <c r="I159" t="s">
        <v>139</v>
      </c>
      <c r="J159" t="s">
        <v>239</v>
      </c>
      <c r="K159" t="s">
        <v>133</v>
      </c>
      <c r="L159" t="s">
        <v>164</v>
      </c>
      <c r="M159" t="s">
        <v>113</v>
      </c>
      <c r="N159">
        <v>10</v>
      </c>
      <c r="O159" t="s">
        <v>126</v>
      </c>
      <c r="P159">
        <v>8</v>
      </c>
      <c r="Q159" t="s">
        <v>135</v>
      </c>
      <c r="R159" t="s">
        <v>116</v>
      </c>
      <c r="S159" t="s">
        <v>117</v>
      </c>
    </row>
    <row r="160" spans="1:19" x14ac:dyDescent="0.35">
      <c r="A160" t="s">
        <v>368</v>
      </c>
      <c r="B160" t="s">
        <v>197</v>
      </c>
      <c r="C160" t="s">
        <v>120</v>
      </c>
      <c r="D160">
        <v>4.2</v>
      </c>
      <c r="E160">
        <v>12</v>
      </c>
      <c r="F160" t="s">
        <v>58</v>
      </c>
      <c r="G160">
        <v>3</v>
      </c>
      <c r="H160">
        <v>0.7</v>
      </c>
      <c r="I160" t="s">
        <v>185</v>
      </c>
      <c r="J160" t="s">
        <v>311</v>
      </c>
      <c r="K160" t="s">
        <v>200</v>
      </c>
      <c r="L160" t="s">
        <v>199</v>
      </c>
      <c r="M160" t="s">
        <v>134</v>
      </c>
      <c r="N160">
        <v>76</v>
      </c>
      <c r="O160" t="s">
        <v>126</v>
      </c>
      <c r="P160">
        <v>4</v>
      </c>
      <c r="Q160" t="s">
        <v>115</v>
      </c>
      <c r="R160" t="s">
        <v>65</v>
      </c>
      <c r="S160" t="s">
        <v>142</v>
      </c>
    </row>
    <row r="161" spans="1:19" x14ac:dyDescent="0.35">
      <c r="A161" t="s">
        <v>369</v>
      </c>
      <c r="B161" t="s">
        <v>107</v>
      </c>
      <c r="C161" t="s">
        <v>120</v>
      </c>
      <c r="D161">
        <v>8.9</v>
      </c>
      <c r="E161">
        <v>10</v>
      </c>
      <c r="F161" t="s">
        <v>58</v>
      </c>
      <c r="G161">
        <v>10</v>
      </c>
      <c r="H161">
        <v>1.1000000000000001</v>
      </c>
      <c r="I161" t="s">
        <v>173</v>
      </c>
      <c r="J161" t="s">
        <v>216</v>
      </c>
      <c r="K161" t="s">
        <v>112</v>
      </c>
      <c r="L161" t="s">
        <v>111</v>
      </c>
      <c r="M161" t="s">
        <v>134</v>
      </c>
      <c r="N161">
        <v>78</v>
      </c>
      <c r="O161" t="s">
        <v>201</v>
      </c>
      <c r="P161">
        <v>6</v>
      </c>
      <c r="Q161" t="s">
        <v>115</v>
      </c>
      <c r="R161" t="s">
        <v>168</v>
      </c>
      <c r="S161" t="s">
        <v>193</v>
      </c>
    </row>
    <row r="162" spans="1:19" x14ac:dyDescent="0.35">
      <c r="A162" t="s">
        <v>370</v>
      </c>
      <c r="B162" t="s">
        <v>129</v>
      </c>
      <c r="C162" t="s">
        <v>120</v>
      </c>
      <c r="D162">
        <v>7.9</v>
      </c>
      <c r="E162">
        <v>5</v>
      </c>
      <c r="F162" t="s">
        <v>60</v>
      </c>
      <c r="G162">
        <v>5</v>
      </c>
      <c r="H162">
        <v>0.7</v>
      </c>
      <c r="I162" t="s">
        <v>173</v>
      </c>
      <c r="J162" t="s">
        <v>174</v>
      </c>
      <c r="K162" t="s">
        <v>132</v>
      </c>
      <c r="L162" t="s">
        <v>164</v>
      </c>
      <c r="M162" t="s">
        <v>134</v>
      </c>
      <c r="N162">
        <v>81</v>
      </c>
      <c r="O162" t="s">
        <v>114</v>
      </c>
      <c r="P162">
        <v>3</v>
      </c>
      <c r="Q162" t="s">
        <v>135</v>
      </c>
      <c r="R162" t="s">
        <v>116</v>
      </c>
      <c r="S162" t="s">
        <v>142</v>
      </c>
    </row>
    <row r="163" spans="1:19" x14ac:dyDescent="0.35">
      <c r="A163" t="s">
        <v>371</v>
      </c>
      <c r="B163" t="s">
        <v>129</v>
      </c>
      <c r="C163" t="s">
        <v>108</v>
      </c>
      <c r="D163">
        <v>49</v>
      </c>
      <c r="E163">
        <v>35</v>
      </c>
      <c r="F163" t="s">
        <v>65</v>
      </c>
      <c r="G163">
        <v>5</v>
      </c>
      <c r="H163">
        <v>1</v>
      </c>
      <c r="I163" t="s">
        <v>205</v>
      </c>
      <c r="J163" t="s">
        <v>298</v>
      </c>
      <c r="K163" t="s">
        <v>132</v>
      </c>
      <c r="L163" t="s">
        <v>133</v>
      </c>
      <c r="M163" t="s">
        <v>113</v>
      </c>
      <c r="N163">
        <v>29</v>
      </c>
      <c r="O163" t="s">
        <v>126</v>
      </c>
      <c r="P163">
        <v>8</v>
      </c>
      <c r="Q163" t="s">
        <v>115</v>
      </c>
      <c r="R163" t="s">
        <v>116</v>
      </c>
      <c r="S163" t="s">
        <v>117</v>
      </c>
    </row>
    <row r="164" spans="1:19" x14ac:dyDescent="0.35">
      <c r="A164" t="s">
        <v>372</v>
      </c>
      <c r="B164" t="s">
        <v>189</v>
      </c>
      <c r="C164" t="s">
        <v>108</v>
      </c>
      <c r="D164">
        <v>43.5</v>
      </c>
      <c r="E164">
        <v>43</v>
      </c>
      <c r="F164" t="s">
        <v>56</v>
      </c>
      <c r="G164">
        <v>7</v>
      </c>
      <c r="H164">
        <v>1.5</v>
      </c>
      <c r="I164" t="s">
        <v>109</v>
      </c>
      <c r="J164" t="s">
        <v>110</v>
      </c>
      <c r="K164" t="s">
        <v>209</v>
      </c>
      <c r="L164" t="s">
        <v>190</v>
      </c>
      <c r="M164" t="s">
        <v>134</v>
      </c>
      <c r="N164">
        <v>95</v>
      </c>
      <c r="O164" t="s">
        <v>126</v>
      </c>
      <c r="P164">
        <v>4</v>
      </c>
      <c r="Q164" t="s">
        <v>115</v>
      </c>
      <c r="R164" t="s">
        <v>116</v>
      </c>
      <c r="S164" t="s">
        <v>127</v>
      </c>
    </row>
    <row r="165" spans="1:19" x14ac:dyDescent="0.35">
      <c r="A165" t="s">
        <v>373</v>
      </c>
      <c r="B165" t="s">
        <v>138</v>
      </c>
      <c r="C165" t="s">
        <v>120</v>
      </c>
      <c r="D165">
        <v>8.6999999999999993</v>
      </c>
      <c r="E165">
        <v>19</v>
      </c>
      <c r="F165" t="s">
        <v>65</v>
      </c>
      <c r="G165">
        <v>3</v>
      </c>
      <c r="H165">
        <v>1.1000000000000001</v>
      </c>
      <c r="I165" t="s">
        <v>205</v>
      </c>
      <c r="J165" t="s">
        <v>206</v>
      </c>
      <c r="K165" t="s">
        <v>146</v>
      </c>
      <c r="L165" t="s">
        <v>141</v>
      </c>
      <c r="M165" t="s">
        <v>134</v>
      </c>
      <c r="N165">
        <v>91</v>
      </c>
      <c r="O165" t="s">
        <v>126</v>
      </c>
      <c r="P165">
        <v>3</v>
      </c>
      <c r="Q165" t="s">
        <v>135</v>
      </c>
      <c r="R165" t="s">
        <v>116</v>
      </c>
      <c r="S165" t="s">
        <v>142</v>
      </c>
    </row>
    <row r="166" spans="1:19" x14ac:dyDescent="0.35">
      <c r="A166" t="s">
        <v>374</v>
      </c>
      <c r="B166" t="s">
        <v>218</v>
      </c>
      <c r="C166" t="s">
        <v>120</v>
      </c>
      <c r="D166">
        <v>5.9</v>
      </c>
      <c r="E166">
        <v>27</v>
      </c>
      <c r="F166" t="s">
        <v>65</v>
      </c>
      <c r="G166">
        <v>8</v>
      </c>
      <c r="H166">
        <v>0.7</v>
      </c>
      <c r="I166" t="s">
        <v>156</v>
      </c>
      <c r="J166" t="s">
        <v>167</v>
      </c>
      <c r="K166" t="s">
        <v>277</v>
      </c>
      <c r="L166" t="s">
        <v>152</v>
      </c>
      <c r="M166" t="s">
        <v>113</v>
      </c>
      <c r="N166">
        <v>7</v>
      </c>
      <c r="O166" t="s">
        <v>126</v>
      </c>
      <c r="P166">
        <v>12</v>
      </c>
      <c r="Q166" t="s">
        <v>115</v>
      </c>
      <c r="R166" t="s">
        <v>168</v>
      </c>
      <c r="S166" t="s">
        <v>193</v>
      </c>
    </row>
    <row r="167" spans="1:19" x14ac:dyDescent="0.35">
      <c r="A167" t="s">
        <v>375</v>
      </c>
      <c r="B167" t="s">
        <v>119</v>
      </c>
      <c r="C167" t="s">
        <v>120</v>
      </c>
      <c r="D167">
        <v>9.9</v>
      </c>
      <c r="E167">
        <v>11</v>
      </c>
      <c r="F167" t="s">
        <v>56</v>
      </c>
      <c r="G167">
        <v>7</v>
      </c>
      <c r="H167">
        <v>1.3</v>
      </c>
      <c r="I167" t="s">
        <v>173</v>
      </c>
      <c r="J167" t="s">
        <v>216</v>
      </c>
      <c r="K167" t="s">
        <v>124</v>
      </c>
      <c r="L167" t="s">
        <v>141</v>
      </c>
      <c r="M167" t="s">
        <v>113</v>
      </c>
      <c r="N167">
        <v>16</v>
      </c>
      <c r="O167" t="s">
        <v>126</v>
      </c>
      <c r="P167">
        <v>14</v>
      </c>
      <c r="Q167" t="s">
        <v>115</v>
      </c>
      <c r="R167" t="s">
        <v>153</v>
      </c>
      <c r="S167" t="s">
        <v>117</v>
      </c>
    </row>
    <row r="168" spans="1:19" x14ac:dyDescent="0.35">
      <c r="A168" t="s">
        <v>376</v>
      </c>
      <c r="B168" t="s">
        <v>189</v>
      </c>
      <c r="C168" t="s">
        <v>120</v>
      </c>
      <c r="D168">
        <v>9.1999999999999993</v>
      </c>
      <c r="E168">
        <v>9</v>
      </c>
      <c r="F168" t="s">
        <v>58</v>
      </c>
      <c r="G168">
        <v>7</v>
      </c>
      <c r="H168">
        <v>0.7</v>
      </c>
      <c r="I168" t="s">
        <v>173</v>
      </c>
      <c r="J168" t="s">
        <v>174</v>
      </c>
      <c r="K168" t="s">
        <v>182</v>
      </c>
      <c r="L168" t="s">
        <v>209</v>
      </c>
      <c r="M168" t="s">
        <v>113</v>
      </c>
      <c r="N168">
        <v>21</v>
      </c>
      <c r="O168" t="s">
        <v>126</v>
      </c>
      <c r="P168">
        <v>9</v>
      </c>
      <c r="Q168" t="s">
        <v>115</v>
      </c>
      <c r="R168" t="s">
        <v>116</v>
      </c>
      <c r="S168" t="s">
        <v>179</v>
      </c>
    </row>
    <row r="169" spans="1:19" x14ac:dyDescent="0.35">
      <c r="A169" t="s">
        <v>377</v>
      </c>
      <c r="B169" t="s">
        <v>184</v>
      </c>
      <c r="C169" t="s">
        <v>120</v>
      </c>
      <c r="D169">
        <v>3.2</v>
      </c>
      <c r="E169">
        <v>18</v>
      </c>
      <c r="F169" t="s">
        <v>63</v>
      </c>
      <c r="G169">
        <v>7</v>
      </c>
      <c r="H169">
        <v>0.2</v>
      </c>
      <c r="I169" t="s">
        <v>130</v>
      </c>
      <c r="J169" t="s">
        <v>131</v>
      </c>
      <c r="K169" t="s">
        <v>192</v>
      </c>
      <c r="L169" t="s">
        <v>124</v>
      </c>
      <c r="M169" t="s">
        <v>134</v>
      </c>
      <c r="N169">
        <v>72</v>
      </c>
      <c r="O169" t="s">
        <v>126</v>
      </c>
      <c r="P169">
        <v>5</v>
      </c>
      <c r="Q169" t="s">
        <v>115</v>
      </c>
      <c r="R169" t="s">
        <v>116</v>
      </c>
      <c r="S169" t="s">
        <v>127</v>
      </c>
    </row>
    <row r="170" spans="1:19" x14ac:dyDescent="0.35">
      <c r="A170" t="s">
        <v>378</v>
      </c>
      <c r="B170" t="s">
        <v>197</v>
      </c>
      <c r="C170" t="s">
        <v>108</v>
      </c>
      <c r="D170">
        <v>49.2</v>
      </c>
      <c r="E170">
        <v>41</v>
      </c>
      <c r="F170" t="s">
        <v>63</v>
      </c>
      <c r="G170">
        <v>10</v>
      </c>
      <c r="H170">
        <v>0.8</v>
      </c>
      <c r="I170" t="s">
        <v>150</v>
      </c>
      <c r="J170" t="s">
        <v>151</v>
      </c>
      <c r="K170" t="s">
        <v>199</v>
      </c>
      <c r="L170" t="s">
        <v>200</v>
      </c>
      <c r="M170" t="s">
        <v>134</v>
      </c>
      <c r="N170">
        <v>78</v>
      </c>
      <c r="O170" t="s">
        <v>126</v>
      </c>
      <c r="P170">
        <v>5</v>
      </c>
      <c r="Q170" t="s">
        <v>115</v>
      </c>
      <c r="R170" t="s">
        <v>65</v>
      </c>
      <c r="S170" t="s">
        <v>127</v>
      </c>
    </row>
    <row r="171" spans="1:19" x14ac:dyDescent="0.35">
      <c r="A171" t="s">
        <v>379</v>
      </c>
      <c r="B171" t="s">
        <v>218</v>
      </c>
      <c r="C171" t="s">
        <v>120</v>
      </c>
      <c r="D171">
        <v>7.3</v>
      </c>
      <c r="E171">
        <v>15</v>
      </c>
      <c r="F171" t="s">
        <v>60</v>
      </c>
      <c r="G171">
        <v>11</v>
      </c>
      <c r="H171">
        <v>0.9</v>
      </c>
      <c r="I171" t="s">
        <v>109</v>
      </c>
      <c r="J171" t="s">
        <v>181</v>
      </c>
      <c r="K171" t="s">
        <v>141</v>
      </c>
      <c r="L171" t="s">
        <v>277</v>
      </c>
      <c r="M171" t="s">
        <v>134</v>
      </c>
      <c r="N171">
        <v>89</v>
      </c>
      <c r="O171" t="s">
        <v>126</v>
      </c>
      <c r="P171">
        <v>3</v>
      </c>
      <c r="Q171" t="s">
        <v>135</v>
      </c>
      <c r="R171" t="s">
        <v>65</v>
      </c>
      <c r="S171" t="s">
        <v>136</v>
      </c>
    </row>
    <row r="172" spans="1:19" x14ac:dyDescent="0.35">
      <c r="A172" t="s">
        <v>380</v>
      </c>
      <c r="B172" t="s">
        <v>184</v>
      </c>
      <c r="C172" t="s">
        <v>120</v>
      </c>
      <c r="D172">
        <v>8.5</v>
      </c>
      <c r="E172">
        <v>25</v>
      </c>
      <c r="F172" t="s">
        <v>56</v>
      </c>
      <c r="G172">
        <v>6</v>
      </c>
      <c r="H172">
        <v>0.6</v>
      </c>
      <c r="I172" t="s">
        <v>130</v>
      </c>
      <c r="J172" t="s">
        <v>258</v>
      </c>
      <c r="K172" t="s">
        <v>124</v>
      </c>
      <c r="L172" t="s">
        <v>192</v>
      </c>
      <c r="M172" t="s">
        <v>134</v>
      </c>
      <c r="N172">
        <v>86</v>
      </c>
      <c r="O172" t="s">
        <v>126</v>
      </c>
      <c r="P172">
        <v>4</v>
      </c>
      <c r="Q172" t="s">
        <v>115</v>
      </c>
      <c r="R172" t="s">
        <v>168</v>
      </c>
      <c r="S172" t="s">
        <v>117</v>
      </c>
    </row>
    <row r="173" spans="1:19" x14ac:dyDescent="0.35">
      <c r="A173" t="s">
        <v>381</v>
      </c>
      <c r="B173" t="s">
        <v>155</v>
      </c>
      <c r="C173" t="s">
        <v>120</v>
      </c>
      <c r="D173">
        <v>4.5999999999999996</v>
      </c>
      <c r="E173">
        <v>28</v>
      </c>
      <c r="F173" t="s">
        <v>60</v>
      </c>
      <c r="G173">
        <v>8</v>
      </c>
      <c r="H173">
        <v>0.4</v>
      </c>
      <c r="I173" t="s">
        <v>185</v>
      </c>
      <c r="J173" t="s">
        <v>382</v>
      </c>
      <c r="K173" t="s">
        <v>112</v>
      </c>
      <c r="L173" t="s">
        <v>158</v>
      </c>
      <c r="M173" t="s">
        <v>113</v>
      </c>
      <c r="N173">
        <v>25</v>
      </c>
      <c r="O173" t="s">
        <v>201</v>
      </c>
      <c r="P173">
        <v>13</v>
      </c>
      <c r="Q173" t="s">
        <v>214</v>
      </c>
      <c r="R173" t="s">
        <v>168</v>
      </c>
      <c r="S173" t="s">
        <v>179</v>
      </c>
    </row>
    <row r="174" spans="1:19" x14ac:dyDescent="0.35">
      <c r="A174" t="s">
        <v>383</v>
      </c>
      <c r="B174" t="s">
        <v>155</v>
      </c>
      <c r="C174" t="s">
        <v>120</v>
      </c>
      <c r="D174">
        <v>6.2</v>
      </c>
      <c r="E174">
        <v>15</v>
      </c>
      <c r="F174" t="s">
        <v>66</v>
      </c>
      <c r="G174">
        <v>5</v>
      </c>
      <c r="H174">
        <v>0.8</v>
      </c>
      <c r="I174" t="s">
        <v>150</v>
      </c>
      <c r="J174" t="s">
        <v>151</v>
      </c>
      <c r="K174" t="s">
        <v>112</v>
      </c>
      <c r="L174" t="s">
        <v>158</v>
      </c>
      <c r="M174" t="s">
        <v>113</v>
      </c>
      <c r="N174">
        <v>30</v>
      </c>
      <c r="O174" t="s">
        <v>126</v>
      </c>
      <c r="P174">
        <v>8</v>
      </c>
      <c r="Q174" t="s">
        <v>135</v>
      </c>
      <c r="R174" t="s">
        <v>116</v>
      </c>
      <c r="S174" t="s">
        <v>117</v>
      </c>
    </row>
    <row r="175" spans="1:19" x14ac:dyDescent="0.35">
      <c r="A175" t="s">
        <v>384</v>
      </c>
      <c r="B175" t="s">
        <v>218</v>
      </c>
      <c r="C175" t="s">
        <v>120</v>
      </c>
      <c r="D175">
        <v>4.8</v>
      </c>
      <c r="E175">
        <v>13</v>
      </c>
      <c r="F175" t="s">
        <v>66</v>
      </c>
      <c r="G175">
        <v>9</v>
      </c>
      <c r="H175">
        <v>0.5</v>
      </c>
      <c r="I175" t="s">
        <v>205</v>
      </c>
      <c r="J175" t="s">
        <v>236</v>
      </c>
      <c r="K175" t="s">
        <v>141</v>
      </c>
      <c r="L175" t="s">
        <v>152</v>
      </c>
      <c r="M175" t="s">
        <v>159</v>
      </c>
      <c r="N175">
        <v>172</v>
      </c>
      <c r="O175" t="s">
        <v>114</v>
      </c>
      <c r="P175">
        <v>2</v>
      </c>
      <c r="Q175" t="s">
        <v>115</v>
      </c>
      <c r="R175" t="s">
        <v>116</v>
      </c>
      <c r="S175" t="s">
        <v>169</v>
      </c>
    </row>
    <row r="176" spans="1:19" x14ac:dyDescent="0.35">
      <c r="A176" t="s">
        <v>385</v>
      </c>
      <c r="B176" t="s">
        <v>149</v>
      </c>
      <c r="C176" t="s">
        <v>120</v>
      </c>
      <c r="D176">
        <v>1.3</v>
      </c>
      <c r="E176">
        <v>21</v>
      </c>
      <c r="F176" t="s">
        <v>56</v>
      </c>
      <c r="G176">
        <v>6</v>
      </c>
      <c r="H176">
        <v>0.5</v>
      </c>
      <c r="I176" t="s">
        <v>150</v>
      </c>
      <c r="J176" t="s">
        <v>244</v>
      </c>
      <c r="K176" t="s">
        <v>123</v>
      </c>
      <c r="L176" t="s">
        <v>152</v>
      </c>
      <c r="M176" t="s">
        <v>113</v>
      </c>
      <c r="N176">
        <v>8</v>
      </c>
      <c r="O176" t="s">
        <v>114</v>
      </c>
      <c r="P176">
        <v>9</v>
      </c>
      <c r="Q176" t="s">
        <v>115</v>
      </c>
      <c r="R176" t="s">
        <v>153</v>
      </c>
      <c r="S176" t="s">
        <v>136</v>
      </c>
    </row>
    <row r="177" spans="1:19" x14ac:dyDescent="0.35">
      <c r="A177" t="s">
        <v>386</v>
      </c>
      <c r="B177" t="s">
        <v>107</v>
      </c>
      <c r="C177" t="s">
        <v>120</v>
      </c>
      <c r="D177">
        <v>3.6</v>
      </c>
      <c r="E177">
        <v>28</v>
      </c>
      <c r="F177" t="s">
        <v>65</v>
      </c>
      <c r="G177">
        <v>10</v>
      </c>
      <c r="H177">
        <v>0.8</v>
      </c>
      <c r="I177" t="s">
        <v>173</v>
      </c>
      <c r="J177" t="s">
        <v>174</v>
      </c>
      <c r="K177" t="s">
        <v>171</v>
      </c>
      <c r="L177" t="s">
        <v>112</v>
      </c>
      <c r="M177" t="s">
        <v>134</v>
      </c>
      <c r="N177">
        <v>69</v>
      </c>
      <c r="O177" t="s">
        <v>126</v>
      </c>
      <c r="P177">
        <v>6</v>
      </c>
      <c r="Q177" t="s">
        <v>115</v>
      </c>
      <c r="R177" t="s">
        <v>116</v>
      </c>
      <c r="S177" t="s">
        <v>147</v>
      </c>
    </row>
    <row r="178" spans="1:19" x14ac:dyDescent="0.35">
      <c r="A178" t="s">
        <v>387</v>
      </c>
      <c r="B178" t="s">
        <v>155</v>
      </c>
      <c r="C178" t="s">
        <v>166</v>
      </c>
      <c r="D178">
        <v>91.4</v>
      </c>
      <c r="E178">
        <v>46</v>
      </c>
      <c r="F178" t="s">
        <v>66</v>
      </c>
      <c r="G178">
        <v>3</v>
      </c>
      <c r="H178">
        <v>0.5</v>
      </c>
      <c r="I178" t="s">
        <v>173</v>
      </c>
      <c r="J178" t="s">
        <v>174</v>
      </c>
      <c r="K178" t="s">
        <v>112</v>
      </c>
      <c r="L178" t="s">
        <v>158</v>
      </c>
      <c r="M178" t="s">
        <v>113</v>
      </c>
      <c r="N178">
        <v>19</v>
      </c>
      <c r="O178" t="s">
        <v>126</v>
      </c>
      <c r="P178">
        <v>13</v>
      </c>
      <c r="Q178" t="s">
        <v>115</v>
      </c>
      <c r="R178" t="s">
        <v>153</v>
      </c>
      <c r="S178" t="s">
        <v>179</v>
      </c>
    </row>
    <row r="179" spans="1:19" x14ac:dyDescent="0.35">
      <c r="A179" t="s">
        <v>388</v>
      </c>
      <c r="B179" t="s">
        <v>176</v>
      </c>
      <c r="C179" t="s">
        <v>120</v>
      </c>
      <c r="D179">
        <v>4.7</v>
      </c>
      <c r="E179">
        <v>24</v>
      </c>
      <c r="F179" t="s">
        <v>63</v>
      </c>
      <c r="G179">
        <v>10</v>
      </c>
      <c r="H179">
        <v>0.5</v>
      </c>
      <c r="I179" t="s">
        <v>185</v>
      </c>
      <c r="J179" t="s">
        <v>382</v>
      </c>
      <c r="K179" t="s">
        <v>228</v>
      </c>
      <c r="L179" t="s">
        <v>124</v>
      </c>
      <c r="M179" t="s">
        <v>134</v>
      </c>
      <c r="N179">
        <v>81</v>
      </c>
      <c r="O179" t="s">
        <v>126</v>
      </c>
      <c r="P179">
        <v>3</v>
      </c>
      <c r="Q179" t="s">
        <v>214</v>
      </c>
      <c r="R179" t="s">
        <v>168</v>
      </c>
      <c r="S179" t="s">
        <v>147</v>
      </c>
    </row>
    <row r="180" spans="1:19" x14ac:dyDescent="0.35">
      <c r="A180" t="s">
        <v>389</v>
      </c>
      <c r="B180" t="s">
        <v>184</v>
      </c>
      <c r="C180" t="s">
        <v>108</v>
      </c>
      <c r="D180">
        <v>38.299999999999997</v>
      </c>
      <c r="E180">
        <v>44</v>
      </c>
      <c r="F180" t="s">
        <v>66</v>
      </c>
      <c r="G180">
        <v>9</v>
      </c>
      <c r="H180">
        <v>0.7</v>
      </c>
      <c r="I180" t="s">
        <v>139</v>
      </c>
      <c r="J180" t="s">
        <v>140</v>
      </c>
      <c r="K180" t="s">
        <v>187</v>
      </c>
      <c r="L180" t="s">
        <v>124</v>
      </c>
      <c r="M180" t="s">
        <v>159</v>
      </c>
      <c r="N180">
        <v>206</v>
      </c>
      <c r="O180" t="s">
        <v>126</v>
      </c>
      <c r="P180">
        <v>1</v>
      </c>
      <c r="Q180" t="s">
        <v>115</v>
      </c>
      <c r="R180" t="s">
        <v>116</v>
      </c>
      <c r="S180" t="s">
        <v>179</v>
      </c>
    </row>
    <row r="181" spans="1:19" x14ac:dyDescent="0.35">
      <c r="A181" t="s">
        <v>390</v>
      </c>
      <c r="B181" t="s">
        <v>155</v>
      </c>
      <c r="C181" t="s">
        <v>120</v>
      </c>
      <c r="D181">
        <v>2.1</v>
      </c>
      <c r="E181">
        <v>24</v>
      </c>
      <c r="F181" t="s">
        <v>65</v>
      </c>
      <c r="G181">
        <v>2</v>
      </c>
      <c r="H181">
        <v>0.9</v>
      </c>
      <c r="I181" t="s">
        <v>162</v>
      </c>
      <c r="J181" t="s">
        <v>163</v>
      </c>
      <c r="K181" t="s">
        <v>112</v>
      </c>
      <c r="L181" t="s">
        <v>195</v>
      </c>
      <c r="M181" t="s">
        <v>113</v>
      </c>
      <c r="N181">
        <v>8</v>
      </c>
      <c r="O181" t="s">
        <v>126</v>
      </c>
      <c r="P181">
        <v>9</v>
      </c>
      <c r="Q181" t="s">
        <v>135</v>
      </c>
      <c r="R181" t="s">
        <v>116</v>
      </c>
      <c r="S181" t="s">
        <v>179</v>
      </c>
    </row>
    <row r="182" spans="1:19" x14ac:dyDescent="0.35">
      <c r="A182" t="s">
        <v>391</v>
      </c>
      <c r="B182" t="s">
        <v>129</v>
      </c>
      <c r="C182" t="s">
        <v>120</v>
      </c>
      <c r="D182">
        <v>3.1</v>
      </c>
      <c r="E182">
        <v>23</v>
      </c>
      <c r="F182" t="s">
        <v>65</v>
      </c>
      <c r="G182">
        <v>9</v>
      </c>
      <c r="H182">
        <v>0.8</v>
      </c>
      <c r="I182" t="s">
        <v>150</v>
      </c>
      <c r="J182" t="s">
        <v>244</v>
      </c>
      <c r="K182" t="s">
        <v>132</v>
      </c>
      <c r="L182" t="s">
        <v>164</v>
      </c>
      <c r="M182" t="s">
        <v>159</v>
      </c>
      <c r="N182">
        <v>162</v>
      </c>
      <c r="O182" t="s">
        <v>114</v>
      </c>
      <c r="P182">
        <v>2</v>
      </c>
      <c r="Q182" t="s">
        <v>115</v>
      </c>
      <c r="R182" t="s">
        <v>116</v>
      </c>
      <c r="S182" t="s">
        <v>147</v>
      </c>
    </row>
    <row r="183" spans="1:19" x14ac:dyDescent="0.35">
      <c r="A183" t="s">
        <v>392</v>
      </c>
      <c r="B183" t="s">
        <v>161</v>
      </c>
      <c r="C183" t="s">
        <v>120</v>
      </c>
      <c r="D183">
        <v>3.8</v>
      </c>
      <c r="E183">
        <v>12</v>
      </c>
      <c r="F183" t="s">
        <v>60</v>
      </c>
      <c r="G183">
        <v>9</v>
      </c>
      <c r="H183">
        <v>0.6</v>
      </c>
      <c r="I183" t="s">
        <v>144</v>
      </c>
      <c r="J183" t="s">
        <v>269</v>
      </c>
      <c r="K183" t="s">
        <v>182</v>
      </c>
      <c r="L183" t="s">
        <v>164</v>
      </c>
      <c r="M183" t="s">
        <v>134</v>
      </c>
      <c r="N183">
        <v>62</v>
      </c>
      <c r="O183" t="s">
        <v>114</v>
      </c>
      <c r="P183">
        <v>4</v>
      </c>
      <c r="Q183" t="s">
        <v>214</v>
      </c>
      <c r="R183" t="s">
        <v>116</v>
      </c>
      <c r="S183" t="s">
        <v>169</v>
      </c>
    </row>
    <row r="184" spans="1:19" x14ac:dyDescent="0.35">
      <c r="A184" t="s">
        <v>393</v>
      </c>
      <c r="B184" t="s">
        <v>197</v>
      </c>
      <c r="C184" t="s">
        <v>120</v>
      </c>
      <c r="D184">
        <v>3.8</v>
      </c>
      <c r="E184">
        <v>14</v>
      </c>
      <c r="F184" t="s">
        <v>65</v>
      </c>
      <c r="G184">
        <v>6</v>
      </c>
      <c r="H184">
        <v>0.6</v>
      </c>
      <c r="I184" t="s">
        <v>162</v>
      </c>
      <c r="J184" t="s">
        <v>163</v>
      </c>
      <c r="K184" t="s">
        <v>199</v>
      </c>
      <c r="L184" t="s">
        <v>200</v>
      </c>
      <c r="M184" t="s">
        <v>113</v>
      </c>
      <c r="N184">
        <v>6</v>
      </c>
      <c r="O184" t="s">
        <v>126</v>
      </c>
      <c r="P184">
        <v>13</v>
      </c>
      <c r="Q184" t="s">
        <v>214</v>
      </c>
      <c r="R184" t="s">
        <v>168</v>
      </c>
      <c r="S184" t="s">
        <v>179</v>
      </c>
    </row>
    <row r="185" spans="1:19" x14ac:dyDescent="0.35">
      <c r="A185" t="s">
        <v>394</v>
      </c>
      <c r="B185" t="s">
        <v>107</v>
      </c>
      <c r="C185" t="s">
        <v>120</v>
      </c>
      <c r="D185">
        <v>4.8</v>
      </c>
      <c r="E185">
        <v>24</v>
      </c>
      <c r="F185" t="s">
        <v>66</v>
      </c>
      <c r="G185">
        <v>11</v>
      </c>
      <c r="H185">
        <v>0.2</v>
      </c>
      <c r="I185" t="s">
        <v>173</v>
      </c>
      <c r="J185" t="s">
        <v>216</v>
      </c>
      <c r="K185" t="s">
        <v>111</v>
      </c>
      <c r="L185" t="s">
        <v>112</v>
      </c>
      <c r="M185" t="s">
        <v>113</v>
      </c>
      <c r="N185">
        <v>14</v>
      </c>
      <c r="O185" t="s">
        <v>126</v>
      </c>
      <c r="P185">
        <v>8</v>
      </c>
      <c r="Q185" t="s">
        <v>115</v>
      </c>
      <c r="R185" t="s">
        <v>65</v>
      </c>
      <c r="S185" t="s">
        <v>142</v>
      </c>
    </row>
    <row r="186" spans="1:19" x14ac:dyDescent="0.35">
      <c r="A186" t="s">
        <v>395</v>
      </c>
      <c r="B186" t="s">
        <v>119</v>
      </c>
      <c r="C186" t="s">
        <v>120</v>
      </c>
      <c r="D186">
        <v>2.8</v>
      </c>
      <c r="E186">
        <v>18</v>
      </c>
      <c r="F186" t="s">
        <v>66</v>
      </c>
      <c r="G186">
        <v>10</v>
      </c>
      <c r="H186">
        <v>1.1000000000000001</v>
      </c>
      <c r="I186" t="s">
        <v>109</v>
      </c>
      <c r="J186" t="s">
        <v>181</v>
      </c>
      <c r="K186" t="s">
        <v>124</v>
      </c>
      <c r="L186" t="s">
        <v>141</v>
      </c>
      <c r="M186" t="s">
        <v>134</v>
      </c>
      <c r="N186">
        <v>85</v>
      </c>
      <c r="O186" t="s">
        <v>126</v>
      </c>
      <c r="P186">
        <v>5</v>
      </c>
      <c r="Q186" t="s">
        <v>115</v>
      </c>
      <c r="R186" t="s">
        <v>65</v>
      </c>
      <c r="S186" t="s">
        <v>127</v>
      </c>
    </row>
    <row r="187" spans="1:19" x14ac:dyDescent="0.35">
      <c r="A187" t="s">
        <v>396</v>
      </c>
      <c r="B187" t="s">
        <v>184</v>
      </c>
      <c r="C187" t="s">
        <v>120</v>
      </c>
      <c r="D187">
        <v>5.0999999999999996</v>
      </c>
      <c r="E187">
        <v>7</v>
      </c>
      <c r="F187" t="s">
        <v>63</v>
      </c>
      <c r="G187">
        <v>4</v>
      </c>
      <c r="H187">
        <v>1.3</v>
      </c>
      <c r="I187" t="s">
        <v>156</v>
      </c>
      <c r="J187" t="s">
        <v>167</v>
      </c>
      <c r="K187" t="s">
        <v>124</v>
      </c>
      <c r="L187" t="s">
        <v>187</v>
      </c>
      <c r="M187" t="s">
        <v>134</v>
      </c>
      <c r="N187">
        <v>68</v>
      </c>
      <c r="O187" t="s">
        <v>126</v>
      </c>
      <c r="P187">
        <v>3</v>
      </c>
      <c r="Q187" t="s">
        <v>115</v>
      </c>
      <c r="R187" t="s">
        <v>168</v>
      </c>
      <c r="S187" t="s">
        <v>147</v>
      </c>
    </row>
    <row r="188" spans="1:19" x14ac:dyDescent="0.35">
      <c r="A188" t="s">
        <v>397</v>
      </c>
      <c r="B188" t="s">
        <v>155</v>
      </c>
      <c r="C188" t="s">
        <v>166</v>
      </c>
      <c r="D188">
        <v>74.8</v>
      </c>
      <c r="E188">
        <v>43</v>
      </c>
      <c r="F188" t="s">
        <v>60</v>
      </c>
      <c r="G188">
        <v>12</v>
      </c>
      <c r="H188">
        <v>1</v>
      </c>
      <c r="I188" t="s">
        <v>173</v>
      </c>
      <c r="J188" t="s">
        <v>216</v>
      </c>
      <c r="K188" t="s">
        <v>158</v>
      </c>
      <c r="L188" t="s">
        <v>112</v>
      </c>
      <c r="M188" t="s">
        <v>134</v>
      </c>
      <c r="N188">
        <v>63</v>
      </c>
      <c r="O188" t="s">
        <v>126</v>
      </c>
      <c r="P188">
        <v>5</v>
      </c>
      <c r="Q188" t="s">
        <v>115</v>
      </c>
      <c r="R188" t="s">
        <v>65</v>
      </c>
      <c r="S188" t="s">
        <v>127</v>
      </c>
    </row>
    <row r="189" spans="1:19" x14ac:dyDescent="0.35">
      <c r="A189" t="s">
        <v>398</v>
      </c>
      <c r="B189" t="s">
        <v>119</v>
      </c>
      <c r="C189" t="s">
        <v>108</v>
      </c>
      <c r="D189">
        <v>18.600000000000001</v>
      </c>
      <c r="E189">
        <v>30</v>
      </c>
      <c r="F189" t="s">
        <v>66</v>
      </c>
      <c r="G189">
        <v>4</v>
      </c>
      <c r="H189">
        <v>1.3</v>
      </c>
      <c r="I189" t="s">
        <v>246</v>
      </c>
      <c r="J189" t="s">
        <v>264</v>
      </c>
      <c r="K189" t="s">
        <v>123</v>
      </c>
      <c r="L189" t="s">
        <v>141</v>
      </c>
      <c r="M189" t="s">
        <v>113</v>
      </c>
      <c r="N189">
        <v>29</v>
      </c>
      <c r="O189" t="s">
        <v>114</v>
      </c>
      <c r="P189">
        <v>11</v>
      </c>
      <c r="Q189" t="s">
        <v>135</v>
      </c>
      <c r="R189" t="s">
        <v>168</v>
      </c>
      <c r="S189" t="s">
        <v>147</v>
      </c>
    </row>
    <row r="190" spans="1:19" x14ac:dyDescent="0.35">
      <c r="A190" t="s">
        <v>399</v>
      </c>
      <c r="B190" t="s">
        <v>138</v>
      </c>
      <c r="C190" t="s">
        <v>120</v>
      </c>
      <c r="D190">
        <v>5.9</v>
      </c>
      <c r="E190">
        <v>22</v>
      </c>
      <c r="F190" t="s">
        <v>65</v>
      </c>
      <c r="G190">
        <v>6</v>
      </c>
      <c r="H190">
        <v>0.9</v>
      </c>
      <c r="I190" t="s">
        <v>185</v>
      </c>
      <c r="J190" t="s">
        <v>223</v>
      </c>
      <c r="K190" t="s">
        <v>141</v>
      </c>
      <c r="L190" t="s">
        <v>146</v>
      </c>
      <c r="M190" t="s">
        <v>113</v>
      </c>
      <c r="N190">
        <v>15</v>
      </c>
      <c r="O190" t="s">
        <v>201</v>
      </c>
      <c r="P190">
        <v>15</v>
      </c>
      <c r="Q190" t="s">
        <v>115</v>
      </c>
      <c r="R190" t="s">
        <v>116</v>
      </c>
      <c r="S190" t="s">
        <v>179</v>
      </c>
    </row>
    <row r="191" spans="1:19" x14ac:dyDescent="0.35">
      <c r="A191" t="s">
        <v>400</v>
      </c>
      <c r="B191" t="s">
        <v>218</v>
      </c>
      <c r="C191" t="s">
        <v>120</v>
      </c>
      <c r="D191">
        <v>4.3</v>
      </c>
      <c r="E191">
        <v>13</v>
      </c>
      <c r="F191" t="s">
        <v>58</v>
      </c>
      <c r="G191">
        <v>9</v>
      </c>
      <c r="H191">
        <v>1</v>
      </c>
      <c r="I191" t="s">
        <v>162</v>
      </c>
      <c r="J191" t="s">
        <v>163</v>
      </c>
      <c r="K191" t="s">
        <v>141</v>
      </c>
      <c r="L191" t="s">
        <v>277</v>
      </c>
      <c r="M191" t="s">
        <v>134</v>
      </c>
      <c r="N191">
        <v>86</v>
      </c>
      <c r="O191" t="s">
        <v>126</v>
      </c>
      <c r="P191">
        <v>4</v>
      </c>
      <c r="Q191" t="s">
        <v>135</v>
      </c>
      <c r="R191" t="s">
        <v>116</v>
      </c>
      <c r="S191" t="s">
        <v>117</v>
      </c>
    </row>
    <row r="192" spans="1:19" x14ac:dyDescent="0.35">
      <c r="A192" t="s">
        <v>401</v>
      </c>
      <c r="B192" t="s">
        <v>161</v>
      </c>
      <c r="C192" t="s">
        <v>120</v>
      </c>
      <c r="D192">
        <v>8.8000000000000007</v>
      </c>
      <c r="E192">
        <v>28</v>
      </c>
      <c r="F192" t="s">
        <v>56</v>
      </c>
      <c r="G192">
        <v>6</v>
      </c>
      <c r="H192">
        <v>1.1000000000000001</v>
      </c>
      <c r="I192" t="s">
        <v>150</v>
      </c>
      <c r="J192" t="s">
        <v>244</v>
      </c>
      <c r="K192" t="s">
        <v>164</v>
      </c>
      <c r="L192" t="s">
        <v>133</v>
      </c>
      <c r="M192" t="s">
        <v>159</v>
      </c>
      <c r="N192">
        <v>317</v>
      </c>
      <c r="O192" t="s">
        <v>126</v>
      </c>
      <c r="P192">
        <v>2</v>
      </c>
      <c r="Q192" t="s">
        <v>115</v>
      </c>
      <c r="R192" t="s">
        <v>153</v>
      </c>
      <c r="S192" t="s">
        <v>136</v>
      </c>
    </row>
    <row r="193" spans="1:19" x14ac:dyDescent="0.35">
      <c r="A193" t="s">
        <v>402</v>
      </c>
      <c r="B193" t="s">
        <v>184</v>
      </c>
      <c r="C193" t="s">
        <v>108</v>
      </c>
      <c r="D193">
        <v>34</v>
      </c>
      <c r="E193">
        <v>33</v>
      </c>
      <c r="F193" t="s">
        <v>56</v>
      </c>
      <c r="G193">
        <v>7</v>
      </c>
      <c r="H193">
        <v>0.7</v>
      </c>
      <c r="I193" t="s">
        <v>109</v>
      </c>
      <c r="J193" t="s">
        <v>181</v>
      </c>
      <c r="K193" t="s">
        <v>124</v>
      </c>
      <c r="L193" t="s">
        <v>187</v>
      </c>
      <c r="M193" t="s">
        <v>113</v>
      </c>
      <c r="N193">
        <v>5</v>
      </c>
      <c r="O193" t="s">
        <v>114</v>
      </c>
      <c r="P193">
        <v>14</v>
      </c>
      <c r="Q193" t="s">
        <v>115</v>
      </c>
      <c r="R193" t="s">
        <v>116</v>
      </c>
      <c r="S193" t="s">
        <v>179</v>
      </c>
    </row>
    <row r="194" spans="1:19" x14ac:dyDescent="0.35">
      <c r="A194" t="s">
        <v>403</v>
      </c>
      <c r="B194" t="s">
        <v>189</v>
      </c>
      <c r="C194" t="s">
        <v>108</v>
      </c>
      <c r="D194">
        <v>47.7</v>
      </c>
      <c r="E194">
        <v>37</v>
      </c>
      <c r="F194" t="s">
        <v>56</v>
      </c>
      <c r="G194">
        <v>4</v>
      </c>
      <c r="H194">
        <v>0.8</v>
      </c>
      <c r="I194" t="s">
        <v>139</v>
      </c>
      <c r="J194" t="s">
        <v>140</v>
      </c>
      <c r="K194" t="s">
        <v>182</v>
      </c>
      <c r="L194" t="s">
        <v>209</v>
      </c>
      <c r="M194" t="s">
        <v>113</v>
      </c>
      <c r="N194">
        <v>30</v>
      </c>
      <c r="O194" t="s">
        <v>114</v>
      </c>
      <c r="P194">
        <v>11</v>
      </c>
      <c r="Q194" t="s">
        <v>135</v>
      </c>
      <c r="R194" t="s">
        <v>116</v>
      </c>
      <c r="S194" t="s">
        <v>193</v>
      </c>
    </row>
    <row r="195" spans="1:19" x14ac:dyDescent="0.35">
      <c r="A195" t="s">
        <v>404</v>
      </c>
      <c r="B195" t="s">
        <v>119</v>
      </c>
      <c r="C195" t="s">
        <v>120</v>
      </c>
      <c r="D195">
        <v>3.4</v>
      </c>
      <c r="E195">
        <v>11</v>
      </c>
      <c r="F195" t="s">
        <v>63</v>
      </c>
      <c r="G195">
        <v>4</v>
      </c>
      <c r="H195">
        <v>1.1000000000000001</v>
      </c>
      <c r="I195" t="s">
        <v>162</v>
      </c>
      <c r="J195" t="s">
        <v>198</v>
      </c>
      <c r="K195" t="s">
        <v>123</v>
      </c>
      <c r="L195" t="s">
        <v>141</v>
      </c>
      <c r="M195" t="s">
        <v>113</v>
      </c>
      <c r="N195">
        <v>26</v>
      </c>
      <c r="O195" t="s">
        <v>126</v>
      </c>
      <c r="P195">
        <v>12</v>
      </c>
      <c r="Q195" t="s">
        <v>135</v>
      </c>
      <c r="R195" t="s">
        <v>153</v>
      </c>
      <c r="S195" t="s">
        <v>147</v>
      </c>
    </row>
    <row r="196" spans="1:19" x14ac:dyDescent="0.35">
      <c r="A196" t="s">
        <v>405</v>
      </c>
      <c r="B196" t="s">
        <v>184</v>
      </c>
      <c r="C196" t="s">
        <v>120</v>
      </c>
      <c r="D196">
        <v>5.0999999999999996</v>
      </c>
      <c r="E196">
        <v>15</v>
      </c>
      <c r="F196" t="s">
        <v>60</v>
      </c>
      <c r="G196">
        <v>2</v>
      </c>
      <c r="H196">
        <v>1</v>
      </c>
      <c r="I196" t="s">
        <v>205</v>
      </c>
      <c r="J196" t="s">
        <v>206</v>
      </c>
      <c r="K196" t="s">
        <v>124</v>
      </c>
      <c r="L196" t="s">
        <v>187</v>
      </c>
      <c r="M196" t="s">
        <v>159</v>
      </c>
      <c r="N196">
        <v>243</v>
      </c>
      <c r="O196" t="s">
        <v>126</v>
      </c>
      <c r="P196">
        <v>2</v>
      </c>
      <c r="Q196" t="s">
        <v>115</v>
      </c>
      <c r="R196" t="s">
        <v>116</v>
      </c>
      <c r="S196" t="s">
        <v>169</v>
      </c>
    </row>
    <row r="197" spans="1:19" x14ac:dyDescent="0.35">
      <c r="A197" t="s">
        <v>406</v>
      </c>
      <c r="B197" t="s">
        <v>119</v>
      </c>
      <c r="C197" t="s">
        <v>120</v>
      </c>
      <c r="D197">
        <v>1.9</v>
      </c>
      <c r="E197">
        <v>11</v>
      </c>
      <c r="F197" t="s">
        <v>63</v>
      </c>
      <c r="G197">
        <v>8</v>
      </c>
      <c r="H197">
        <v>0.9</v>
      </c>
      <c r="I197" t="s">
        <v>144</v>
      </c>
      <c r="J197" t="s">
        <v>145</v>
      </c>
      <c r="K197" t="s">
        <v>124</v>
      </c>
      <c r="L197" t="s">
        <v>123</v>
      </c>
      <c r="M197" t="s">
        <v>113</v>
      </c>
      <c r="N197">
        <v>23</v>
      </c>
      <c r="O197" t="s">
        <v>126</v>
      </c>
      <c r="P197">
        <v>13</v>
      </c>
      <c r="Q197" t="s">
        <v>214</v>
      </c>
      <c r="R197" t="s">
        <v>168</v>
      </c>
      <c r="S197" t="s">
        <v>117</v>
      </c>
    </row>
    <row r="198" spans="1:19" x14ac:dyDescent="0.35">
      <c r="A198" t="s">
        <v>407</v>
      </c>
      <c r="B198" t="s">
        <v>176</v>
      </c>
      <c r="C198" t="s">
        <v>120</v>
      </c>
      <c r="D198">
        <v>5.9</v>
      </c>
      <c r="E198">
        <v>22</v>
      </c>
      <c r="F198" t="s">
        <v>66</v>
      </c>
      <c r="G198">
        <v>3</v>
      </c>
      <c r="H198">
        <v>1.2</v>
      </c>
      <c r="I198" t="s">
        <v>130</v>
      </c>
      <c r="J198" t="s">
        <v>208</v>
      </c>
      <c r="K198" t="s">
        <v>124</v>
      </c>
      <c r="L198" t="s">
        <v>178</v>
      </c>
      <c r="M198" t="s">
        <v>134</v>
      </c>
      <c r="N198">
        <v>72</v>
      </c>
      <c r="O198" t="s">
        <v>126</v>
      </c>
      <c r="P198">
        <v>6</v>
      </c>
      <c r="Q198" t="s">
        <v>115</v>
      </c>
      <c r="R198" t="s">
        <v>116</v>
      </c>
      <c r="S198" t="s">
        <v>169</v>
      </c>
    </row>
    <row r="199" spans="1:19" x14ac:dyDescent="0.35">
      <c r="A199" t="s">
        <v>408</v>
      </c>
      <c r="B199" t="s">
        <v>107</v>
      </c>
      <c r="C199" t="s">
        <v>120</v>
      </c>
      <c r="D199">
        <v>7.9</v>
      </c>
      <c r="E199">
        <v>22</v>
      </c>
      <c r="F199" t="s">
        <v>65</v>
      </c>
      <c r="G199">
        <v>2</v>
      </c>
      <c r="H199">
        <v>0.7</v>
      </c>
      <c r="I199" t="s">
        <v>185</v>
      </c>
      <c r="J199" t="s">
        <v>382</v>
      </c>
      <c r="K199" t="s">
        <v>111</v>
      </c>
      <c r="L199" t="s">
        <v>112</v>
      </c>
      <c r="M199" t="s">
        <v>113</v>
      </c>
      <c r="N199">
        <v>7</v>
      </c>
      <c r="O199" t="s">
        <v>114</v>
      </c>
      <c r="P199">
        <v>14</v>
      </c>
      <c r="Q199" t="s">
        <v>115</v>
      </c>
      <c r="R199" t="s">
        <v>153</v>
      </c>
      <c r="S199" t="s">
        <v>169</v>
      </c>
    </row>
    <row r="200" spans="1:19" x14ac:dyDescent="0.35">
      <c r="A200" t="s">
        <v>409</v>
      </c>
      <c r="B200" t="s">
        <v>197</v>
      </c>
      <c r="C200" t="s">
        <v>120</v>
      </c>
      <c r="D200">
        <v>7.8</v>
      </c>
      <c r="E200">
        <v>17</v>
      </c>
      <c r="F200" t="s">
        <v>58</v>
      </c>
      <c r="G200">
        <v>4</v>
      </c>
      <c r="H200">
        <v>0.9</v>
      </c>
      <c r="I200" t="s">
        <v>162</v>
      </c>
      <c r="J200" t="s">
        <v>198</v>
      </c>
      <c r="K200" t="s">
        <v>178</v>
      </c>
      <c r="L200" t="s">
        <v>200</v>
      </c>
      <c r="M200" t="s">
        <v>159</v>
      </c>
      <c r="N200">
        <v>322</v>
      </c>
      <c r="O200" t="s">
        <v>126</v>
      </c>
      <c r="P200">
        <v>1</v>
      </c>
      <c r="Q200" t="s">
        <v>115</v>
      </c>
      <c r="R200" t="s">
        <v>116</v>
      </c>
      <c r="S200" t="s">
        <v>169</v>
      </c>
    </row>
    <row r="201" spans="1:19" x14ac:dyDescent="0.35">
      <c r="A201" t="s">
        <v>410</v>
      </c>
      <c r="B201" t="s">
        <v>129</v>
      </c>
      <c r="C201" t="s">
        <v>120</v>
      </c>
      <c r="D201">
        <v>8.9</v>
      </c>
      <c r="E201">
        <v>15</v>
      </c>
      <c r="F201" t="s">
        <v>58</v>
      </c>
      <c r="G201">
        <v>5</v>
      </c>
      <c r="H201">
        <v>0.2</v>
      </c>
      <c r="I201" t="s">
        <v>173</v>
      </c>
      <c r="J201" t="s">
        <v>216</v>
      </c>
      <c r="K201" t="s">
        <v>133</v>
      </c>
      <c r="L201" t="s">
        <v>132</v>
      </c>
      <c r="M201" t="s">
        <v>113</v>
      </c>
      <c r="N201">
        <v>6</v>
      </c>
      <c r="O201" t="s">
        <v>114</v>
      </c>
      <c r="P201">
        <v>12</v>
      </c>
      <c r="Q201" t="s">
        <v>115</v>
      </c>
      <c r="R201" t="s">
        <v>65</v>
      </c>
      <c r="S201" t="s">
        <v>147</v>
      </c>
    </row>
    <row r="202" spans="1:19" x14ac:dyDescent="0.35">
      <c r="A202" t="s">
        <v>411</v>
      </c>
      <c r="B202" t="s">
        <v>149</v>
      </c>
      <c r="C202" t="s">
        <v>120</v>
      </c>
      <c r="D202">
        <v>4.2</v>
      </c>
      <c r="E202">
        <v>14</v>
      </c>
      <c r="F202" t="s">
        <v>56</v>
      </c>
      <c r="G202">
        <v>5</v>
      </c>
      <c r="H202">
        <v>0.8</v>
      </c>
      <c r="I202" t="s">
        <v>150</v>
      </c>
      <c r="J202" t="s">
        <v>244</v>
      </c>
      <c r="K202" t="s">
        <v>152</v>
      </c>
      <c r="L202" t="s">
        <v>123</v>
      </c>
      <c r="M202" t="s">
        <v>113</v>
      </c>
      <c r="N202">
        <v>21</v>
      </c>
      <c r="O202" t="s">
        <v>126</v>
      </c>
      <c r="P202">
        <v>8</v>
      </c>
      <c r="Q202" t="s">
        <v>135</v>
      </c>
      <c r="R202" t="s">
        <v>153</v>
      </c>
      <c r="S202" t="s">
        <v>193</v>
      </c>
    </row>
    <row r="203" spans="1:19" x14ac:dyDescent="0.35">
      <c r="A203" t="s">
        <v>412</v>
      </c>
      <c r="B203" t="s">
        <v>138</v>
      </c>
      <c r="C203" t="s">
        <v>120</v>
      </c>
      <c r="D203">
        <v>5.9</v>
      </c>
      <c r="E203">
        <v>18</v>
      </c>
      <c r="F203" t="s">
        <v>58</v>
      </c>
      <c r="G203">
        <v>2</v>
      </c>
      <c r="H203">
        <v>0.7</v>
      </c>
      <c r="I203" t="s">
        <v>162</v>
      </c>
      <c r="J203" t="s">
        <v>413</v>
      </c>
      <c r="K203" t="s">
        <v>141</v>
      </c>
      <c r="L203" t="s">
        <v>111</v>
      </c>
      <c r="M203" t="s">
        <v>113</v>
      </c>
      <c r="N203">
        <v>16</v>
      </c>
      <c r="O203" t="s">
        <v>126</v>
      </c>
      <c r="P203">
        <v>12</v>
      </c>
      <c r="Q203" t="s">
        <v>115</v>
      </c>
      <c r="R203" t="s">
        <v>116</v>
      </c>
      <c r="S203" t="s">
        <v>179</v>
      </c>
    </row>
    <row r="204" spans="1:19" x14ac:dyDescent="0.35">
      <c r="A204" t="s">
        <v>414</v>
      </c>
      <c r="B204" t="s">
        <v>176</v>
      </c>
      <c r="C204" t="s">
        <v>120</v>
      </c>
      <c r="D204">
        <v>6.4</v>
      </c>
      <c r="E204">
        <v>16</v>
      </c>
      <c r="F204" t="s">
        <v>60</v>
      </c>
      <c r="G204">
        <v>7</v>
      </c>
      <c r="H204">
        <v>0.5</v>
      </c>
      <c r="I204" t="s">
        <v>150</v>
      </c>
      <c r="J204" t="s">
        <v>244</v>
      </c>
      <c r="K204" t="s">
        <v>178</v>
      </c>
      <c r="L204" t="s">
        <v>124</v>
      </c>
      <c r="M204" t="s">
        <v>113</v>
      </c>
      <c r="N204">
        <v>12</v>
      </c>
      <c r="O204" t="s">
        <v>126</v>
      </c>
      <c r="P204">
        <v>10</v>
      </c>
      <c r="Q204" t="s">
        <v>115</v>
      </c>
      <c r="R204" t="s">
        <v>153</v>
      </c>
      <c r="S204" t="s">
        <v>179</v>
      </c>
    </row>
    <row r="205" spans="1:19" x14ac:dyDescent="0.35">
      <c r="A205" t="s">
        <v>415</v>
      </c>
      <c r="B205" t="s">
        <v>218</v>
      </c>
      <c r="C205" t="s">
        <v>120</v>
      </c>
      <c r="D205">
        <v>1.7</v>
      </c>
      <c r="E205">
        <v>22</v>
      </c>
      <c r="F205" t="s">
        <v>66</v>
      </c>
      <c r="G205">
        <v>2</v>
      </c>
      <c r="H205">
        <v>1.2</v>
      </c>
      <c r="I205" t="s">
        <v>156</v>
      </c>
      <c r="J205" t="s">
        <v>203</v>
      </c>
      <c r="K205" t="s">
        <v>141</v>
      </c>
      <c r="L205" t="s">
        <v>152</v>
      </c>
      <c r="M205" t="s">
        <v>113</v>
      </c>
      <c r="N205">
        <v>10</v>
      </c>
      <c r="O205" t="s">
        <v>126</v>
      </c>
      <c r="P205">
        <v>10</v>
      </c>
      <c r="Q205" t="s">
        <v>115</v>
      </c>
      <c r="R205" t="s">
        <v>116</v>
      </c>
      <c r="S205" t="s">
        <v>127</v>
      </c>
    </row>
    <row r="206" spans="1:19" x14ac:dyDescent="0.35">
      <c r="A206" t="s">
        <v>416</v>
      </c>
      <c r="B206" t="s">
        <v>218</v>
      </c>
      <c r="C206" t="s">
        <v>120</v>
      </c>
      <c r="D206">
        <v>3.4</v>
      </c>
      <c r="E206">
        <v>22</v>
      </c>
      <c r="F206" t="s">
        <v>63</v>
      </c>
      <c r="G206">
        <v>9</v>
      </c>
      <c r="H206">
        <v>0.9</v>
      </c>
      <c r="I206" t="s">
        <v>121</v>
      </c>
      <c r="J206" t="s">
        <v>122</v>
      </c>
      <c r="K206" t="s">
        <v>152</v>
      </c>
      <c r="L206" t="s">
        <v>277</v>
      </c>
      <c r="M206" t="s">
        <v>134</v>
      </c>
      <c r="N206">
        <v>60</v>
      </c>
      <c r="O206" t="s">
        <v>126</v>
      </c>
      <c r="P206">
        <v>3</v>
      </c>
      <c r="Q206" t="s">
        <v>115</v>
      </c>
      <c r="R206" t="s">
        <v>153</v>
      </c>
      <c r="S206" t="s">
        <v>147</v>
      </c>
    </row>
    <row r="207" spans="1:19" x14ac:dyDescent="0.35">
      <c r="A207" t="s">
        <v>417</v>
      </c>
      <c r="B207" t="s">
        <v>197</v>
      </c>
      <c r="C207" t="s">
        <v>120</v>
      </c>
      <c r="D207">
        <v>7</v>
      </c>
      <c r="E207">
        <v>13</v>
      </c>
      <c r="F207" t="s">
        <v>60</v>
      </c>
      <c r="G207">
        <v>8</v>
      </c>
      <c r="H207">
        <v>0.6</v>
      </c>
      <c r="I207" t="s">
        <v>109</v>
      </c>
      <c r="J207" t="s">
        <v>110</v>
      </c>
      <c r="K207" t="s">
        <v>200</v>
      </c>
      <c r="L207" t="s">
        <v>199</v>
      </c>
      <c r="M207" t="s">
        <v>159</v>
      </c>
      <c r="N207">
        <v>151</v>
      </c>
      <c r="O207" t="s">
        <v>126</v>
      </c>
      <c r="P207">
        <v>2</v>
      </c>
      <c r="Q207" t="s">
        <v>115</v>
      </c>
      <c r="R207" t="s">
        <v>116</v>
      </c>
      <c r="S207" t="s">
        <v>169</v>
      </c>
    </row>
    <row r="208" spans="1:19" x14ac:dyDescent="0.35">
      <c r="A208" t="s">
        <v>418</v>
      </c>
      <c r="B208" t="s">
        <v>197</v>
      </c>
      <c r="C208" t="s">
        <v>120</v>
      </c>
      <c r="D208">
        <v>7.7</v>
      </c>
      <c r="E208">
        <v>25</v>
      </c>
      <c r="F208" t="s">
        <v>56</v>
      </c>
      <c r="G208">
        <v>2</v>
      </c>
      <c r="H208">
        <v>0.7</v>
      </c>
      <c r="I208" t="s">
        <v>121</v>
      </c>
      <c r="J208" t="s">
        <v>255</v>
      </c>
      <c r="K208" t="s">
        <v>199</v>
      </c>
      <c r="L208" t="s">
        <v>200</v>
      </c>
      <c r="M208" t="s">
        <v>113</v>
      </c>
      <c r="N208">
        <v>26</v>
      </c>
      <c r="O208" t="s">
        <v>126</v>
      </c>
      <c r="P208">
        <v>13</v>
      </c>
      <c r="Q208" t="s">
        <v>214</v>
      </c>
      <c r="R208" t="s">
        <v>153</v>
      </c>
      <c r="S208" t="s">
        <v>127</v>
      </c>
    </row>
    <row r="209" spans="1:19" x14ac:dyDescent="0.35">
      <c r="A209" t="s">
        <v>419</v>
      </c>
      <c r="B209" t="s">
        <v>218</v>
      </c>
      <c r="C209" t="s">
        <v>120</v>
      </c>
      <c r="D209">
        <v>9.4</v>
      </c>
      <c r="E209">
        <v>15</v>
      </c>
      <c r="F209" t="s">
        <v>58</v>
      </c>
      <c r="G209">
        <v>4</v>
      </c>
      <c r="H209">
        <v>1.2</v>
      </c>
      <c r="I209" t="s">
        <v>150</v>
      </c>
      <c r="J209" t="s">
        <v>244</v>
      </c>
      <c r="K209" t="s">
        <v>277</v>
      </c>
      <c r="L209" t="s">
        <v>152</v>
      </c>
      <c r="M209" t="s">
        <v>134</v>
      </c>
      <c r="N209">
        <v>84</v>
      </c>
      <c r="O209" t="s">
        <v>126</v>
      </c>
      <c r="P209">
        <v>6</v>
      </c>
      <c r="Q209" t="s">
        <v>135</v>
      </c>
      <c r="R209" t="s">
        <v>116</v>
      </c>
      <c r="S209" t="s">
        <v>136</v>
      </c>
    </row>
    <row r="210" spans="1:19" x14ac:dyDescent="0.35">
      <c r="A210" t="s">
        <v>420</v>
      </c>
      <c r="B210" t="s">
        <v>189</v>
      </c>
      <c r="C210" t="s">
        <v>120</v>
      </c>
      <c r="D210">
        <v>5.2</v>
      </c>
      <c r="E210">
        <v>16</v>
      </c>
      <c r="F210" t="s">
        <v>66</v>
      </c>
      <c r="G210">
        <v>5</v>
      </c>
      <c r="H210">
        <v>0.8</v>
      </c>
      <c r="I210" t="s">
        <v>150</v>
      </c>
      <c r="J210" t="s">
        <v>151</v>
      </c>
      <c r="K210" t="s">
        <v>209</v>
      </c>
      <c r="L210" t="s">
        <v>190</v>
      </c>
      <c r="M210" t="s">
        <v>134</v>
      </c>
      <c r="N210">
        <v>77</v>
      </c>
      <c r="O210" t="s">
        <v>201</v>
      </c>
      <c r="P210">
        <v>6</v>
      </c>
      <c r="Q210" t="s">
        <v>115</v>
      </c>
      <c r="R210" t="s">
        <v>168</v>
      </c>
      <c r="S210" t="s">
        <v>142</v>
      </c>
    </row>
    <row r="211" spans="1:19" x14ac:dyDescent="0.35">
      <c r="A211" t="s">
        <v>421</v>
      </c>
      <c r="B211" t="s">
        <v>161</v>
      </c>
      <c r="C211" t="s">
        <v>120</v>
      </c>
      <c r="D211">
        <v>3.5</v>
      </c>
      <c r="E211">
        <v>9</v>
      </c>
      <c r="F211" t="s">
        <v>58</v>
      </c>
      <c r="G211">
        <v>7</v>
      </c>
      <c r="H211">
        <v>1.1000000000000001</v>
      </c>
      <c r="I211" t="s">
        <v>156</v>
      </c>
      <c r="J211" t="s">
        <v>157</v>
      </c>
      <c r="K211" t="s">
        <v>182</v>
      </c>
      <c r="L211" t="s">
        <v>133</v>
      </c>
      <c r="M211" t="s">
        <v>134</v>
      </c>
      <c r="N211">
        <v>88</v>
      </c>
      <c r="O211" t="s">
        <v>126</v>
      </c>
      <c r="P211">
        <v>4</v>
      </c>
      <c r="Q211" t="s">
        <v>115</v>
      </c>
      <c r="R211" t="s">
        <v>153</v>
      </c>
      <c r="S211" t="s">
        <v>193</v>
      </c>
    </row>
    <row r="212" spans="1:19" x14ac:dyDescent="0.35">
      <c r="A212" t="s">
        <v>422</v>
      </c>
      <c r="B212" t="s">
        <v>197</v>
      </c>
      <c r="C212" t="s">
        <v>120</v>
      </c>
      <c r="D212">
        <v>7.2</v>
      </c>
      <c r="E212">
        <v>28</v>
      </c>
      <c r="F212" t="s">
        <v>60</v>
      </c>
      <c r="G212">
        <v>3</v>
      </c>
      <c r="H212">
        <v>0.2</v>
      </c>
      <c r="I212" t="s">
        <v>246</v>
      </c>
      <c r="J212" t="s">
        <v>250</v>
      </c>
      <c r="K212" t="s">
        <v>200</v>
      </c>
      <c r="L212" t="s">
        <v>178</v>
      </c>
      <c r="M212" t="s">
        <v>134</v>
      </c>
      <c r="N212">
        <v>67</v>
      </c>
      <c r="O212" t="s">
        <v>126</v>
      </c>
      <c r="P212">
        <v>6</v>
      </c>
      <c r="Q212" t="s">
        <v>115</v>
      </c>
      <c r="R212" t="s">
        <v>116</v>
      </c>
      <c r="S212" t="s">
        <v>169</v>
      </c>
    </row>
    <row r="213" spans="1:19" x14ac:dyDescent="0.35">
      <c r="A213" t="s">
        <v>423</v>
      </c>
      <c r="B213" t="s">
        <v>176</v>
      </c>
      <c r="C213" t="s">
        <v>120</v>
      </c>
      <c r="D213">
        <v>8.9</v>
      </c>
      <c r="E213">
        <v>27</v>
      </c>
      <c r="F213" t="s">
        <v>60</v>
      </c>
      <c r="G213">
        <v>12</v>
      </c>
      <c r="H213">
        <v>1</v>
      </c>
      <c r="I213" t="s">
        <v>109</v>
      </c>
      <c r="J213" t="s">
        <v>181</v>
      </c>
      <c r="K213" t="s">
        <v>124</v>
      </c>
      <c r="L213" t="s">
        <v>178</v>
      </c>
      <c r="M213" t="s">
        <v>113</v>
      </c>
      <c r="N213">
        <v>27</v>
      </c>
      <c r="O213" t="s">
        <v>114</v>
      </c>
      <c r="P213">
        <v>15</v>
      </c>
      <c r="Q213" t="s">
        <v>115</v>
      </c>
      <c r="R213" t="s">
        <v>116</v>
      </c>
      <c r="S213" t="s">
        <v>117</v>
      </c>
    </row>
    <row r="214" spans="1:19" x14ac:dyDescent="0.35">
      <c r="A214" t="s">
        <v>424</v>
      </c>
      <c r="B214" t="s">
        <v>107</v>
      </c>
      <c r="C214" t="s">
        <v>120</v>
      </c>
      <c r="D214">
        <v>9.5</v>
      </c>
      <c r="E214">
        <v>24</v>
      </c>
      <c r="F214" t="s">
        <v>60</v>
      </c>
      <c r="G214">
        <v>8</v>
      </c>
      <c r="H214">
        <v>1.4</v>
      </c>
      <c r="I214" t="s">
        <v>139</v>
      </c>
      <c r="J214" t="s">
        <v>239</v>
      </c>
      <c r="K214" t="s">
        <v>171</v>
      </c>
      <c r="L214" t="s">
        <v>111</v>
      </c>
      <c r="M214" t="s">
        <v>113</v>
      </c>
      <c r="N214">
        <v>18</v>
      </c>
      <c r="O214" t="s">
        <v>114</v>
      </c>
      <c r="P214">
        <v>10</v>
      </c>
      <c r="Q214" t="s">
        <v>115</v>
      </c>
      <c r="R214" t="s">
        <v>116</v>
      </c>
      <c r="S214" t="s">
        <v>147</v>
      </c>
    </row>
    <row r="215" spans="1:19" x14ac:dyDescent="0.35">
      <c r="A215" t="s">
        <v>425</v>
      </c>
      <c r="B215" t="s">
        <v>138</v>
      </c>
      <c r="C215" t="s">
        <v>120</v>
      </c>
      <c r="D215">
        <v>2.5</v>
      </c>
      <c r="E215">
        <v>9</v>
      </c>
      <c r="F215" t="s">
        <v>58</v>
      </c>
      <c r="G215">
        <v>9</v>
      </c>
      <c r="H215">
        <v>0.4</v>
      </c>
      <c r="I215" t="s">
        <v>144</v>
      </c>
      <c r="J215" t="s">
        <v>269</v>
      </c>
      <c r="K215" t="s">
        <v>111</v>
      </c>
      <c r="L215" t="s">
        <v>141</v>
      </c>
      <c r="M215" t="s">
        <v>113</v>
      </c>
      <c r="N215">
        <v>12</v>
      </c>
      <c r="O215" t="s">
        <v>126</v>
      </c>
      <c r="P215">
        <v>12</v>
      </c>
      <c r="Q215" t="s">
        <v>115</v>
      </c>
      <c r="R215" t="s">
        <v>116</v>
      </c>
      <c r="S215" t="s">
        <v>142</v>
      </c>
    </row>
    <row r="216" spans="1:19" x14ac:dyDescent="0.35">
      <c r="A216" t="s">
        <v>426</v>
      </c>
      <c r="B216" t="s">
        <v>155</v>
      </c>
      <c r="C216" t="s">
        <v>120</v>
      </c>
      <c r="D216">
        <v>8.3000000000000007</v>
      </c>
      <c r="E216">
        <v>9</v>
      </c>
      <c r="F216" t="s">
        <v>63</v>
      </c>
      <c r="G216">
        <v>3</v>
      </c>
      <c r="H216">
        <v>1</v>
      </c>
      <c r="I216" t="s">
        <v>205</v>
      </c>
      <c r="J216" t="s">
        <v>206</v>
      </c>
      <c r="K216" t="s">
        <v>158</v>
      </c>
      <c r="L216" t="s">
        <v>112</v>
      </c>
      <c r="M216" t="s">
        <v>159</v>
      </c>
      <c r="N216">
        <v>277</v>
      </c>
      <c r="O216" t="s">
        <v>126</v>
      </c>
      <c r="P216">
        <v>2</v>
      </c>
      <c r="Q216" t="s">
        <v>115</v>
      </c>
      <c r="R216" t="s">
        <v>116</v>
      </c>
      <c r="S216" t="s">
        <v>193</v>
      </c>
    </row>
    <row r="217" spans="1:19" x14ac:dyDescent="0.35">
      <c r="A217" t="s">
        <v>427</v>
      </c>
      <c r="B217" t="s">
        <v>107</v>
      </c>
      <c r="C217" t="s">
        <v>166</v>
      </c>
      <c r="D217">
        <v>115.4</v>
      </c>
      <c r="E217">
        <v>34</v>
      </c>
      <c r="F217" t="s">
        <v>63</v>
      </c>
      <c r="G217">
        <v>10</v>
      </c>
      <c r="H217">
        <v>1.1000000000000001</v>
      </c>
      <c r="I217" t="s">
        <v>130</v>
      </c>
      <c r="J217" t="s">
        <v>258</v>
      </c>
      <c r="K217" t="s">
        <v>111</v>
      </c>
      <c r="L217" t="s">
        <v>112</v>
      </c>
      <c r="M217" t="s">
        <v>125</v>
      </c>
      <c r="N217">
        <v>285</v>
      </c>
      <c r="O217" t="s">
        <v>126</v>
      </c>
      <c r="P217">
        <v>2</v>
      </c>
      <c r="Q217" t="s">
        <v>115</v>
      </c>
      <c r="R217" t="s">
        <v>168</v>
      </c>
      <c r="S217" t="s">
        <v>169</v>
      </c>
    </row>
    <row r="218" spans="1:19" x14ac:dyDescent="0.35">
      <c r="A218" t="s">
        <v>428</v>
      </c>
      <c r="B218" t="s">
        <v>155</v>
      </c>
      <c r="C218" t="s">
        <v>120</v>
      </c>
      <c r="D218">
        <v>5.7</v>
      </c>
      <c r="E218">
        <v>17</v>
      </c>
      <c r="F218" t="s">
        <v>63</v>
      </c>
      <c r="G218">
        <v>4</v>
      </c>
      <c r="H218">
        <v>0.5</v>
      </c>
      <c r="I218" t="s">
        <v>130</v>
      </c>
      <c r="J218" t="s">
        <v>262</v>
      </c>
      <c r="K218" t="s">
        <v>158</v>
      </c>
      <c r="L218" t="s">
        <v>112</v>
      </c>
      <c r="M218" t="s">
        <v>113</v>
      </c>
      <c r="N218">
        <v>8</v>
      </c>
      <c r="O218" t="s">
        <v>114</v>
      </c>
      <c r="P218">
        <v>10</v>
      </c>
      <c r="Q218" t="s">
        <v>115</v>
      </c>
      <c r="R218" t="s">
        <v>116</v>
      </c>
      <c r="S218" t="s">
        <v>142</v>
      </c>
    </row>
    <row r="219" spans="1:19" x14ac:dyDescent="0.35">
      <c r="A219" t="s">
        <v>429</v>
      </c>
      <c r="B219" t="s">
        <v>184</v>
      </c>
      <c r="C219" t="s">
        <v>120</v>
      </c>
      <c r="D219">
        <v>6.2</v>
      </c>
      <c r="E219">
        <v>17</v>
      </c>
      <c r="F219" t="s">
        <v>65</v>
      </c>
      <c r="G219">
        <v>12</v>
      </c>
      <c r="H219">
        <v>0.9</v>
      </c>
      <c r="I219" t="s">
        <v>156</v>
      </c>
      <c r="J219" t="s">
        <v>167</v>
      </c>
      <c r="K219" t="s">
        <v>187</v>
      </c>
      <c r="L219" t="s">
        <v>124</v>
      </c>
      <c r="M219" t="s">
        <v>134</v>
      </c>
      <c r="N219">
        <v>87</v>
      </c>
      <c r="O219" t="s">
        <v>126</v>
      </c>
      <c r="P219">
        <v>3</v>
      </c>
      <c r="Q219" t="s">
        <v>115</v>
      </c>
      <c r="R219" t="s">
        <v>116</v>
      </c>
      <c r="S219" t="s">
        <v>136</v>
      </c>
    </row>
    <row r="220" spans="1:19" x14ac:dyDescent="0.35">
      <c r="A220" t="s">
        <v>430</v>
      </c>
      <c r="B220" t="s">
        <v>184</v>
      </c>
      <c r="C220" t="s">
        <v>166</v>
      </c>
      <c r="D220">
        <v>140</v>
      </c>
      <c r="E220">
        <v>45</v>
      </c>
      <c r="F220" t="s">
        <v>56</v>
      </c>
      <c r="G220">
        <v>12</v>
      </c>
      <c r="H220">
        <v>1.2</v>
      </c>
      <c r="I220" t="s">
        <v>205</v>
      </c>
      <c r="J220" t="s">
        <v>206</v>
      </c>
      <c r="K220" t="s">
        <v>187</v>
      </c>
      <c r="L220" t="s">
        <v>124</v>
      </c>
      <c r="M220" t="s">
        <v>125</v>
      </c>
      <c r="N220">
        <v>306</v>
      </c>
      <c r="O220" t="s">
        <v>126</v>
      </c>
      <c r="P220">
        <v>0</v>
      </c>
      <c r="Q220" t="s">
        <v>115</v>
      </c>
      <c r="R220" t="s">
        <v>168</v>
      </c>
      <c r="S220" t="s">
        <v>193</v>
      </c>
    </row>
    <row r="221" spans="1:19" x14ac:dyDescent="0.35">
      <c r="A221" t="s">
        <v>431</v>
      </c>
      <c r="B221" t="s">
        <v>119</v>
      </c>
      <c r="C221" t="s">
        <v>108</v>
      </c>
      <c r="D221">
        <v>35.1</v>
      </c>
      <c r="E221">
        <v>20</v>
      </c>
      <c r="F221" t="s">
        <v>60</v>
      </c>
      <c r="G221">
        <v>2</v>
      </c>
      <c r="H221">
        <v>0.5</v>
      </c>
      <c r="I221" t="s">
        <v>109</v>
      </c>
      <c r="J221" t="s">
        <v>181</v>
      </c>
      <c r="K221" t="s">
        <v>124</v>
      </c>
      <c r="L221" t="s">
        <v>123</v>
      </c>
      <c r="M221" t="s">
        <v>113</v>
      </c>
      <c r="N221">
        <v>17</v>
      </c>
      <c r="O221" t="s">
        <v>126</v>
      </c>
      <c r="P221">
        <v>14</v>
      </c>
      <c r="Q221" t="s">
        <v>115</v>
      </c>
      <c r="R221" t="s">
        <v>116</v>
      </c>
      <c r="S221" t="s">
        <v>147</v>
      </c>
    </row>
    <row r="222" spans="1:19" x14ac:dyDescent="0.35">
      <c r="A222" t="s">
        <v>432</v>
      </c>
      <c r="B222" t="s">
        <v>189</v>
      </c>
      <c r="C222" t="s">
        <v>120</v>
      </c>
      <c r="D222">
        <v>7.8</v>
      </c>
      <c r="E222">
        <v>9</v>
      </c>
      <c r="F222" t="s">
        <v>65</v>
      </c>
      <c r="G222">
        <v>8</v>
      </c>
      <c r="H222">
        <v>0.7</v>
      </c>
      <c r="I222" t="s">
        <v>130</v>
      </c>
      <c r="J222" t="s">
        <v>208</v>
      </c>
      <c r="K222" t="s">
        <v>182</v>
      </c>
      <c r="L222" t="s">
        <v>209</v>
      </c>
      <c r="M222" t="s">
        <v>134</v>
      </c>
      <c r="N222">
        <v>89</v>
      </c>
      <c r="O222" t="s">
        <v>126</v>
      </c>
      <c r="P222">
        <v>3</v>
      </c>
      <c r="Q222" t="s">
        <v>115</v>
      </c>
      <c r="R222" t="s">
        <v>116</v>
      </c>
      <c r="S222" t="s">
        <v>193</v>
      </c>
    </row>
    <row r="223" spans="1:19" x14ac:dyDescent="0.35">
      <c r="A223" t="s">
        <v>433</v>
      </c>
      <c r="B223" t="s">
        <v>119</v>
      </c>
      <c r="C223" t="s">
        <v>108</v>
      </c>
      <c r="D223">
        <v>14.9</v>
      </c>
      <c r="E223">
        <v>23</v>
      </c>
      <c r="F223" t="s">
        <v>65</v>
      </c>
      <c r="G223">
        <v>7</v>
      </c>
      <c r="H223">
        <v>1</v>
      </c>
      <c r="I223" t="s">
        <v>185</v>
      </c>
      <c r="J223" t="s">
        <v>311</v>
      </c>
      <c r="K223" t="s">
        <v>124</v>
      </c>
      <c r="L223" t="s">
        <v>123</v>
      </c>
      <c r="M223" t="s">
        <v>113</v>
      </c>
      <c r="N223">
        <v>6</v>
      </c>
      <c r="O223" t="s">
        <v>126</v>
      </c>
      <c r="P223">
        <v>15</v>
      </c>
      <c r="Q223" t="s">
        <v>115</v>
      </c>
      <c r="R223" t="s">
        <v>153</v>
      </c>
      <c r="S223" t="s">
        <v>179</v>
      </c>
    </row>
    <row r="224" spans="1:19" x14ac:dyDescent="0.35">
      <c r="A224" t="s">
        <v>434</v>
      </c>
      <c r="B224" t="s">
        <v>138</v>
      </c>
      <c r="C224" t="s">
        <v>120</v>
      </c>
      <c r="D224">
        <v>2.6</v>
      </c>
      <c r="E224">
        <v>14</v>
      </c>
      <c r="F224" t="s">
        <v>56</v>
      </c>
      <c r="G224">
        <v>8</v>
      </c>
      <c r="H224">
        <v>0.9</v>
      </c>
      <c r="I224" t="s">
        <v>139</v>
      </c>
      <c r="J224" t="s">
        <v>140</v>
      </c>
      <c r="K224" t="s">
        <v>146</v>
      </c>
      <c r="L224" t="s">
        <v>111</v>
      </c>
      <c r="M224" t="s">
        <v>159</v>
      </c>
      <c r="N224">
        <v>317</v>
      </c>
      <c r="O224" t="s">
        <v>201</v>
      </c>
      <c r="P224">
        <v>1</v>
      </c>
      <c r="Q224" t="s">
        <v>115</v>
      </c>
      <c r="R224" t="s">
        <v>116</v>
      </c>
      <c r="S224" t="s">
        <v>117</v>
      </c>
    </row>
    <row r="225" spans="1:19" x14ac:dyDescent="0.35">
      <c r="A225" t="s">
        <v>435</v>
      </c>
      <c r="B225" t="s">
        <v>138</v>
      </c>
      <c r="C225" t="s">
        <v>108</v>
      </c>
      <c r="D225">
        <v>19.399999999999999</v>
      </c>
      <c r="E225">
        <v>16</v>
      </c>
      <c r="F225" t="s">
        <v>56</v>
      </c>
      <c r="G225">
        <v>8</v>
      </c>
      <c r="H225">
        <v>0.6</v>
      </c>
      <c r="I225" t="s">
        <v>121</v>
      </c>
      <c r="J225" t="s">
        <v>122</v>
      </c>
      <c r="K225" t="s">
        <v>146</v>
      </c>
      <c r="L225" t="s">
        <v>141</v>
      </c>
      <c r="M225" t="s">
        <v>134</v>
      </c>
      <c r="N225">
        <v>78</v>
      </c>
      <c r="O225" t="s">
        <v>126</v>
      </c>
      <c r="P225">
        <v>6</v>
      </c>
      <c r="Q225" t="s">
        <v>135</v>
      </c>
      <c r="R225" t="s">
        <v>65</v>
      </c>
      <c r="S225" t="s">
        <v>147</v>
      </c>
    </row>
    <row r="226" spans="1:19" x14ac:dyDescent="0.35">
      <c r="A226" t="s">
        <v>436</v>
      </c>
      <c r="B226" t="s">
        <v>176</v>
      </c>
      <c r="C226" t="s">
        <v>120</v>
      </c>
      <c r="D226">
        <v>9.6999999999999993</v>
      </c>
      <c r="E226">
        <v>5</v>
      </c>
      <c r="F226" t="s">
        <v>58</v>
      </c>
      <c r="G226">
        <v>4</v>
      </c>
      <c r="H226">
        <v>0.4</v>
      </c>
      <c r="I226" t="s">
        <v>109</v>
      </c>
      <c r="J226" t="s">
        <v>181</v>
      </c>
      <c r="K226" t="s">
        <v>178</v>
      </c>
      <c r="L226" t="s">
        <v>124</v>
      </c>
      <c r="M226" t="s">
        <v>134</v>
      </c>
      <c r="N226">
        <v>60</v>
      </c>
      <c r="O226" t="s">
        <v>126</v>
      </c>
      <c r="P226">
        <v>4</v>
      </c>
      <c r="Q226" t="s">
        <v>135</v>
      </c>
      <c r="R226" t="s">
        <v>65</v>
      </c>
      <c r="S226" t="s">
        <v>169</v>
      </c>
    </row>
    <row r="227" spans="1:19" x14ac:dyDescent="0.35">
      <c r="A227" t="s">
        <v>437</v>
      </c>
      <c r="B227" t="s">
        <v>184</v>
      </c>
      <c r="C227" t="s">
        <v>120</v>
      </c>
      <c r="D227">
        <v>1.8</v>
      </c>
      <c r="E227">
        <v>9</v>
      </c>
      <c r="F227" t="s">
        <v>63</v>
      </c>
      <c r="G227">
        <v>10</v>
      </c>
      <c r="H227">
        <v>0.4</v>
      </c>
      <c r="I227" t="s">
        <v>130</v>
      </c>
      <c r="J227" t="s">
        <v>258</v>
      </c>
      <c r="K227" t="s">
        <v>187</v>
      </c>
      <c r="L227" t="s">
        <v>192</v>
      </c>
      <c r="M227" t="s">
        <v>113</v>
      </c>
      <c r="N227">
        <v>26</v>
      </c>
      <c r="O227" t="s">
        <v>201</v>
      </c>
      <c r="P227">
        <v>9</v>
      </c>
      <c r="Q227" t="s">
        <v>115</v>
      </c>
      <c r="R227" t="s">
        <v>116</v>
      </c>
      <c r="S227" t="s">
        <v>147</v>
      </c>
    </row>
    <row r="228" spans="1:19" x14ac:dyDescent="0.35">
      <c r="A228" t="s">
        <v>438</v>
      </c>
      <c r="B228" t="s">
        <v>189</v>
      </c>
      <c r="C228" t="s">
        <v>120</v>
      </c>
      <c r="D228">
        <v>9.5</v>
      </c>
      <c r="E228">
        <v>25</v>
      </c>
      <c r="F228" t="s">
        <v>58</v>
      </c>
      <c r="G228">
        <v>11</v>
      </c>
      <c r="H228">
        <v>1.1000000000000001</v>
      </c>
      <c r="I228" t="s">
        <v>130</v>
      </c>
      <c r="J228" t="s">
        <v>262</v>
      </c>
      <c r="K228" t="s">
        <v>182</v>
      </c>
      <c r="L228" t="s">
        <v>190</v>
      </c>
      <c r="M228" t="s">
        <v>159</v>
      </c>
      <c r="N228">
        <v>281</v>
      </c>
      <c r="O228" t="s">
        <v>126</v>
      </c>
      <c r="P228">
        <v>1</v>
      </c>
      <c r="Q228" t="s">
        <v>115</v>
      </c>
      <c r="R228" t="s">
        <v>116</v>
      </c>
      <c r="S228" t="s">
        <v>136</v>
      </c>
    </row>
    <row r="229" spans="1:19" x14ac:dyDescent="0.35">
      <c r="A229" t="s">
        <v>439</v>
      </c>
      <c r="B229" t="s">
        <v>119</v>
      </c>
      <c r="C229" t="s">
        <v>120</v>
      </c>
      <c r="D229">
        <v>8.8000000000000007</v>
      </c>
      <c r="E229">
        <v>26</v>
      </c>
      <c r="F229" t="s">
        <v>58</v>
      </c>
      <c r="G229">
        <v>7</v>
      </c>
      <c r="H229">
        <v>1</v>
      </c>
      <c r="I229" t="s">
        <v>139</v>
      </c>
      <c r="J229" t="s">
        <v>239</v>
      </c>
      <c r="K229" t="s">
        <v>124</v>
      </c>
      <c r="L229" t="s">
        <v>123</v>
      </c>
      <c r="M229" t="s">
        <v>113</v>
      </c>
      <c r="N229">
        <v>19</v>
      </c>
      <c r="O229" t="s">
        <v>126</v>
      </c>
      <c r="P229">
        <v>13</v>
      </c>
      <c r="Q229" t="s">
        <v>115</v>
      </c>
      <c r="R229" t="s">
        <v>116</v>
      </c>
      <c r="S229" t="s">
        <v>179</v>
      </c>
    </row>
    <row r="230" spans="1:19" x14ac:dyDescent="0.35">
      <c r="A230" t="s">
        <v>440</v>
      </c>
      <c r="B230" t="s">
        <v>197</v>
      </c>
      <c r="C230" t="s">
        <v>108</v>
      </c>
      <c r="D230">
        <v>36.299999999999997</v>
      </c>
      <c r="E230">
        <v>40</v>
      </c>
      <c r="F230" t="s">
        <v>56</v>
      </c>
      <c r="G230">
        <v>9</v>
      </c>
      <c r="H230">
        <v>0.2</v>
      </c>
      <c r="I230" t="s">
        <v>185</v>
      </c>
      <c r="J230" t="s">
        <v>382</v>
      </c>
      <c r="K230" t="s">
        <v>178</v>
      </c>
      <c r="L230" t="s">
        <v>200</v>
      </c>
      <c r="M230" t="s">
        <v>159</v>
      </c>
      <c r="N230">
        <v>154</v>
      </c>
      <c r="O230" t="s">
        <v>126</v>
      </c>
      <c r="P230">
        <v>2</v>
      </c>
      <c r="Q230" t="s">
        <v>115</v>
      </c>
      <c r="R230" t="s">
        <v>116</v>
      </c>
      <c r="S230" t="s">
        <v>117</v>
      </c>
    </row>
    <row r="231" spans="1:19" x14ac:dyDescent="0.35">
      <c r="A231" t="s">
        <v>441</v>
      </c>
      <c r="B231" t="s">
        <v>189</v>
      </c>
      <c r="C231" t="s">
        <v>120</v>
      </c>
      <c r="D231">
        <v>6.4</v>
      </c>
      <c r="E231">
        <v>23</v>
      </c>
      <c r="F231" t="s">
        <v>58</v>
      </c>
      <c r="G231">
        <v>8</v>
      </c>
      <c r="H231">
        <v>0.5</v>
      </c>
      <c r="I231" t="s">
        <v>139</v>
      </c>
      <c r="J231" t="s">
        <v>140</v>
      </c>
      <c r="K231" t="s">
        <v>190</v>
      </c>
      <c r="L231" t="s">
        <v>209</v>
      </c>
      <c r="M231" t="s">
        <v>134</v>
      </c>
      <c r="N231">
        <v>87</v>
      </c>
      <c r="O231" t="s">
        <v>114</v>
      </c>
      <c r="P231">
        <v>4</v>
      </c>
      <c r="Q231" t="s">
        <v>115</v>
      </c>
      <c r="R231" t="s">
        <v>153</v>
      </c>
      <c r="S231" t="s">
        <v>169</v>
      </c>
    </row>
    <row r="232" spans="1:19" x14ac:dyDescent="0.35">
      <c r="A232" t="s">
        <v>442</v>
      </c>
      <c r="B232" t="s">
        <v>107</v>
      </c>
      <c r="C232" t="s">
        <v>120</v>
      </c>
      <c r="D232">
        <v>1.2</v>
      </c>
      <c r="E232">
        <v>18</v>
      </c>
      <c r="F232" t="s">
        <v>65</v>
      </c>
      <c r="G232">
        <v>2</v>
      </c>
      <c r="H232">
        <v>0.9</v>
      </c>
      <c r="I232" t="s">
        <v>139</v>
      </c>
      <c r="J232" t="s">
        <v>140</v>
      </c>
      <c r="K232" t="s">
        <v>111</v>
      </c>
      <c r="L232" t="s">
        <v>112</v>
      </c>
      <c r="M232" t="s">
        <v>134</v>
      </c>
      <c r="N232">
        <v>81</v>
      </c>
      <c r="O232" t="s">
        <v>114</v>
      </c>
      <c r="P232">
        <v>4</v>
      </c>
      <c r="Q232" t="s">
        <v>135</v>
      </c>
      <c r="R232" t="s">
        <v>116</v>
      </c>
      <c r="S232" t="s">
        <v>142</v>
      </c>
    </row>
    <row r="233" spans="1:19" x14ac:dyDescent="0.35">
      <c r="A233" t="s">
        <v>443</v>
      </c>
      <c r="B233" t="s">
        <v>119</v>
      </c>
      <c r="C233" t="s">
        <v>120</v>
      </c>
      <c r="D233">
        <v>8.5</v>
      </c>
      <c r="E233">
        <v>14</v>
      </c>
      <c r="F233" t="s">
        <v>63</v>
      </c>
      <c r="G233">
        <v>9</v>
      </c>
      <c r="H233">
        <v>0.5</v>
      </c>
      <c r="I233" t="s">
        <v>156</v>
      </c>
      <c r="J233" t="s">
        <v>203</v>
      </c>
      <c r="K233" t="s">
        <v>123</v>
      </c>
      <c r="L233" t="s">
        <v>141</v>
      </c>
      <c r="M233" t="s">
        <v>113</v>
      </c>
      <c r="N233">
        <v>21</v>
      </c>
      <c r="O233" t="s">
        <v>126</v>
      </c>
      <c r="P233">
        <v>14</v>
      </c>
      <c r="Q233" t="s">
        <v>214</v>
      </c>
      <c r="R233" t="s">
        <v>116</v>
      </c>
      <c r="S233" t="s">
        <v>179</v>
      </c>
    </row>
    <row r="234" spans="1:19" x14ac:dyDescent="0.35">
      <c r="A234" t="s">
        <v>444</v>
      </c>
      <c r="B234" t="s">
        <v>107</v>
      </c>
      <c r="C234" t="s">
        <v>120</v>
      </c>
      <c r="D234">
        <v>1.3</v>
      </c>
      <c r="E234">
        <v>17</v>
      </c>
      <c r="F234" t="s">
        <v>66</v>
      </c>
      <c r="G234">
        <v>3</v>
      </c>
      <c r="H234">
        <v>1</v>
      </c>
      <c r="I234" t="s">
        <v>144</v>
      </c>
      <c r="J234" t="s">
        <v>269</v>
      </c>
      <c r="K234" t="s">
        <v>171</v>
      </c>
      <c r="L234" t="s">
        <v>112</v>
      </c>
      <c r="M234" t="s">
        <v>113</v>
      </c>
      <c r="N234">
        <v>19</v>
      </c>
      <c r="O234" t="s">
        <v>114</v>
      </c>
      <c r="P234">
        <v>10</v>
      </c>
      <c r="Q234" t="s">
        <v>115</v>
      </c>
      <c r="R234" t="s">
        <v>168</v>
      </c>
      <c r="S234" t="s">
        <v>147</v>
      </c>
    </row>
    <row r="235" spans="1:19" x14ac:dyDescent="0.35">
      <c r="A235" t="s">
        <v>445</v>
      </c>
      <c r="B235" t="s">
        <v>155</v>
      </c>
      <c r="C235" t="s">
        <v>120</v>
      </c>
      <c r="D235">
        <v>9.5</v>
      </c>
      <c r="E235">
        <v>6</v>
      </c>
      <c r="F235" t="s">
        <v>56</v>
      </c>
      <c r="G235">
        <v>3</v>
      </c>
      <c r="H235">
        <v>0.7</v>
      </c>
      <c r="I235" t="s">
        <v>185</v>
      </c>
      <c r="J235" t="s">
        <v>382</v>
      </c>
      <c r="K235" t="s">
        <v>195</v>
      </c>
      <c r="L235" t="s">
        <v>112</v>
      </c>
      <c r="M235" t="s">
        <v>113</v>
      </c>
      <c r="N235">
        <v>17</v>
      </c>
      <c r="O235" t="s">
        <v>126</v>
      </c>
      <c r="P235">
        <v>13</v>
      </c>
      <c r="Q235" t="s">
        <v>115</v>
      </c>
      <c r="R235" t="s">
        <v>116</v>
      </c>
      <c r="S235" t="s">
        <v>193</v>
      </c>
    </row>
    <row r="236" spans="1:19" x14ac:dyDescent="0.35">
      <c r="A236" t="s">
        <v>446</v>
      </c>
      <c r="B236" t="s">
        <v>138</v>
      </c>
      <c r="C236" t="s">
        <v>120</v>
      </c>
      <c r="D236">
        <v>8.4</v>
      </c>
      <c r="E236">
        <v>6</v>
      </c>
      <c r="F236" t="s">
        <v>60</v>
      </c>
      <c r="G236">
        <v>3</v>
      </c>
      <c r="H236">
        <v>0.3</v>
      </c>
      <c r="I236" t="s">
        <v>109</v>
      </c>
      <c r="J236" t="s">
        <v>110</v>
      </c>
      <c r="K236" t="s">
        <v>146</v>
      </c>
      <c r="L236" t="s">
        <v>111</v>
      </c>
      <c r="M236" t="s">
        <v>134</v>
      </c>
      <c r="N236">
        <v>68</v>
      </c>
      <c r="O236" t="s">
        <v>126</v>
      </c>
      <c r="P236">
        <v>5</v>
      </c>
      <c r="Q236" t="s">
        <v>135</v>
      </c>
      <c r="R236" t="s">
        <v>65</v>
      </c>
      <c r="S236" t="s">
        <v>147</v>
      </c>
    </row>
    <row r="237" spans="1:19" x14ac:dyDescent="0.35">
      <c r="A237" t="s">
        <v>447</v>
      </c>
      <c r="B237" t="s">
        <v>161</v>
      </c>
      <c r="C237" t="s">
        <v>120</v>
      </c>
      <c r="D237">
        <v>1.8</v>
      </c>
      <c r="E237">
        <v>13</v>
      </c>
      <c r="F237" t="s">
        <v>58</v>
      </c>
      <c r="G237">
        <v>3</v>
      </c>
      <c r="H237">
        <v>0.9</v>
      </c>
      <c r="I237" t="s">
        <v>150</v>
      </c>
      <c r="J237" t="s">
        <v>244</v>
      </c>
      <c r="K237" t="s">
        <v>182</v>
      </c>
      <c r="L237" t="s">
        <v>164</v>
      </c>
      <c r="M237" t="s">
        <v>113</v>
      </c>
      <c r="N237">
        <v>9</v>
      </c>
      <c r="O237" t="s">
        <v>126</v>
      </c>
      <c r="P237">
        <v>13</v>
      </c>
      <c r="Q237" t="s">
        <v>135</v>
      </c>
      <c r="R237" t="s">
        <v>116</v>
      </c>
      <c r="S237" t="s">
        <v>127</v>
      </c>
    </row>
    <row r="238" spans="1:19" x14ac:dyDescent="0.35">
      <c r="A238" t="s">
        <v>448</v>
      </c>
      <c r="B238" t="s">
        <v>184</v>
      </c>
      <c r="C238" t="s">
        <v>120</v>
      </c>
      <c r="D238">
        <v>8.6</v>
      </c>
      <c r="E238">
        <v>17</v>
      </c>
      <c r="F238" t="s">
        <v>58</v>
      </c>
      <c r="G238">
        <v>7</v>
      </c>
      <c r="H238">
        <v>0.7</v>
      </c>
      <c r="I238" t="s">
        <v>162</v>
      </c>
      <c r="J238" t="s">
        <v>163</v>
      </c>
      <c r="K238" t="s">
        <v>187</v>
      </c>
      <c r="L238" t="s">
        <v>124</v>
      </c>
      <c r="M238" t="s">
        <v>113</v>
      </c>
      <c r="N238">
        <v>21</v>
      </c>
      <c r="O238" t="s">
        <v>201</v>
      </c>
      <c r="P238">
        <v>15</v>
      </c>
      <c r="Q238" t="s">
        <v>115</v>
      </c>
      <c r="R238" t="s">
        <v>153</v>
      </c>
      <c r="S238" t="s">
        <v>117</v>
      </c>
    </row>
    <row r="239" spans="1:19" x14ac:dyDescent="0.35">
      <c r="A239" t="s">
        <v>449</v>
      </c>
      <c r="B239" t="s">
        <v>184</v>
      </c>
      <c r="C239" t="s">
        <v>120</v>
      </c>
      <c r="D239">
        <v>2.2000000000000002</v>
      </c>
      <c r="E239">
        <v>15</v>
      </c>
      <c r="F239" t="s">
        <v>66</v>
      </c>
      <c r="G239">
        <v>4</v>
      </c>
      <c r="H239">
        <v>0.8</v>
      </c>
      <c r="I239" t="s">
        <v>173</v>
      </c>
      <c r="J239" t="s">
        <v>174</v>
      </c>
      <c r="K239" t="s">
        <v>192</v>
      </c>
      <c r="L239" t="s">
        <v>187</v>
      </c>
      <c r="M239" t="s">
        <v>113</v>
      </c>
      <c r="N239">
        <v>18</v>
      </c>
      <c r="O239" t="s">
        <v>126</v>
      </c>
      <c r="P239">
        <v>8</v>
      </c>
      <c r="Q239" t="s">
        <v>115</v>
      </c>
      <c r="R239" t="s">
        <v>116</v>
      </c>
      <c r="S239" t="s">
        <v>136</v>
      </c>
    </row>
    <row r="240" spans="1:19" x14ac:dyDescent="0.35">
      <c r="A240" t="s">
        <v>450</v>
      </c>
      <c r="B240" t="s">
        <v>189</v>
      </c>
      <c r="C240" t="s">
        <v>120</v>
      </c>
      <c r="D240">
        <v>5.9</v>
      </c>
      <c r="E240">
        <v>15</v>
      </c>
      <c r="F240" t="s">
        <v>65</v>
      </c>
      <c r="G240">
        <v>11</v>
      </c>
      <c r="H240">
        <v>0.5</v>
      </c>
      <c r="I240" t="s">
        <v>173</v>
      </c>
      <c r="J240" t="s">
        <v>216</v>
      </c>
      <c r="K240" t="s">
        <v>209</v>
      </c>
      <c r="L240" t="s">
        <v>190</v>
      </c>
      <c r="M240" t="s">
        <v>134</v>
      </c>
      <c r="N240">
        <v>93</v>
      </c>
      <c r="O240" t="s">
        <v>126</v>
      </c>
      <c r="P240">
        <v>4</v>
      </c>
      <c r="Q240" t="s">
        <v>115</v>
      </c>
      <c r="R240" t="s">
        <v>153</v>
      </c>
      <c r="S240" t="s">
        <v>117</v>
      </c>
    </row>
    <row r="241" spans="1:19" x14ac:dyDescent="0.35">
      <c r="A241" t="s">
        <v>451</v>
      </c>
      <c r="B241" t="s">
        <v>176</v>
      </c>
      <c r="C241" t="s">
        <v>120</v>
      </c>
      <c r="D241">
        <v>8.8000000000000007</v>
      </c>
      <c r="E241">
        <v>28</v>
      </c>
      <c r="F241" t="s">
        <v>56</v>
      </c>
      <c r="G241">
        <v>2</v>
      </c>
      <c r="H241">
        <v>0.7</v>
      </c>
      <c r="I241" t="s">
        <v>162</v>
      </c>
      <c r="J241" t="s">
        <v>163</v>
      </c>
      <c r="K241" t="s">
        <v>178</v>
      </c>
      <c r="L241" t="s">
        <v>124</v>
      </c>
      <c r="M241" t="s">
        <v>159</v>
      </c>
      <c r="N241">
        <v>336</v>
      </c>
      <c r="O241" t="s">
        <v>201</v>
      </c>
      <c r="P241">
        <v>2</v>
      </c>
      <c r="Q241" t="s">
        <v>135</v>
      </c>
      <c r="R241" t="s">
        <v>116</v>
      </c>
      <c r="S241" t="s">
        <v>193</v>
      </c>
    </row>
    <row r="242" spans="1:19" x14ac:dyDescent="0.35">
      <c r="A242" t="s">
        <v>452</v>
      </c>
      <c r="B242" t="s">
        <v>197</v>
      </c>
      <c r="C242" t="s">
        <v>120</v>
      </c>
      <c r="D242">
        <v>9.8000000000000007</v>
      </c>
      <c r="E242">
        <v>19</v>
      </c>
      <c r="F242" t="s">
        <v>63</v>
      </c>
      <c r="G242">
        <v>9</v>
      </c>
      <c r="H242">
        <v>0.7</v>
      </c>
      <c r="I242" t="s">
        <v>150</v>
      </c>
      <c r="J242" t="s">
        <v>151</v>
      </c>
      <c r="K242" t="s">
        <v>178</v>
      </c>
      <c r="L242" t="s">
        <v>200</v>
      </c>
      <c r="M242" t="s">
        <v>113</v>
      </c>
      <c r="N242">
        <v>21</v>
      </c>
      <c r="O242" t="s">
        <v>126</v>
      </c>
      <c r="P242">
        <v>15</v>
      </c>
      <c r="Q242" t="s">
        <v>115</v>
      </c>
      <c r="R242" t="s">
        <v>116</v>
      </c>
      <c r="S242" t="s">
        <v>127</v>
      </c>
    </row>
    <row r="243" spans="1:19" x14ac:dyDescent="0.35">
      <c r="A243" t="s">
        <v>453</v>
      </c>
      <c r="B243" t="s">
        <v>197</v>
      </c>
      <c r="C243" t="s">
        <v>120</v>
      </c>
      <c r="D243">
        <v>3.5</v>
      </c>
      <c r="E243">
        <v>13</v>
      </c>
      <c r="F243" t="s">
        <v>60</v>
      </c>
      <c r="G243">
        <v>6</v>
      </c>
      <c r="H243">
        <v>0.5</v>
      </c>
      <c r="I243" t="s">
        <v>162</v>
      </c>
      <c r="J243" t="s">
        <v>198</v>
      </c>
      <c r="K243" t="s">
        <v>200</v>
      </c>
      <c r="L243" t="s">
        <v>199</v>
      </c>
      <c r="M243" t="s">
        <v>113</v>
      </c>
      <c r="N243">
        <v>18</v>
      </c>
      <c r="O243" t="s">
        <v>126</v>
      </c>
      <c r="P243">
        <v>11</v>
      </c>
      <c r="Q243" t="s">
        <v>115</v>
      </c>
      <c r="R243" t="s">
        <v>153</v>
      </c>
      <c r="S243" t="s">
        <v>147</v>
      </c>
    </row>
    <row r="244" spans="1:19" x14ac:dyDescent="0.35">
      <c r="A244" t="s">
        <v>454</v>
      </c>
      <c r="B244" t="s">
        <v>155</v>
      </c>
      <c r="C244" t="s">
        <v>108</v>
      </c>
      <c r="D244">
        <v>23.9</v>
      </c>
      <c r="E244">
        <v>19</v>
      </c>
      <c r="F244" t="s">
        <v>63</v>
      </c>
      <c r="G244">
        <v>5</v>
      </c>
      <c r="H244">
        <v>0.2</v>
      </c>
      <c r="I244" t="s">
        <v>130</v>
      </c>
      <c r="J244" t="s">
        <v>208</v>
      </c>
      <c r="K244" t="s">
        <v>158</v>
      </c>
      <c r="L244" t="s">
        <v>195</v>
      </c>
      <c r="M244" t="s">
        <v>113</v>
      </c>
      <c r="N244">
        <v>26</v>
      </c>
      <c r="O244" t="s">
        <v>126</v>
      </c>
      <c r="P244">
        <v>12</v>
      </c>
      <c r="Q244" t="s">
        <v>115</v>
      </c>
      <c r="R244" t="s">
        <v>116</v>
      </c>
      <c r="S244" t="s">
        <v>142</v>
      </c>
    </row>
    <row r="245" spans="1:19" x14ac:dyDescent="0.35">
      <c r="A245" t="s">
        <v>455</v>
      </c>
      <c r="B245" t="s">
        <v>149</v>
      </c>
      <c r="C245" t="s">
        <v>120</v>
      </c>
      <c r="D245">
        <v>8.9</v>
      </c>
      <c r="E245">
        <v>25</v>
      </c>
      <c r="F245" t="s">
        <v>66</v>
      </c>
      <c r="G245">
        <v>3</v>
      </c>
      <c r="H245">
        <v>1.1000000000000001</v>
      </c>
      <c r="I245" t="s">
        <v>205</v>
      </c>
      <c r="J245" t="s">
        <v>298</v>
      </c>
      <c r="K245" t="s">
        <v>152</v>
      </c>
      <c r="L245" t="s">
        <v>211</v>
      </c>
      <c r="M245" t="s">
        <v>134</v>
      </c>
      <c r="N245">
        <v>81</v>
      </c>
      <c r="O245" t="s">
        <v>126</v>
      </c>
      <c r="P245">
        <v>4</v>
      </c>
      <c r="Q245" t="s">
        <v>214</v>
      </c>
      <c r="R245" t="s">
        <v>116</v>
      </c>
      <c r="S245" t="s">
        <v>142</v>
      </c>
    </row>
    <row r="246" spans="1:19" x14ac:dyDescent="0.35">
      <c r="A246" t="s">
        <v>456</v>
      </c>
      <c r="B246" t="s">
        <v>107</v>
      </c>
      <c r="C246" t="s">
        <v>120</v>
      </c>
      <c r="D246">
        <v>2.5</v>
      </c>
      <c r="E246">
        <v>14</v>
      </c>
      <c r="F246" t="s">
        <v>56</v>
      </c>
      <c r="G246">
        <v>6</v>
      </c>
      <c r="H246">
        <v>0.7</v>
      </c>
      <c r="I246" t="s">
        <v>139</v>
      </c>
      <c r="J246" t="s">
        <v>239</v>
      </c>
      <c r="K246" t="s">
        <v>171</v>
      </c>
      <c r="L246" t="s">
        <v>112</v>
      </c>
      <c r="M246" t="s">
        <v>134</v>
      </c>
      <c r="N246">
        <v>83</v>
      </c>
      <c r="O246" t="s">
        <v>126</v>
      </c>
      <c r="P246">
        <v>3</v>
      </c>
      <c r="Q246" t="s">
        <v>115</v>
      </c>
      <c r="R246" t="s">
        <v>116</v>
      </c>
      <c r="S246" t="s">
        <v>193</v>
      </c>
    </row>
    <row r="247" spans="1:19" x14ac:dyDescent="0.35">
      <c r="A247" t="s">
        <v>457</v>
      </c>
      <c r="B247" t="s">
        <v>176</v>
      </c>
      <c r="C247" t="s">
        <v>120</v>
      </c>
      <c r="D247">
        <v>1.9</v>
      </c>
      <c r="E247">
        <v>20</v>
      </c>
      <c r="F247" t="s">
        <v>65</v>
      </c>
      <c r="G247">
        <v>2</v>
      </c>
      <c r="H247">
        <v>1.3</v>
      </c>
      <c r="I247" t="s">
        <v>150</v>
      </c>
      <c r="J247" t="s">
        <v>244</v>
      </c>
      <c r="K247" t="s">
        <v>178</v>
      </c>
      <c r="L247" t="s">
        <v>228</v>
      </c>
      <c r="M247" t="s">
        <v>113</v>
      </c>
      <c r="N247">
        <v>19</v>
      </c>
      <c r="O247" t="s">
        <v>114</v>
      </c>
      <c r="P247">
        <v>11</v>
      </c>
      <c r="Q247" t="s">
        <v>135</v>
      </c>
      <c r="R247" t="s">
        <v>168</v>
      </c>
      <c r="S247" t="s">
        <v>127</v>
      </c>
    </row>
    <row r="248" spans="1:19" x14ac:dyDescent="0.35">
      <c r="A248" t="s">
        <v>458</v>
      </c>
      <c r="B248" t="s">
        <v>218</v>
      </c>
      <c r="C248" t="s">
        <v>166</v>
      </c>
      <c r="D248">
        <v>154.30000000000001</v>
      </c>
      <c r="E248">
        <v>42</v>
      </c>
      <c r="F248" t="s">
        <v>65</v>
      </c>
      <c r="G248">
        <v>7</v>
      </c>
      <c r="H248">
        <v>1.4</v>
      </c>
      <c r="I248" t="s">
        <v>121</v>
      </c>
      <c r="J248" t="s">
        <v>255</v>
      </c>
      <c r="K248" t="s">
        <v>141</v>
      </c>
      <c r="L248" t="s">
        <v>152</v>
      </c>
      <c r="M248" t="s">
        <v>134</v>
      </c>
      <c r="N248">
        <v>87</v>
      </c>
      <c r="O248" t="s">
        <v>126</v>
      </c>
      <c r="P248">
        <v>3</v>
      </c>
      <c r="Q248" t="s">
        <v>115</v>
      </c>
      <c r="R248" t="s">
        <v>65</v>
      </c>
      <c r="S248" t="s">
        <v>142</v>
      </c>
    </row>
    <row r="249" spans="1:19" x14ac:dyDescent="0.35">
      <c r="A249" t="s">
        <v>459</v>
      </c>
      <c r="B249" t="s">
        <v>161</v>
      </c>
      <c r="C249" t="s">
        <v>120</v>
      </c>
      <c r="D249">
        <v>3.3</v>
      </c>
      <c r="E249">
        <v>21</v>
      </c>
      <c r="F249" t="s">
        <v>66</v>
      </c>
      <c r="G249">
        <v>12</v>
      </c>
      <c r="H249">
        <v>1.1000000000000001</v>
      </c>
      <c r="I249" t="s">
        <v>150</v>
      </c>
      <c r="J249" t="s">
        <v>151</v>
      </c>
      <c r="K249" t="s">
        <v>164</v>
      </c>
      <c r="L249" t="s">
        <v>182</v>
      </c>
      <c r="M249" t="s">
        <v>125</v>
      </c>
      <c r="N249">
        <v>339</v>
      </c>
      <c r="O249" t="s">
        <v>126</v>
      </c>
      <c r="P249">
        <v>1</v>
      </c>
      <c r="Q249" t="s">
        <v>115</v>
      </c>
      <c r="R249" t="s">
        <v>116</v>
      </c>
      <c r="S249" t="s">
        <v>136</v>
      </c>
    </row>
    <row r="250" spans="1:19" x14ac:dyDescent="0.35">
      <c r="A250" t="s">
        <v>460</v>
      </c>
      <c r="B250" t="s">
        <v>161</v>
      </c>
      <c r="C250" t="s">
        <v>120</v>
      </c>
      <c r="D250">
        <v>1.3</v>
      </c>
      <c r="E250">
        <v>21</v>
      </c>
      <c r="F250" t="s">
        <v>63</v>
      </c>
      <c r="G250">
        <v>12</v>
      </c>
      <c r="H250">
        <v>1.2</v>
      </c>
      <c r="I250" t="s">
        <v>130</v>
      </c>
      <c r="J250" t="s">
        <v>208</v>
      </c>
      <c r="K250" t="s">
        <v>164</v>
      </c>
      <c r="L250" t="s">
        <v>133</v>
      </c>
      <c r="M250" t="s">
        <v>159</v>
      </c>
      <c r="N250">
        <v>250</v>
      </c>
      <c r="O250" t="s">
        <v>126</v>
      </c>
      <c r="P250">
        <v>2</v>
      </c>
      <c r="Q250" t="s">
        <v>115</v>
      </c>
      <c r="R250" t="s">
        <v>116</v>
      </c>
      <c r="S250" t="s">
        <v>179</v>
      </c>
    </row>
    <row r="251" spans="1:19" x14ac:dyDescent="0.35">
      <c r="A251" t="s">
        <v>461</v>
      </c>
      <c r="B251" t="s">
        <v>129</v>
      </c>
      <c r="C251" t="s">
        <v>120</v>
      </c>
      <c r="D251">
        <v>8.1999999999999993</v>
      </c>
      <c r="E251">
        <v>27</v>
      </c>
      <c r="F251" t="s">
        <v>60</v>
      </c>
      <c r="G251">
        <v>5</v>
      </c>
      <c r="H251">
        <v>1</v>
      </c>
      <c r="I251" t="s">
        <v>156</v>
      </c>
      <c r="J251" t="s">
        <v>157</v>
      </c>
      <c r="K251" t="s">
        <v>132</v>
      </c>
      <c r="L251" t="s">
        <v>133</v>
      </c>
      <c r="M251" t="s">
        <v>159</v>
      </c>
      <c r="N251">
        <v>338</v>
      </c>
      <c r="O251" t="s">
        <v>126</v>
      </c>
      <c r="P251">
        <v>2</v>
      </c>
      <c r="Q251" t="s">
        <v>115</v>
      </c>
      <c r="R251" t="s">
        <v>153</v>
      </c>
      <c r="S251" t="s">
        <v>127</v>
      </c>
    </row>
    <row r="252" spans="1:19" x14ac:dyDescent="0.35">
      <c r="A252" t="s">
        <v>462</v>
      </c>
      <c r="B252" t="s">
        <v>149</v>
      </c>
      <c r="C252" t="s">
        <v>120</v>
      </c>
      <c r="D252">
        <v>7.8</v>
      </c>
      <c r="E252">
        <v>7</v>
      </c>
      <c r="F252" t="s">
        <v>56</v>
      </c>
      <c r="G252">
        <v>8</v>
      </c>
      <c r="H252">
        <v>1.2</v>
      </c>
      <c r="I252" t="s">
        <v>144</v>
      </c>
      <c r="J252" t="s">
        <v>269</v>
      </c>
      <c r="K252" t="s">
        <v>211</v>
      </c>
      <c r="L252" t="s">
        <v>123</v>
      </c>
      <c r="M252" t="s">
        <v>113</v>
      </c>
      <c r="N252">
        <v>16</v>
      </c>
      <c r="O252" t="s">
        <v>114</v>
      </c>
      <c r="P252">
        <v>8</v>
      </c>
      <c r="Q252" t="s">
        <v>214</v>
      </c>
      <c r="R252" t="s">
        <v>168</v>
      </c>
      <c r="S252" t="s">
        <v>117</v>
      </c>
    </row>
    <row r="253" spans="1:19" x14ac:dyDescent="0.35">
      <c r="A253" t="s">
        <v>463</v>
      </c>
      <c r="B253" t="s">
        <v>107</v>
      </c>
      <c r="C253" t="s">
        <v>108</v>
      </c>
      <c r="D253">
        <v>41.2</v>
      </c>
      <c r="E253">
        <v>15</v>
      </c>
      <c r="F253" t="s">
        <v>65</v>
      </c>
      <c r="G253">
        <v>4</v>
      </c>
      <c r="H253">
        <v>0.4</v>
      </c>
      <c r="I253" t="s">
        <v>156</v>
      </c>
      <c r="J253" t="s">
        <v>157</v>
      </c>
      <c r="K253" t="s">
        <v>112</v>
      </c>
      <c r="L253" t="s">
        <v>111</v>
      </c>
      <c r="M253" t="s">
        <v>134</v>
      </c>
      <c r="N253">
        <v>72</v>
      </c>
      <c r="O253" t="s">
        <v>114</v>
      </c>
      <c r="P253">
        <v>5</v>
      </c>
      <c r="Q253" t="s">
        <v>135</v>
      </c>
      <c r="R253" t="s">
        <v>168</v>
      </c>
      <c r="S253" t="s">
        <v>193</v>
      </c>
    </row>
    <row r="254" spans="1:19" x14ac:dyDescent="0.35">
      <c r="A254" t="s">
        <v>464</v>
      </c>
      <c r="B254" t="s">
        <v>184</v>
      </c>
      <c r="C254" t="s">
        <v>120</v>
      </c>
      <c r="D254">
        <v>9.9</v>
      </c>
      <c r="E254">
        <v>11</v>
      </c>
      <c r="F254" t="s">
        <v>58</v>
      </c>
      <c r="G254">
        <v>8</v>
      </c>
      <c r="H254">
        <v>0.8</v>
      </c>
      <c r="I254" t="s">
        <v>156</v>
      </c>
      <c r="J254" t="s">
        <v>157</v>
      </c>
      <c r="K254" t="s">
        <v>124</v>
      </c>
      <c r="L254" t="s">
        <v>192</v>
      </c>
      <c r="M254" t="s">
        <v>113</v>
      </c>
      <c r="N254">
        <v>24</v>
      </c>
      <c r="O254" t="s">
        <v>126</v>
      </c>
      <c r="P254">
        <v>13</v>
      </c>
      <c r="Q254" t="s">
        <v>115</v>
      </c>
      <c r="R254" t="s">
        <v>168</v>
      </c>
      <c r="S254" t="s">
        <v>142</v>
      </c>
    </row>
    <row r="255" spans="1:19" x14ac:dyDescent="0.35">
      <c r="A255" t="s">
        <v>465</v>
      </c>
      <c r="B255" t="s">
        <v>155</v>
      </c>
      <c r="C255" t="s">
        <v>120</v>
      </c>
      <c r="D255">
        <v>3.8</v>
      </c>
      <c r="E255">
        <v>8</v>
      </c>
      <c r="F255" t="s">
        <v>56</v>
      </c>
      <c r="G255">
        <v>5</v>
      </c>
      <c r="H255">
        <v>0.9</v>
      </c>
      <c r="I255" t="s">
        <v>246</v>
      </c>
      <c r="J255" t="s">
        <v>247</v>
      </c>
      <c r="K255" t="s">
        <v>195</v>
      </c>
      <c r="L255" t="s">
        <v>112</v>
      </c>
      <c r="M255" t="s">
        <v>159</v>
      </c>
      <c r="N255">
        <v>168</v>
      </c>
      <c r="O255" t="s">
        <v>126</v>
      </c>
      <c r="P255">
        <v>2</v>
      </c>
      <c r="Q255" t="s">
        <v>135</v>
      </c>
      <c r="R255" t="s">
        <v>168</v>
      </c>
      <c r="S255" t="s">
        <v>142</v>
      </c>
    </row>
    <row r="256" spans="1:19" x14ac:dyDescent="0.35">
      <c r="A256" t="s">
        <v>466</v>
      </c>
      <c r="B256" t="s">
        <v>155</v>
      </c>
      <c r="C256" t="s">
        <v>120</v>
      </c>
      <c r="D256">
        <v>8.1999999999999993</v>
      </c>
      <c r="E256">
        <v>11</v>
      </c>
      <c r="F256" t="s">
        <v>66</v>
      </c>
      <c r="G256">
        <v>4</v>
      </c>
      <c r="H256">
        <v>1.5</v>
      </c>
      <c r="I256" t="s">
        <v>121</v>
      </c>
      <c r="J256" t="s">
        <v>122</v>
      </c>
      <c r="K256" t="s">
        <v>195</v>
      </c>
      <c r="L256" t="s">
        <v>158</v>
      </c>
      <c r="M256" t="s">
        <v>113</v>
      </c>
      <c r="N256">
        <v>23</v>
      </c>
      <c r="O256" t="s">
        <v>126</v>
      </c>
      <c r="P256">
        <v>15</v>
      </c>
      <c r="Q256" t="s">
        <v>115</v>
      </c>
      <c r="R256" t="s">
        <v>168</v>
      </c>
      <c r="S256" t="s">
        <v>179</v>
      </c>
    </row>
    <row r="257" spans="1:19" x14ac:dyDescent="0.35">
      <c r="A257" t="s">
        <v>467</v>
      </c>
      <c r="B257" t="s">
        <v>119</v>
      </c>
      <c r="C257" t="s">
        <v>108</v>
      </c>
      <c r="D257">
        <v>11.7</v>
      </c>
      <c r="E257">
        <v>36</v>
      </c>
      <c r="F257" t="s">
        <v>63</v>
      </c>
      <c r="G257">
        <v>2</v>
      </c>
      <c r="H257">
        <v>0.6</v>
      </c>
      <c r="I257" t="s">
        <v>139</v>
      </c>
      <c r="J257" t="s">
        <v>239</v>
      </c>
      <c r="K257" t="s">
        <v>123</v>
      </c>
      <c r="L257" t="s">
        <v>124</v>
      </c>
      <c r="M257" t="s">
        <v>159</v>
      </c>
      <c r="N257">
        <v>221</v>
      </c>
      <c r="O257" t="s">
        <v>126</v>
      </c>
      <c r="P257">
        <v>1</v>
      </c>
      <c r="Q257" t="s">
        <v>135</v>
      </c>
      <c r="R257" t="s">
        <v>116</v>
      </c>
      <c r="S257" t="s">
        <v>193</v>
      </c>
    </row>
    <row r="258" spans="1:19" x14ac:dyDescent="0.35">
      <c r="A258" t="s">
        <v>468</v>
      </c>
      <c r="B258" t="s">
        <v>161</v>
      </c>
      <c r="C258" t="s">
        <v>108</v>
      </c>
      <c r="D258">
        <v>40.799999999999997</v>
      </c>
      <c r="E258">
        <v>43</v>
      </c>
      <c r="F258" t="s">
        <v>60</v>
      </c>
      <c r="G258">
        <v>9</v>
      </c>
      <c r="H258">
        <v>0.6</v>
      </c>
      <c r="I258" t="s">
        <v>246</v>
      </c>
      <c r="J258" t="s">
        <v>250</v>
      </c>
      <c r="K258" t="s">
        <v>182</v>
      </c>
      <c r="L258" t="s">
        <v>133</v>
      </c>
      <c r="M258" t="s">
        <v>134</v>
      </c>
      <c r="N258">
        <v>91</v>
      </c>
      <c r="O258" t="s">
        <v>126</v>
      </c>
      <c r="P258">
        <v>3</v>
      </c>
      <c r="Q258" t="s">
        <v>115</v>
      </c>
      <c r="R258" t="s">
        <v>116</v>
      </c>
      <c r="S258" t="s">
        <v>142</v>
      </c>
    </row>
    <row r="259" spans="1:19" x14ac:dyDescent="0.35">
      <c r="A259" t="s">
        <v>469</v>
      </c>
      <c r="B259" t="s">
        <v>107</v>
      </c>
      <c r="C259" t="s">
        <v>120</v>
      </c>
      <c r="D259">
        <v>6.2</v>
      </c>
      <c r="E259">
        <v>14</v>
      </c>
      <c r="F259" t="s">
        <v>65</v>
      </c>
      <c r="G259">
        <v>5</v>
      </c>
      <c r="H259">
        <v>1.1000000000000001</v>
      </c>
      <c r="I259" t="s">
        <v>162</v>
      </c>
      <c r="J259" t="s">
        <v>163</v>
      </c>
      <c r="K259" t="s">
        <v>112</v>
      </c>
      <c r="L259" t="s">
        <v>111</v>
      </c>
      <c r="M259" t="s">
        <v>134</v>
      </c>
      <c r="N259">
        <v>62</v>
      </c>
      <c r="O259" t="s">
        <v>126</v>
      </c>
      <c r="P259">
        <v>6</v>
      </c>
      <c r="Q259" t="s">
        <v>214</v>
      </c>
      <c r="R259" t="s">
        <v>153</v>
      </c>
      <c r="S259" t="s">
        <v>179</v>
      </c>
    </row>
    <row r="260" spans="1:19" x14ac:dyDescent="0.35">
      <c r="A260" t="s">
        <v>470</v>
      </c>
      <c r="B260" t="s">
        <v>184</v>
      </c>
      <c r="C260" t="s">
        <v>120</v>
      </c>
      <c r="D260">
        <v>6.9</v>
      </c>
      <c r="E260">
        <v>16</v>
      </c>
      <c r="F260" t="s">
        <v>65</v>
      </c>
      <c r="G260">
        <v>11</v>
      </c>
      <c r="H260">
        <v>0.6</v>
      </c>
      <c r="I260" t="s">
        <v>185</v>
      </c>
      <c r="J260" t="s">
        <v>223</v>
      </c>
      <c r="K260" t="s">
        <v>124</v>
      </c>
      <c r="L260" t="s">
        <v>192</v>
      </c>
      <c r="M260" t="s">
        <v>113</v>
      </c>
      <c r="N260">
        <v>29</v>
      </c>
      <c r="O260" t="s">
        <v>126</v>
      </c>
      <c r="P260">
        <v>14</v>
      </c>
      <c r="Q260" t="s">
        <v>115</v>
      </c>
      <c r="R260" t="s">
        <v>153</v>
      </c>
      <c r="S260" t="s">
        <v>142</v>
      </c>
    </row>
    <row r="261" spans="1:19" x14ac:dyDescent="0.35">
      <c r="A261" t="s">
        <v>471</v>
      </c>
      <c r="B261" t="s">
        <v>189</v>
      </c>
      <c r="C261" t="s">
        <v>120</v>
      </c>
      <c r="D261">
        <v>1.3</v>
      </c>
      <c r="E261">
        <v>20</v>
      </c>
      <c r="F261" t="s">
        <v>63</v>
      </c>
      <c r="G261">
        <v>3</v>
      </c>
      <c r="H261">
        <v>0.9</v>
      </c>
      <c r="I261" t="s">
        <v>173</v>
      </c>
      <c r="J261" t="s">
        <v>216</v>
      </c>
      <c r="K261" t="s">
        <v>182</v>
      </c>
      <c r="L261" t="s">
        <v>190</v>
      </c>
      <c r="M261" t="s">
        <v>134</v>
      </c>
      <c r="N261">
        <v>83</v>
      </c>
      <c r="O261" t="s">
        <v>126</v>
      </c>
      <c r="P261">
        <v>5</v>
      </c>
      <c r="Q261" t="s">
        <v>115</v>
      </c>
      <c r="R261" t="s">
        <v>168</v>
      </c>
      <c r="S261" t="s">
        <v>169</v>
      </c>
    </row>
    <row r="262" spans="1:19" x14ac:dyDescent="0.35">
      <c r="A262" t="s">
        <v>472</v>
      </c>
      <c r="B262" t="s">
        <v>129</v>
      </c>
      <c r="C262" t="s">
        <v>120</v>
      </c>
      <c r="D262">
        <v>8.9</v>
      </c>
      <c r="E262">
        <v>19</v>
      </c>
      <c r="F262" t="s">
        <v>60</v>
      </c>
      <c r="G262">
        <v>2</v>
      </c>
      <c r="H262">
        <v>0.1</v>
      </c>
      <c r="I262" t="s">
        <v>144</v>
      </c>
      <c r="J262" t="s">
        <v>145</v>
      </c>
      <c r="K262" t="s">
        <v>133</v>
      </c>
      <c r="L262" t="s">
        <v>132</v>
      </c>
      <c r="M262" t="s">
        <v>159</v>
      </c>
      <c r="N262">
        <v>307</v>
      </c>
      <c r="O262" t="s">
        <v>126</v>
      </c>
      <c r="P262">
        <v>2</v>
      </c>
      <c r="Q262" t="s">
        <v>115</v>
      </c>
      <c r="R262" t="s">
        <v>153</v>
      </c>
      <c r="S262" t="s">
        <v>136</v>
      </c>
    </row>
    <row r="263" spans="1:19" x14ac:dyDescent="0.35">
      <c r="A263" t="s">
        <v>473</v>
      </c>
      <c r="B263" t="s">
        <v>107</v>
      </c>
      <c r="C263" t="s">
        <v>120</v>
      </c>
      <c r="D263">
        <v>3.9</v>
      </c>
      <c r="E263">
        <v>30</v>
      </c>
      <c r="F263" t="s">
        <v>58</v>
      </c>
      <c r="G263">
        <v>9</v>
      </c>
      <c r="H263">
        <v>0.9</v>
      </c>
      <c r="I263" t="s">
        <v>109</v>
      </c>
      <c r="J263" t="s">
        <v>181</v>
      </c>
      <c r="K263" t="s">
        <v>111</v>
      </c>
      <c r="L263" t="s">
        <v>112</v>
      </c>
      <c r="M263" t="s">
        <v>134</v>
      </c>
      <c r="N263">
        <v>77</v>
      </c>
      <c r="O263" t="s">
        <v>201</v>
      </c>
      <c r="P263">
        <v>5</v>
      </c>
      <c r="Q263" t="s">
        <v>115</v>
      </c>
      <c r="R263" t="s">
        <v>153</v>
      </c>
      <c r="S263" t="s">
        <v>136</v>
      </c>
    </row>
    <row r="264" spans="1:19" x14ac:dyDescent="0.35">
      <c r="A264" t="s">
        <v>474</v>
      </c>
      <c r="B264" t="s">
        <v>184</v>
      </c>
      <c r="C264" t="s">
        <v>120</v>
      </c>
      <c r="D264">
        <v>4.0999999999999996</v>
      </c>
      <c r="E264">
        <v>27</v>
      </c>
      <c r="F264" t="s">
        <v>56</v>
      </c>
      <c r="G264">
        <v>6</v>
      </c>
      <c r="H264">
        <v>1.5</v>
      </c>
      <c r="I264" t="s">
        <v>205</v>
      </c>
      <c r="J264" t="s">
        <v>206</v>
      </c>
      <c r="K264" t="s">
        <v>192</v>
      </c>
      <c r="L264" t="s">
        <v>187</v>
      </c>
      <c r="M264" t="s">
        <v>113</v>
      </c>
      <c r="N264">
        <v>11</v>
      </c>
      <c r="O264" t="s">
        <v>126</v>
      </c>
      <c r="P264">
        <v>10</v>
      </c>
      <c r="Q264" t="s">
        <v>135</v>
      </c>
      <c r="R264" t="s">
        <v>65</v>
      </c>
      <c r="S264" t="s">
        <v>127</v>
      </c>
    </row>
    <row r="265" spans="1:19" x14ac:dyDescent="0.35">
      <c r="A265" t="s">
        <v>475</v>
      </c>
      <c r="B265" t="s">
        <v>119</v>
      </c>
      <c r="C265" t="s">
        <v>120</v>
      </c>
      <c r="D265">
        <v>2.8</v>
      </c>
      <c r="E265">
        <v>12</v>
      </c>
      <c r="F265" t="s">
        <v>66</v>
      </c>
      <c r="G265">
        <v>7</v>
      </c>
      <c r="H265">
        <v>0.5</v>
      </c>
      <c r="I265" t="s">
        <v>139</v>
      </c>
      <c r="J265" t="s">
        <v>140</v>
      </c>
      <c r="K265" t="s">
        <v>124</v>
      </c>
      <c r="L265" t="s">
        <v>141</v>
      </c>
      <c r="M265" t="s">
        <v>134</v>
      </c>
      <c r="N265">
        <v>80</v>
      </c>
      <c r="O265" t="s">
        <v>126</v>
      </c>
      <c r="P265">
        <v>5</v>
      </c>
      <c r="Q265" t="s">
        <v>135</v>
      </c>
      <c r="R265" t="s">
        <v>116</v>
      </c>
      <c r="S265" t="s">
        <v>169</v>
      </c>
    </row>
    <row r="266" spans="1:19" x14ac:dyDescent="0.35">
      <c r="A266" t="s">
        <v>476</v>
      </c>
      <c r="B266" t="s">
        <v>176</v>
      </c>
      <c r="C266" t="s">
        <v>120</v>
      </c>
      <c r="D266">
        <v>2.7</v>
      </c>
      <c r="E266">
        <v>6</v>
      </c>
      <c r="F266" t="s">
        <v>56</v>
      </c>
      <c r="G266">
        <v>11</v>
      </c>
      <c r="H266">
        <v>0</v>
      </c>
      <c r="I266" t="s">
        <v>144</v>
      </c>
      <c r="J266" t="s">
        <v>145</v>
      </c>
      <c r="K266" t="s">
        <v>178</v>
      </c>
      <c r="L266" t="s">
        <v>228</v>
      </c>
      <c r="M266" t="s">
        <v>113</v>
      </c>
      <c r="N266">
        <v>7</v>
      </c>
      <c r="O266" t="s">
        <v>114</v>
      </c>
      <c r="P266">
        <v>10</v>
      </c>
      <c r="Q266" t="s">
        <v>115</v>
      </c>
      <c r="R266" t="s">
        <v>168</v>
      </c>
      <c r="S266" t="s">
        <v>127</v>
      </c>
    </row>
    <row r="267" spans="1:19" x14ac:dyDescent="0.35">
      <c r="A267" t="s">
        <v>477</v>
      </c>
      <c r="B267" t="s">
        <v>149</v>
      </c>
      <c r="C267" t="s">
        <v>108</v>
      </c>
      <c r="D267">
        <v>20.8</v>
      </c>
      <c r="E267">
        <v>29</v>
      </c>
      <c r="F267" t="s">
        <v>56</v>
      </c>
      <c r="G267">
        <v>9</v>
      </c>
      <c r="H267">
        <v>1.1000000000000001</v>
      </c>
      <c r="I267" t="s">
        <v>144</v>
      </c>
      <c r="J267" t="s">
        <v>269</v>
      </c>
      <c r="K267" t="s">
        <v>211</v>
      </c>
      <c r="L267" t="s">
        <v>152</v>
      </c>
      <c r="M267" t="s">
        <v>134</v>
      </c>
      <c r="N267">
        <v>68</v>
      </c>
      <c r="O267" t="s">
        <v>126</v>
      </c>
      <c r="P267">
        <v>6</v>
      </c>
      <c r="Q267" t="s">
        <v>115</v>
      </c>
      <c r="R267" t="s">
        <v>65</v>
      </c>
      <c r="S267" t="s">
        <v>193</v>
      </c>
    </row>
    <row r="268" spans="1:19" x14ac:dyDescent="0.35">
      <c r="A268" t="s">
        <v>478</v>
      </c>
      <c r="B268" t="s">
        <v>161</v>
      </c>
      <c r="C268" t="s">
        <v>108</v>
      </c>
      <c r="D268">
        <v>31</v>
      </c>
      <c r="E268">
        <v>25</v>
      </c>
      <c r="F268" t="s">
        <v>65</v>
      </c>
      <c r="G268">
        <v>10</v>
      </c>
      <c r="H268">
        <v>1</v>
      </c>
      <c r="I268" t="s">
        <v>173</v>
      </c>
      <c r="J268" t="s">
        <v>174</v>
      </c>
      <c r="K268" t="s">
        <v>133</v>
      </c>
      <c r="L268" t="s">
        <v>182</v>
      </c>
      <c r="M268" t="s">
        <v>113</v>
      </c>
      <c r="N268">
        <v>15</v>
      </c>
      <c r="O268" t="s">
        <v>126</v>
      </c>
      <c r="P268">
        <v>13</v>
      </c>
      <c r="Q268" t="s">
        <v>214</v>
      </c>
      <c r="R268" t="s">
        <v>116</v>
      </c>
      <c r="S268" t="s">
        <v>117</v>
      </c>
    </row>
    <row r="269" spans="1:19" x14ac:dyDescent="0.35">
      <c r="A269" t="s">
        <v>479</v>
      </c>
      <c r="B269" t="s">
        <v>197</v>
      </c>
      <c r="C269" t="s">
        <v>120</v>
      </c>
      <c r="D269">
        <v>1</v>
      </c>
      <c r="E269">
        <v>22</v>
      </c>
      <c r="F269" t="s">
        <v>65</v>
      </c>
      <c r="G269">
        <v>9</v>
      </c>
      <c r="H269">
        <v>1.1000000000000001</v>
      </c>
      <c r="I269" t="s">
        <v>246</v>
      </c>
      <c r="J269" t="s">
        <v>247</v>
      </c>
      <c r="K269" t="s">
        <v>200</v>
      </c>
      <c r="L269" t="s">
        <v>199</v>
      </c>
      <c r="M269" t="s">
        <v>113</v>
      </c>
      <c r="N269">
        <v>29</v>
      </c>
      <c r="O269" t="s">
        <v>126</v>
      </c>
      <c r="P269">
        <v>9</v>
      </c>
      <c r="Q269" t="s">
        <v>214</v>
      </c>
      <c r="R269" t="s">
        <v>168</v>
      </c>
      <c r="S269" t="s">
        <v>169</v>
      </c>
    </row>
    <row r="270" spans="1:19" x14ac:dyDescent="0.35">
      <c r="A270" t="s">
        <v>480</v>
      </c>
      <c r="B270" t="s">
        <v>189</v>
      </c>
      <c r="C270" t="s">
        <v>120</v>
      </c>
      <c r="D270">
        <v>2.6</v>
      </c>
      <c r="E270">
        <v>25</v>
      </c>
      <c r="F270" t="s">
        <v>66</v>
      </c>
      <c r="G270">
        <v>3</v>
      </c>
      <c r="H270">
        <v>1.3</v>
      </c>
      <c r="I270" t="s">
        <v>162</v>
      </c>
      <c r="J270" t="s">
        <v>198</v>
      </c>
      <c r="K270" t="s">
        <v>209</v>
      </c>
      <c r="L270" t="s">
        <v>190</v>
      </c>
      <c r="M270" t="s">
        <v>113</v>
      </c>
      <c r="N270">
        <v>30</v>
      </c>
      <c r="O270" t="s">
        <v>201</v>
      </c>
      <c r="P270">
        <v>13</v>
      </c>
      <c r="Q270" t="s">
        <v>135</v>
      </c>
      <c r="R270" t="s">
        <v>168</v>
      </c>
      <c r="S270" t="s">
        <v>142</v>
      </c>
    </row>
    <row r="271" spans="1:19" x14ac:dyDescent="0.35">
      <c r="A271" t="s">
        <v>481</v>
      </c>
      <c r="B271" t="s">
        <v>107</v>
      </c>
      <c r="C271" t="s">
        <v>120</v>
      </c>
      <c r="D271">
        <v>1.2</v>
      </c>
      <c r="E271">
        <v>10</v>
      </c>
      <c r="F271" t="s">
        <v>58</v>
      </c>
      <c r="G271">
        <v>2</v>
      </c>
      <c r="H271">
        <v>1.2</v>
      </c>
      <c r="I271" t="s">
        <v>162</v>
      </c>
      <c r="J271" t="s">
        <v>177</v>
      </c>
      <c r="K271" t="s">
        <v>111</v>
      </c>
      <c r="L271" t="s">
        <v>171</v>
      </c>
      <c r="M271" t="s">
        <v>159</v>
      </c>
      <c r="N271">
        <v>275</v>
      </c>
      <c r="O271" t="s">
        <v>201</v>
      </c>
      <c r="P271">
        <v>1</v>
      </c>
      <c r="Q271" t="s">
        <v>135</v>
      </c>
      <c r="R271" t="s">
        <v>168</v>
      </c>
      <c r="S271" t="s">
        <v>169</v>
      </c>
    </row>
    <row r="272" spans="1:19" x14ac:dyDescent="0.35">
      <c r="A272" t="s">
        <v>482</v>
      </c>
      <c r="B272" t="s">
        <v>107</v>
      </c>
      <c r="C272" t="s">
        <v>120</v>
      </c>
      <c r="D272">
        <v>1.5</v>
      </c>
      <c r="E272">
        <v>21</v>
      </c>
      <c r="F272" t="s">
        <v>58</v>
      </c>
      <c r="G272">
        <v>8</v>
      </c>
      <c r="H272">
        <v>0.6</v>
      </c>
      <c r="I272" t="s">
        <v>144</v>
      </c>
      <c r="J272" t="s">
        <v>145</v>
      </c>
      <c r="K272" t="s">
        <v>112</v>
      </c>
      <c r="L272" t="s">
        <v>111</v>
      </c>
      <c r="M272" t="s">
        <v>134</v>
      </c>
      <c r="N272">
        <v>91</v>
      </c>
      <c r="O272" t="s">
        <v>201</v>
      </c>
      <c r="P272">
        <v>4</v>
      </c>
      <c r="Q272" t="s">
        <v>115</v>
      </c>
      <c r="R272" t="s">
        <v>116</v>
      </c>
      <c r="S272" t="s">
        <v>117</v>
      </c>
    </row>
    <row r="273" spans="1:19" x14ac:dyDescent="0.35">
      <c r="A273" t="s">
        <v>483</v>
      </c>
      <c r="B273" t="s">
        <v>107</v>
      </c>
      <c r="C273" t="s">
        <v>120</v>
      </c>
      <c r="D273">
        <v>3</v>
      </c>
      <c r="E273">
        <v>7</v>
      </c>
      <c r="F273" t="s">
        <v>66</v>
      </c>
      <c r="G273">
        <v>5</v>
      </c>
      <c r="H273">
        <v>0.4</v>
      </c>
      <c r="I273" t="s">
        <v>150</v>
      </c>
      <c r="J273" t="s">
        <v>244</v>
      </c>
      <c r="K273" t="s">
        <v>112</v>
      </c>
      <c r="L273" t="s">
        <v>111</v>
      </c>
      <c r="M273" t="s">
        <v>113</v>
      </c>
      <c r="N273">
        <v>25</v>
      </c>
      <c r="O273" t="s">
        <v>126</v>
      </c>
      <c r="P273">
        <v>12</v>
      </c>
      <c r="Q273" t="s">
        <v>115</v>
      </c>
      <c r="R273" t="s">
        <v>168</v>
      </c>
      <c r="S273" t="s">
        <v>117</v>
      </c>
    </row>
    <row r="274" spans="1:19" x14ac:dyDescent="0.35">
      <c r="A274" t="s">
        <v>484</v>
      </c>
      <c r="B274" t="s">
        <v>107</v>
      </c>
      <c r="C274" t="s">
        <v>120</v>
      </c>
      <c r="D274">
        <v>9.1999999999999993</v>
      </c>
      <c r="E274">
        <v>7</v>
      </c>
      <c r="F274" t="s">
        <v>66</v>
      </c>
      <c r="G274">
        <v>3</v>
      </c>
      <c r="H274">
        <v>1.1000000000000001</v>
      </c>
      <c r="I274" t="s">
        <v>156</v>
      </c>
      <c r="J274" t="s">
        <v>157</v>
      </c>
      <c r="K274" t="s">
        <v>171</v>
      </c>
      <c r="L274" t="s">
        <v>112</v>
      </c>
      <c r="M274" t="s">
        <v>113</v>
      </c>
      <c r="N274">
        <v>18</v>
      </c>
      <c r="O274" t="s">
        <v>201</v>
      </c>
      <c r="P274">
        <v>9</v>
      </c>
      <c r="Q274" t="s">
        <v>115</v>
      </c>
      <c r="R274" t="s">
        <v>168</v>
      </c>
      <c r="S274" t="s">
        <v>169</v>
      </c>
    </row>
    <row r="275" spans="1:19" x14ac:dyDescent="0.35">
      <c r="A275" t="s">
        <v>485</v>
      </c>
      <c r="B275" t="s">
        <v>176</v>
      </c>
      <c r="C275" t="s">
        <v>120</v>
      </c>
      <c r="D275">
        <v>2.1</v>
      </c>
      <c r="E275">
        <v>11</v>
      </c>
      <c r="F275" t="s">
        <v>65</v>
      </c>
      <c r="G275">
        <v>3</v>
      </c>
      <c r="H275">
        <v>0.7</v>
      </c>
      <c r="I275" t="s">
        <v>173</v>
      </c>
      <c r="J275" t="s">
        <v>174</v>
      </c>
      <c r="K275" t="s">
        <v>124</v>
      </c>
      <c r="L275" t="s">
        <v>178</v>
      </c>
      <c r="M275" t="s">
        <v>134</v>
      </c>
      <c r="N275">
        <v>78</v>
      </c>
      <c r="O275" t="s">
        <v>126</v>
      </c>
      <c r="P275">
        <v>5</v>
      </c>
      <c r="Q275" t="s">
        <v>135</v>
      </c>
      <c r="R275" t="s">
        <v>65</v>
      </c>
      <c r="S275" t="s">
        <v>142</v>
      </c>
    </row>
    <row r="276" spans="1:19" x14ac:dyDescent="0.35">
      <c r="A276" t="s">
        <v>486</v>
      </c>
      <c r="B276" t="s">
        <v>176</v>
      </c>
      <c r="C276" t="s">
        <v>120</v>
      </c>
      <c r="D276">
        <v>2.8</v>
      </c>
      <c r="E276">
        <v>11</v>
      </c>
      <c r="F276" t="s">
        <v>63</v>
      </c>
      <c r="G276">
        <v>6</v>
      </c>
      <c r="H276">
        <v>1.5</v>
      </c>
      <c r="I276" t="s">
        <v>150</v>
      </c>
      <c r="J276" t="s">
        <v>151</v>
      </c>
      <c r="K276" t="s">
        <v>228</v>
      </c>
      <c r="L276" t="s">
        <v>124</v>
      </c>
      <c r="M276" t="s">
        <v>134</v>
      </c>
      <c r="N276">
        <v>69</v>
      </c>
      <c r="O276" t="s">
        <v>114</v>
      </c>
      <c r="P276">
        <v>4</v>
      </c>
      <c r="Q276" t="s">
        <v>115</v>
      </c>
      <c r="R276" t="s">
        <v>116</v>
      </c>
      <c r="S276" t="s">
        <v>117</v>
      </c>
    </row>
    <row r="277" spans="1:19" x14ac:dyDescent="0.35">
      <c r="A277" t="s">
        <v>487</v>
      </c>
      <c r="B277" t="s">
        <v>155</v>
      </c>
      <c r="C277" t="s">
        <v>120</v>
      </c>
      <c r="D277">
        <v>7</v>
      </c>
      <c r="E277">
        <v>25</v>
      </c>
      <c r="F277" t="s">
        <v>56</v>
      </c>
      <c r="G277">
        <v>10</v>
      </c>
      <c r="H277">
        <v>0.4</v>
      </c>
      <c r="I277" t="s">
        <v>246</v>
      </c>
      <c r="J277" t="s">
        <v>247</v>
      </c>
      <c r="K277" t="s">
        <v>112</v>
      </c>
      <c r="L277" t="s">
        <v>158</v>
      </c>
      <c r="M277" t="s">
        <v>134</v>
      </c>
      <c r="N277">
        <v>79</v>
      </c>
      <c r="O277" t="s">
        <v>126</v>
      </c>
      <c r="P277">
        <v>5</v>
      </c>
      <c r="Q277" t="s">
        <v>115</v>
      </c>
      <c r="R277" t="s">
        <v>65</v>
      </c>
      <c r="S277" t="s">
        <v>136</v>
      </c>
    </row>
    <row r="278" spans="1:19" x14ac:dyDescent="0.35">
      <c r="A278" t="s">
        <v>488</v>
      </c>
      <c r="B278" t="s">
        <v>161</v>
      </c>
      <c r="C278" t="s">
        <v>108</v>
      </c>
      <c r="D278">
        <v>12</v>
      </c>
      <c r="E278">
        <v>42</v>
      </c>
      <c r="F278" t="s">
        <v>56</v>
      </c>
      <c r="G278">
        <v>6</v>
      </c>
      <c r="H278">
        <v>1.5</v>
      </c>
      <c r="I278" t="s">
        <v>139</v>
      </c>
      <c r="J278" t="s">
        <v>239</v>
      </c>
      <c r="K278" t="s">
        <v>182</v>
      </c>
      <c r="L278" t="s">
        <v>133</v>
      </c>
      <c r="M278" t="s">
        <v>159</v>
      </c>
      <c r="N278">
        <v>201</v>
      </c>
      <c r="O278" t="s">
        <v>126</v>
      </c>
      <c r="P278">
        <v>1</v>
      </c>
      <c r="Q278" t="s">
        <v>115</v>
      </c>
      <c r="R278" t="s">
        <v>116</v>
      </c>
      <c r="S278" t="s">
        <v>169</v>
      </c>
    </row>
    <row r="279" spans="1:19" x14ac:dyDescent="0.35">
      <c r="A279" t="s">
        <v>489</v>
      </c>
      <c r="B279" t="s">
        <v>107</v>
      </c>
      <c r="C279" t="s">
        <v>120</v>
      </c>
      <c r="D279">
        <v>4.4000000000000004</v>
      </c>
      <c r="E279">
        <v>27</v>
      </c>
      <c r="F279" t="s">
        <v>58</v>
      </c>
      <c r="G279">
        <v>8</v>
      </c>
      <c r="H279">
        <v>0.8</v>
      </c>
      <c r="I279" t="s">
        <v>185</v>
      </c>
      <c r="J279" t="s">
        <v>186</v>
      </c>
      <c r="K279" t="s">
        <v>171</v>
      </c>
      <c r="L279" t="s">
        <v>112</v>
      </c>
      <c r="M279" t="s">
        <v>134</v>
      </c>
      <c r="N279">
        <v>72</v>
      </c>
      <c r="O279" t="s">
        <v>126</v>
      </c>
      <c r="P279">
        <v>4</v>
      </c>
      <c r="Q279" t="s">
        <v>115</v>
      </c>
      <c r="R279" t="s">
        <v>168</v>
      </c>
      <c r="S279" t="s">
        <v>136</v>
      </c>
    </row>
    <row r="280" spans="1:19" x14ac:dyDescent="0.35">
      <c r="A280" t="s">
        <v>490</v>
      </c>
      <c r="B280" t="s">
        <v>218</v>
      </c>
      <c r="C280" t="s">
        <v>120</v>
      </c>
      <c r="D280">
        <v>7.7</v>
      </c>
      <c r="E280">
        <v>11</v>
      </c>
      <c r="F280" t="s">
        <v>63</v>
      </c>
      <c r="G280">
        <v>9</v>
      </c>
      <c r="H280">
        <v>1</v>
      </c>
      <c r="I280" t="s">
        <v>121</v>
      </c>
      <c r="J280" t="s">
        <v>122</v>
      </c>
      <c r="K280" t="s">
        <v>141</v>
      </c>
      <c r="L280" t="s">
        <v>152</v>
      </c>
      <c r="M280" t="s">
        <v>159</v>
      </c>
      <c r="N280">
        <v>163</v>
      </c>
      <c r="O280" t="s">
        <v>126</v>
      </c>
      <c r="P280">
        <v>1</v>
      </c>
      <c r="Q280" t="s">
        <v>115</v>
      </c>
      <c r="R280" t="s">
        <v>116</v>
      </c>
      <c r="S280" t="s">
        <v>142</v>
      </c>
    </row>
    <row r="281" spans="1:19" x14ac:dyDescent="0.35">
      <c r="A281" t="s">
        <v>491</v>
      </c>
      <c r="B281" t="s">
        <v>184</v>
      </c>
      <c r="C281" t="s">
        <v>120</v>
      </c>
      <c r="D281">
        <v>3.2</v>
      </c>
      <c r="E281">
        <v>13</v>
      </c>
      <c r="F281" t="s">
        <v>60</v>
      </c>
      <c r="G281">
        <v>8</v>
      </c>
      <c r="H281">
        <v>1</v>
      </c>
      <c r="I281" t="s">
        <v>150</v>
      </c>
      <c r="J281" t="s">
        <v>244</v>
      </c>
      <c r="K281" t="s">
        <v>192</v>
      </c>
      <c r="L281" t="s">
        <v>187</v>
      </c>
      <c r="M281" t="s">
        <v>159</v>
      </c>
      <c r="N281">
        <v>302</v>
      </c>
      <c r="O281" t="s">
        <v>126</v>
      </c>
      <c r="P281">
        <v>2</v>
      </c>
      <c r="Q281" t="s">
        <v>214</v>
      </c>
      <c r="R281" t="s">
        <v>168</v>
      </c>
      <c r="S281" t="s">
        <v>142</v>
      </c>
    </row>
    <row r="282" spans="1:19" x14ac:dyDescent="0.35">
      <c r="A282" t="s">
        <v>492</v>
      </c>
      <c r="B282" t="s">
        <v>138</v>
      </c>
      <c r="C282" t="s">
        <v>120</v>
      </c>
      <c r="D282">
        <v>3.2</v>
      </c>
      <c r="E282">
        <v>13</v>
      </c>
      <c r="F282" t="s">
        <v>60</v>
      </c>
      <c r="G282">
        <v>4</v>
      </c>
      <c r="H282">
        <v>0.8</v>
      </c>
      <c r="I282" t="s">
        <v>109</v>
      </c>
      <c r="J282" t="s">
        <v>110</v>
      </c>
      <c r="K282" t="s">
        <v>111</v>
      </c>
      <c r="L282" t="s">
        <v>141</v>
      </c>
      <c r="M282" t="s">
        <v>159</v>
      </c>
      <c r="N282">
        <v>221</v>
      </c>
      <c r="O282" t="s">
        <v>201</v>
      </c>
      <c r="P282">
        <v>1</v>
      </c>
      <c r="Q282" t="s">
        <v>115</v>
      </c>
      <c r="R282" t="s">
        <v>153</v>
      </c>
      <c r="S282" t="s">
        <v>142</v>
      </c>
    </row>
    <row r="283" spans="1:19" x14ac:dyDescent="0.35">
      <c r="A283" t="s">
        <v>493</v>
      </c>
      <c r="B283" t="s">
        <v>138</v>
      </c>
      <c r="C283" t="s">
        <v>120</v>
      </c>
      <c r="D283">
        <v>3.3</v>
      </c>
      <c r="E283">
        <v>27</v>
      </c>
      <c r="F283" t="s">
        <v>56</v>
      </c>
      <c r="G283">
        <v>2</v>
      </c>
      <c r="H283">
        <v>0.9</v>
      </c>
      <c r="I283" t="s">
        <v>150</v>
      </c>
      <c r="J283" t="s">
        <v>244</v>
      </c>
      <c r="K283" t="s">
        <v>146</v>
      </c>
      <c r="L283" t="s">
        <v>111</v>
      </c>
      <c r="M283" t="s">
        <v>159</v>
      </c>
      <c r="N283">
        <v>321</v>
      </c>
      <c r="O283" t="s">
        <v>126</v>
      </c>
      <c r="P283">
        <v>1</v>
      </c>
      <c r="Q283" t="s">
        <v>135</v>
      </c>
      <c r="R283" t="s">
        <v>168</v>
      </c>
      <c r="S283" t="s">
        <v>136</v>
      </c>
    </row>
    <row r="284" spans="1:19" x14ac:dyDescent="0.35">
      <c r="A284" t="s">
        <v>494</v>
      </c>
      <c r="B284" t="s">
        <v>189</v>
      </c>
      <c r="C284" t="s">
        <v>120</v>
      </c>
      <c r="D284">
        <v>6.4</v>
      </c>
      <c r="E284">
        <v>17</v>
      </c>
      <c r="F284" t="s">
        <v>58</v>
      </c>
      <c r="G284">
        <v>4</v>
      </c>
      <c r="H284">
        <v>1</v>
      </c>
      <c r="I284" t="s">
        <v>185</v>
      </c>
      <c r="J284" t="s">
        <v>311</v>
      </c>
      <c r="K284" t="s">
        <v>209</v>
      </c>
      <c r="L284" t="s">
        <v>190</v>
      </c>
      <c r="M284" t="s">
        <v>134</v>
      </c>
      <c r="N284">
        <v>82</v>
      </c>
      <c r="O284" t="s">
        <v>126</v>
      </c>
      <c r="P284">
        <v>4</v>
      </c>
      <c r="Q284" t="s">
        <v>135</v>
      </c>
      <c r="R284" t="s">
        <v>116</v>
      </c>
      <c r="S284" t="s">
        <v>179</v>
      </c>
    </row>
    <row r="285" spans="1:19" x14ac:dyDescent="0.35">
      <c r="A285" t="s">
        <v>495</v>
      </c>
      <c r="B285" t="s">
        <v>129</v>
      </c>
      <c r="C285" t="s">
        <v>120</v>
      </c>
      <c r="D285">
        <v>3.4</v>
      </c>
      <c r="E285">
        <v>11</v>
      </c>
      <c r="F285" t="s">
        <v>60</v>
      </c>
      <c r="G285">
        <v>5</v>
      </c>
      <c r="H285">
        <v>1.1000000000000001</v>
      </c>
      <c r="I285" t="s">
        <v>185</v>
      </c>
      <c r="J285" t="s">
        <v>186</v>
      </c>
      <c r="K285" t="s">
        <v>164</v>
      </c>
      <c r="L285" t="s">
        <v>132</v>
      </c>
      <c r="M285" t="s">
        <v>125</v>
      </c>
      <c r="N285">
        <v>258</v>
      </c>
      <c r="O285" t="s">
        <v>126</v>
      </c>
      <c r="P285">
        <v>1</v>
      </c>
      <c r="Q285" t="s">
        <v>115</v>
      </c>
      <c r="R285" t="s">
        <v>116</v>
      </c>
      <c r="S285" t="s">
        <v>117</v>
      </c>
    </row>
    <row r="286" spans="1:19" x14ac:dyDescent="0.35">
      <c r="A286" t="s">
        <v>496</v>
      </c>
      <c r="B286" t="s">
        <v>161</v>
      </c>
      <c r="C286" t="s">
        <v>120</v>
      </c>
      <c r="D286">
        <v>9.8000000000000007</v>
      </c>
      <c r="E286">
        <v>11</v>
      </c>
      <c r="F286" t="s">
        <v>63</v>
      </c>
      <c r="G286">
        <v>5</v>
      </c>
      <c r="H286">
        <v>1.3</v>
      </c>
      <c r="I286" t="s">
        <v>162</v>
      </c>
      <c r="J286" t="s">
        <v>413</v>
      </c>
      <c r="K286" t="s">
        <v>182</v>
      </c>
      <c r="L286" t="s">
        <v>164</v>
      </c>
      <c r="M286" t="s">
        <v>159</v>
      </c>
      <c r="N286">
        <v>271</v>
      </c>
      <c r="O286" t="s">
        <v>126</v>
      </c>
      <c r="P286">
        <v>2</v>
      </c>
      <c r="Q286" t="s">
        <v>115</v>
      </c>
      <c r="R286" t="s">
        <v>116</v>
      </c>
      <c r="S286" t="s">
        <v>136</v>
      </c>
    </row>
    <row r="287" spans="1:19" x14ac:dyDescent="0.35">
      <c r="A287" t="s">
        <v>497</v>
      </c>
      <c r="B287" t="s">
        <v>129</v>
      </c>
      <c r="C287" t="s">
        <v>108</v>
      </c>
      <c r="D287">
        <v>22.5</v>
      </c>
      <c r="E287">
        <v>23</v>
      </c>
      <c r="F287" t="s">
        <v>56</v>
      </c>
      <c r="G287">
        <v>10</v>
      </c>
      <c r="H287">
        <v>0.7</v>
      </c>
      <c r="I287" t="s">
        <v>205</v>
      </c>
      <c r="J287" t="s">
        <v>236</v>
      </c>
      <c r="K287" t="s">
        <v>164</v>
      </c>
      <c r="L287" t="s">
        <v>132</v>
      </c>
      <c r="M287" t="s">
        <v>134</v>
      </c>
      <c r="N287">
        <v>61</v>
      </c>
      <c r="O287" t="s">
        <v>126</v>
      </c>
      <c r="P287">
        <v>3</v>
      </c>
      <c r="Q287" t="s">
        <v>115</v>
      </c>
      <c r="R287" t="s">
        <v>116</v>
      </c>
      <c r="S287" t="s">
        <v>136</v>
      </c>
    </row>
    <row r="288" spans="1:19" x14ac:dyDescent="0.35">
      <c r="A288" t="s">
        <v>498</v>
      </c>
      <c r="B288" t="s">
        <v>184</v>
      </c>
      <c r="C288" t="s">
        <v>108</v>
      </c>
      <c r="D288">
        <v>45</v>
      </c>
      <c r="E288">
        <v>22</v>
      </c>
      <c r="F288" t="s">
        <v>58</v>
      </c>
      <c r="G288">
        <v>5</v>
      </c>
      <c r="H288">
        <v>0.8</v>
      </c>
      <c r="I288" t="s">
        <v>150</v>
      </c>
      <c r="J288" t="s">
        <v>244</v>
      </c>
      <c r="K288" t="s">
        <v>192</v>
      </c>
      <c r="L288" t="s">
        <v>124</v>
      </c>
      <c r="M288" t="s">
        <v>134</v>
      </c>
      <c r="N288">
        <v>95</v>
      </c>
      <c r="O288" t="s">
        <v>201</v>
      </c>
      <c r="P288">
        <v>6</v>
      </c>
      <c r="Q288" t="s">
        <v>115</v>
      </c>
      <c r="R288" t="s">
        <v>116</v>
      </c>
      <c r="S288" t="s">
        <v>136</v>
      </c>
    </row>
    <row r="289" spans="1:19" x14ac:dyDescent="0.35">
      <c r="A289" t="s">
        <v>499</v>
      </c>
      <c r="B289" t="s">
        <v>138</v>
      </c>
      <c r="C289" t="s">
        <v>108</v>
      </c>
      <c r="D289">
        <v>23.6</v>
      </c>
      <c r="E289">
        <v>35</v>
      </c>
      <c r="F289" t="s">
        <v>66</v>
      </c>
      <c r="G289">
        <v>8</v>
      </c>
      <c r="H289">
        <v>0.8</v>
      </c>
      <c r="I289" t="s">
        <v>156</v>
      </c>
      <c r="J289" t="s">
        <v>167</v>
      </c>
      <c r="K289" t="s">
        <v>146</v>
      </c>
      <c r="L289" t="s">
        <v>141</v>
      </c>
      <c r="M289" t="s">
        <v>113</v>
      </c>
      <c r="N289">
        <v>6</v>
      </c>
      <c r="O289" t="s">
        <v>126</v>
      </c>
      <c r="P289">
        <v>9</v>
      </c>
      <c r="Q289" t="s">
        <v>135</v>
      </c>
      <c r="R289" t="s">
        <v>116</v>
      </c>
      <c r="S289" t="s">
        <v>193</v>
      </c>
    </row>
    <row r="290" spans="1:19" x14ac:dyDescent="0.35">
      <c r="A290" t="s">
        <v>500</v>
      </c>
      <c r="B290" t="s">
        <v>119</v>
      </c>
      <c r="C290" t="s">
        <v>120</v>
      </c>
      <c r="D290">
        <v>9.9</v>
      </c>
      <c r="E290">
        <v>26</v>
      </c>
      <c r="F290" t="s">
        <v>63</v>
      </c>
      <c r="G290">
        <v>10</v>
      </c>
      <c r="H290">
        <v>1</v>
      </c>
      <c r="I290" t="s">
        <v>246</v>
      </c>
      <c r="J290" t="s">
        <v>264</v>
      </c>
      <c r="K290" t="s">
        <v>123</v>
      </c>
      <c r="L290" t="s">
        <v>141</v>
      </c>
      <c r="M290" t="s">
        <v>113</v>
      </c>
      <c r="N290">
        <v>5</v>
      </c>
      <c r="O290" t="s">
        <v>126</v>
      </c>
      <c r="P290">
        <v>13</v>
      </c>
      <c r="Q290" t="s">
        <v>115</v>
      </c>
      <c r="R290" t="s">
        <v>116</v>
      </c>
      <c r="S290" t="s">
        <v>147</v>
      </c>
    </row>
    <row r="291" spans="1:19" x14ac:dyDescent="0.35">
      <c r="A291" t="s">
        <v>501</v>
      </c>
      <c r="B291" t="s">
        <v>161</v>
      </c>
      <c r="C291" t="s">
        <v>120</v>
      </c>
      <c r="D291">
        <v>4.8</v>
      </c>
      <c r="E291">
        <v>14</v>
      </c>
      <c r="F291" t="s">
        <v>60</v>
      </c>
      <c r="G291">
        <v>4</v>
      </c>
      <c r="H291">
        <v>0.6</v>
      </c>
      <c r="I291" t="s">
        <v>173</v>
      </c>
      <c r="J291" t="s">
        <v>174</v>
      </c>
      <c r="K291" t="s">
        <v>133</v>
      </c>
      <c r="L291" t="s">
        <v>182</v>
      </c>
      <c r="M291" t="s">
        <v>113</v>
      </c>
      <c r="N291">
        <v>20</v>
      </c>
      <c r="O291" t="s">
        <v>126</v>
      </c>
      <c r="P291">
        <v>9</v>
      </c>
      <c r="Q291" t="s">
        <v>115</v>
      </c>
      <c r="R291" t="s">
        <v>116</v>
      </c>
      <c r="S291" t="s">
        <v>142</v>
      </c>
    </row>
    <row r="292" spans="1:19" x14ac:dyDescent="0.35">
      <c r="A292" t="s">
        <v>502</v>
      </c>
      <c r="B292" t="s">
        <v>138</v>
      </c>
      <c r="C292" t="s">
        <v>120</v>
      </c>
      <c r="D292">
        <v>6.7</v>
      </c>
      <c r="E292">
        <v>8</v>
      </c>
      <c r="F292" t="s">
        <v>60</v>
      </c>
      <c r="G292">
        <v>2</v>
      </c>
      <c r="H292">
        <v>0.9</v>
      </c>
      <c r="I292" t="s">
        <v>205</v>
      </c>
      <c r="J292" t="s">
        <v>236</v>
      </c>
      <c r="K292" t="s">
        <v>146</v>
      </c>
      <c r="L292" t="s">
        <v>141</v>
      </c>
      <c r="M292" t="s">
        <v>125</v>
      </c>
      <c r="N292">
        <v>398</v>
      </c>
      <c r="O292" t="s">
        <v>114</v>
      </c>
      <c r="P292">
        <v>0</v>
      </c>
      <c r="Q292" t="s">
        <v>115</v>
      </c>
      <c r="R292" t="s">
        <v>153</v>
      </c>
      <c r="S292" t="s">
        <v>169</v>
      </c>
    </row>
    <row r="293" spans="1:19" x14ac:dyDescent="0.35">
      <c r="A293" t="s">
        <v>503</v>
      </c>
      <c r="B293" t="s">
        <v>197</v>
      </c>
      <c r="C293" t="s">
        <v>108</v>
      </c>
      <c r="D293">
        <v>47.4</v>
      </c>
      <c r="E293">
        <v>40</v>
      </c>
      <c r="F293" t="s">
        <v>58</v>
      </c>
      <c r="G293">
        <v>6</v>
      </c>
      <c r="H293">
        <v>1.3</v>
      </c>
      <c r="I293" t="s">
        <v>144</v>
      </c>
      <c r="J293" t="s">
        <v>269</v>
      </c>
      <c r="K293" t="s">
        <v>200</v>
      </c>
      <c r="L293" t="s">
        <v>178</v>
      </c>
      <c r="M293" t="s">
        <v>113</v>
      </c>
      <c r="N293">
        <v>18</v>
      </c>
      <c r="O293" t="s">
        <v>126</v>
      </c>
      <c r="P293">
        <v>12</v>
      </c>
      <c r="Q293" t="s">
        <v>115</v>
      </c>
      <c r="R293" t="s">
        <v>116</v>
      </c>
      <c r="S293" t="s">
        <v>147</v>
      </c>
    </row>
    <row r="294" spans="1:19" x14ac:dyDescent="0.35">
      <c r="A294" t="s">
        <v>504</v>
      </c>
      <c r="B294" t="s">
        <v>129</v>
      </c>
      <c r="C294" t="s">
        <v>120</v>
      </c>
      <c r="D294">
        <v>5.5</v>
      </c>
      <c r="E294">
        <v>25</v>
      </c>
      <c r="F294" t="s">
        <v>63</v>
      </c>
      <c r="G294">
        <v>6</v>
      </c>
      <c r="H294">
        <v>1.3</v>
      </c>
      <c r="I294" t="s">
        <v>156</v>
      </c>
      <c r="J294" t="s">
        <v>203</v>
      </c>
      <c r="K294" t="s">
        <v>132</v>
      </c>
      <c r="L294" t="s">
        <v>164</v>
      </c>
      <c r="M294" t="s">
        <v>113</v>
      </c>
      <c r="N294">
        <v>27</v>
      </c>
      <c r="O294" t="s">
        <v>126</v>
      </c>
      <c r="P294">
        <v>9</v>
      </c>
      <c r="Q294" t="s">
        <v>115</v>
      </c>
      <c r="R294" t="s">
        <v>65</v>
      </c>
      <c r="S294" t="s">
        <v>142</v>
      </c>
    </row>
    <row r="295" spans="1:19" x14ac:dyDescent="0.35">
      <c r="A295" t="s">
        <v>505</v>
      </c>
      <c r="B295" t="s">
        <v>107</v>
      </c>
      <c r="C295" t="s">
        <v>120</v>
      </c>
      <c r="D295">
        <v>9.5</v>
      </c>
      <c r="E295">
        <v>9</v>
      </c>
      <c r="F295" t="s">
        <v>63</v>
      </c>
      <c r="G295">
        <v>8</v>
      </c>
      <c r="H295">
        <v>0.6</v>
      </c>
      <c r="I295" t="s">
        <v>139</v>
      </c>
      <c r="J295" t="s">
        <v>140</v>
      </c>
      <c r="K295" t="s">
        <v>171</v>
      </c>
      <c r="L295" t="s">
        <v>111</v>
      </c>
      <c r="M295" t="s">
        <v>134</v>
      </c>
      <c r="N295">
        <v>82</v>
      </c>
      <c r="O295" t="s">
        <v>126</v>
      </c>
      <c r="P295">
        <v>3</v>
      </c>
      <c r="Q295" t="s">
        <v>214</v>
      </c>
      <c r="R295" t="s">
        <v>65</v>
      </c>
      <c r="S295" t="s">
        <v>147</v>
      </c>
    </row>
    <row r="296" spans="1:19" x14ac:dyDescent="0.35">
      <c r="A296" t="s">
        <v>506</v>
      </c>
      <c r="B296" t="s">
        <v>129</v>
      </c>
      <c r="C296" t="s">
        <v>108</v>
      </c>
      <c r="D296">
        <v>42.8</v>
      </c>
      <c r="E296">
        <v>35</v>
      </c>
      <c r="F296" t="s">
        <v>66</v>
      </c>
      <c r="G296">
        <v>8</v>
      </c>
      <c r="H296">
        <v>1</v>
      </c>
      <c r="I296" t="s">
        <v>205</v>
      </c>
      <c r="J296" t="s">
        <v>206</v>
      </c>
      <c r="K296" t="s">
        <v>133</v>
      </c>
      <c r="L296" t="s">
        <v>164</v>
      </c>
      <c r="M296" t="s">
        <v>113</v>
      </c>
      <c r="N296">
        <v>5</v>
      </c>
      <c r="O296" t="s">
        <v>201</v>
      </c>
      <c r="P296">
        <v>9</v>
      </c>
      <c r="Q296" t="s">
        <v>115</v>
      </c>
      <c r="R296" t="s">
        <v>168</v>
      </c>
      <c r="S296" t="s">
        <v>127</v>
      </c>
    </row>
    <row r="297" spans="1:19" x14ac:dyDescent="0.35">
      <c r="A297" t="s">
        <v>507</v>
      </c>
      <c r="B297" t="s">
        <v>218</v>
      </c>
      <c r="C297" t="s">
        <v>108</v>
      </c>
      <c r="D297">
        <v>17.7</v>
      </c>
      <c r="E297">
        <v>29</v>
      </c>
      <c r="F297" t="s">
        <v>66</v>
      </c>
      <c r="G297">
        <v>8</v>
      </c>
      <c r="H297">
        <v>1.1000000000000001</v>
      </c>
      <c r="I297" t="s">
        <v>173</v>
      </c>
      <c r="J297" t="s">
        <v>216</v>
      </c>
      <c r="K297" t="s">
        <v>141</v>
      </c>
      <c r="L297" t="s">
        <v>277</v>
      </c>
      <c r="M297" t="s">
        <v>134</v>
      </c>
      <c r="N297">
        <v>85</v>
      </c>
      <c r="O297" t="s">
        <v>114</v>
      </c>
      <c r="P297">
        <v>3</v>
      </c>
      <c r="Q297" t="s">
        <v>135</v>
      </c>
      <c r="R297" t="s">
        <v>116</v>
      </c>
      <c r="S297" t="s">
        <v>117</v>
      </c>
    </row>
    <row r="298" spans="1:19" x14ac:dyDescent="0.35">
      <c r="A298" t="s">
        <v>508</v>
      </c>
      <c r="B298" t="s">
        <v>138</v>
      </c>
      <c r="C298" t="s">
        <v>120</v>
      </c>
      <c r="D298">
        <v>3.7</v>
      </c>
      <c r="E298">
        <v>7</v>
      </c>
      <c r="F298" t="s">
        <v>65</v>
      </c>
      <c r="G298">
        <v>9</v>
      </c>
      <c r="H298">
        <v>1</v>
      </c>
      <c r="I298" t="s">
        <v>205</v>
      </c>
      <c r="J298" t="s">
        <v>206</v>
      </c>
      <c r="K298" t="s">
        <v>141</v>
      </c>
      <c r="L298" t="s">
        <v>146</v>
      </c>
      <c r="M298" t="s">
        <v>125</v>
      </c>
      <c r="N298">
        <v>347</v>
      </c>
      <c r="O298" t="s">
        <v>114</v>
      </c>
      <c r="P298">
        <v>1</v>
      </c>
      <c r="Q298" t="s">
        <v>115</v>
      </c>
      <c r="R298" t="s">
        <v>153</v>
      </c>
      <c r="S298" t="s">
        <v>169</v>
      </c>
    </row>
    <row r="299" spans="1:19" x14ac:dyDescent="0.35">
      <c r="A299" t="s">
        <v>509</v>
      </c>
      <c r="B299" t="s">
        <v>176</v>
      </c>
      <c r="C299" t="s">
        <v>120</v>
      </c>
      <c r="D299">
        <v>2.5</v>
      </c>
      <c r="E299">
        <v>28</v>
      </c>
      <c r="F299" t="s">
        <v>65</v>
      </c>
      <c r="G299">
        <v>5</v>
      </c>
      <c r="H299">
        <v>0.7</v>
      </c>
      <c r="I299" t="s">
        <v>130</v>
      </c>
      <c r="J299" t="s">
        <v>258</v>
      </c>
      <c r="K299" t="s">
        <v>178</v>
      </c>
      <c r="L299" t="s">
        <v>124</v>
      </c>
      <c r="M299" t="s">
        <v>134</v>
      </c>
      <c r="N299">
        <v>68</v>
      </c>
      <c r="O299" t="s">
        <v>126</v>
      </c>
      <c r="P299">
        <v>3</v>
      </c>
      <c r="Q299" t="s">
        <v>115</v>
      </c>
      <c r="R299" t="s">
        <v>116</v>
      </c>
      <c r="S299" t="s">
        <v>147</v>
      </c>
    </row>
    <row r="300" spans="1:19" x14ac:dyDescent="0.35">
      <c r="A300" t="s">
        <v>510</v>
      </c>
      <c r="B300" t="s">
        <v>119</v>
      </c>
      <c r="C300" t="s">
        <v>120</v>
      </c>
      <c r="D300">
        <v>4.0999999999999996</v>
      </c>
      <c r="E300">
        <v>29</v>
      </c>
      <c r="F300" t="s">
        <v>66</v>
      </c>
      <c r="G300">
        <v>2</v>
      </c>
      <c r="H300">
        <v>0.9</v>
      </c>
      <c r="I300" t="s">
        <v>185</v>
      </c>
      <c r="J300" t="s">
        <v>311</v>
      </c>
      <c r="K300" t="s">
        <v>123</v>
      </c>
      <c r="L300" t="s">
        <v>124</v>
      </c>
      <c r="M300" t="s">
        <v>159</v>
      </c>
      <c r="N300">
        <v>212</v>
      </c>
      <c r="O300" t="s">
        <v>126</v>
      </c>
      <c r="P300">
        <v>1</v>
      </c>
      <c r="Q300" t="s">
        <v>135</v>
      </c>
      <c r="R300" t="s">
        <v>116</v>
      </c>
      <c r="S300" t="s">
        <v>127</v>
      </c>
    </row>
    <row r="301" spans="1:19" x14ac:dyDescent="0.35">
      <c r="A301" t="s">
        <v>511</v>
      </c>
      <c r="B301" t="s">
        <v>107</v>
      </c>
      <c r="C301" t="s">
        <v>120</v>
      </c>
      <c r="D301">
        <v>5.9</v>
      </c>
      <c r="E301">
        <v>6</v>
      </c>
      <c r="F301" t="s">
        <v>65</v>
      </c>
      <c r="G301">
        <v>11</v>
      </c>
      <c r="H301">
        <v>1.1000000000000001</v>
      </c>
      <c r="I301" t="s">
        <v>156</v>
      </c>
      <c r="J301" t="s">
        <v>157</v>
      </c>
      <c r="K301" t="s">
        <v>171</v>
      </c>
      <c r="L301" t="s">
        <v>111</v>
      </c>
      <c r="M301" t="s">
        <v>134</v>
      </c>
      <c r="N301">
        <v>87</v>
      </c>
      <c r="O301" t="s">
        <v>126</v>
      </c>
      <c r="P301">
        <v>4</v>
      </c>
      <c r="Q301" t="s">
        <v>115</v>
      </c>
      <c r="R301" t="s">
        <v>153</v>
      </c>
      <c r="S301" t="s">
        <v>147</v>
      </c>
    </row>
    <row r="302" spans="1:19" x14ac:dyDescent="0.35">
      <c r="A302" t="s">
        <v>512</v>
      </c>
      <c r="B302" t="s">
        <v>107</v>
      </c>
      <c r="C302" t="s">
        <v>120</v>
      </c>
      <c r="D302">
        <v>1.2</v>
      </c>
      <c r="E302">
        <v>15</v>
      </c>
      <c r="F302" t="s">
        <v>66</v>
      </c>
      <c r="G302">
        <v>12</v>
      </c>
      <c r="H302">
        <v>1.2</v>
      </c>
      <c r="I302" t="s">
        <v>185</v>
      </c>
      <c r="J302" t="s">
        <v>311</v>
      </c>
      <c r="K302" t="s">
        <v>171</v>
      </c>
      <c r="L302" t="s">
        <v>111</v>
      </c>
      <c r="M302" t="s">
        <v>125</v>
      </c>
      <c r="N302">
        <v>448</v>
      </c>
      <c r="O302" t="s">
        <v>126</v>
      </c>
      <c r="P302">
        <v>1</v>
      </c>
      <c r="Q302" t="s">
        <v>115</v>
      </c>
      <c r="R302" t="s">
        <v>116</v>
      </c>
      <c r="S302" t="s">
        <v>127</v>
      </c>
    </row>
    <row r="303" spans="1:19" x14ac:dyDescent="0.35">
      <c r="A303" t="s">
        <v>513</v>
      </c>
      <c r="B303" t="s">
        <v>161</v>
      </c>
      <c r="C303" t="s">
        <v>120</v>
      </c>
      <c r="D303">
        <v>4</v>
      </c>
      <c r="E303">
        <v>15</v>
      </c>
      <c r="F303" t="s">
        <v>58</v>
      </c>
      <c r="G303">
        <v>12</v>
      </c>
      <c r="H303">
        <v>1</v>
      </c>
      <c r="I303" t="s">
        <v>162</v>
      </c>
      <c r="J303" t="s">
        <v>198</v>
      </c>
      <c r="K303" t="s">
        <v>133</v>
      </c>
      <c r="L303" t="s">
        <v>164</v>
      </c>
      <c r="M303" t="s">
        <v>134</v>
      </c>
      <c r="N303">
        <v>61</v>
      </c>
      <c r="O303" t="s">
        <v>201</v>
      </c>
      <c r="P303">
        <v>6</v>
      </c>
      <c r="Q303" t="s">
        <v>115</v>
      </c>
      <c r="R303" t="s">
        <v>116</v>
      </c>
      <c r="S303" t="s">
        <v>117</v>
      </c>
    </row>
    <row r="304" spans="1:19" x14ac:dyDescent="0.35">
      <c r="A304" t="s">
        <v>514</v>
      </c>
      <c r="B304" t="s">
        <v>155</v>
      </c>
      <c r="C304" t="s">
        <v>120</v>
      </c>
      <c r="D304">
        <v>4</v>
      </c>
      <c r="E304">
        <v>25</v>
      </c>
      <c r="F304" t="s">
        <v>56</v>
      </c>
      <c r="G304">
        <v>7</v>
      </c>
      <c r="H304">
        <v>1</v>
      </c>
      <c r="I304" t="s">
        <v>205</v>
      </c>
      <c r="J304" t="s">
        <v>298</v>
      </c>
      <c r="K304" t="s">
        <v>158</v>
      </c>
      <c r="L304" t="s">
        <v>112</v>
      </c>
      <c r="M304" t="s">
        <v>159</v>
      </c>
      <c r="N304">
        <v>160</v>
      </c>
      <c r="O304" t="s">
        <v>126</v>
      </c>
      <c r="P304">
        <v>1</v>
      </c>
      <c r="Q304" t="s">
        <v>115</v>
      </c>
      <c r="R304" t="s">
        <v>153</v>
      </c>
      <c r="S304" t="s">
        <v>117</v>
      </c>
    </row>
    <row r="305" spans="1:19" x14ac:dyDescent="0.35">
      <c r="A305" t="s">
        <v>515</v>
      </c>
      <c r="B305" t="s">
        <v>149</v>
      </c>
      <c r="C305" t="s">
        <v>120</v>
      </c>
      <c r="D305">
        <v>2.9</v>
      </c>
      <c r="E305">
        <v>6</v>
      </c>
      <c r="F305" t="s">
        <v>66</v>
      </c>
      <c r="G305">
        <v>9</v>
      </c>
      <c r="H305">
        <v>0.7</v>
      </c>
      <c r="I305" t="s">
        <v>162</v>
      </c>
      <c r="J305" t="s">
        <v>198</v>
      </c>
      <c r="K305" t="s">
        <v>211</v>
      </c>
      <c r="L305" t="s">
        <v>152</v>
      </c>
      <c r="M305" t="s">
        <v>125</v>
      </c>
      <c r="N305">
        <v>193</v>
      </c>
      <c r="O305" t="s">
        <v>201</v>
      </c>
      <c r="P305">
        <v>1</v>
      </c>
      <c r="Q305" t="s">
        <v>115</v>
      </c>
      <c r="R305" t="s">
        <v>116</v>
      </c>
      <c r="S305" t="s">
        <v>142</v>
      </c>
    </row>
    <row r="306" spans="1:19" x14ac:dyDescent="0.35">
      <c r="A306" t="s">
        <v>516</v>
      </c>
      <c r="B306" t="s">
        <v>176</v>
      </c>
      <c r="C306" t="s">
        <v>120</v>
      </c>
      <c r="D306">
        <v>3.7</v>
      </c>
      <c r="E306">
        <v>18</v>
      </c>
      <c r="F306" t="s">
        <v>60</v>
      </c>
      <c r="G306">
        <v>3</v>
      </c>
      <c r="H306">
        <v>1.3</v>
      </c>
      <c r="I306" t="s">
        <v>246</v>
      </c>
      <c r="J306" t="s">
        <v>250</v>
      </c>
      <c r="K306" t="s">
        <v>228</v>
      </c>
      <c r="L306" t="s">
        <v>178</v>
      </c>
      <c r="M306" t="s">
        <v>134</v>
      </c>
      <c r="N306">
        <v>61</v>
      </c>
      <c r="O306" t="s">
        <v>114</v>
      </c>
      <c r="P306">
        <v>6</v>
      </c>
      <c r="Q306" t="s">
        <v>115</v>
      </c>
      <c r="R306" t="s">
        <v>116</v>
      </c>
      <c r="S306" t="s">
        <v>147</v>
      </c>
    </row>
    <row r="307" spans="1:19" x14ac:dyDescent="0.35">
      <c r="A307" t="s">
        <v>517</v>
      </c>
      <c r="B307" t="s">
        <v>161</v>
      </c>
      <c r="C307" t="s">
        <v>120</v>
      </c>
      <c r="D307">
        <v>5.4</v>
      </c>
      <c r="E307">
        <v>18</v>
      </c>
      <c r="F307" t="s">
        <v>66</v>
      </c>
      <c r="G307">
        <v>6</v>
      </c>
      <c r="H307">
        <v>0.3</v>
      </c>
      <c r="I307" t="s">
        <v>246</v>
      </c>
      <c r="J307" t="s">
        <v>247</v>
      </c>
      <c r="K307" t="s">
        <v>164</v>
      </c>
      <c r="L307" t="s">
        <v>133</v>
      </c>
      <c r="M307" t="s">
        <v>113</v>
      </c>
      <c r="N307">
        <v>18</v>
      </c>
      <c r="O307" t="s">
        <v>126</v>
      </c>
      <c r="P307">
        <v>15</v>
      </c>
      <c r="Q307" t="s">
        <v>115</v>
      </c>
      <c r="R307" t="s">
        <v>168</v>
      </c>
      <c r="S307" t="s">
        <v>136</v>
      </c>
    </row>
    <row r="308" spans="1:19" x14ac:dyDescent="0.35">
      <c r="A308" t="s">
        <v>518</v>
      </c>
      <c r="B308" t="s">
        <v>155</v>
      </c>
      <c r="C308" t="s">
        <v>108</v>
      </c>
      <c r="D308">
        <v>30.1</v>
      </c>
      <c r="E308">
        <v>37</v>
      </c>
      <c r="F308" t="s">
        <v>58</v>
      </c>
      <c r="G308">
        <v>7</v>
      </c>
      <c r="H308">
        <v>1</v>
      </c>
      <c r="I308" t="s">
        <v>139</v>
      </c>
      <c r="J308" t="s">
        <v>239</v>
      </c>
      <c r="K308" t="s">
        <v>112</v>
      </c>
      <c r="L308" t="s">
        <v>158</v>
      </c>
      <c r="M308" t="s">
        <v>134</v>
      </c>
      <c r="N308">
        <v>83</v>
      </c>
      <c r="O308" t="s">
        <v>126</v>
      </c>
      <c r="P308">
        <v>5</v>
      </c>
      <c r="Q308" t="s">
        <v>214</v>
      </c>
      <c r="R308" t="s">
        <v>168</v>
      </c>
      <c r="S308" t="s">
        <v>117</v>
      </c>
    </row>
    <row r="309" spans="1:19" x14ac:dyDescent="0.35">
      <c r="A309" t="s">
        <v>519</v>
      </c>
      <c r="B309" t="s">
        <v>107</v>
      </c>
      <c r="C309" t="s">
        <v>120</v>
      </c>
      <c r="D309">
        <v>4.9000000000000004</v>
      </c>
      <c r="E309">
        <v>7</v>
      </c>
      <c r="F309" t="s">
        <v>66</v>
      </c>
      <c r="G309">
        <v>11</v>
      </c>
      <c r="H309">
        <v>0.7</v>
      </c>
      <c r="I309" t="s">
        <v>173</v>
      </c>
      <c r="J309" t="s">
        <v>174</v>
      </c>
      <c r="K309" t="s">
        <v>111</v>
      </c>
      <c r="L309" t="s">
        <v>171</v>
      </c>
      <c r="M309" t="s">
        <v>113</v>
      </c>
      <c r="N309">
        <v>14</v>
      </c>
      <c r="O309" t="s">
        <v>126</v>
      </c>
      <c r="P309">
        <v>9</v>
      </c>
      <c r="Q309" t="s">
        <v>135</v>
      </c>
      <c r="R309" t="s">
        <v>116</v>
      </c>
      <c r="S309" t="s">
        <v>169</v>
      </c>
    </row>
    <row r="310" spans="1:19" x14ac:dyDescent="0.35">
      <c r="A310" t="s">
        <v>520</v>
      </c>
      <c r="B310" t="s">
        <v>107</v>
      </c>
      <c r="C310" t="s">
        <v>120</v>
      </c>
      <c r="D310">
        <v>8.6</v>
      </c>
      <c r="E310">
        <v>12</v>
      </c>
      <c r="F310" t="s">
        <v>56</v>
      </c>
      <c r="G310">
        <v>4</v>
      </c>
      <c r="H310">
        <v>1.4</v>
      </c>
      <c r="I310" t="s">
        <v>109</v>
      </c>
      <c r="J310" t="s">
        <v>181</v>
      </c>
      <c r="K310" t="s">
        <v>171</v>
      </c>
      <c r="L310" t="s">
        <v>111</v>
      </c>
      <c r="M310" t="s">
        <v>113</v>
      </c>
      <c r="N310">
        <v>16</v>
      </c>
      <c r="O310" t="s">
        <v>126</v>
      </c>
      <c r="P310">
        <v>12</v>
      </c>
      <c r="Q310" t="s">
        <v>135</v>
      </c>
      <c r="R310" t="s">
        <v>65</v>
      </c>
      <c r="S310" t="s">
        <v>136</v>
      </c>
    </row>
    <row r="311" spans="1:19" x14ac:dyDescent="0.35">
      <c r="A311" t="s">
        <v>521</v>
      </c>
      <c r="B311" t="s">
        <v>176</v>
      </c>
      <c r="C311" t="s">
        <v>120</v>
      </c>
      <c r="D311">
        <v>7.3</v>
      </c>
      <c r="E311">
        <v>12</v>
      </c>
      <c r="F311" t="s">
        <v>56</v>
      </c>
      <c r="G311">
        <v>11</v>
      </c>
      <c r="H311">
        <v>1.4</v>
      </c>
      <c r="I311" t="s">
        <v>144</v>
      </c>
      <c r="J311" t="s">
        <v>145</v>
      </c>
      <c r="K311" t="s">
        <v>124</v>
      </c>
      <c r="L311" t="s">
        <v>228</v>
      </c>
      <c r="M311" t="s">
        <v>113</v>
      </c>
      <c r="N311">
        <v>5</v>
      </c>
      <c r="O311" t="s">
        <v>201</v>
      </c>
      <c r="P311">
        <v>11</v>
      </c>
      <c r="Q311" t="s">
        <v>115</v>
      </c>
      <c r="R311" t="s">
        <v>168</v>
      </c>
      <c r="S311" t="s">
        <v>142</v>
      </c>
    </row>
    <row r="312" spans="1:19" x14ac:dyDescent="0.35">
      <c r="A312" t="s">
        <v>522</v>
      </c>
      <c r="B312" t="s">
        <v>184</v>
      </c>
      <c r="C312" t="s">
        <v>120</v>
      </c>
      <c r="D312">
        <v>4.0999999999999996</v>
      </c>
      <c r="E312">
        <v>26</v>
      </c>
      <c r="F312" t="s">
        <v>58</v>
      </c>
      <c r="G312">
        <v>3</v>
      </c>
      <c r="H312">
        <v>1.3</v>
      </c>
      <c r="I312" t="s">
        <v>130</v>
      </c>
      <c r="J312" t="s">
        <v>258</v>
      </c>
      <c r="K312" t="s">
        <v>124</v>
      </c>
      <c r="L312" t="s">
        <v>192</v>
      </c>
      <c r="M312" t="s">
        <v>134</v>
      </c>
      <c r="N312">
        <v>85</v>
      </c>
      <c r="O312" t="s">
        <v>126</v>
      </c>
      <c r="P312">
        <v>4</v>
      </c>
      <c r="Q312" t="s">
        <v>115</v>
      </c>
      <c r="R312" t="s">
        <v>168</v>
      </c>
      <c r="S312" t="s">
        <v>127</v>
      </c>
    </row>
    <row r="313" spans="1:19" x14ac:dyDescent="0.35">
      <c r="A313" t="s">
        <v>523</v>
      </c>
      <c r="B313" t="s">
        <v>189</v>
      </c>
      <c r="C313" t="s">
        <v>120</v>
      </c>
      <c r="D313">
        <v>2.7</v>
      </c>
      <c r="E313">
        <v>23</v>
      </c>
      <c r="F313" t="s">
        <v>66</v>
      </c>
      <c r="G313">
        <v>9</v>
      </c>
      <c r="H313">
        <v>0.2</v>
      </c>
      <c r="I313" t="s">
        <v>144</v>
      </c>
      <c r="J313" t="s">
        <v>269</v>
      </c>
      <c r="K313" t="s">
        <v>190</v>
      </c>
      <c r="L313" t="s">
        <v>209</v>
      </c>
      <c r="M313" t="s">
        <v>134</v>
      </c>
      <c r="N313">
        <v>94</v>
      </c>
      <c r="O313" t="s">
        <v>126</v>
      </c>
      <c r="P313">
        <v>5</v>
      </c>
      <c r="Q313" t="s">
        <v>115</v>
      </c>
      <c r="R313" t="s">
        <v>116</v>
      </c>
      <c r="S313" t="s">
        <v>127</v>
      </c>
    </row>
    <row r="314" spans="1:19" x14ac:dyDescent="0.35">
      <c r="A314" t="s">
        <v>524</v>
      </c>
      <c r="B314" t="s">
        <v>119</v>
      </c>
      <c r="C314" t="s">
        <v>166</v>
      </c>
      <c r="D314">
        <v>199.4</v>
      </c>
      <c r="E314">
        <v>36</v>
      </c>
      <c r="F314" t="s">
        <v>60</v>
      </c>
      <c r="G314">
        <v>8</v>
      </c>
      <c r="H314">
        <v>0.8</v>
      </c>
      <c r="I314" t="s">
        <v>246</v>
      </c>
      <c r="J314" t="s">
        <v>264</v>
      </c>
      <c r="K314" t="s">
        <v>123</v>
      </c>
      <c r="L314" t="s">
        <v>124</v>
      </c>
      <c r="M314" t="s">
        <v>113</v>
      </c>
      <c r="N314">
        <v>29</v>
      </c>
      <c r="O314" t="s">
        <v>126</v>
      </c>
      <c r="P314">
        <v>11</v>
      </c>
      <c r="Q314" t="s">
        <v>135</v>
      </c>
      <c r="R314" t="s">
        <v>153</v>
      </c>
      <c r="S314" t="s">
        <v>127</v>
      </c>
    </row>
    <row r="315" spans="1:19" x14ac:dyDescent="0.35">
      <c r="A315" t="s">
        <v>525</v>
      </c>
      <c r="B315" t="s">
        <v>189</v>
      </c>
      <c r="C315" t="s">
        <v>108</v>
      </c>
      <c r="D315">
        <v>25.5</v>
      </c>
      <c r="E315">
        <v>19</v>
      </c>
      <c r="F315" t="s">
        <v>60</v>
      </c>
      <c r="G315">
        <v>8</v>
      </c>
      <c r="H315">
        <v>0.9</v>
      </c>
      <c r="I315" t="s">
        <v>139</v>
      </c>
      <c r="J315" t="s">
        <v>140</v>
      </c>
      <c r="K315" t="s">
        <v>182</v>
      </c>
      <c r="L315" t="s">
        <v>209</v>
      </c>
      <c r="M315" t="s">
        <v>134</v>
      </c>
      <c r="N315">
        <v>73</v>
      </c>
      <c r="O315" t="s">
        <v>201</v>
      </c>
      <c r="P315">
        <v>5</v>
      </c>
      <c r="Q315" t="s">
        <v>115</v>
      </c>
      <c r="R315" t="s">
        <v>116</v>
      </c>
      <c r="S315" t="s">
        <v>169</v>
      </c>
    </row>
    <row r="316" spans="1:19" x14ac:dyDescent="0.35">
      <c r="A316" t="s">
        <v>526</v>
      </c>
      <c r="B316" t="s">
        <v>189</v>
      </c>
      <c r="C316" t="s">
        <v>108</v>
      </c>
      <c r="D316">
        <v>18.2</v>
      </c>
      <c r="E316">
        <v>37</v>
      </c>
      <c r="F316" t="s">
        <v>56</v>
      </c>
      <c r="G316">
        <v>7</v>
      </c>
      <c r="H316">
        <v>0.5</v>
      </c>
      <c r="I316" t="s">
        <v>246</v>
      </c>
      <c r="J316" t="s">
        <v>264</v>
      </c>
      <c r="K316" t="s">
        <v>209</v>
      </c>
      <c r="L316" t="s">
        <v>182</v>
      </c>
      <c r="M316" t="s">
        <v>134</v>
      </c>
      <c r="N316">
        <v>95</v>
      </c>
      <c r="O316" t="s">
        <v>126</v>
      </c>
      <c r="P316">
        <v>3</v>
      </c>
      <c r="Q316" t="s">
        <v>115</v>
      </c>
      <c r="R316" t="s">
        <v>168</v>
      </c>
      <c r="S316" t="s">
        <v>142</v>
      </c>
    </row>
    <row r="317" spans="1:19" x14ac:dyDescent="0.35">
      <c r="A317" t="s">
        <v>527</v>
      </c>
      <c r="B317" t="s">
        <v>129</v>
      </c>
      <c r="C317" t="s">
        <v>108</v>
      </c>
      <c r="D317">
        <v>31.7</v>
      </c>
      <c r="E317">
        <v>23</v>
      </c>
      <c r="F317" t="s">
        <v>60</v>
      </c>
      <c r="G317">
        <v>10</v>
      </c>
      <c r="H317">
        <v>0.4</v>
      </c>
      <c r="I317" t="s">
        <v>130</v>
      </c>
      <c r="J317" t="s">
        <v>258</v>
      </c>
      <c r="K317" t="s">
        <v>133</v>
      </c>
      <c r="L317" t="s">
        <v>132</v>
      </c>
      <c r="M317" t="s">
        <v>113</v>
      </c>
      <c r="N317">
        <v>20</v>
      </c>
      <c r="O317" t="s">
        <v>126</v>
      </c>
      <c r="P317">
        <v>11</v>
      </c>
      <c r="Q317" t="s">
        <v>115</v>
      </c>
      <c r="R317" t="s">
        <v>116</v>
      </c>
      <c r="S317" t="s">
        <v>169</v>
      </c>
    </row>
    <row r="318" spans="1:19" x14ac:dyDescent="0.35">
      <c r="A318" t="s">
        <v>528</v>
      </c>
      <c r="B318" t="s">
        <v>218</v>
      </c>
      <c r="C318" t="s">
        <v>120</v>
      </c>
      <c r="D318">
        <v>6.2</v>
      </c>
      <c r="E318">
        <v>27</v>
      </c>
      <c r="F318" t="s">
        <v>63</v>
      </c>
      <c r="G318">
        <v>8</v>
      </c>
      <c r="H318">
        <v>1.4</v>
      </c>
      <c r="I318" t="s">
        <v>173</v>
      </c>
      <c r="J318" t="s">
        <v>174</v>
      </c>
      <c r="K318" t="s">
        <v>277</v>
      </c>
      <c r="L318" t="s">
        <v>152</v>
      </c>
      <c r="M318" t="s">
        <v>134</v>
      </c>
      <c r="N318">
        <v>61</v>
      </c>
      <c r="O318" t="s">
        <v>126</v>
      </c>
      <c r="P318">
        <v>3</v>
      </c>
      <c r="Q318" t="s">
        <v>115</v>
      </c>
      <c r="R318" t="s">
        <v>116</v>
      </c>
      <c r="S318" t="s">
        <v>193</v>
      </c>
    </row>
    <row r="319" spans="1:19" x14ac:dyDescent="0.35">
      <c r="A319" t="s">
        <v>529</v>
      </c>
      <c r="B319" t="s">
        <v>149</v>
      </c>
      <c r="C319" t="s">
        <v>120</v>
      </c>
      <c r="D319">
        <v>8.6999999999999993</v>
      </c>
      <c r="E319">
        <v>17</v>
      </c>
      <c r="F319" t="s">
        <v>60</v>
      </c>
      <c r="G319">
        <v>12</v>
      </c>
      <c r="H319">
        <v>0.6</v>
      </c>
      <c r="I319" t="s">
        <v>246</v>
      </c>
      <c r="J319" t="s">
        <v>250</v>
      </c>
      <c r="K319" t="s">
        <v>152</v>
      </c>
      <c r="L319" t="s">
        <v>123</v>
      </c>
      <c r="M319" t="s">
        <v>113</v>
      </c>
      <c r="N319">
        <v>8</v>
      </c>
      <c r="O319" t="s">
        <v>126</v>
      </c>
      <c r="P319">
        <v>10</v>
      </c>
      <c r="Q319" t="s">
        <v>115</v>
      </c>
      <c r="R319" t="s">
        <v>153</v>
      </c>
      <c r="S319" t="s">
        <v>193</v>
      </c>
    </row>
    <row r="320" spans="1:19" x14ac:dyDescent="0.35">
      <c r="A320" t="s">
        <v>530</v>
      </c>
      <c r="B320" t="s">
        <v>107</v>
      </c>
      <c r="C320" t="s">
        <v>120</v>
      </c>
      <c r="D320">
        <v>7.5</v>
      </c>
      <c r="E320">
        <v>27</v>
      </c>
      <c r="F320" t="s">
        <v>58</v>
      </c>
      <c r="G320">
        <v>8</v>
      </c>
      <c r="H320">
        <v>0.8</v>
      </c>
      <c r="I320" t="s">
        <v>185</v>
      </c>
      <c r="J320" t="s">
        <v>225</v>
      </c>
      <c r="K320" t="s">
        <v>112</v>
      </c>
      <c r="L320" t="s">
        <v>171</v>
      </c>
      <c r="M320" t="s">
        <v>159</v>
      </c>
      <c r="N320">
        <v>296</v>
      </c>
      <c r="O320" t="s">
        <v>126</v>
      </c>
      <c r="P320">
        <v>2</v>
      </c>
      <c r="Q320" t="s">
        <v>115</v>
      </c>
      <c r="R320" t="s">
        <v>168</v>
      </c>
      <c r="S320" t="s">
        <v>127</v>
      </c>
    </row>
    <row r="321" spans="1:19" x14ac:dyDescent="0.35">
      <c r="A321" t="s">
        <v>531</v>
      </c>
      <c r="B321" t="s">
        <v>197</v>
      </c>
      <c r="C321" t="s">
        <v>120</v>
      </c>
      <c r="D321">
        <v>2.5</v>
      </c>
      <c r="E321">
        <v>13</v>
      </c>
      <c r="F321" t="s">
        <v>66</v>
      </c>
      <c r="G321">
        <v>11</v>
      </c>
      <c r="H321">
        <v>1</v>
      </c>
      <c r="I321" t="s">
        <v>173</v>
      </c>
      <c r="J321" t="s">
        <v>216</v>
      </c>
      <c r="K321" t="s">
        <v>178</v>
      </c>
      <c r="L321" t="s">
        <v>199</v>
      </c>
      <c r="M321" t="s">
        <v>113</v>
      </c>
      <c r="N321">
        <v>30</v>
      </c>
      <c r="O321" t="s">
        <v>126</v>
      </c>
      <c r="P321">
        <v>9</v>
      </c>
      <c r="Q321" t="s">
        <v>115</v>
      </c>
      <c r="R321" t="s">
        <v>153</v>
      </c>
      <c r="S321" t="s">
        <v>117</v>
      </c>
    </row>
    <row r="322" spans="1:19" x14ac:dyDescent="0.35">
      <c r="A322" t="s">
        <v>532</v>
      </c>
      <c r="B322" t="s">
        <v>176</v>
      </c>
      <c r="C322" t="s">
        <v>120</v>
      </c>
      <c r="D322">
        <v>2.7</v>
      </c>
      <c r="E322">
        <v>6</v>
      </c>
      <c r="F322" t="s">
        <v>65</v>
      </c>
      <c r="G322">
        <v>5</v>
      </c>
      <c r="H322">
        <v>0.3</v>
      </c>
      <c r="I322" t="s">
        <v>162</v>
      </c>
      <c r="J322" t="s">
        <v>177</v>
      </c>
      <c r="K322" t="s">
        <v>178</v>
      </c>
      <c r="L322" t="s">
        <v>124</v>
      </c>
      <c r="M322" t="s">
        <v>134</v>
      </c>
      <c r="N322">
        <v>72</v>
      </c>
      <c r="O322" t="s">
        <v>126</v>
      </c>
      <c r="P322">
        <v>4</v>
      </c>
      <c r="Q322" t="s">
        <v>115</v>
      </c>
      <c r="R322" t="s">
        <v>153</v>
      </c>
      <c r="S322" t="s">
        <v>127</v>
      </c>
    </row>
    <row r="323" spans="1:19" x14ac:dyDescent="0.35">
      <c r="A323" t="s">
        <v>533</v>
      </c>
      <c r="B323" t="s">
        <v>119</v>
      </c>
      <c r="C323" t="s">
        <v>120</v>
      </c>
      <c r="D323">
        <v>9.1999999999999993</v>
      </c>
      <c r="E323">
        <v>25</v>
      </c>
      <c r="F323" t="s">
        <v>63</v>
      </c>
      <c r="G323">
        <v>8</v>
      </c>
      <c r="H323">
        <v>1.5</v>
      </c>
      <c r="I323" t="s">
        <v>246</v>
      </c>
      <c r="J323" t="s">
        <v>250</v>
      </c>
      <c r="K323" t="s">
        <v>124</v>
      </c>
      <c r="L323" t="s">
        <v>123</v>
      </c>
      <c r="M323" t="s">
        <v>113</v>
      </c>
      <c r="N323">
        <v>9</v>
      </c>
      <c r="O323" t="s">
        <v>126</v>
      </c>
      <c r="P323">
        <v>15</v>
      </c>
      <c r="Q323" t="s">
        <v>115</v>
      </c>
      <c r="R323" t="s">
        <v>65</v>
      </c>
      <c r="S323" t="s">
        <v>147</v>
      </c>
    </row>
    <row r="324" spans="1:19" x14ac:dyDescent="0.35">
      <c r="A324" t="s">
        <v>534</v>
      </c>
      <c r="B324" t="s">
        <v>149</v>
      </c>
      <c r="C324" t="s">
        <v>108</v>
      </c>
      <c r="D324">
        <v>25.7</v>
      </c>
      <c r="E324">
        <v>37</v>
      </c>
      <c r="F324" t="s">
        <v>60</v>
      </c>
      <c r="G324">
        <v>8</v>
      </c>
      <c r="H324">
        <v>0.8</v>
      </c>
      <c r="I324" t="s">
        <v>144</v>
      </c>
      <c r="J324" t="s">
        <v>269</v>
      </c>
      <c r="K324" t="s">
        <v>211</v>
      </c>
      <c r="L324" t="s">
        <v>123</v>
      </c>
      <c r="M324" t="s">
        <v>113</v>
      </c>
      <c r="N324">
        <v>17</v>
      </c>
      <c r="O324" t="s">
        <v>201</v>
      </c>
      <c r="P324">
        <v>8</v>
      </c>
      <c r="Q324" t="s">
        <v>115</v>
      </c>
      <c r="R324" t="s">
        <v>153</v>
      </c>
      <c r="S324" t="s">
        <v>147</v>
      </c>
    </row>
    <row r="325" spans="1:19" x14ac:dyDescent="0.35">
      <c r="A325" t="s">
        <v>535</v>
      </c>
      <c r="B325" t="s">
        <v>119</v>
      </c>
      <c r="C325" t="s">
        <v>166</v>
      </c>
      <c r="D325">
        <v>135.30000000000001</v>
      </c>
      <c r="E325">
        <v>36</v>
      </c>
      <c r="F325" t="s">
        <v>58</v>
      </c>
      <c r="G325">
        <v>4</v>
      </c>
      <c r="H325">
        <v>1.2</v>
      </c>
      <c r="I325" t="s">
        <v>185</v>
      </c>
      <c r="J325" t="s">
        <v>186</v>
      </c>
      <c r="K325" t="s">
        <v>123</v>
      </c>
      <c r="L325" t="s">
        <v>141</v>
      </c>
      <c r="M325" t="s">
        <v>125</v>
      </c>
      <c r="N325">
        <v>425</v>
      </c>
      <c r="O325" t="s">
        <v>126</v>
      </c>
      <c r="P325">
        <v>2</v>
      </c>
      <c r="Q325" t="s">
        <v>135</v>
      </c>
      <c r="R325" t="s">
        <v>116</v>
      </c>
      <c r="S325" t="s">
        <v>127</v>
      </c>
    </row>
    <row r="326" spans="1:19" x14ac:dyDescent="0.35">
      <c r="A326" t="s">
        <v>536</v>
      </c>
      <c r="B326" t="s">
        <v>189</v>
      </c>
      <c r="C326" t="s">
        <v>120</v>
      </c>
      <c r="D326">
        <v>8.6</v>
      </c>
      <c r="E326">
        <v>6</v>
      </c>
      <c r="F326" t="s">
        <v>60</v>
      </c>
      <c r="G326">
        <v>3</v>
      </c>
      <c r="H326">
        <v>0.9</v>
      </c>
      <c r="I326" t="s">
        <v>130</v>
      </c>
      <c r="J326" t="s">
        <v>208</v>
      </c>
      <c r="K326" t="s">
        <v>190</v>
      </c>
      <c r="L326" t="s">
        <v>209</v>
      </c>
      <c r="M326" t="s">
        <v>159</v>
      </c>
      <c r="N326">
        <v>352</v>
      </c>
      <c r="O326" t="s">
        <v>126</v>
      </c>
      <c r="P326">
        <v>1</v>
      </c>
      <c r="Q326" t="s">
        <v>135</v>
      </c>
      <c r="R326" t="s">
        <v>116</v>
      </c>
      <c r="S326" t="s">
        <v>142</v>
      </c>
    </row>
    <row r="327" spans="1:19" x14ac:dyDescent="0.35">
      <c r="A327" t="s">
        <v>537</v>
      </c>
      <c r="B327" t="s">
        <v>138</v>
      </c>
      <c r="C327" t="s">
        <v>120</v>
      </c>
      <c r="D327">
        <v>5.6</v>
      </c>
      <c r="E327">
        <v>25</v>
      </c>
      <c r="F327" t="s">
        <v>60</v>
      </c>
      <c r="G327">
        <v>2</v>
      </c>
      <c r="H327">
        <v>0.6</v>
      </c>
      <c r="I327" t="s">
        <v>185</v>
      </c>
      <c r="J327" t="s">
        <v>225</v>
      </c>
      <c r="K327" t="s">
        <v>141</v>
      </c>
      <c r="L327" t="s">
        <v>146</v>
      </c>
      <c r="M327" t="s">
        <v>113</v>
      </c>
      <c r="N327">
        <v>11</v>
      </c>
      <c r="O327" t="s">
        <v>126</v>
      </c>
      <c r="P327">
        <v>11</v>
      </c>
      <c r="Q327" t="s">
        <v>135</v>
      </c>
      <c r="R327" t="s">
        <v>116</v>
      </c>
      <c r="S327" t="s">
        <v>127</v>
      </c>
    </row>
    <row r="328" spans="1:19" x14ac:dyDescent="0.35">
      <c r="A328" t="s">
        <v>538</v>
      </c>
      <c r="B328" t="s">
        <v>107</v>
      </c>
      <c r="C328" t="s">
        <v>108</v>
      </c>
      <c r="D328">
        <v>19.8</v>
      </c>
      <c r="E328">
        <v>43</v>
      </c>
      <c r="F328" t="s">
        <v>58</v>
      </c>
      <c r="G328">
        <v>3</v>
      </c>
      <c r="H328">
        <v>0.7</v>
      </c>
      <c r="I328" t="s">
        <v>173</v>
      </c>
      <c r="J328" t="s">
        <v>216</v>
      </c>
      <c r="K328" t="s">
        <v>171</v>
      </c>
      <c r="L328" t="s">
        <v>112</v>
      </c>
      <c r="M328" t="s">
        <v>134</v>
      </c>
      <c r="N328">
        <v>67</v>
      </c>
      <c r="O328" t="s">
        <v>126</v>
      </c>
      <c r="P328">
        <v>5</v>
      </c>
      <c r="Q328" t="s">
        <v>115</v>
      </c>
      <c r="R328" t="s">
        <v>168</v>
      </c>
      <c r="S328" t="s">
        <v>179</v>
      </c>
    </row>
    <row r="329" spans="1:19" x14ac:dyDescent="0.35">
      <c r="A329" t="s">
        <v>539</v>
      </c>
      <c r="B329" t="s">
        <v>161</v>
      </c>
      <c r="C329" t="s">
        <v>108</v>
      </c>
      <c r="D329">
        <v>16.399999999999999</v>
      </c>
      <c r="E329">
        <v>23</v>
      </c>
      <c r="F329" t="s">
        <v>60</v>
      </c>
      <c r="G329">
        <v>7</v>
      </c>
      <c r="H329">
        <v>0.6</v>
      </c>
      <c r="I329" t="s">
        <v>144</v>
      </c>
      <c r="J329" t="s">
        <v>269</v>
      </c>
      <c r="K329" t="s">
        <v>133</v>
      </c>
      <c r="L329" t="s">
        <v>164</v>
      </c>
      <c r="M329" t="s">
        <v>159</v>
      </c>
      <c r="N329">
        <v>150</v>
      </c>
      <c r="O329" t="s">
        <v>126</v>
      </c>
      <c r="P329">
        <v>1</v>
      </c>
      <c r="Q329" t="s">
        <v>115</v>
      </c>
      <c r="R329" t="s">
        <v>116</v>
      </c>
      <c r="S329" t="s">
        <v>136</v>
      </c>
    </row>
    <row r="330" spans="1:19" x14ac:dyDescent="0.35">
      <c r="A330" t="s">
        <v>540</v>
      </c>
      <c r="B330" t="s">
        <v>197</v>
      </c>
      <c r="C330" t="s">
        <v>166</v>
      </c>
      <c r="D330">
        <v>117.6</v>
      </c>
      <c r="E330">
        <v>50</v>
      </c>
      <c r="F330" t="s">
        <v>58</v>
      </c>
      <c r="G330">
        <v>8</v>
      </c>
      <c r="H330">
        <v>1.2</v>
      </c>
      <c r="I330" t="s">
        <v>121</v>
      </c>
      <c r="J330" t="s">
        <v>122</v>
      </c>
      <c r="K330" t="s">
        <v>200</v>
      </c>
      <c r="L330" t="s">
        <v>178</v>
      </c>
      <c r="M330" t="s">
        <v>113</v>
      </c>
      <c r="N330">
        <v>27</v>
      </c>
      <c r="O330" t="s">
        <v>126</v>
      </c>
      <c r="P330">
        <v>9</v>
      </c>
      <c r="Q330" t="s">
        <v>115</v>
      </c>
      <c r="R330" t="s">
        <v>153</v>
      </c>
      <c r="S330" t="s">
        <v>179</v>
      </c>
    </row>
    <row r="331" spans="1:19" x14ac:dyDescent="0.35">
      <c r="A331" t="s">
        <v>541</v>
      </c>
      <c r="B331" t="s">
        <v>184</v>
      </c>
      <c r="C331" t="s">
        <v>108</v>
      </c>
      <c r="D331">
        <v>28.4</v>
      </c>
      <c r="E331">
        <v>19</v>
      </c>
      <c r="F331" t="s">
        <v>56</v>
      </c>
      <c r="G331">
        <v>2</v>
      </c>
      <c r="H331">
        <v>1.1000000000000001</v>
      </c>
      <c r="I331" t="s">
        <v>144</v>
      </c>
      <c r="J331" t="s">
        <v>145</v>
      </c>
      <c r="K331" t="s">
        <v>124</v>
      </c>
      <c r="L331" t="s">
        <v>187</v>
      </c>
      <c r="M331" t="s">
        <v>134</v>
      </c>
      <c r="N331">
        <v>63</v>
      </c>
      <c r="O331" t="s">
        <v>126</v>
      </c>
      <c r="P331">
        <v>4</v>
      </c>
      <c r="Q331" t="s">
        <v>115</v>
      </c>
      <c r="R331" t="s">
        <v>116</v>
      </c>
      <c r="S331" t="s">
        <v>117</v>
      </c>
    </row>
    <row r="332" spans="1:19" x14ac:dyDescent="0.35">
      <c r="A332" t="s">
        <v>542</v>
      </c>
      <c r="B332" t="s">
        <v>218</v>
      </c>
      <c r="C332" t="s">
        <v>120</v>
      </c>
      <c r="D332">
        <v>2.2999999999999998</v>
      </c>
      <c r="E332">
        <v>27</v>
      </c>
      <c r="F332" t="s">
        <v>58</v>
      </c>
      <c r="G332">
        <v>10</v>
      </c>
      <c r="H332">
        <v>1.2</v>
      </c>
      <c r="I332" t="s">
        <v>162</v>
      </c>
      <c r="J332" t="s">
        <v>198</v>
      </c>
      <c r="K332" t="s">
        <v>141</v>
      </c>
      <c r="L332" t="s">
        <v>152</v>
      </c>
      <c r="M332" t="s">
        <v>113</v>
      </c>
      <c r="N332">
        <v>29</v>
      </c>
      <c r="O332" t="s">
        <v>126</v>
      </c>
      <c r="P332">
        <v>15</v>
      </c>
      <c r="Q332" t="s">
        <v>135</v>
      </c>
      <c r="R332" t="s">
        <v>116</v>
      </c>
      <c r="S332" t="s">
        <v>179</v>
      </c>
    </row>
    <row r="333" spans="1:19" x14ac:dyDescent="0.35">
      <c r="A333" t="s">
        <v>543</v>
      </c>
      <c r="B333" t="s">
        <v>138</v>
      </c>
      <c r="C333" t="s">
        <v>120</v>
      </c>
      <c r="D333">
        <v>6.7</v>
      </c>
      <c r="E333">
        <v>30</v>
      </c>
      <c r="F333" t="s">
        <v>58</v>
      </c>
      <c r="G333">
        <v>12</v>
      </c>
      <c r="H333">
        <v>0.5</v>
      </c>
      <c r="I333" t="s">
        <v>150</v>
      </c>
      <c r="J333" t="s">
        <v>244</v>
      </c>
      <c r="K333" t="s">
        <v>111</v>
      </c>
      <c r="L333" t="s">
        <v>146</v>
      </c>
      <c r="M333" t="s">
        <v>134</v>
      </c>
      <c r="N333">
        <v>62</v>
      </c>
      <c r="O333" t="s">
        <v>114</v>
      </c>
      <c r="P333">
        <v>5</v>
      </c>
      <c r="Q333" t="s">
        <v>214</v>
      </c>
      <c r="R333" t="s">
        <v>65</v>
      </c>
      <c r="S333" t="s">
        <v>193</v>
      </c>
    </row>
    <row r="334" spans="1:19" x14ac:dyDescent="0.35">
      <c r="A334" t="s">
        <v>544</v>
      </c>
      <c r="B334" t="s">
        <v>161</v>
      </c>
      <c r="C334" t="s">
        <v>120</v>
      </c>
      <c r="D334">
        <v>6.1</v>
      </c>
      <c r="E334">
        <v>18</v>
      </c>
      <c r="F334" t="s">
        <v>63</v>
      </c>
      <c r="G334">
        <v>4</v>
      </c>
      <c r="H334">
        <v>0.1</v>
      </c>
      <c r="I334" t="s">
        <v>150</v>
      </c>
      <c r="J334" t="s">
        <v>244</v>
      </c>
      <c r="K334" t="s">
        <v>182</v>
      </c>
      <c r="L334" t="s">
        <v>164</v>
      </c>
      <c r="M334" t="s">
        <v>159</v>
      </c>
      <c r="N334">
        <v>333</v>
      </c>
      <c r="O334" t="s">
        <v>126</v>
      </c>
      <c r="P334">
        <v>2</v>
      </c>
      <c r="Q334" t="s">
        <v>115</v>
      </c>
      <c r="R334" t="s">
        <v>116</v>
      </c>
      <c r="S334" t="s">
        <v>147</v>
      </c>
    </row>
    <row r="335" spans="1:19" x14ac:dyDescent="0.35">
      <c r="A335" t="s">
        <v>545</v>
      </c>
      <c r="B335" t="s">
        <v>129</v>
      </c>
      <c r="C335" t="s">
        <v>108</v>
      </c>
      <c r="D335">
        <v>15</v>
      </c>
      <c r="E335">
        <v>17</v>
      </c>
      <c r="F335" t="s">
        <v>58</v>
      </c>
      <c r="G335">
        <v>8</v>
      </c>
      <c r="H335">
        <v>0.7</v>
      </c>
      <c r="I335" t="s">
        <v>144</v>
      </c>
      <c r="J335" t="s">
        <v>145</v>
      </c>
      <c r="K335" t="s">
        <v>132</v>
      </c>
      <c r="L335" t="s">
        <v>133</v>
      </c>
      <c r="M335" t="s">
        <v>134</v>
      </c>
      <c r="N335">
        <v>65</v>
      </c>
      <c r="O335" t="s">
        <v>126</v>
      </c>
      <c r="P335">
        <v>3</v>
      </c>
      <c r="Q335" t="s">
        <v>115</v>
      </c>
      <c r="R335" t="s">
        <v>116</v>
      </c>
      <c r="S335" t="s">
        <v>169</v>
      </c>
    </row>
    <row r="336" spans="1:19" x14ac:dyDescent="0.35">
      <c r="A336" t="s">
        <v>546</v>
      </c>
      <c r="B336" t="s">
        <v>161</v>
      </c>
      <c r="C336" t="s">
        <v>120</v>
      </c>
      <c r="D336">
        <v>1.3</v>
      </c>
      <c r="E336">
        <v>17</v>
      </c>
      <c r="F336" t="s">
        <v>66</v>
      </c>
      <c r="G336">
        <v>6</v>
      </c>
      <c r="H336">
        <v>0.8</v>
      </c>
      <c r="I336" t="s">
        <v>205</v>
      </c>
      <c r="J336" t="s">
        <v>236</v>
      </c>
      <c r="K336" t="s">
        <v>182</v>
      </c>
      <c r="L336" t="s">
        <v>133</v>
      </c>
      <c r="M336" t="s">
        <v>134</v>
      </c>
      <c r="N336">
        <v>90</v>
      </c>
      <c r="O336" t="s">
        <v>126</v>
      </c>
      <c r="P336">
        <v>6</v>
      </c>
      <c r="Q336" t="s">
        <v>115</v>
      </c>
      <c r="R336" t="s">
        <v>168</v>
      </c>
      <c r="S336" t="s">
        <v>136</v>
      </c>
    </row>
    <row r="337" spans="1:19" x14ac:dyDescent="0.35">
      <c r="A337" t="s">
        <v>547</v>
      </c>
      <c r="B337" t="s">
        <v>184</v>
      </c>
      <c r="C337" t="s">
        <v>120</v>
      </c>
      <c r="D337">
        <v>5.4</v>
      </c>
      <c r="E337">
        <v>18</v>
      </c>
      <c r="F337" t="s">
        <v>60</v>
      </c>
      <c r="G337">
        <v>8</v>
      </c>
      <c r="H337">
        <v>0.7</v>
      </c>
      <c r="I337" t="s">
        <v>121</v>
      </c>
      <c r="J337" t="s">
        <v>122</v>
      </c>
      <c r="K337" t="s">
        <v>187</v>
      </c>
      <c r="L337" t="s">
        <v>192</v>
      </c>
      <c r="M337" t="s">
        <v>113</v>
      </c>
      <c r="N337">
        <v>24</v>
      </c>
      <c r="O337" t="s">
        <v>126</v>
      </c>
      <c r="P337">
        <v>15</v>
      </c>
      <c r="Q337" t="s">
        <v>115</v>
      </c>
      <c r="R337" t="s">
        <v>168</v>
      </c>
      <c r="S337" t="s">
        <v>136</v>
      </c>
    </row>
    <row r="338" spans="1:19" x14ac:dyDescent="0.35">
      <c r="A338" t="s">
        <v>548</v>
      </c>
      <c r="B338" t="s">
        <v>189</v>
      </c>
      <c r="C338" t="s">
        <v>120</v>
      </c>
      <c r="D338">
        <v>4.5</v>
      </c>
      <c r="E338">
        <v>26</v>
      </c>
      <c r="F338" t="s">
        <v>56</v>
      </c>
      <c r="G338">
        <v>10</v>
      </c>
      <c r="H338">
        <v>0.7</v>
      </c>
      <c r="I338" t="s">
        <v>162</v>
      </c>
      <c r="J338" t="s">
        <v>177</v>
      </c>
      <c r="K338" t="s">
        <v>209</v>
      </c>
      <c r="L338" t="s">
        <v>190</v>
      </c>
      <c r="M338" t="s">
        <v>113</v>
      </c>
      <c r="N338">
        <v>24</v>
      </c>
      <c r="O338" t="s">
        <v>126</v>
      </c>
      <c r="P338">
        <v>10</v>
      </c>
      <c r="Q338" t="s">
        <v>115</v>
      </c>
      <c r="R338" t="s">
        <v>153</v>
      </c>
      <c r="S338" t="s">
        <v>117</v>
      </c>
    </row>
    <row r="339" spans="1:19" x14ac:dyDescent="0.35">
      <c r="A339" t="s">
        <v>549</v>
      </c>
      <c r="B339" t="s">
        <v>184</v>
      </c>
      <c r="C339" t="s">
        <v>166</v>
      </c>
      <c r="D339">
        <v>69.099999999999994</v>
      </c>
      <c r="E339">
        <v>41</v>
      </c>
      <c r="F339" t="s">
        <v>56</v>
      </c>
      <c r="G339">
        <v>4</v>
      </c>
      <c r="H339">
        <v>0.4</v>
      </c>
      <c r="I339" t="s">
        <v>121</v>
      </c>
      <c r="J339" t="s">
        <v>122</v>
      </c>
      <c r="K339" t="s">
        <v>124</v>
      </c>
      <c r="L339" t="s">
        <v>192</v>
      </c>
      <c r="M339" t="s">
        <v>159</v>
      </c>
      <c r="N339">
        <v>192</v>
      </c>
      <c r="O339" t="s">
        <v>126</v>
      </c>
      <c r="P339">
        <v>2</v>
      </c>
      <c r="Q339" t="s">
        <v>115</v>
      </c>
      <c r="R339" t="s">
        <v>116</v>
      </c>
      <c r="S339" t="s">
        <v>179</v>
      </c>
    </row>
    <row r="340" spans="1:19" x14ac:dyDescent="0.35">
      <c r="A340" t="s">
        <v>550</v>
      </c>
      <c r="B340" t="s">
        <v>119</v>
      </c>
      <c r="C340" t="s">
        <v>120</v>
      </c>
      <c r="D340">
        <v>4.8</v>
      </c>
      <c r="E340">
        <v>17</v>
      </c>
      <c r="F340" t="s">
        <v>58</v>
      </c>
      <c r="G340">
        <v>5</v>
      </c>
      <c r="H340">
        <v>0.5</v>
      </c>
      <c r="I340" t="s">
        <v>156</v>
      </c>
      <c r="J340" t="s">
        <v>203</v>
      </c>
      <c r="K340" t="s">
        <v>123</v>
      </c>
      <c r="L340" t="s">
        <v>124</v>
      </c>
      <c r="M340" t="s">
        <v>125</v>
      </c>
      <c r="N340">
        <v>397</v>
      </c>
      <c r="O340" t="s">
        <v>114</v>
      </c>
      <c r="P340">
        <v>0</v>
      </c>
      <c r="Q340" t="s">
        <v>115</v>
      </c>
      <c r="R340" t="s">
        <v>116</v>
      </c>
      <c r="S340" t="s">
        <v>136</v>
      </c>
    </row>
    <row r="341" spans="1:19" x14ac:dyDescent="0.35">
      <c r="A341" t="s">
        <v>551</v>
      </c>
      <c r="B341" t="s">
        <v>218</v>
      </c>
      <c r="C341" t="s">
        <v>120</v>
      </c>
      <c r="D341">
        <v>1.1000000000000001</v>
      </c>
      <c r="E341">
        <v>8</v>
      </c>
      <c r="F341" t="s">
        <v>56</v>
      </c>
      <c r="G341">
        <v>6</v>
      </c>
      <c r="H341">
        <v>0.8</v>
      </c>
      <c r="I341" t="s">
        <v>130</v>
      </c>
      <c r="J341" t="s">
        <v>131</v>
      </c>
      <c r="K341" t="s">
        <v>152</v>
      </c>
      <c r="L341" t="s">
        <v>141</v>
      </c>
      <c r="M341" t="s">
        <v>134</v>
      </c>
      <c r="N341">
        <v>85</v>
      </c>
      <c r="O341" t="s">
        <v>126</v>
      </c>
      <c r="P341">
        <v>4</v>
      </c>
      <c r="Q341" t="s">
        <v>115</v>
      </c>
      <c r="R341" t="s">
        <v>65</v>
      </c>
      <c r="S341" t="s">
        <v>169</v>
      </c>
    </row>
    <row r="342" spans="1:19" x14ac:dyDescent="0.35">
      <c r="A342" t="s">
        <v>552</v>
      </c>
      <c r="B342" t="s">
        <v>107</v>
      </c>
      <c r="C342" t="s">
        <v>120</v>
      </c>
      <c r="D342">
        <v>1.9</v>
      </c>
      <c r="E342">
        <v>28</v>
      </c>
      <c r="F342" t="s">
        <v>58</v>
      </c>
      <c r="G342">
        <v>9</v>
      </c>
      <c r="H342">
        <v>0.7</v>
      </c>
      <c r="I342" t="s">
        <v>173</v>
      </c>
      <c r="J342" t="s">
        <v>216</v>
      </c>
      <c r="K342" t="s">
        <v>111</v>
      </c>
      <c r="L342" t="s">
        <v>112</v>
      </c>
      <c r="M342" t="s">
        <v>134</v>
      </c>
      <c r="N342">
        <v>74</v>
      </c>
      <c r="O342" t="s">
        <v>114</v>
      </c>
      <c r="P342">
        <v>4</v>
      </c>
      <c r="Q342" t="s">
        <v>115</v>
      </c>
      <c r="R342" t="s">
        <v>116</v>
      </c>
      <c r="S342" t="s">
        <v>127</v>
      </c>
    </row>
    <row r="343" spans="1:19" x14ac:dyDescent="0.35">
      <c r="A343" t="s">
        <v>553</v>
      </c>
      <c r="B343" t="s">
        <v>189</v>
      </c>
      <c r="C343" t="s">
        <v>120</v>
      </c>
      <c r="D343">
        <v>6.3</v>
      </c>
      <c r="E343">
        <v>26</v>
      </c>
      <c r="F343" t="s">
        <v>63</v>
      </c>
      <c r="G343">
        <v>6</v>
      </c>
      <c r="H343">
        <v>1.2</v>
      </c>
      <c r="I343" t="s">
        <v>185</v>
      </c>
      <c r="J343" t="s">
        <v>223</v>
      </c>
      <c r="K343" t="s">
        <v>209</v>
      </c>
      <c r="L343" t="s">
        <v>190</v>
      </c>
      <c r="M343" t="s">
        <v>113</v>
      </c>
      <c r="N343">
        <v>28</v>
      </c>
      <c r="O343" t="s">
        <v>126</v>
      </c>
      <c r="P343">
        <v>12</v>
      </c>
      <c r="Q343" t="s">
        <v>135</v>
      </c>
      <c r="R343" t="s">
        <v>168</v>
      </c>
      <c r="S343" t="s">
        <v>127</v>
      </c>
    </row>
    <row r="344" spans="1:19" x14ac:dyDescent="0.35">
      <c r="A344" t="s">
        <v>554</v>
      </c>
      <c r="B344" t="s">
        <v>189</v>
      </c>
      <c r="C344" t="s">
        <v>108</v>
      </c>
      <c r="D344">
        <v>37.6</v>
      </c>
      <c r="E344">
        <v>36</v>
      </c>
      <c r="F344" t="s">
        <v>65</v>
      </c>
      <c r="G344">
        <v>6</v>
      </c>
      <c r="H344">
        <v>0.6</v>
      </c>
      <c r="I344" t="s">
        <v>139</v>
      </c>
      <c r="J344" t="s">
        <v>239</v>
      </c>
      <c r="K344" t="s">
        <v>182</v>
      </c>
      <c r="L344" t="s">
        <v>190</v>
      </c>
      <c r="M344" t="s">
        <v>113</v>
      </c>
      <c r="N344">
        <v>7</v>
      </c>
      <c r="O344" t="s">
        <v>126</v>
      </c>
      <c r="P344">
        <v>13</v>
      </c>
      <c r="Q344" t="s">
        <v>115</v>
      </c>
      <c r="R344" t="s">
        <v>153</v>
      </c>
      <c r="S344" t="s">
        <v>136</v>
      </c>
    </row>
    <row r="345" spans="1:19" x14ac:dyDescent="0.35">
      <c r="A345" t="s">
        <v>555</v>
      </c>
      <c r="B345" t="s">
        <v>129</v>
      </c>
      <c r="C345" t="s">
        <v>120</v>
      </c>
      <c r="D345">
        <v>7.7</v>
      </c>
      <c r="E345">
        <v>26</v>
      </c>
      <c r="F345" t="s">
        <v>65</v>
      </c>
      <c r="G345">
        <v>12</v>
      </c>
      <c r="H345">
        <v>0.9</v>
      </c>
      <c r="I345" t="s">
        <v>185</v>
      </c>
      <c r="J345" t="s">
        <v>186</v>
      </c>
      <c r="K345" t="s">
        <v>133</v>
      </c>
      <c r="L345" t="s">
        <v>164</v>
      </c>
      <c r="M345" t="s">
        <v>113</v>
      </c>
      <c r="N345">
        <v>13</v>
      </c>
      <c r="O345" t="s">
        <v>114</v>
      </c>
      <c r="P345">
        <v>14</v>
      </c>
      <c r="Q345" t="s">
        <v>135</v>
      </c>
      <c r="R345" t="s">
        <v>116</v>
      </c>
      <c r="S345" t="s">
        <v>169</v>
      </c>
    </row>
    <row r="346" spans="1:19" x14ac:dyDescent="0.35">
      <c r="A346" t="s">
        <v>556</v>
      </c>
      <c r="B346" t="s">
        <v>176</v>
      </c>
      <c r="C346" t="s">
        <v>120</v>
      </c>
      <c r="D346">
        <v>9.3000000000000007</v>
      </c>
      <c r="E346">
        <v>29</v>
      </c>
      <c r="F346" t="s">
        <v>56</v>
      </c>
      <c r="G346">
        <v>2</v>
      </c>
      <c r="H346">
        <v>1</v>
      </c>
      <c r="I346" t="s">
        <v>173</v>
      </c>
      <c r="J346" t="s">
        <v>174</v>
      </c>
      <c r="K346" t="s">
        <v>178</v>
      </c>
      <c r="L346" t="s">
        <v>228</v>
      </c>
      <c r="M346" t="s">
        <v>134</v>
      </c>
      <c r="N346">
        <v>74</v>
      </c>
      <c r="O346" t="s">
        <v>126</v>
      </c>
      <c r="P346">
        <v>4</v>
      </c>
      <c r="Q346" t="s">
        <v>115</v>
      </c>
      <c r="R346" t="s">
        <v>116</v>
      </c>
      <c r="S346" t="s">
        <v>136</v>
      </c>
    </row>
    <row r="347" spans="1:19" x14ac:dyDescent="0.35">
      <c r="A347" t="s">
        <v>557</v>
      </c>
      <c r="B347" t="s">
        <v>129</v>
      </c>
      <c r="C347" t="s">
        <v>120</v>
      </c>
      <c r="D347">
        <v>4.2</v>
      </c>
      <c r="E347">
        <v>19</v>
      </c>
      <c r="F347" t="s">
        <v>65</v>
      </c>
      <c r="G347">
        <v>11</v>
      </c>
      <c r="H347">
        <v>0.7</v>
      </c>
      <c r="I347" t="s">
        <v>185</v>
      </c>
      <c r="J347" t="s">
        <v>186</v>
      </c>
      <c r="K347" t="s">
        <v>164</v>
      </c>
      <c r="L347" t="s">
        <v>133</v>
      </c>
      <c r="M347" t="s">
        <v>159</v>
      </c>
      <c r="N347">
        <v>151</v>
      </c>
      <c r="O347" t="s">
        <v>126</v>
      </c>
      <c r="P347">
        <v>1</v>
      </c>
      <c r="Q347" t="s">
        <v>115</v>
      </c>
      <c r="R347" t="s">
        <v>168</v>
      </c>
      <c r="S347" t="s">
        <v>117</v>
      </c>
    </row>
    <row r="348" spans="1:19" x14ac:dyDescent="0.35">
      <c r="A348" t="s">
        <v>558</v>
      </c>
      <c r="B348" t="s">
        <v>197</v>
      </c>
      <c r="C348" t="s">
        <v>120</v>
      </c>
      <c r="D348">
        <v>3.7</v>
      </c>
      <c r="E348">
        <v>7</v>
      </c>
      <c r="F348" t="s">
        <v>66</v>
      </c>
      <c r="G348">
        <v>4</v>
      </c>
      <c r="H348">
        <v>0.7</v>
      </c>
      <c r="I348" t="s">
        <v>156</v>
      </c>
      <c r="J348" t="s">
        <v>167</v>
      </c>
      <c r="K348" t="s">
        <v>178</v>
      </c>
      <c r="L348" t="s">
        <v>199</v>
      </c>
      <c r="M348" t="s">
        <v>134</v>
      </c>
      <c r="N348">
        <v>95</v>
      </c>
      <c r="O348" t="s">
        <v>126</v>
      </c>
      <c r="P348">
        <v>6</v>
      </c>
      <c r="Q348" t="s">
        <v>115</v>
      </c>
      <c r="R348" t="s">
        <v>116</v>
      </c>
      <c r="S348" t="s">
        <v>169</v>
      </c>
    </row>
    <row r="349" spans="1:19" x14ac:dyDescent="0.35">
      <c r="A349" t="s">
        <v>559</v>
      </c>
      <c r="B349" t="s">
        <v>184</v>
      </c>
      <c r="C349" t="s">
        <v>120</v>
      </c>
      <c r="D349">
        <v>3</v>
      </c>
      <c r="E349">
        <v>6</v>
      </c>
      <c r="F349" t="s">
        <v>66</v>
      </c>
      <c r="G349">
        <v>6</v>
      </c>
      <c r="H349">
        <v>0.9</v>
      </c>
      <c r="I349" t="s">
        <v>185</v>
      </c>
      <c r="J349" t="s">
        <v>311</v>
      </c>
      <c r="K349" t="s">
        <v>124</v>
      </c>
      <c r="L349" t="s">
        <v>187</v>
      </c>
      <c r="M349" t="s">
        <v>134</v>
      </c>
      <c r="N349">
        <v>68</v>
      </c>
      <c r="O349" t="s">
        <v>201</v>
      </c>
      <c r="P349">
        <v>5</v>
      </c>
      <c r="Q349" t="s">
        <v>115</v>
      </c>
      <c r="R349" t="s">
        <v>168</v>
      </c>
      <c r="S349" t="s">
        <v>179</v>
      </c>
    </row>
    <row r="350" spans="1:19" x14ac:dyDescent="0.35">
      <c r="A350" t="s">
        <v>560</v>
      </c>
      <c r="B350" t="s">
        <v>176</v>
      </c>
      <c r="C350" t="s">
        <v>166</v>
      </c>
      <c r="D350">
        <v>156.1</v>
      </c>
      <c r="E350">
        <v>28</v>
      </c>
      <c r="F350" t="s">
        <v>56</v>
      </c>
      <c r="G350">
        <v>12</v>
      </c>
      <c r="H350">
        <v>0.7</v>
      </c>
      <c r="I350" t="s">
        <v>121</v>
      </c>
      <c r="J350" t="s">
        <v>122</v>
      </c>
      <c r="K350" t="s">
        <v>228</v>
      </c>
      <c r="L350" t="s">
        <v>124</v>
      </c>
      <c r="M350" t="s">
        <v>134</v>
      </c>
      <c r="N350">
        <v>71</v>
      </c>
      <c r="O350" t="s">
        <v>126</v>
      </c>
      <c r="P350">
        <v>5</v>
      </c>
      <c r="Q350" t="s">
        <v>115</v>
      </c>
      <c r="R350" t="s">
        <v>116</v>
      </c>
      <c r="S350" t="s">
        <v>147</v>
      </c>
    </row>
    <row r="351" spans="1:19" x14ac:dyDescent="0.35">
      <c r="A351" t="s">
        <v>561</v>
      </c>
      <c r="B351" t="s">
        <v>119</v>
      </c>
      <c r="C351" t="s">
        <v>108</v>
      </c>
      <c r="D351">
        <v>20.100000000000001</v>
      </c>
      <c r="E351">
        <v>23</v>
      </c>
      <c r="F351" t="s">
        <v>60</v>
      </c>
      <c r="G351">
        <v>3</v>
      </c>
      <c r="H351">
        <v>1.1000000000000001</v>
      </c>
      <c r="I351" t="s">
        <v>173</v>
      </c>
      <c r="J351" t="s">
        <v>216</v>
      </c>
      <c r="K351" t="s">
        <v>141</v>
      </c>
      <c r="L351" t="s">
        <v>124</v>
      </c>
      <c r="M351" t="s">
        <v>113</v>
      </c>
      <c r="N351">
        <v>14</v>
      </c>
      <c r="O351" t="s">
        <v>126</v>
      </c>
      <c r="P351">
        <v>12</v>
      </c>
      <c r="Q351" t="s">
        <v>115</v>
      </c>
      <c r="R351" t="s">
        <v>168</v>
      </c>
      <c r="S351" t="s">
        <v>142</v>
      </c>
    </row>
    <row r="352" spans="1:19" x14ac:dyDescent="0.35">
      <c r="A352" t="s">
        <v>562</v>
      </c>
      <c r="B352" t="s">
        <v>218</v>
      </c>
      <c r="C352" t="s">
        <v>120</v>
      </c>
      <c r="D352">
        <v>4.5999999999999996</v>
      </c>
      <c r="E352">
        <v>20</v>
      </c>
      <c r="F352" t="s">
        <v>66</v>
      </c>
      <c r="G352">
        <v>11</v>
      </c>
      <c r="H352">
        <v>1.1000000000000001</v>
      </c>
      <c r="I352" t="s">
        <v>173</v>
      </c>
      <c r="J352" t="s">
        <v>216</v>
      </c>
      <c r="K352" t="s">
        <v>277</v>
      </c>
      <c r="L352" t="s">
        <v>141</v>
      </c>
      <c r="M352" t="s">
        <v>113</v>
      </c>
      <c r="N352">
        <v>8</v>
      </c>
      <c r="O352" t="s">
        <v>126</v>
      </c>
      <c r="P352">
        <v>14</v>
      </c>
      <c r="Q352" t="s">
        <v>214</v>
      </c>
      <c r="R352" t="s">
        <v>65</v>
      </c>
      <c r="S352" t="s">
        <v>127</v>
      </c>
    </row>
    <row r="353" spans="1:19" x14ac:dyDescent="0.35">
      <c r="A353" t="s">
        <v>563</v>
      </c>
      <c r="B353" t="s">
        <v>189</v>
      </c>
      <c r="C353" t="s">
        <v>120</v>
      </c>
      <c r="D353">
        <v>9.8000000000000007</v>
      </c>
      <c r="E353">
        <v>29</v>
      </c>
      <c r="F353" t="s">
        <v>63</v>
      </c>
      <c r="G353">
        <v>3</v>
      </c>
      <c r="H353">
        <v>0.6</v>
      </c>
      <c r="I353" t="s">
        <v>121</v>
      </c>
      <c r="J353" t="s">
        <v>122</v>
      </c>
      <c r="K353" t="s">
        <v>209</v>
      </c>
      <c r="L353" t="s">
        <v>182</v>
      </c>
      <c r="M353" t="s">
        <v>159</v>
      </c>
      <c r="N353">
        <v>334</v>
      </c>
      <c r="O353" t="s">
        <v>126</v>
      </c>
      <c r="P353">
        <v>1</v>
      </c>
      <c r="Q353" t="s">
        <v>115</v>
      </c>
      <c r="R353" t="s">
        <v>65</v>
      </c>
      <c r="S353" t="s">
        <v>179</v>
      </c>
    </row>
    <row r="354" spans="1:19" x14ac:dyDescent="0.35">
      <c r="A354" t="s">
        <v>564</v>
      </c>
      <c r="B354" t="s">
        <v>107</v>
      </c>
      <c r="C354" t="s">
        <v>166</v>
      </c>
      <c r="D354">
        <v>174.9</v>
      </c>
      <c r="E354">
        <v>26</v>
      </c>
      <c r="F354" t="s">
        <v>58</v>
      </c>
      <c r="G354">
        <v>3</v>
      </c>
      <c r="H354">
        <v>0.5</v>
      </c>
      <c r="I354" t="s">
        <v>205</v>
      </c>
      <c r="J354" t="s">
        <v>206</v>
      </c>
      <c r="K354" t="s">
        <v>112</v>
      </c>
      <c r="L354" t="s">
        <v>171</v>
      </c>
      <c r="M354" t="s">
        <v>113</v>
      </c>
      <c r="N354">
        <v>14</v>
      </c>
      <c r="O354" t="s">
        <v>201</v>
      </c>
      <c r="P354">
        <v>15</v>
      </c>
      <c r="Q354" t="s">
        <v>115</v>
      </c>
      <c r="R354" t="s">
        <v>153</v>
      </c>
      <c r="S354" t="s">
        <v>179</v>
      </c>
    </row>
    <row r="355" spans="1:19" x14ac:dyDescent="0.35">
      <c r="A355" t="s">
        <v>565</v>
      </c>
      <c r="B355" t="s">
        <v>184</v>
      </c>
      <c r="C355" t="s">
        <v>120</v>
      </c>
      <c r="D355">
        <v>3.7</v>
      </c>
      <c r="E355">
        <v>6</v>
      </c>
      <c r="F355" t="s">
        <v>63</v>
      </c>
      <c r="G355">
        <v>11</v>
      </c>
      <c r="H355">
        <v>0.4</v>
      </c>
      <c r="I355" t="s">
        <v>185</v>
      </c>
      <c r="J355" t="s">
        <v>225</v>
      </c>
      <c r="K355" t="s">
        <v>187</v>
      </c>
      <c r="L355" t="s">
        <v>124</v>
      </c>
      <c r="M355" t="s">
        <v>159</v>
      </c>
      <c r="N355">
        <v>343</v>
      </c>
      <c r="O355" t="s">
        <v>126</v>
      </c>
      <c r="P355">
        <v>1</v>
      </c>
      <c r="Q355" t="s">
        <v>115</v>
      </c>
      <c r="R355" t="s">
        <v>116</v>
      </c>
      <c r="S355" t="s">
        <v>169</v>
      </c>
    </row>
    <row r="356" spans="1:19" x14ac:dyDescent="0.35">
      <c r="A356" t="s">
        <v>566</v>
      </c>
      <c r="B356" t="s">
        <v>184</v>
      </c>
      <c r="C356" t="s">
        <v>120</v>
      </c>
      <c r="D356">
        <v>5</v>
      </c>
      <c r="E356">
        <v>14</v>
      </c>
      <c r="F356" t="s">
        <v>66</v>
      </c>
      <c r="G356">
        <v>10</v>
      </c>
      <c r="H356">
        <v>1.1000000000000001</v>
      </c>
      <c r="I356" t="s">
        <v>150</v>
      </c>
      <c r="J356" t="s">
        <v>151</v>
      </c>
      <c r="K356" t="s">
        <v>187</v>
      </c>
      <c r="L356" t="s">
        <v>124</v>
      </c>
      <c r="M356" t="s">
        <v>113</v>
      </c>
      <c r="N356">
        <v>23</v>
      </c>
      <c r="O356" t="s">
        <v>201</v>
      </c>
      <c r="P356">
        <v>14</v>
      </c>
      <c r="Q356" t="s">
        <v>115</v>
      </c>
      <c r="R356" t="s">
        <v>116</v>
      </c>
      <c r="S356" t="s">
        <v>147</v>
      </c>
    </row>
    <row r="357" spans="1:19" x14ac:dyDescent="0.35">
      <c r="A357" t="s">
        <v>567</v>
      </c>
      <c r="B357" t="s">
        <v>107</v>
      </c>
      <c r="C357" t="s">
        <v>108</v>
      </c>
      <c r="D357">
        <v>15.8</v>
      </c>
      <c r="E357">
        <v>23</v>
      </c>
      <c r="F357" t="s">
        <v>66</v>
      </c>
      <c r="G357">
        <v>9</v>
      </c>
      <c r="H357">
        <v>1.2</v>
      </c>
      <c r="I357" t="s">
        <v>205</v>
      </c>
      <c r="J357" t="s">
        <v>206</v>
      </c>
      <c r="K357" t="s">
        <v>112</v>
      </c>
      <c r="L357" t="s">
        <v>171</v>
      </c>
      <c r="M357" t="s">
        <v>134</v>
      </c>
      <c r="N357">
        <v>64</v>
      </c>
      <c r="O357" t="s">
        <v>126</v>
      </c>
      <c r="P357">
        <v>3</v>
      </c>
      <c r="Q357" t="s">
        <v>115</v>
      </c>
      <c r="R357" t="s">
        <v>153</v>
      </c>
      <c r="S357" t="s">
        <v>142</v>
      </c>
    </row>
    <row r="358" spans="1:19" x14ac:dyDescent="0.35">
      <c r="A358" t="s">
        <v>568</v>
      </c>
      <c r="B358" t="s">
        <v>176</v>
      </c>
      <c r="C358" t="s">
        <v>120</v>
      </c>
      <c r="D358">
        <v>2.8</v>
      </c>
      <c r="E358">
        <v>21</v>
      </c>
      <c r="F358" t="s">
        <v>66</v>
      </c>
      <c r="G358">
        <v>2</v>
      </c>
      <c r="H358">
        <v>0.7</v>
      </c>
      <c r="I358" t="s">
        <v>156</v>
      </c>
      <c r="J358" t="s">
        <v>157</v>
      </c>
      <c r="K358" t="s">
        <v>178</v>
      </c>
      <c r="L358" t="s">
        <v>228</v>
      </c>
      <c r="M358" t="s">
        <v>159</v>
      </c>
      <c r="N358">
        <v>255</v>
      </c>
      <c r="O358" t="s">
        <v>126</v>
      </c>
      <c r="P358">
        <v>2</v>
      </c>
      <c r="Q358" t="s">
        <v>135</v>
      </c>
      <c r="R358" t="s">
        <v>168</v>
      </c>
      <c r="S358" t="s">
        <v>142</v>
      </c>
    </row>
    <row r="359" spans="1:19" x14ac:dyDescent="0.35">
      <c r="A359" t="s">
        <v>569</v>
      </c>
      <c r="B359" t="s">
        <v>119</v>
      </c>
      <c r="C359" t="s">
        <v>108</v>
      </c>
      <c r="D359">
        <v>23.4</v>
      </c>
      <c r="E359">
        <v>31</v>
      </c>
      <c r="F359" t="s">
        <v>63</v>
      </c>
      <c r="G359">
        <v>4</v>
      </c>
      <c r="H359">
        <v>0.6</v>
      </c>
      <c r="I359" t="s">
        <v>144</v>
      </c>
      <c r="J359" t="s">
        <v>269</v>
      </c>
      <c r="K359" t="s">
        <v>124</v>
      </c>
      <c r="L359" t="s">
        <v>123</v>
      </c>
      <c r="M359" t="s">
        <v>113</v>
      </c>
      <c r="N359">
        <v>22</v>
      </c>
      <c r="O359" t="s">
        <v>126</v>
      </c>
      <c r="P359">
        <v>8</v>
      </c>
      <c r="Q359" t="s">
        <v>115</v>
      </c>
      <c r="R359" t="s">
        <v>153</v>
      </c>
      <c r="S359" t="s">
        <v>147</v>
      </c>
    </row>
    <row r="360" spans="1:19" x14ac:dyDescent="0.35">
      <c r="A360" t="s">
        <v>570</v>
      </c>
      <c r="B360" t="s">
        <v>155</v>
      </c>
      <c r="C360" t="s">
        <v>120</v>
      </c>
      <c r="D360">
        <v>9.3000000000000007</v>
      </c>
      <c r="E360">
        <v>23</v>
      </c>
      <c r="F360" t="s">
        <v>66</v>
      </c>
      <c r="G360">
        <v>9</v>
      </c>
      <c r="H360">
        <v>0.7</v>
      </c>
      <c r="I360" t="s">
        <v>185</v>
      </c>
      <c r="J360" t="s">
        <v>382</v>
      </c>
      <c r="K360" t="s">
        <v>158</v>
      </c>
      <c r="L360" t="s">
        <v>112</v>
      </c>
      <c r="M360" t="s">
        <v>113</v>
      </c>
      <c r="N360">
        <v>11</v>
      </c>
      <c r="O360" t="s">
        <v>126</v>
      </c>
      <c r="P360">
        <v>8</v>
      </c>
      <c r="Q360" t="s">
        <v>115</v>
      </c>
      <c r="R360" t="s">
        <v>116</v>
      </c>
      <c r="S360" t="s">
        <v>179</v>
      </c>
    </row>
    <row r="361" spans="1:19" x14ac:dyDescent="0.35">
      <c r="A361" t="s">
        <v>571</v>
      </c>
      <c r="B361" t="s">
        <v>218</v>
      </c>
      <c r="C361" t="s">
        <v>120</v>
      </c>
      <c r="D361">
        <v>4.7</v>
      </c>
      <c r="E361">
        <v>8</v>
      </c>
      <c r="F361" t="s">
        <v>56</v>
      </c>
      <c r="G361">
        <v>7</v>
      </c>
      <c r="H361">
        <v>1.1000000000000001</v>
      </c>
      <c r="I361" t="s">
        <v>246</v>
      </c>
      <c r="J361" t="s">
        <v>264</v>
      </c>
      <c r="K361" t="s">
        <v>277</v>
      </c>
      <c r="L361" t="s">
        <v>152</v>
      </c>
      <c r="M361" t="s">
        <v>134</v>
      </c>
      <c r="N361">
        <v>88</v>
      </c>
      <c r="O361" t="s">
        <v>126</v>
      </c>
      <c r="P361">
        <v>5</v>
      </c>
      <c r="Q361" t="s">
        <v>115</v>
      </c>
      <c r="R361" t="s">
        <v>116</v>
      </c>
      <c r="S361" t="s">
        <v>142</v>
      </c>
    </row>
    <row r="362" spans="1:19" x14ac:dyDescent="0.35">
      <c r="A362" t="s">
        <v>572</v>
      </c>
      <c r="B362" t="s">
        <v>119</v>
      </c>
      <c r="C362" t="s">
        <v>120</v>
      </c>
      <c r="D362">
        <v>7.3</v>
      </c>
      <c r="E362">
        <v>12</v>
      </c>
      <c r="F362" t="s">
        <v>56</v>
      </c>
      <c r="G362">
        <v>9</v>
      </c>
      <c r="H362">
        <v>0.7</v>
      </c>
      <c r="I362" t="s">
        <v>173</v>
      </c>
      <c r="J362" t="s">
        <v>174</v>
      </c>
      <c r="K362" t="s">
        <v>124</v>
      </c>
      <c r="L362" t="s">
        <v>123</v>
      </c>
      <c r="M362" t="s">
        <v>113</v>
      </c>
      <c r="N362">
        <v>7</v>
      </c>
      <c r="O362" t="s">
        <v>126</v>
      </c>
      <c r="P362">
        <v>13</v>
      </c>
      <c r="Q362" t="s">
        <v>115</v>
      </c>
      <c r="R362" t="s">
        <v>153</v>
      </c>
      <c r="S362" t="s">
        <v>142</v>
      </c>
    </row>
    <row r="363" spans="1:19" x14ac:dyDescent="0.35">
      <c r="A363" t="s">
        <v>573</v>
      </c>
      <c r="B363" t="s">
        <v>218</v>
      </c>
      <c r="C363" t="s">
        <v>166</v>
      </c>
      <c r="D363">
        <v>116.9</v>
      </c>
      <c r="E363">
        <v>47</v>
      </c>
      <c r="F363" t="s">
        <v>56</v>
      </c>
      <c r="G363">
        <v>9</v>
      </c>
      <c r="H363">
        <v>0.7</v>
      </c>
      <c r="I363" t="s">
        <v>139</v>
      </c>
      <c r="J363" t="s">
        <v>239</v>
      </c>
      <c r="K363" t="s">
        <v>152</v>
      </c>
      <c r="L363" t="s">
        <v>141</v>
      </c>
      <c r="M363" t="s">
        <v>113</v>
      </c>
      <c r="N363">
        <v>11</v>
      </c>
      <c r="O363" t="s">
        <v>126</v>
      </c>
      <c r="P363">
        <v>11</v>
      </c>
      <c r="Q363" t="s">
        <v>115</v>
      </c>
      <c r="R363" t="s">
        <v>65</v>
      </c>
      <c r="S363" t="s">
        <v>117</v>
      </c>
    </row>
    <row r="364" spans="1:19" x14ac:dyDescent="0.35">
      <c r="A364" t="s">
        <v>574</v>
      </c>
      <c r="B364" t="s">
        <v>218</v>
      </c>
      <c r="C364" t="s">
        <v>120</v>
      </c>
      <c r="D364">
        <v>6.1</v>
      </c>
      <c r="E364">
        <v>14</v>
      </c>
      <c r="F364" t="s">
        <v>63</v>
      </c>
      <c r="G364">
        <v>6</v>
      </c>
      <c r="H364">
        <v>0.8</v>
      </c>
      <c r="I364" t="s">
        <v>150</v>
      </c>
      <c r="J364" t="s">
        <v>151</v>
      </c>
      <c r="K364" t="s">
        <v>141</v>
      </c>
      <c r="L364" t="s">
        <v>152</v>
      </c>
      <c r="M364" t="s">
        <v>113</v>
      </c>
      <c r="N364">
        <v>12</v>
      </c>
      <c r="O364" t="s">
        <v>126</v>
      </c>
      <c r="P364">
        <v>8</v>
      </c>
      <c r="Q364" t="s">
        <v>115</v>
      </c>
      <c r="R364" t="s">
        <v>168</v>
      </c>
      <c r="S364" t="s">
        <v>136</v>
      </c>
    </row>
    <row r="365" spans="1:19" x14ac:dyDescent="0.35">
      <c r="A365" t="s">
        <v>575</v>
      </c>
      <c r="B365" t="s">
        <v>189</v>
      </c>
      <c r="C365" t="s">
        <v>120</v>
      </c>
      <c r="D365">
        <v>5.5</v>
      </c>
      <c r="E365">
        <v>7</v>
      </c>
      <c r="F365" t="s">
        <v>66</v>
      </c>
      <c r="G365">
        <v>7</v>
      </c>
      <c r="H365">
        <v>0.9</v>
      </c>
      <c r="I365" t="s">
        <v>173</v>
      </c>
      <c r="J365" t="s">
        <v>216</v>
      </c>
      <c r="K365" t="s">
        <v>209</v>
      </c>
      <c r="L365" t="s">
        <v>190</v>
      </c>
      <c r="M365" t="s">
        <v>159</v>
      </c>
      <c r="N365">
        <v>150</v>
      </c>
      <c r="O365" t="s">
        <v>114</v>
      </c>
      <c r="P365">
        <v>1</v>
      </c>
      <c r="Q365" t="s">
        <v>115</v>
      </c>
      <c r="R365" t="s">
        <v>168</v>
      </c>
      <c r="S365" t="s">
        <v>142</v>
      </c>
    </row>
    <row r="366" spans="1:19" x14ac:dyDescent="0.35">
      <c r="A366" t="s">
        <v>576</v>
      </c>
      <c r="B366" t="s">
        <v>197</v>
      </c>
      <c r="C366" t="s">
        <v>108</v>
      </c>
      <c r="D366">
        <v>33.4</v>
      </c>
      <c r="E366">
        <v>16</v>
      </c>
      <c r="F366" t="s">
        <v>58</v>
      </c>
      <c r="G366">
        <v>6</v>
      </c>
      <c r="H366">
        <v>1</v>
      </c>
      <c r="I366" t="s">
        <v>109</v>
      </c>
      <c r="J366" t="s">
        <v>181</v>
      </c>
      <c r="K366" t="s">
        <v>200</v>
      </c>
      <c r="L366" t="s">
        <v>178</v>
      </c>
      <c r="M366" t="s">
        <v>134</v>
      </c>
      <c r="N366">
        <v>75</v>
      </c>
      <c r="O366" t="s">
        <v>126</v>
      </c>
      <c r="P366">
        <v>4</v>
      </c>
      <c r="Q366" t="s">
        <v>115</v>
      </c>
      <c r="R366" t="s">
        <v>116</v>
      </c>
      <c r="S366" t="s">
        <v>142</v>
      </c>
    </row>
    <row r="367" spans="1:19" x14ac:dyDescent="0.35">
      <c r="A367" t="s">
        <v>577</v>
      </c>
      <c r="B367" t="s">
        <v>138</v>
      </c>
      <c r="C367" t="s">
        <v>120</v>
      </c>
      <c r="D367">
        <v>5</v>
      </c>
      <c r="E367">
        <v>8</v>
      </c>
      <c r="F367" t="s">
        <v>58</v>
      </c>
      <c r="G367">
        <v>3</v>
      </c>
      <c r="H367">
        <v>0.9</v>
      </c>
      <c r="I367" t="s">
        <v>246</v>
      </c>
      <c r="J367" t="s">
        <v>247</v>
      </c>
      <c r="K367" t="s">
        <v>141</v>
      </c>
      <c r="L367" t="s">
        <v>146</v>
      </c>
      <c r="M367" t="s">
        <v>134</v>
      </c>
      <c r="N367">
        <v>81</v>
      </c>
      <c r="O367" t="s">
        <v>114</v>
      </c>
      <c r="P367">
        <v>6</v>
      </c>
      <c r="Q367" t="s">
        <v>135</v>
      </c>
      <c r="R367" t="s">
        <v>116</v>
      </c>
      <c r="S367" t="s">
        <v>193</v>
      </c>
    </row>
    <row r="368" spans="1:19" x14ac:dyDescent="0.35">
      <c r="A368" t="s">
        <v>578</v>
      </c>
      <c r="B368" t="s">
        <v>197</v>
      </c>
      <c r="C368" t="s">
        <v>120</v>
      </c>
      <c r="D368">
        <v>5.0999999999999996</v>
      </c>
      <c r="E368">
        <v>8</v>
      </c>
      <c r="F368" t="s">
        <v>65</v>
      </c>
      <c r="G368">
        <v>2</v>
      </c>
      <c r="H368">
        <v>1</v>
      </c>
      <c r="I368" t="s">
        <v>246</v>
      </c>
      <c r="J368" t="s">
        <v>250</v>
      </c>
      <c r="K368" t="s">
        <v>178</v>
      </c>
      <c r="L368" t="s">
        <v>200</v>
      </c>
      <c r="M368" t="s">
        <v>159</v>
      </c>
      <c r="N368">
        <v>252</v>
      </c>
      <c r="O368" t="s">
        <v>126</v>
      </c>
      <c r="P368">
        <v>2</v>
      </c>
      <c r="Q368" t="s">
        <v>115</v>
      </c>
      <c r="R368" t="s">
        <v>153</v>
      </c>
      <c r="S368" t="s">
        <v>193</v>
      </c>
    </row>
    <row r="369" spans="1:19" x14ac:dyDescent="0.35">
      <c r="A369" t="s">
        <v>579</v>
      </c>
      <c r="B369" t="s">
        <v>176</v>
      </c>
      <c r="C369" t="s">
        <v>166</v>
      </c>
      <c r="D369">
        <v>161.6</v>
      </c>
      <c r="E369">
        <v>40</v>
      </c>
      <c r="F369" t="s">
        <v>66</v>
      </c>
      <c r="G369">
        <v>5</v>
      </c>
      <c r="H369">
        <v>0.8</v>
      </c>
      <c r="I369" t="s">
        <v>173</v>
      </c>
      <c r="J369" t="s">
        <v>174</v>
      </c>
      <c r="K369" t="s">
        <v>178</v>
      </c>
      <c r="L369" t="s">
        <v>228</v>
      </c>
      <c r="M369" t="s">
        <v>125</v>
      </c>
      <c r="N369">
        <v>190</v>
      </c>
      <c r="O369" t="s">
        <v>114</v>
      </c>
      <c r="P369">
        <v>2</v>
      </c>
      <c r="Q369" t="s">
        <v>115</v>
      </c>
      <c r="R369" t="s">
        <v>116</v>
      </c>
      <c r="S369" t="s">
        <v>142</v>
      </c>
    </row>
    <row r="370" spans="1:19" x14ac:dyDescent="0.35">
      <c r="A370" t="s">
        <v>580</v>
      </c>
      <c r="B370" t="s">
        <v>149</v>
      </c>
      <c r="C370" t="s">
        <v>120</v>
      </c>
      <c r="D370">
        <v>6</v>
      </c>
      <c r="E370">
        <v>14</v>
      </c>
      <c r="F370" t="s">
        <v>58</v>
      </c>
      <c r="G370">
        <v>2</v>
      </c>
      <c r="H370">
        <v>0.8</v>
      </c>
      <c r="I370" t="s">
        <v>150</v>
      </c>
      <c r="J370" t="s">
        <v>244</v>
      </c>
      <c r="K370" t="s">
        <v>123</v>
      </c>
      <c r="L370" t="s">
        <v>152</v>
      </c>
      <c r="M370" t="s">
        <v>134</v>
      </c>
      <c r="N370">
        <v>68</v>
      </c>
      <c r="O370" t="s">
        <v>126</v>
      </c>
      <c r="P370">
        <v>6</v>
      </c>
      <c r="Q370" t="s">
        <v>115</v>
      </c>
      <c r="R370" t="s">
        <v>168</v>
      </c>
      <c r="S370" t="s">
        <v>193</v>
      </c>
    </row>
    <row r="371" spans="1:19" x14ac:dyDescent="0.35">
      <c r="A371" t="s">
        <v>581</v>
      </c>
      <c r="B371" t="s">
        <v>176</v>
      </c>
      <c r="C371" t="s">
        <v>166</v>
      </c>
      <c r="D371">
        <v>188.4</v>
      </c>
      <c r="E371">
        <v>45</v>
      </c>
      <c r="F371" t="s">
        <v>66</v>
      </c>
      <c r="G371">
        <v>7</v>
      </c>
      <c r="H371">
        <v>0.3</v>
      </c>
      <c r="I371" t="s">
        <v>144</v>
      </c>
      <c r="J371" t="s">
        <v>269</v>
      </c>
      <c r="K371" t="s">
        <v>178</v>
      </c>
      <c r="L371" t="s">
        <v>124</v>
      </c>
      <c r="M371" t="s">
        <v>159</v>
      </c>
      <c r="N371">
        <v>180</v>
      </c>
      <c r="O371" t="s">
        <v>126</v>
      </c>
      <c r="P371">
        <v>2</v>
      </c>
      <c r="Q371" t="s">
        <v>115</v>
      </c>
      <c r="R371" t="s">
        <v>116</v>
      </c>
      <c r="S371" t="s">
        <v>179</v>
      </c>
    </row>
    <row r="372" spans="1:19" x14ac:dyDescent="0.35">
      <c r="A372" t="s">
        <v>582</v>
      </c>
      <c r="B372" t="s">
        <v>138</v>
      </c>
      <c r="C372" t="s">
        <v>166</v>
      </c>
      <c r="D372">
        <v>196.7</v>
      </c>
      <c r="E372">
        <v>39</v>
      </c>
      <c r="F372" t="s">
        <v>66</v>
      </c>
      <c r="G372">
        <v>6</v>
      </c>
      <c r="H372">
        <v>1.2</v>
      </c>
      <c r="I372" t="s">
        <v>109</v>
      </c>
      <c r="J372" t="s">
        <v>181</v>
      </c>
      <c r="K372" t="s">
        <v>111</v>
      </c>
      <c r="L372" t="s">
        <v>146</v>
      </c>
      <c r="M372" t="s">
        <v>134</v>
      </c>
      <c r="N372">
        <v>81</v>
      </c>
      <c r="O372" t="s">
        <v>126</v>
      </c>
      <c r="P372">
        <v>5</v>
      </c>
      <c r="Q372" t="s">
        <v>115</v>
      </c>
      <c r="R372" t="s">
        <v>116</v>
      </c>
      <c r="S372" t="s">
        <v>147</v>
      </c>
    </row>
    <row r="373" spans="1:19" x14ac:dyDescent="0.35">
      <c r="A373" t="s">
        <v>583</v>
      </c>
      <c r="B373" t="s">
        <v>107</v>
      </c>
      <c r="C373" t="s">
        <v>120</v>
      </c>
      <c r="D373">
        <v>3.7</v>
      </c>
      <c r="E373">
        <v>9</v>
      </c>
      <c r="F373" t="s">
        <v>60</v>
      </c>
      <c r="G373">
        <v>3</v>
      </c>
      <c r="H373">
        <v>1.2</v>
      </c>
      <c r="I373" t="s">
        <v>150</v>
      </c>
      <c r="J373" t="s">
        <v>244</v>
      </c>
      <c r="K373" t="s">
        <v>111</v>
      </c>
      <c r="L373" t="s">
        <v>171</v>
      </c>
      <c r="M373" t="s">
        <v>113</v>
      </c>
      <c r="N373">
        <v>24</v>
      </c>
      <c r="O373" t="s">
        <v>126</v>
      </c>
      <c r="P373">
        <v>14</v>
      </c>
      <c r="Q373" t="s">
        <v>115</v>
      </c>
      <c r="R373" t="s">
        <v>116</v>
      </c>
      <c r="S373" t="s">
        <v>147</v>
      </c>
    </row>
    <row r="374" spans="1:19" x14ac:dyDescent="0.35">
      <c r="A374" t="s">
        <v>584</v>
      </c>
      <c r="B374" t="s">
        <v>218</v>
      </c>
      <c r="C374" t="s">
        <v>120</v>
      </c>
      <c r="D374">
        <v>9.8000000000000007</v>
      </c>
      <c r="E374">
        <v>24</v>
      </c>
      <c r="F374" t="s">
        <v>63</v>
      </c>
      <c r="G374">
        <v>3</v>
      </c>
      <c r="H374">
        <v>0.8</v>
      </c>
      <c r="I374" t="s">
        <v>173</v>
      </c>
      <c r="J374" t="s">
        <v>216</v>
      </c>
      <c r="K374" t="s">
        <v>152</v>
      </c>
      <c r="L374" t="s">
        <v>277</v>
      </c>
      <c r="M374" t="s">
        <v>113</v>
      </c>
      <c r="N374">
        <v>16</v>
      </c>
      <c r="O374" t="s">
        <v>126</v>
      </c>
      <c r="P374">
        <v>11</v>
      </c>
      <c r="Q374" t="s">
        <v>135</v>
      </c>
      <c r="R374" t="s">
        <v>168</v>
      </c>
      <c r="S374" t="s">
        <v>147</v>
      </c>
    </row>
    <row r="375" spans="1:19" x14ac:dyDescent="0.35">
      <c r="A375" t="s">
        <v>585</v>
      </c>
      <c r="B375" t="s">
        <v>189</v>
      </c>
      <c r="C375" t="s">
        <v>108</v>
      </c>
      <c r="D375">
        <v>49.8</v>
      </c>
      <c r="E375">
        <v>30</v>
      </c>
      <c r="F375" t="s">
        <v>66</v>
      </c>
      <c r="G375">
        <v>8</v>
      </c>
      <c r="H375">
        <v>0.7</v>
      </c>
      <c r="I375" t="s">
        <v>205</v>
      </c>
      <c r="J375" t="s">
        <v>206</v>
      </c>
      <c r="K375" t="s">
        <v>209</v>
      </c>
      <c r="L375" t="s">
        <v>182</v>
      </c>
      <c r="M375" t="s">
        <v>134</v>
      </c>
      <c r="N375">
        <v>94</v>
      </c>
      <c r="O375" t="s">
        <v>126</v>
      </c>
      <c r="P375">
        <v>3</v>
      </c>
      <c r="Q375" t="s">
        <v>115</v>
      </c>
      <c r="R375" t="s">
        <v>168</v>
      </c>
      <c r="S375" t="s">
        <v>142</v>
      </c>
    </row>
    <row r="376" spans="1:19" x14ac:dyDescent="0.35">
      <c r="A376" t="s">
        <v>586</v>
      </c>
      <c r="B376" t="s">
        <v>129</v>
      </c>
      <c r="C376" t="s">
        <v>108</v>
      </c>
      <c r="D376">
        <v>10.4</v>
      </c>
      <c r="E376">
        <v>32</v>
      </c>
      <c r="F376" t="s">
        <v>60</v>
      </c>
      <c r="G376">
        <v>2</v>
      </c>
      <c r="H376">
        <v>0.5</v>
      </c>
      <c r="I376" t="s">
        <v>121</v>
      </c>
      <c r="J376" t="s">
        <v>255</v>
      </c>
      <c r="K376" t="s">
        <v>132</v>
      </c>
      <c r="L376" t="s">
        <v>133</v>
      </c>
      <c r="M376" t="s">
        <v>159</v>
      </c>
      <c r="N376">
        <v>219</v>
      </c>
      <c r="O376" t="s">
        <v>126</v>
      </c>
      <c r="P376">
        <v>1</v>
      </c>
      <c r="Q376" t="s">
        <v>115</v>
      </c>
      <c r="R376" t="s">
        <v>116</v>
      </c>
      <c r="S376" t="s">
        <v>169</v>
      </c>
    </row>
    <row r="377" spans="1:19" x14ac:dyDescent="0.35">
      <c r="A377" t="s">
        <v>587</v>
      </c>
      <c r="B377" t="s">
        <v>138</v>
      </c>
      <c r="C377" t="s">
        <v>166</v>
      </c>
      <c r="D377">
        <v>156.9</v>
      </c>
      <c r="E377">
        <v>46</v>
      </c>
      <c r="F377" t="s">
        <v>65</v>
      </c>
      <c r="G377">
        <v>12</v>
      </c>
      <c r="H377">
        <v>0.8</v>
      </c>
      <c r="I377" t="s">
        <v>121</v>
      </c>
      <c r="J377" t="s">
        <v>255</v>
      </c>
      <c r="K377" t="s">
        <v>146</v>
      </c>
      <c r="L377" t="s">
        <v>141</v>
      </c>
      <c r="M377" t="s">
        <v>134</v>
      </c>
      <c r="N377">
        <v>82</v>
      </c>
      <c r="O377" t="s">
        <v>201</v>
      </c>
      <c r="P377">
        <v>3</v>
      </c>
      <c r="Q377" t="s">
        <v>115</v>
      </c>
      <c r="R377" t="s">
        <v>116</v>
      </c>
      <c r="S377" t="s">
        <v>117</v>
      </c>
    </row>
    <row r="378" spans="1:19" x14ac:dyDescent="0.35">
      <c r="A378" t="s">
        <v>588</v>
      </c>
      <c r="B378" t="s">
        <v>218</v>
      </c>
      <c r="C378" t="s">
        <v>120</v>
      </c>
      <c r="D378">
        <v>4.5999999999999996</v>
      </c>
      <c r="E378">
        <v>6</v>
      </c>
      <c r="F378" t="s">
        <v>58</v>
      </c>
      <c r="G378">
        <v>5</v>
      </c>
      <c r="H378">
        <v>1</v>
      </c>
      <c r="I378" t="s">
        <v>109</v>
      </c>
      <c r="J378" t="s">
        <v>110</v>
      </c>
      <c r="K378" t="s">
        <v>141</v>
      </c>
      <c r="L378" t="s">
        <v>277</v>
      </c>
      <c r="M378" t="s">
        <v>134</v>
      </c>
      <c r="N378">
        <v>85</v>
      </c>
      <c r="O378" t="s">
        <v>114</v>
      </c>
      <c r="P378">
        <v>3</v>
      </c>
      <c r="Q378" t="s">
        <v>115</v>
      </c>
      <c r="R378" t="s">
        <v>116</v>
      </c>
      <c r="S378" t="s">
        <v>193</v>
      </c>
    </row>
    <row r="379" spans="1:19" x14ac:dyDescent="0.35">
      <c r="A379" t="s">
        <v>589</v>
      </c>
      <c r="B379" t="s">
        <v>197</v>
      </c>
      <c r="C379" t="s">
        <v>120</v>
      </c>
      <c r="D379">
        <v>2.6</v>
      </c>
      <c r="E379">
        <v>29</v>
      </c>
      <c r="F379" t="s">
        <v>65</v>
      </c>
      <c r="G379">
        <v>8</v>
      </c>
      <c r="H379">
        <v>1</v>
      </c>
      <c r="I379" t="s">
        <v>156</v>
      </c>
      <c r="J379" t="s">
        <v>203</v>
      </c>
      <c r="K379" t="s">
        <v>199</v>
      </c>
      <c r="L379" t="s">
        <v>200</v>
      </c>
      <c r="M379" t="s">
        <v>134</v>
      </c>
      <c r="N379">
        <v>90</v>
      </c>
      <c r="O379" t="s">
        <v>126</v>
      </c>
      <c r="P379">
        <v>5</v>
      </c>
      <c r="Q379" t="s">
        <v>135</v>
      </c>
      <c r="R379" t="s">
        <v>168</v>
      </c>
      <c r="S379" t="s">
        <v>147</v>
      </c>
    </row>
    <row r="380" spans="1:19" x14ac:dyDescent="0.35">
      <c r="A380" t="s">
        <v>590</v>
      </c>
      <c r="B380" t="s">
        <v>107</v>
      </c>
      <c r="C380" t="s">
        <v>120</v>
      </c>
      <c r="D380">
        <v>2.9</v>
      </c>
      <c r="E380">
        <v>11</v>
      </c>
      <c r="F380" t="s">
        <v>56</v>
      </c>
      <c r="G380">
        <v>3</v>
      </c>
      <c r="H380">
        <v>0.7</v>
      </c>
      <c r="I380" t="s">
        <v>173</v>
      </c>
      <c r="J380" t="s">
        <v>174</v>
      </c>
      <c r="K380" t="s">
        <v>171</v>
      </c>
      <c r="L380" t="s">
        <v>112</v>
      </c>
      <c r="M380" t="s">
        <v>113</v>
      </c>
      <c r="N380">
        <v>29</v>
      </c>
      <c r="O380" t="s">
        <v>114</v>
      </c>
      <c r="P380">
        <v>10</v>
      </c>
      <c r="Q380" t="s">
        <v>115</v>
      </c>
      <c r="R380" t="s">
        <v>116</v>
      </c>
      <c r="S380" t="s">
        <v>136</v>
      </c>
    </row>
    <row r="381" spans="1:19" x14ac:dyDescent="0.35">
      <c r="A381" t="s">
        <v>591</v>
      </c>
      <c r="B381" t="s">
        <v>149</v>
      </c>
      <c r="C381" t="s">
        <v>120</v>
      </c>
      <c r="D381">
        <v>9.3000000000000007</v>
      </c>
      <c r="E381">
        <v>22</v>
      </c>
      <c r="F381" t="s">
        <v>56</v>
      </c>
      <c r="G381">
        <v>7</v>
      </c>
      <c r="H381">
        <v>0.6</v>
      </c>
      <c r="I381" t="s">
        <v>162</v>
      </c>
      <c r="J381" t="s">
        <v>413</v>
      </c>
      <c r="K381" t="s">
        <v>211</v>
      </c>
      <c r="L381" t="s">
        <v>152</v>
      </c>
      <c r="M381" t="s">
        <v>125</v>
      </c>
      <c r="N381">
        <v>437</v>
      </c>
      <c r="O381" t="s">
        <v>114</v>
      </c>
      <c r="P381">
        <v>1</v>
      </c>
      <c r="Q381" t="s">
        <v>115</v>
      </c>
      <c r="R381" t="s">
        <v>153</v>
      </c>
      <c r="S381" t="s">
        <v>147</v>
      </c>
    </row>
    <row r="382" spans="1:19" x14ac:dyDescent="0.35">
      <c r="A382" t="s">
        <v>592</v>
      </c>
      <c r="B382" t="s">
        <v>161</v>
      </c>
      <c r="C382" t="s">
        <v>120</v>
      </c>
      <c r="D382">
        <v>5.0999999999999996</v>
      </c>
      <c r="E382">
        <v>26</v>
      </c>
      <c r="F382" t="s">
        <v>63</v>
      </c>
      <c r="G382">
        <v>2</v>
      </c>
      <c r="H382">
        <v>0.7</v>
      </c>
      <c r="I382" t="s">
        <v>109</v>
      </c>
      <c r="J382" t="s">
        <v>110</v>
      </c>
      <c r="K382" t="s">
        <v>164</v>
      </c>
      <c r="L382" t="s">
        <v>182</v>
      </c>
      <c r="M382" t="s">
        <v>134</v>
      </c>
      <c r="N382">
        <v>86</v>
      </c>
      <c r="O382" t="s">
        <v>114</v>
      </c>
      <c r="P382">
        <v>3</v>
      </c>
      <c r="Q382" t="s">
        <v>115</v>
      </c>
      <c r="R382" t="s">
        <v>168</v>
      </c>
      <c r="S382" t="s">
        <v>117</v>
      </c>
    </row>
    <row r="383" spans="1:19" x14ac:dyDescent="0.35">
      <c r="A383" t="s">
        <v>593</v>
      </c>
      <c r="B383" t="s">
        <v>138</v>
      </c>
      <c r="C383" t="s">
        <v>166</v>
      </c>
      <c r="D383">
        <v>123.3</v>
      </c>
      <c r="E383">
        <v>49</v>
      </c>
      <c r="F383" t="s">
        <v>60</v>
      </c>
      <c r="G383">
        <v>7</v>
      </c>
      <c r="H383">
        <v>1</v>
      </c>
      <c r="I383" t="s">
        <v>246</v>
      </c>
      <c r="J383" t="s">
        <v>250</v>
      </c>
      <c r="K383" t="s">
        <v>111</v>
      </c>
      <c r="L383" t="s">
        <v>146</v>
      </c>
      <c r="M383" t="s">
        <v>159</v>
      </c>
      <c r="N383">
        <v>339</v>
      </c>
      <c r="O383" t="s">
        <v>114</v>
      </c>
      <c r="P383">
        <v>1</v>
      </c>
      <c r="Q383" t="s">
        <v>115</v>
      </c>
      <c r="R383" t="s">
        <v>116</v>
      </c>
      <c r="S383" t="s">
        <v>169</v>
      </c>
    </row>
    <row r="384" spans="1:19" x14ac:dyDescent="0.35">
      <c r="A384" t="s">
        <v>594</v>
      </c>
      <c r="B384" t="s">
        <v>149</v>
      </c>
      <c r="C384" t="s">
        <v>108</v>
      </c>
      <c r="D384">
        <v>25.3</v>
      </c>
      <c r="E384">
        <v>26</v>
      </c>
      <c r="F384" t="s">
        <v>58</v>
      </c>
      <c r="G384">
        <v>2</v>
      </c>
      <c r="H384">
        <v>0.8</v>
      </c>
      <c r="I384" t="s">
        <v>156</v>
      </c>
      <c r="J384" t="s">
        <v>203</v>
      </c>
      <c r="K384" t="s">
        <v>123</v>
      </c>
      <c r="L384" t="s">
        <v>211</v>
      </c>
      <c r="M384" t="s">
        <v>113</v>
      </c>
      <c r="N384">
        <v>21</v>
      </c>
      <c r="O384" t="s">
        <v>126</v>
      </c>
      <c r="P384">
        <v>12</v>
      </c>
      <c r="Q384" t="s">
        <v>115</v>
      </c>
      <c r="R384" t="s">
        <v>116</v>
      </c>
      <c r="S384" t="s">
        <v>179</v>
      </c>
    </row>
    <row r="385" spans="1:19" x14ac:dyDescent="0.35">
      <c r="A385" t="s">
        <v>595</v>
      </c>
      <c r="B385" t="s">
        <v>176</v>
      </c>
      <c r="C385" t="s">
        <v>120</v>
      </c>
      <c r="D385">
        <v>4.8</v>
      </c>
      <c r="E385">
        <v>16</v>
      </c>
      <c r="F385" t="s">
        <v>56</v>
      </c>
      <c r="G385">
        <v>11</v>
      </c>
      <c r="H385">
        <v>1.2</v>
      </c>
      <c r="I385" t="s">
        <v>173</v>
      </c>
      <c r="J385" t="s">
        <v>216</v>
      </c>
      <c r="K385" t="s">
        <v>124</v>
      </c>
      <c r="L385" t="s">
        <v>228</v>
      </c>
      <c r="M385" t="s">
        <v>113</v>
      </c>
      <c r="N385">
        <v>15</v>
      </c>
      <c r="O385" t="s">
        <v>126</v>
      </c>
      <c r="P385">
        <v>13</v>
      </c>
      <c r="Q385" t="s">
        <v>115</v>
      </c>
      <c r="R385" t="s">
        <v>116</v>
      </c>
      <c r="S385" t="s">
        <v>193</v>
      </c>
    </row>
    <row r="386" spans="1:19" x14ac:dyDescent="0.35">
      <c r="A386" t="s">
        <v>596</v>
      </c>
      <c r="B386" t="s">
        <v>184</v>
      </c>
      <c r="C386" t="s">
        <v>120</v>
      </c>
      <c r="D386">
        <v>3.6</v>
      </c>
      <c r="E386">
        <v>11</v>
      </c>
      <c r="F386" t="s">
        <v>56</v>
      </c>
      <c r="G386">
        <v>8</v>
      </c>
      <c r="H386">
        <v>0.5</v>
      </c>
      <c r="I386" t="s">
        <v>156</v>
      </c>
      <c r="J386" t="s">
        <v>203</v>
      </c>
      <c r="K386" t="s">
        <v>192</v>
      </c>
      <c r="L386" t="s">
        <v>187</v>
      </c>
      <c r="M386" t="s">
        <v>125</v>
      </c>
      <c r="N386">
        <v>404</v>
      </c>
      <c r="O386" t="s">
        <v>114</v>
      </c>
      <c r="P386">
        <v>1</v>
      </c>
      <c r="Q386" t="s">
        <v>115</v>
      </c>
      <c r="R386" t="s">
        <v>168</v>
      </c>
      <c r="S386" t="s">
        <v>169</v>
      </c>
    </row>
    <row r="387" spans="1:19" x14ac:dyDescent="0.35">
      <c r="A387" t="s">
        <v>597</v>
      </c>
      <c r="B387" t="s">
        <v>107</v>
      </c>
      <c r="C387" t="s">
        <v>108</v>
      </c>
      <c r="D387">
        <v>48.7</v>
      </c>
      <c r="E387">
        <v>29</v>
      </c>
      <c r="F387" t="s">
        <v>58</v>
      </c>
      <c r="G387">
        <v>10</v>
      </c>
      <c r="H387">
        <v>0.8</v>
      </c>
      <c r="I387" t="s">
        <v>109</v>
      </c>
      <c r="J387" t="s">
        <v>181</v>
      </c>
      <c r="K387" t="s">
        <v>112</v>
      </c>
      <c r="L387" t="s">
        <v>171</v>
      </c>
      <c r="M387" t="s">
        <v>113</v>
      </c>
      <c r="N387">
        <v>17</v>
      </c>
      <c r="O387" t="s">
        <v>126</v>
      </c>
      <c r="P387">
        <v>14</v>
      </c>
      <c r="Q387" t="s">
        <v>115</v>
      </c>
      <c r="R387" t="s">
        <v>116</v>
      </c>
      <c r="S387" t="s">
        <v>193</v>
      </c>
    </row>
    <row r="388" spans="1:19" x14ac:dyDescent="0.35">
      <c r="A388" t="s">
        <v>598</v>
      </c>
      <c r="B388" t="s">
        <v>155</v>
      </c>
      <c r="C388" t="s">
        <v>108</v>
      </c>
      <c r="D388">
        <v>34.6</v>
      </c>
      <c r="E388">
        <v>33</v>
      </c>
      <c r="F388" t="s">
        <v>65</v>
      </c>
      <c r="G388">
        <v>8</v>
      </c>
      <c r="H388">
        <v>1.1000000000000001</v>
      </c>
      <c r="I388" t="s">
        <v>139</v>
      </c>
      <c r="J388" t="s">
        <v>140</v>
      </c>
      <c r="K388" t="s">
        <v>195</v>
      </c>
      <c r="L388" t="s">
        <v>112</v>
      </c>
      <c r="M388" t="s">
        <v>113</v>
      </c>
      <c r="N388">
        <v>17</v>
      </c>
      <c r="O388" t="s">
        <v>126</v>
      </c>
      <c r="P388">
        <v>11</v>
      </c>
      <c r="Q388" t="s">
        <v>115</v>
      </c>
      <c r="R388" t="s">
        <v>153</v>
      </c>
      <c r="S388" t="s">
        <v>193</v>
      </c>
    </row>
    <row r="389" spans="1:19" x14ac:dyDescent="0.35">
      <c r="A389" t="s">
        <v>599</v>
      </c>
      <c r="B389" t="s">
        <v>149</v>
      </c>
      <c r="C389" t="s">
        <v>166</v>
      </c>
      <c r="D389">
        <v>97.3</v>
      </c>
      <c r="E389">
        <v>41</v>
      </c>
      <c r="F389" t="s">
        <v>58</v>
      </c>
      <c r="G389">
        <v>12</v>
      </c>
      <c r="H389">
        <v>1</v>
      </c>
      <c r="I389" t="s">
        <v>185</v>
      </c>
      <c r="J389" t="s">
        <v>223</v>
      </c>
      <c r="K389" t="s">
        <v>152</v>
      </c>
      <c r="L389" t="s">
        <v>123</v>
      </c>
      <c r="M389" t="s">
        <v>125</v>
      </c>
      <c r="N389">
        <v>417</v>
      </c>
      <c r="O389" t="s">
        <v>114</v>
      </c>
      <c r="P389">
        <v>1</v>
      </c>
      <c r="Q389" t="s">
        <v>115</v>
      </c>
      <c r="R389" t="s">
        <v>65</v>
      </c>
      <c r="S389" t="s">
        <v>117</v>
      </c>
    </row>
    <row r="390" spans="1:19" x14ac:dyDescent="0.35">
      <c r="A390" t="s">
        <v>600</v>
      </c>
      <c r="B390" t="s">
        <v>218</v>
      </c>
      <c r="C390" t="s">
        <v>108</v>
      </c>
      <c r="D390">
        <v>33.299999999999997</v>
      </c>
      <c r="E390">
        <v>35</v>
      </c>
      <c r="F390" t="s">
        <v>63</v>
      </c>
      <c r="G390">
        <v>7</v>
      </c>
      <c r="H390">
        <v>1</v>
      </c>
      <c r="I390" t="s">
        <v>139</v>
      </c>
      <c r="J390" t="s">
        <v>140</v>
      </c>
      <c r="K390" t="s">
        <v>152</v>
      </c>
      <c r="L390" t="s">
        <v>141</v>
      </c>
      <c r="M390" t="s">
        <v>113</v>
      </c>
      <c r="N390">
        <v>16</v>
      </c>
      <c r="O390" t="s">
        <v>126</v>
      </c>
      <c r="P390">
        <v>14</v>
      </c>
      <c r="Q390" t="s">
        <v>115</v>
      </c>
      <c r="R390" t="s">
        <v>116</v>
      </c>
      <c r="S390" t="s">
        <v>127</v>
      </c>
    </row>
    <row r="391" spans="1:19" x14ac:dyDescent="0.35">
      <c r="A391" t="s">
        <v>601</v>
      </c>
      <c r="B391" t="s">
        <v>129</v>
      </c>
      <c r="C391" t="s">
        <v>108</v>
      </c>
      <c r="D391">
        <v>20.8</v>
      </c>
      <c r="E391">
        <v>19</v>
      </c>
      <c r="F391" t="s">
        <v>63</v>
      </c>
      <c r="G391">
        <v>10</v>
      </c>
      <c r="H391">
        <v>0.8</v>
      </c>
      <c r="I391" t="s">
        <v>205</v>
      </c>
      <c r="J391" t="s">
        <v>206</v>
      </c>
      <c r="K391" t="s">
        <v>133</v>
      </c>
      <c r="L391" t="s">
        <v>164</v>
      </c>
      <c r="M391" t="s">
        <v>113</v>
      </c>
      <c r="N391">
        <v>29</v>
      </c>
      <c r="O391" t="s">
        <v>126</v>
      </c>
      <c r="P391">
        <v>15</v>
      </c>
      <c r="Q391" t="s">
        <v>115</v>
      </c>
      <c r="R391" t="s">
        <v>153</v>
      </c>
      <c r="S391" t="s">
        <v>136</v>
      </c>
    </row>
    <row r="392" spans="1:19" x14ac:dyDescent="0.35">
      <c r="A392" t="s">
        <v>602</v>
      </c>
      <c r="B392" t="s">
        <v>189</v>
      </c>
      <c r="C392" t="s">
        <v>108</v>
      </c>
      <c r="D392">
        <v>32.5</v>
      </c>
      <c r="E392">
        <v>18</v>
      </c>
      <c r="F392" t="s">
        <v>63</v>
      </c>
      <c r="G392">
        <v>7</v>
      </c>
      <c r="H392">
        <v>0.8</v>
      </c>
      <c r="I392" t="s">
        <v>130</v>
      </c>
      <c r="J392" t="s">
        <v>131</v>
      </c>
      <c r="K392" t="s">
        <v>182</v>
      </c>
      <c r="L392" t="s">
        <v>190</v>
      </c>
      <c r="M392" t="s">
        <v>125</v>
      </c>
      <c r="N392">
        <v>283</v>
      </c>
      <c r="O392" t="s">
        <v>126</v>
      </c>
      <c r="P392">
        <v>0</v>
      </c>
      <c r="Q392" t="s">
        <v>115</v>
      </c>
      <c r="R392" t="s">
        <v>153</v>
      </c>
      <c r="S392" t="s">
        <v>193</v>
      </c>
    </row>
    <row r="393" spans="1:19" x14ac:dyDescent="0.35">
      <c r="A393" t="s">
        <v>603</v>
      </c>
      <c r="B393" t="s">
        <v>184</v>
      </c>
      <c r="C393" t="s">
        <v>120</v>
      </c>
      <c r="D393">
        <v>9.1999999999999993</v>
      </c>
      <c r="E393">
        <v>10</v>
      </c>
      <c r="F393" t="s">
        <v>63</v>
      </c>
      <c r="G393">
        <v>5</v>
      </c>
      <c r="H393">
        <v>0.7</v>
      </c>
      <c r="I393" t="s">
        <v>130</v>
      </c>
      <c r="J393" t="s">
        <v>208</v>
      </c>
      <c r="K393" t="s">
        <v>124</v>
      </c>
      <c r="L393" t="s">
        <v>192</v>
      </c>
      <c r="M393" t="s">
        <v>113</v>
      </c>
      <c r="N393">
        <v>16</v>
      </c>
      <c r="O393" t="s">
        <v>201</v>
      </c>
      <c r="P393">
        <v>13</v>
      </c>
      <c r="Q393" t="s">
        <v>115</v>
      </c>
      <c r="R393" t="s">
        <v>153</v>
      </c>
      <c r="S393" t="s">
        <v>136</v>
      </c>
    </row>
    <row r="394" spans="1:19" x14ac:dyDescent="0.35">
      <c r="A394" t="s">
        <v>604</v>
      </c>
      <c r="B394" t="s">
        <v>218</v>
      </c>
      <c r="C394" t="s">
        <v>120</v>
      </c>
      <c r="D394">
        <v>9.4</v>
      </c>
      <c r="E394">
        <v>24</v>
      </c>
      <c r="F394" t="s">
        <v>63</v>
      </c>
      <c r="G394">
        <v>7</v>
      </c>
      <c r="H394">
        <v>0.8</v>
      </c>
      <c r="I394" t="s">
        <v>109</v>
      </c>
      <c r="J394" t="s">
        <v>181</v>
      </c>
      <c r="K394" t="s">
        <v>277</v>
      </c>
      <c r="L394" t="s">
        <v>152</v>
      </c>
      <c r="M394" t="s">
        <v>134</v>
      </c>
      <c r="N394">
        <v>80</v>
      </c>
      <c r="O394" t="s">
        <v>126</v>
      </c>
      <c r="P394">
        <v>6</v>
      </c>
      <c r="Q394" t="s">
        <v>115</v>
      </c>
      <c r="R394" t="s">
        <v>168</v>
      </c>
      <c r="S394" t="s">
        <v>147</v>
      </c>
    </row>
    <row r="395" spans="1:19" x14ac:dyDescent="0.35">
      <c r="A395" t="s">
        <v>605</v>
      </c>
      <c r="B395" t="s">
        <v>138</v>
      </c>
      <c r="C395" t="s">
        <v>120</v>
      </c>
      <c r="D395">
        <v>5.4</v>
      </c>
      <c r="E395">
        <v>26</v>
      </c>
      <c r="F395" t="s">
        <v>60</v>
      </c>
      <c r="G395">
        <v>11</v>
      </c>
      <c r="H395">
        <v>1.1000000000000001</v>
      </c>
      <c r="I395" t="s">
        <v>144</v>
      </c>
      <c r="J395" t="s">
        <v>269</v>
      </c>
      <c r="K395" t="s">
        <v>146</v>
      </c>
      <c r="L395" t="s">
        <v>111</v>
      </c>
      <c r="M395" t="s">
        <v>113</v>
      </c>
      <c r="N395">
        <v>21</v>
      </c>
      <c r="O395" t="s">
        <v>126</v>
      </c>
      <c r="P395">
        <v>11</v>
      </c>
      <c r="Q395" t="s">
        <v>135</v>
      </c>
      <c r="R395" t="s">
        <v>116</v>
      </c>
      <c r="S395" t="s">
        <v>193</v>
      </c>
    </row>
    <row r="396" spans="1:19" x14ac:dyDescent="0.35">
      <c r="A396" t="s">
        <v>606</v>
      </c>
      <c r="B396" t="s">
        <v>176</v>
      </c>
      <c r="C396" t="s">
        <v>166</v>
      </c>
      <c r="D396">
        <v>145.1</v>
      </c>
      <c r="E396">
        <v>26</v>
      </c>
      <c r="F396" t="s">
        <v>56</v>
      </c>
      <c r="G396">
        <v>5</v>
      </c>
      <c r="H396">
        <v>0.9</v>
      </c>
      <c r="I396" t="s">
        <v>144</v>
      </c>
      <c r="J396" t="s">
        <v>145</v>
      </c>
      <c r="K396" t="s">
        <v>124</v>
      </c>
      <c r="L396" t="s">
        <v>178</v>
      </c>
      <c r="M396" t="s">
        <v>134</v>
      </c>
      <c r="N396">
        <v>83</v>
      </c>
      <c r="O396" t="s">
        <v>114</v>
      </c>
      <c r="P396">
        <v>6</v>
      </c>
      <c r="Q396" t="s">
        <v>115</v>
      </c>
      <c r="R396" t="s">
        <v>116</v>
      </c>
      <c r="S396" t="s">
        <v>117</v>
      </c>
    </row>
    <row r="397" spans="1:19" x14ac:dyDescent="0.35">
      <c r="A397" t="s">
        <v>607</v>
      </c>
      <c r="B397" t="s">
        <v>129</v>
      </c>
      <c r="C397" t="s">
        <v>120</v>
      </c>
      <c r="D397">
        <v>5.8</v>
      </c>
      <c r="E397">
        <v>23</v>
      </c>
      <c r="F397" t="s">
        <v>60</v>
      </c>
      <c r="G397">
        <v>8</v>
      </c>
      <c r="H397">
        <v>0.8</v>
      </c>
      <c r="I397" t="s">
        <v>205</v>
      </c>
      <c r="J397" t="s">
        <v>236</v>
      </c>
      <c r="K397" t="s">
        <v>132</v>
      </c>
      <c r="L397" t="s">
        <v>164</v>
      </c>
      <c r="M397" t="s">
        <v>134</v>
      </c>
      <c r="N397">
        <v>78</v>
      </c>
      <c r="O397" t="s">
        <v>126</v>
      </c>
      <c r="P397">
        <v>5</v>
      </c>
      <c r="Q397" t="s">
        <v>135</v>
      </c>
      <c r="R397" t="s">
        <v>168</v>
      </c>
      <c r="S397" t="s">
        <v>179</v>
      </c>
    </row>
    <row r="398" spans="1:19" x14ac:dyDescent="0.35">
      <c r="A398" t="s">
        <v>608</v>
      </c>
      <c r="B398" t="s">
        <v>184</v>
      </c>
      <c r="C398" t="s">
        <v>120</v>
      </c>
      <c r="D398">
        <v>1.7</v>
      </c>
      <c r="E398">
        <v>11</v>
      </c>
      <c r="F398" t="s">
        <v>66</v>
      </c>
      <c r="G398">
        <v>4</v>
      </c>
      <c r="H398">
        <v>0.9</v>
      </c>
      <c r="I398" t="s">
        <v>173</v>
      </c>
      <c r="J398" t="s">
        <v>216</v>
      </c>
      <c r="K398" t="s">
        <v>187</v>
      </c>
      <c r="L398" t="s">
        <v>124</v>
      </c>
      <c r="M398" t="s">
        <v>113</v>
      </c>
      <c r="N398">
        <v>11</v>
      </c>
      <c r="O398" t="s">
        <v>126</v>
      </c>
      <c r="P398">
        <v>8</v>
      </c>
      <c r="Q398" t="s">
        <v>115</v>
      </c>
      <c r="R398" t="s">
        <v>168</v>
      </c>
      <c r="S398" t="s">
        <v>136</v>
      </c>
    </row>
    <row r="399" spans="1:19" x14ac:dyDescent="0.35">
      <c r="A399" t="s">
        <v>609</v>
      </c>
      <c r="B399" t="s">
        <v>218</v>
      </c>
      <c r="C399" t="s">
        <v>120</v>
      </c>
      <c r="D399">
        <v>5.7</v>
      </c>
      <c r="E399">
        <v>20</v>
      </c>
      <c r="F399" t="s">
        <v>63</v>
      </c>
      <c r="G399">
        <v>12</v>
      </c>
      <c r="H399">
        <v>0.8</v>
      </c>
      <c r="I399" t="s">
        <v>185</v>
      </c>
      <c r="J399" t="s">
        <v>186</v>
      </c>
      <c r="K399" t="s">
        <v>141</v>
      </c>
      <c r="L399" t="s">
        <v>152</v>
      </c>
      <c r="M399" t="s">
        <v>113</v>
      </c>
      <c r="N399">
        <v>30</v>
      </c>
      <c r="O399" t="s">
        <v>126</v>
      </c>
      <c r="P399">
        <v>12</v>
      </c>
      <c r="Q399" t="s">
        <v>115</v>
      </c>
      <c r="R399" t="s">
        <v>116</v>
      </c>
      <c r="S399" t="s">
        <v>179</v>
      </c>
    </row>
    <row r="400" spans="1:19" x14ac:dyDescent="0.35">
      <c r="A400" t="s">
        <v>610</v>
      </c>
      <c r="B400" t="s">
        <v>155</v>
      </c>
      <c r="C400" t="s">
        <v>108</v>
      </c>
      <c r="D400">
        <v>14.7</v>
      </c>
      <c r="E400">
        <v>25</v>
      </c>
      <c r="F400" t="s">
        <v>58</v>
      </c>
      <c r="G400">
        <v>2</v>
      </c>
      <c r="H400">
        <v>0.9</v>
      </c>
      <c r="I400" t="s">
        <v>109</v>
      </c>
      <c r="J400" t="s">
        <v>181</v>
      </c>
      <c r="K400" t="s">
        <v>195</v>
      </c>
      <c r="L400" t="s">
        <v>112</v>
      </c>
      <c r="M400" t="s">
        <v>113</v>
      </c>
      <c r="N400">
        <v>12</v>
      </c>
      <c r="O400" t="s">
        <v>126</v>
      </c>
      <c r="P400">
        <v>15</v>
      </c>
      <c r="Q400" t="s">
        <v>115</v>
      </c>
      <c r="R400" t="s">
        <v>65</v>
      </c>
      <c r="S400" t="s">
        <v>179</v>
      </c>
    </row>
    <row r="401" spans="1:19" x14ac:dyDescent="0.35">
      <c r="A401" t="s">
        <v>611</v>
      </c>
      <c r="B401" t="s">
        <v>184</v>
      </c>
      <c r="C401" t="s">
        <v>120</v>
      </c>
      <c r="D401">
        <v>5.2</v>
      </c>
      <c r="E401">
        <v>6</v>
      </c>
      <c r="F401" t="s">
        <v>63</v>
      </c>
      <c r="G401">
        <v>9</v>
      </c>
      <c r="H401">
        <v>0.6</v>
      </c>
      <c r="I401" t="s">
        <v>162</v>
      </c>
      <c r="J401" t="s">
        <v>198</v>
      </c>
      <c r="K401" t="s">
        <v>192</v>
      </c>
      <c r="L401" t="s">
        <v>187</v>
      </c>
      <c r="M401" t="s">
        <v>134</v>
      </c>
      <c r="N401">
        <v>89</v>
      </c>
      <c r="O401" t="s">
        <v>126</v>
      </c>
      <c r="P401">
        <v>5</v>
      </c>
      <c r="Q401" t="s">
        <v>115</v>
      </c>
      <c r="R401" t="s">
        <v>116</v>
      </c>
      <c r="S401" t="s">
        <v>117</v>
      </c>
    </row>
    <row r="402" spans="1:19" x14ac:dyDescent="0.35">
      <c r="A402" t="s">
        <v>612</v>
      </c>
      <c r="B402" t="s">
        <v>138</v>
      </c>
      <c r="C402" t="s">
        <v>120</v>
      </c>
      <c r="D402">
        <v>6.4</v>
      </c>
      <c r="E402">
        <v>14</v>
      </c>
      <c r="F402" t="s">
        <v>66</v>
      </c>
      <c r="G402">
        <v>11</v>
      </c>
      <c r="H402">
        <v>0.8</v>
      </c>
      <c r="I402" t="s">
        <v>109</v>
      </c>
      <c r="J402" t="s">
        <v>181</v>
      </c>
      <c r="K402" t="s">
        <v>146</v>
      </c>
      <c r="L402" t="s">
        <v>141</v>
      </c>
      <c r="M402" t="s">
        <v>113</v>
      </c>
      <c r="N402">
        <v>27</v>
      </c>
      <c r="O402" t="s">
        <v>114</v>
      </c>
      <c r="P402">
        <v>10</v>
      </c>
      <c r="Q402" t="s">
        <v>115</v>
      </c>
      <c r="R402" t="s">
        <v>116</v>
      </c>
      <c r="S402" t="s">
        <v>179</v>
      </c>
    </row>
    <row r="403" spans="1:19" x14ac:dyDescent="0.35">
      <c r="A403" t="s">
        <v>613</v>
      </c>
      <c r="B403" t="s">
        <v>161</v>
      </c>
      <c r="C403" t="s">
        <v>120</v>
      </c>
      <c r="D403">
        <v>4.3</v>
      </c>
      <c r="E403">
        <v>18</v>
      </c>
      <c r="F403" t="s">
        <v>60</v>
      </c>
      <c r="G403">
        <v>7</v>
      </c>
      <c r="H403">
        <v>0.4</v>
      </c>
      <c r="I403" t="s">
        <v>156</v>
      </c>
      <c r="J403" t="s">
        <v>167</v>
      </c>
      <c r="K403" t="s">
        <v>182</v>
      </c>
      <c r="L403" t="s">
        <v>133</v>
      </c>
      <c r="M403" t="s">
        <v>134</v>
      </c>
      <c r="N403">
        <v>95</v>
      </c>
      <c r="O403" t="s">
        <v>114</v>
      </c>
      <c r="P403">
        <v>4</v>
      </c>
      <c r="Q403" t="s">
        <v>115</v>
      </c>
      <c r="R403" t="s">
        <v>168</v>
      </c>
      <c r="S403" t="s">
        <v>193</v>
      </c>
    </row>
    <row r="404" spans="1:19" x14ac:dyDescent="0.35">
      <c r="A404" t="s">
        <v>614</v>
      </c>
      <c r="B404" t="s">
        <v>155</v>
      </c>
      <c r="C404" t="s">
        <v>120</v>
      </c>
      <c r="D404">
        <v>7</v>
      </c>
      <c r="E404">
        <v>18</v>
      </c>
      <c r="F404" t="s">
        <v>60</v>
      </c>
      <c r="G404">
        <v>10</v>
      </c>
      <c r="H404">
        <v>1.4</v>
      </c>
      <c r="I404" t="s">
        <v>162</v>
      </c>
      <c r="J404" t="s">
        <v>198</v>
      </c>
      <c r="K404" t="s">
        <v>112</v>
      </c>
      <c r="L404" t="s">
        <v>195</v>
      </c>
      <c r="M404" t="s">
        <v>134</v>
      </c>
      <c r="N404">
        <v>62</v>
      </c>
      <c r="O404" t="s">
        <v>126</v>
      </c>
      <c r="P404">
        <v>6</v>
      </c>
      <c r="Q404" t="s">
        <v>115</v>
      </c>
      <c r="R404" t="s">
        <v>153</v>
      </c>
      <c r="S404" t="s">
        <v>136</v>
      </c>
    </row>
    <row r="405" spans="1:19" x14ac:dyDescent="0.35">
      <c r="A405" t="s">
        <v>615</v>
      </c>
      <c r="B405" t="s">
        <v>161</v>
      </c>
      <c r="C405" t="s">
        <v>108</v>
      </c>
      <c r="D405">
        <v>13.6</v>
      </c>
      <c r="E405">
        <v>25</v>
      </c>
      <c r="F405" t="s">
        <v>58</v>
      </c>
      <c r="G405">
        <v>3</v>
      </c>
      <c r="H405">
        <v>0.5</v>
      </c>
      <c r="I405" t="s">
        <v>150</v>
      </c>
      <c r="J405" t="s">
        <v>244</v>
      </c>
      <c r="K405" t="s">
        <v>164</v>
      </c>
      <c r="L405" t="s">
        <v>182</v>
      </c>
      <c r="M405" t="s">
        <v>113</v>
      </c>
      <c r="N405">
        <v>14</v>
      </c>
      <c r="O405" t="s">
        <v>126</v>
      </c>
      <c r="P405">
        <v>12</v>
      </c>
      <c r="Q405" t="s">
        <v>115</v>
      </c>
      <c r="R405" t="s">
        <v>116</v>
      </c>
      <c r="S405" t="s">
        <v>136</v>
      </c>
    </row>
    <row r="406" spans="1:19" x14ac:dyDescent="0.35">
      <c r="A406" t="s">
        <v>616</v>
      </c>
      <c r="B406" t="s">
        <v>107</v>
      </c>
      <c r="C406" t="s">
        <v>120</v>
      </c>
      <c r="D406">
        <v>1.7</v>
      </c>
      <c r="E406">
        <v>28</v>
      </c>
      <c r="F406" t="s">
        <v>63</v>
      </c>
      <c r="G406">
        <v>2</v>
      </c>
      <c r="H406">
        <v>1.1000000000000001</v>
      </c>
      <c r="I406" t="s">
        <v>150</v>
      </c>
      <c r="J406" t="s">
        <v>244</v>
      </c>
      <c r="K406" t="s">
        <v>171</v>
      </c>
      <c r="L406" t="s">
        <v>111</v>
      </c>
      <c r="M406" t="s">
        <v>159</v>
      </c>
      <c r="N406">
        <v>204</v>
      </c>
      <c r="O406" t="s">
        <v>126</v>
      </c>
      <c r="P406">
        <v>1</v>
      </c>
      <c r="Q406" t="s">
        <v>115</v>
      </c>
      <c r="R406" t="s">
        <v>153</v>
      </c>
      <c r="S406" t="s">
        <v>136</v>
      </c>
    </row>
    <row r="407" spans="1:19" x14ac:dyDescent="0.35">
      <c r="A407" t="s">
        <v>617</v>
      </c>
      <c r="B407" t="s">
        <v>176</v>
      </c>
      <c r="C407" t="s">
        <v>120</v>
      </c>
      <c r="D407">
        <v>8.8000000000000007</v>
      </c>
      <c r="E407">
        <v>13</v>
      </c>
      <c r="F407" t="s">
        <v>66</v>
      </c>
      <c r="G407">
        <v>4</v>
      </c>
      <c r="H407">
        <v>0.9</v>
      </c>
      <c r="I407" t="s">
        <v>246</v>
      </c>
      <c r="J407" t="s">
        <v>250</v>
      </c>
      <c r="K407" t="s">
        <v>124</v>
      </c>
      <c r="L407" t="s">
        <v>178</v>
      </c>
      <c r="M407" t="s">
        <v>159</v>
      </c>
      <c r="N407">
        <v>291</v>
      </c>
      <c r="O407" t="s">
        <v>126</v>
      </c>
      <c r="P407">
        <v>2</v>
      </c>
      <c r="Q407" t="s">
        <v>135</v>
      </c>
      <c r="R407" t="s">
        <v>168</v>
      </c>
      <c r="S407" t="s">
        <v>169</v>
      </c>
    </row>
    <row r="408" spans="1:19" x14ac:dyDescent="0.35">
      <c r="A408" t="s">
        <v>618</v>
      </c>
      <c r="B408" t="s">
        <v>176</v>
      </c>
      <c r="C408" t="s">
        <v>120</v>
      </c>
      <c r="D408">
        <v>8.3000000000000007</v>
      </c>
      <c r="E408">
        <v>12</v>
      </c>
      <c r="F408" t="s">
        <v>58</v>
      </c>
      <c r="G408">
        <v>10</v>
      </c>
      <c r="H408">
        <v>1.2</v>
      </c>
      <c r="I408" t="s">
        <v>185</v>
      </c>
      <c r="J408" t="s">
        <v>223</v>
      </c>
      <c r="K408" t="s">
        <v>178</v>
      </c>
      <c r="L408" t="s">
        <v>124</v>
      </c>
      <c r="M408" t="s">
        <v>113</v>
      </c>
      <c r="N408">
        <v>23</v>
      </c>
      <c r="O408" t="s">
        <v>126</v>
      </c>
      <c r="P408">
        <v>11</v>
      </c>
      <c r="Q408" t="s">
        <v>115</v>
      </c>
      <c r="R408" t="s">
        <v>168</v>
      </c>
      <c r="S408" t="s">
        <v>169</v>
      </c>
    </row>
    <row r="409" spans="1:19" x14ac:dyDescent="0.35">
      <c r="A409" t="s">
        <v>619</v>
      </c>
      <c r="B409" t="s">
        <v>197</v>
      </c>
      <c r="C409" t="s">
        <v>120</v>
      </c>
      <c r="D409">
        <v>1.1000000000000001</v>
      </c>
      <c r="E409">
        <v>9</v>
      </c>
      <c r="F409" t="s">
        <v>60</v>
      </c>
      <c r="G409">
        <v>2</v>
      </c>
      <c r="H409">
        <v>0.7</v>
      </c>
      <c r="I409" t="s">
        <v>162</v>
      </c>
      <c r="J409" t="s">
        <v>413</v>
      </c>
      <c r="K409" t="s">
        <v>199</v>
      </c>
      <c r="L409" t="s">
        <v>178</v>
      </c>
      <c r="M409" t="s">
        <v>159</v>
      </c>
      <c r="N409">
        <v>314</v>
      </c>
      <c r="O409" t="s">
        <v>126</v>
      </c>
      <c r="P409">
        <v>1</v>
      </c>
      <c r="Q409" t="s">
        <v>115</v>
      </c>
      <c r="R409" t="s">
        <v>116</v>
      </c>
      <c r="S409" t="s">
        <v>117</v>
      </c>
    </row>
    <row r="410" spans="1:19" x14ac:dyDescent="0.35">
      <c r="A410" t="s">
        <v>620</v>
      </c>
      <c r="B410" t="s">
        <v>129</v>
      </c>
      <c r="C410" t="s">
        <v>108</v>
      </c>
      <c r="D410">
        <v>28.4</v>
      </c>
      <c r="E410">
        <v>43</v>
      </c>
      <c r="F410" t="s">
        <v>58</v>
      </c>
      <c r="G410">
        <v>6</v>
      </c>
      <c r="H410">
        <v>1</v>
      </c>
      <c r="I410" t="s">
        <v>130</v>
      </c>
      <c r="J410" t="s">
        <v>208</v>
      </c>
      <c r="K410" t="s">
        <v>164</v>
      </c>
      <c r="L410" t="s">
        <v>132</v>
      </c>
      <c r="M410" t="s">
        <v>113</v>
      </c>
      <c r="N410">
        <v>6</v>
      </c>
      <c r="O410" t="s">
        <v>126</v>
      </c>
      <c r="P410">
        <v>15</v>
      </c>
      <c r="Q410" t="s">
        <v>115</v>
      </c>
      <c r="R410" t="s">
        <v>168</v>
      </c>
      <c r="S410" t="s">
        <v>142</v>
      </c>
    </row>
    <row r="411" spans="1:19" x14ac:dyDescent="0.35">
      <c r="A411" t="s">
        <v>621</v>
      </c>
      <c r="B411" t="s">
        <v>119</v>
      </c>
      <c r="C411" t="s">
        <v>166</v>
      </c>
      <c r="D411">
        <v>155.1</v>
      </c>
      <c r="E411">
        <v>35</v>
      </c>
      <c r="F411" t="s">
        <v>65</v>
      </c>
      <c r="G411">
        <v>11</v>
      </c>
      <c r="H411">
        <v>0.8</v>
      </c>
      <c r="I411" t="s">
        <v>156</v>
      </c>
      <c r="J411" t="s">
        <v>203</v>
      </c>
      <c r="K411" t="s">
        <v>123</v>
      </c>
      <c r="L411" t="s">
        <v>124</v>
      </c>
      <c r="M411" t="s">
        <v>134</v>
      </c>
      <c r="N411">
        <v>82</v>
      </c>
      <c r="O411" t="s">
        <v>126</v>
      </c>
      <c r="P411">
        <v>6</v>
      </c>
      <c r="Q411" t="s">
        <v>135</v>
      </c>
      <c r="R411" t="s">
        <v>168</v>
      </c>
      <c r="S411" t="s">
        <v>193</v>
      </c>
    </row>
    <row r="412" spans="1:19" x14ac:dyDescent="0.35">
      <c r="A412" t="s">
        <v>622</v>
      </c>
      <c r="B412" t="s">
        <v>176</v>
      </c>
      <c r="C412" t="s">
        <v>120</v>
      </c>
      <c r="D412">
        <v>6.4</v>
      </c>
      <c r="E412">
        <v>7</v>
      </c>
      <c r="F412" t="s">
        <v>66</v>
      </c>
      <c r="G412">
        <v>5</v>
      </c>
      <c r="H412">
        <v>1</v>
      </c>
      <c r="I412" t="s">
        <v>139</v>
      </c>
      <c r="J412" t="s">
        <v>239</v>
      </c>
      <c r="K412" t="s">
        <v>124</v>
      </c>
      <c r="L412" t="s">
        <v>178</v>
      </c>
      <c r="M412" t="s">
        <v>113</v>
      </c>
      <c r="N412">
        <v>8</v>
      </c>
      <c r="O412" t="s">
        <v>126</v>
      </c>
      <c r="P412">
        <v>13</v>
      </c>
      <c r="Q412" t="s">
        <v>115</v>
      </c>
      <c r="R412" t="s">
        <v>153</v>
      </c>
      <c r="S412" t="s">
        <v>179</v>
      </c>
    </row>
    <row r="413" spans="1:19" x14ac:dyDescent="0.35">
      <c r="A413" t="s">
        <v>623</v>
      </c>
      <c r="B413" t="s">
        <v>129</v>
      </c>
      <c r="C413" t="s">
        <v>120</v>
      </c>
      <c r="D413">
        <v>2.2000000000000002</v>
      </c>
      <c r="E413">
        <v>16</v>
      </c>
      <c r="F413" t="s">
        <v>58</v>
      </c>
      <c r="G413">
        <v>5</v>
      </c>
      <c r="H413">
        <v>0.7</v>
      </c>
      <c r="I413" t="s">
        <v>139</v>
      </c>
      <c r="J413" t="s">
        <v>140</v>
      </c>
      <c r="K413" t="s">
        <v>164</v>
      </c>
      <c r="L413" t="s">
        <v>133</v>
      </c>
      <c r="M413" t="s">
        <v>159</v>
      </c>
      <c r="N413">
        <v>273</v>
      </c>
      <c r="O413" t="s">
        <v>114</v>
      </c>
      <c r="P413">
        <v>2</v>
      </c>
      <c r="Q413" t="s">
        <v>115</v>
      </c>
      <c r="R413" t="s">
        <v>153</v>
      </c>
      <c r="S413" t="s">
        <v>179</v>
      </c>
    </row>
    <row r="414" spans="1:19" x14ac:dyDescent="0.35">
      <c r="A414" t="s">
        <v>624</v>
      </c>
      <c r="B414" t="s">
        <v>176</v>
      </c>
      <c r="C414" t="s">
        <v>120</v>
      </c>
      <c r="D414">
        <v>3.3</v>
      </c>
      <c r="E414">
        <v>11</v>
      </c>
      <c r="F414" t="s">
        <v>65</v>
      </c>
      <c r="G414">
        <v>2</v>
      </c>
      <c r="H414">
        <v>0.9</v>
      </c>
      <c r="I414" t="s">
        <v>121</v>
      </c>
      <c r="J414" t="s">
        <v>255</v>
      </c>
      <c r="K414" t="s">
        <v>124</v>
      </c>
      <c r="L414" t="s">
        <v>228</v>
      </c>
      <c r="M414" t="s">
        <v>113</v>
      </c>
      <c r="N414">
        <v>21</v>
      </c>
      <c r="O414" t="s">
        <v>201</v>
      </c>
      <c r="P414">
        <v>14</v>
      </c>
      <c r="Q414" t="s">
        <v>135</v>
      </c>
      <c r="R414" t="s">
        <v>168</v>
      </c>
      <c r="S414" t="s">
        <v>136</v>
      </c>
    </row>
    <row r="415" spans="1:19" x14ac:dyDescent="0.35">
      <c r="A415" t="s">
        <v>625</v>
      </c>
      <c r="B415" t="s">
        <v>176</v>
      </c>
      <c r="C415" t="s">
        <v>120</v>
      </c>
      <c r="D415">
        <v>8.3000000000000007</v>
      </c>
      <c r="E415">
        <v>18</v>
      </c>
      <c r="F415" t="s">
        <v>66</v>
      </c>
      <c r="G415">
        <v>10</v>
      </c>
      <c r="H415">
        <v>0.5</v>
      </c>
      <c r="I415" t="s">
        <v>162</v>
      </c>
      <c r="J415" t="s">
        <v>413</v>
      </c>
      <c r="K415" t="s">
        <v>178</v>
      </c>
      <c r="L415" t="s">
        <v>124</v>
      </c>
      <c r="M415" t="s">
        <v>159</v>
      </c>
      <c r="N415">
        <v>353</v>
      </c>
      <c r="O415" t="s">
        <v>201</v>
      </c>
      <c r="P415">
        <v>2</v>
      </c>
      <c r="Q415" t="s">
        <v>135</v>
      </c>
      <c r="R415" t="s">
        <v>153</v>
      </c>
      <c r="S415" t="s">
        <v>136</v>
      </c>
    </row>
    <row r="416" spans="1:19" x14ac:dyDescent="0.35">
      <c r="A416" t="s">
        <v>626</v>
      </c>
      <c r="B416" t="s">
        <v>129</v>
      </c>
      <c r="C416" t="s">
        <v>120</v>
      </c>
      <c r="D416">
        <v>2.1</v>
      </c>
      <c r="E416">
        <v>29</v>
      </c>
      <c r="F416" t="s">
        <v>60</v>
      </c>
      <c r="G416">
        <v>9</v>
      </c>
      <c r="H416">
        <v>0.7</v>
      </c>
      <c r="I416" t="s">
        <v>162</v>
      </c>
      <c r="J416" t="s">
        <v>198</v>
      </c>
      <c r="K416" t="s">
        <v>132</v>
      </c>
      <c r="L416" t="s">
        <v>133</v>
      </c>
      <c r="M416" t="s">
        <v>113</v>
      </c>
      <c r="N416">
        <v>15</v>
      </c>
      <c r="O416" t="s">
        <v>126</v>
      </c>
      <c r="P416">
        <v>12</v>
      </c>
      <c r="Q416" t="s">
        <v>115</v>
      </c>
      <c r="R416" t="s">
        <v>168</v>
      </c>
      <c r="S416" t="s">
        <v>136</v>
      </c>
    </row>
    <row r="417" spans="1:19" x14ac:dyDescent="0.35">
      <c r="A417" t="s">
        <v>627</v>
      </c>
      <c r="B417" t="s">
        <v>119</v>
      </c>
      <c r="C417" t="s">
        <v>120</v>
      </c>
      <c r="D417">
        <v>4</v>
      </c>
      <c r="E417">
        <v>26</v>
      </c>
      <c r="F417" t="s">
        <v>63</v>
      </c>
      <c r="G417">
        <v>5</v>
      </c>
      <c r="H417">
        <v>1</v>
      </c>
      <c r="I417" t="s">
        <v>139</v>
      </c>
      <c r="J417" t="s">
        <v>140</v>
      </c>
      <c r="K417" t="s">
        <v>123</v>
      </c>
      <c r="L417" t="s">
        <v>141</v>
      </c>
      <c r="M417" t="s">
        <v>159</v>
      </c>
      <c r="N417">
        <v>294</v>
      </c>
      <c r="O417" t="s">
        <v>114</v>
      </c>
      <c r="P417">
        <v>1</v>
      </c>
      <c r="Q417" t="s">
        <v>115</v>
      </c>
      <c r="R417" t="s">
        <v>116</v>
      </c>
      <c r="S417" t="s">
        <v>147</v>
      </c>
    </row>
    <row r="418" spans="1:19" x14ac:dyDescent="0.35">
      <c r="A418" t="s">
        <v>628</v>
      </c>
      <c r="B418" t="s">
        <v>138</v>
      </c>
      <c r="C418" t="s">
        <v>120</v>
      </c>
      <c r="D418">
        <v>4.3</v>
      </c>
      <c r="E418">
        <v>11</v>
      </c>
      <c r="F418" t="s">
        <v>66</v>
      </c>
      <c r="G418">
        <v>10</v>
      </c>
      <c r="H418">
        <v>1</v>
      </c>
      <c r="I418" t="s">
        <v>173</v>
      </c>
      <c r="J418" t="s">
        <v>174</v>
      </c>
      <c r="K418" t="s">
        <v>146</v>
      </c>
      <c r="L418" t="s">
        <v>141</v>
      </c>
      <c r="M418" t="s">
        <v>113</v>
      </c>
      <c r="N418">
        <v>13</v>
      </c>
      <c r="O418" t="s">
        <v>126</v>
      </c>
      <c r="P418">
        <v>11</v>
      </c>
      <c r="Q418" t="s">
        <v>115</v>
      </c>
      <c r="R418" t="s">
        <v>153</v>
      </c>
      <c r="S418" t="s">
        <v>169</v>
      </c>
    </row>
    <row r="419" spans="1:19" x14ac:dyDescent="0.35">
      <c r="A419" t="s">
        <v>629</v>
      </c>
      <c r="B419" t="s">
        <v>138</v>
      </c>
      <c r="C419" t="s">
        <v>120</v>
      </c>
      <c r="D419">
        <v>5.3</v>
      </c>
      <c r="E419">
        <v>10</v>
      </c>
      <c r="F419" t="s">
        <v>60</v>
      </c>
      <c r="G419">
        <v>10</v>
      </c>
      <c r="H419">
        <v>0.5</v>
      </c>
      <c r="I419" t="s">
        <v>185</v>
      </c>
      <c r="J419" t="s">
        <v>223</v>
      </c>
      <c r="K419" t="s">
        <v>111</v>
      </c>
      <c r="L419" t="s">
        <v>141</v>
      </c>
      <c r="M419" t="s">
        <v>113</v>
      </c>
      <c r="N419">
        <v>8</v>
      </c>
      <c r="O419" t="s">
        <v>114</v>
      </c>
      <c r="P419">
        <v>10</v>
      </c>
      <c r="Q419" t="s">
        <v>115</v>
      </c>
      <c r="R419" t="s">
        <v>65</v>
      </c>
      <c r="S419" t="s">
        <v>127</v>
      </c>
    </row>
    <row r="420" spans="1:19" x14ac:dyDescent="0.35">
      <c r="A420" t="s">
        <v>630</v>
      </c>
      <c r="B420" t="s">
        <v>149</v>
      </c>
      <c r="C420" t="s">
        <v>120</v>
      </c>
      <c r="D420">
        <v>5.0999999999999996</v>
      </c>
      <c r="E420">
        <v>28</v>
      </c>
      <c r="F420" t="s">
        <v>66</v>
      </c>
      <c r="G420">
        <v>2</v>
      </c>
      <c r="H420">
        <v>0.3</v>
      </c>
      <c r="I420" t="s">
        <v>162</v>
      </c>
      <c r="J420" t="s">
        <v>177</v>
      </c>
      <c r="K420" t="s">
        <v>123</v>
      </c>
      <c r="L420" t="s">
        <v>211</v>
      </c>
      <c r="M420" t="s">
        <v>113</v>
      </c>
      <c r="N420">
        <v>7</v>
      </c>
      <c r="O420" t="s">
        <v>114</v>
      </c>
      <c r="P420">
        <v>10</v>
      </c>
      <c r="Q420" t="s">
        <v>115</v>
      </c>
      <c r="R420" t="s">
        <v>116</v>
      </c>
      <c r="S420" t="s">
        <v>179</v>
      </c>
    </row>
    <row r="421" spans="1:19" x14ac:dyDescent="0.35">
      <c r="A421" t="s">
        <v>631</v>
      </c>
      <c r="B421" t="s">
        <v>189</v>
      </c>
      <c r="C421" t="s">
        <v>120</v>
      </c>
      <c r="D421">
        <v>1.5</v>
      </c>
      <c r="E421">
        <v>28</v>
      </c>
      <c r="F421" t="s">
        <v>58</v>
      </c>
      <c r="G421">
        <v>9</v>
      </c>
      <c r="H421">
        <v>0.7</v>
      </c>
      <c r="I421" t="s">
        <v>246</v>
      </c>
      <c r="J421" t="s">
        <v>264</v>
      </c>
      <c r="K421" t="s">
        <v>209</v>
      </c>
      <c r="L421" t="s">
        <v>190</v>
      </c>
      <c r="M421" t="s">
        <v>134</v>
      </c>
      <c r="N421">
        <v>89</v>
      </c>
      <c r="O421" t="s">
        <v>114</v>
      </c>
      <c r="P421">
        <v>6</v>
      </c>
      <c r="Q421" t="s">
        <v>115</v>
      </c>
      <c r="R421" t="s">
        <v>153</v>
      </c>
      <c r="S421" t="s">
        <v>127</v>
      </c>
    </row>
    <row r="422" spans="1:19" x14ac:dyDescent="0.35">
      <c r="A422" t="s">
        <v>632</v>
      </c>
      <c r="B422" t="s">
        <v>161</v>
      </c>
      <c r="C422" t="s">
        <v>120</v>
      </c>
      <c r="D422">
        <v>3.5</v>
      </c>
      <c r="E422">
        <v>23</v>
      </c>
      <c r="F422" t="s">
        <v>58</v>
      </c>
      <c r="G422">
        <v>11</v>
      </c>
      <c r="H422">
        <v>0.1</v>
      </c>
      <c r="I422" t="s">
        <v>205</v>
      </c>
      <c r="J422" t="s">
        <v>206</v>
      </c>
      <c r="K422" t="s">
        <v>133</v>
      </c>
      <c r="L422" t="s">
        <v>182</v>
      </c>
      <c r="M422" t="s">
        <v>134</v>
      </c>
      <c r="N422">
        <v>81</v>
      </c>
      <c r="O422" t="s">
        <v>114</v>
      </c>
      <c r="P422">
        <v>3</v>
      </c>
      <c r="Q422" t="s">
        <v>135</v>
      </c>
      <c r="R422" t="s">
        <v>168</v>
      </c>
      <c r="S422" t="s">
        <v>127</v>
      </c>
    </row>
    <row r="423" spans="1:19" x14ac:dyDescent="0.35">
      <c r="A423" t="s">
        <v>633</v>
      </c>
      <c r="B423" t="s">
        <v>176</v>
      </c>
      <c r="C423" t="s">
        <v>108</v>
      </c>
      <c r="D423">
        <v>15.5</v>
      </c>
      <c r="E423">
        <v>41</v>
      </c>
      <c r="F423" t="s">
        <v>66</v>
      </c>
      <c r="G423">
        <v>2</v>
      </c>
      <c r="H423">
        <v>0.7</v>
      </c>
      <c r="I423" t="s">
        <v>150</v>
      </c>
      <c r="J423" t="s">
        <v>244</v>
      </c>
      <c r="K423" t="s">
        <v>124</v>
      </c>
      <c r="L423" t="s">
        <v>178</v>
      </c>
      <c r="M423" t="s">
        <v>113</v>
      </c>
      <c r="N423">
        <v>16</v>
      </c>
      <c r="O423" t="s">
        <v>126</v>
      </c>
      <c r="P423">
        <v>11</v>
      </c>
      <c r="Q423" t="s">
        <v>115</v>
      </c>
      <c r="R423" t="s">
        <v>168</v>
      </c>
      <c r="S423" t="s">
        <v>193</v>
      </c>
    </row>
    <row r="424" spans="1:19" x14ac:dyDescent="0.35">
      <c r="A424" t="s">
        <v>634</v>
      </c>
      <c r="B424" t="s">
        <v>176</v>
      </c>
      <c r="C424" t="s">
        <v>120</v>
      </c>
      <c r="D424">
        <v>4.5999999999999996</v>
      </c>
      <c r="E424">
        <v>29</v>
      </c>
      <c r="F424" t="s">
        <v>63</v>
      </c>
      <c r="G424">
        <v>8</v>
      </c>
      <c r="H424">
        <v>0.7</v>
      </c>
      <c r="I424" t="s">
        <v>144</v>
      </c>
      <c r="J424" t="s">
        <v>145</v>
      </c>
      <c r="K424" t="s">
        <v>228</v>
      </c>
      <c r="L424" t="s">
        <v>124</v>
      </c>
      <c r="M424" t="s">
        <v>113</v>
      </c>
      <c r="N424">
        <v>18</v>
      </c>
      <c r="O424" t="s">
        <v>126</v>
      </c>
      <c r="P424">
        <v>15</v>
      </c>
      <c r="Q424" t="s">
        <v>115</v>
      </c>
      <c r="R424" t="s">
        <v>168</v>
      </c>
      <c r="S424" t="s">
        <v>147</v>
      </c>
    </row>
    <row r="425" spans="1:19" x14ac:dyDescent="0.35">
      <c r="A425" t="s">
        <v>635</v>
      </c>
      <c r="B425" t="s">
        <v>161</v>
      </c>
      <c r="C425" t="s">
        <v>120</v>
      </c>
      <c r="D425">
        <v>2.2000000000000002</v>
      </c>
      <c r="E425">
        <v>22</v>
      </c>
      <c r="F425" t="s">
        <v>65</v>
      </c>
      <c r="G425">
        <v>10</v>
      </c>
      <c r="H425">
        <v>1.2</v>
      </c>
      <c r="I425" t="s">
        <v>130</v>
      </c>
      <c r="J425" t="s">
        <v>208</v>
      </c>
      <c r="K425" t="s">
        <v>182</v>
      </c>
      <c r="L425" t="s">
        <v>164</v>
      </c>
      <c r="M425" t="s">
        <v>113</v>
      </c>
      <c r="N425">
        <v>27</v>
      </c>
      <c r="O425" t="s">
        <v>126</v>
      </c>
      <c r="P425">
        <v>12</v>
      </c>
      <c r="Q425" t="s">
        <v>115</v>
      </c>
      <c r="R425" t="s">
        <v>116</v>
      </c>
      <c r="S425" t="s">
        <v>127</v>
      </c>
    </row>
    <row r="426" spans="1:19" x14ac:dyDescent="0.35">
      <c r="A426" t="s">
        <v>636</v>
      </c>
      <c r="B426" t="s">
        <v>176</v>
      </c>
      <c r="C426" t="s">
        <v>120</v>
      </c>
      <c r="D426">
        <v>1.8</v>
      </c>
      <c r="E426">
        <v>28</v>
      </c>
      <c r="F426" t="s">
        <v>56</v>
      </c>
      <c r="G426">
        <v>11</v>
      </c>
      <c r="H426">
        <v>1.2</v>
      </c>
      <c r="I426" t="s">
        <v>150</v>
      </c>
      <c r="J426" t="s">
        <v>151</v>
      </c>
      <c r="K426" t="s">
        <v>228</v>
      </c>
      <c r="L426" t="s">
        <v>178</v>
      </c>
      <c r="M426" t="s">
        <v>113</v>
      </c>
      <c r="N426">
        <v>21</v>
      </c>
      <c r="O426" t="s">
        <v>114</v>
      </c>
      <c r="P426">
        <v>12</v>
      </c>
      <c r="Q426" t="s">
        <v>115</v>
      </c>
      <c r="R426" t="s">
        <v>116</v>
      </c>
      <c r="S426" t="s">
        <v>147</v>
      </c>
    </row>
    <row r="427" spans="1:19" x14ac:dyDescent="0.35">
      <c r="A427" t="s">
        <v>637</v>
      </c>
      <c r="B427" t="s">
        <v>107</v>
      </c>
      <c r="C427" t="s">
        <v>120</v>
      </c>
      <c r="D427">
        <v>2.9</v>
      </c>
      <c r="E427">
        <v>11</v>
      </c>
      <c r="F427" t="s">
        <v>66</v>
      </c>
      <c r="G427">
        <v>8</v>
      </c>
      <c r="H427">
        <v>0.3</v>
      </c>
      <c r="I427" t="s">
        <v>144</v>
      </c>
      <c r="J427" t="s">
        <v>145</v>
      </c>
      <c r="K427" t="s">
        <v>111</v>
      </c>
      <c r="L427" t="s">
        <v>112</v>
      </c>
      <c r="M427" t="s">
        <v>159</v>
      </c>
      <c r="N427">
        <v>158</v>
      </c>
      <c r="O427" t="s">
        <v>126</v>
      </c>
      <c r="P427">
        <v>1</v>
      </c>
      <c r="Q427" t="s">
        <v>115</v>
      </c>
      <c r="R427" t="s">
        <v>153</v>
      </c>
      <c r="S427" t="s">
        <v>179</v>
      </c>
    </row>
    <row r="428" spans="1:19" x14ac:dyDescent="0.35">
      <c r="A428" t="s">
        <v>638</v>
      </c>
      <c r="B428" t="s">
        <v>149</v>
      </c>
      <c r="C428" t="s">
        <v>108</v>
      </c>
      <c r="D428">
        <v>34.200000000000003</v>
      </c>
      <c r="E428">
        <v>16</v>
      </c>
      <c r="F428" t="s">
        <v>65</v>
      </c>
      <c r="G428">
        <v>9</v>
      </c>
      <c r="H428">
        <v>1</v>
      </c>
      <c r="I428" t="s">
        <v>139</v>
      </c>
      <c r="J428" t="s">
        <v>239</v>
      </c>
      <c r="K428" t="s">
        <v>152</v>
      </c>
      <c r="L428" t="s">
        <v>123</v>
      </c>
      <c r="M428" t="s">
        <v>134</v>
      </c>
      <c r="N428">
        <v>70</v>
      </c>
      <c r="O428" t="s">
        <v>201</v>
      </c>
      <c r="P428">
        <v>6</v>
      </c>
      <c r="Q428" t="s">
        <v>214</v>
      </c>
      <c r="R428" t="s">
        <v>116</v>
      </c>
      <c r="S428" t="s">
        <v>193</v>
      </c>
    </row>
    <row r="429" spans="1:19" x14ac:dyDescent="0.35">
      <c r="A429" t="s">
        <v>639</v>
      </c>
      <c r="B429" t="s">
        <v>189</v>
      </c>
      <c r="C429" t="s">
        <v>120</v>
      </c>
      <c r="D429">
        <v>6.8</v>
      </c>
      <c r="E429">
        <v>9</v>
      </c>
      <c r="F429" t="s">
        <v>58</v>
      </c>
      <c r="G429">
        <v>2</v>
      </c>
      <c r="H429">
        <v>0.5</v>
      </c>
      <c r="I429" t="s">
        <v>185</v>
      </c>
      <c r="J429" t="s">
        <v>223</v>
      </c>
      <c r="K429" t="s">
        <v>190</v>
      </c>
      <c r="L429" t="s">
        <v>182</v>
      </c>
      <c r="M429" t="s">
        <v>134</v>
      </c>
      <c r="N429">
        <v>67</v>
      </c>
      <c r="O429" t="s">
        <v>126</v>
      </c>
      <c r="P429">
        <v>3</v>
      </c>
      <c r="Q429" t="s">
        <v>214</v>
      </c>
      <c r="R429" t="s">
        <v>168</v>
      </c>
      <c r="S429" t="s">
        <v>179</v>
      </c>
    </row>
    <row r="430" spans="1:19" x14ac:dyDescent="0.35">
      <c r="A430" t="s">
        <v>640</v>
      </c>
      <c r="B430" t="s">
        <v>176</v>
      </c>
      <c r="C430" t="s">
        <v>120</v>
      </c>
      <c r="D430">
        <v>6</v>
      </c>
      <c r="E430">
        <v>15</v>
      </c>
      <c r="F430" t="s">
        <v>58</v>
      </c>
      <c r="G430">
        <v>9</v>
      </c>
      <c r="H430">
        <v>0.1</v>
      </c>
      <c r="I430" t="s">
        <v>109</v>
      </c>
      <c r="J430" t="s">
        <v>181</v>
      </c>
      <c r="K430" t="s">
        <v>228</v>
      </c>
      <c r="L430" t="s">
        <v>178</v>
      </c>
      <c r="M430" t="s">
        <v>113</v>
      </c>
      <c r="N430">
        <v>14</v>
      </c>
      <c r="O430" t="s">
        <v>126</v>
      </c>
      <c r="P430">
        <v>10</v>
      </c>
      <c r="Q430" t="s">
        <v>115</v>
      </c>
      <c r="R430" t="s">
        <v>116</v>
      </c>
      <c r="S430" t="s">
        <v>179</v>
      </c>
    </row>
    <row r="431" spans="1:19" x14ac:dyDescent="0.35">
      <c r="A431" t="s">
        <v>641</v>
      </c>
      <c r="B431" t="s">
        <v>119</v>
      </c>
      <c r="C431" t="s">
        <v>108</v>
      </c>
      <c r="D431">
        <v>12.3</v>
      </c>
      <c r="E431">
        <v>41</v>
      </c>
      <c r="F431" t="s">
        <v>58</v>
      </c>
      <c r="G431">
        <v>13</v>
      </c>
      <c r="H431">
        <v>0.6</v>
      </c>
      <c r="I431" t="s">
        <v>130</v>
      </c>
      <c r="J431" t="s">
        <v>262</v>
      </c>
      <c r="K431" t="s">
        <v>123</v>
      </c>
      <c r="L431" t="s">
        <v>124</v>
      </c>
      <c r="M431" t="s">
        <v>113</v>
      </c>
      <c r="N431">
        <v>17</v>
      </c>
      <c r="O431" t="s">
        <v>126</v>
      </c>
      <c r="P431">
        <v>15</v>
      </c>
      <c r="Q431" t="s">
        <v>115</v>
      </c>
      <c r="R431" t="s">
        <v>116</v>
      </c>
      <c r="S431" t="s">
        <v>147</v>
      </c>
    </row>
    <row r="432" spans="1:19" x14ac:dyDescent="0.35">
      <c r="A432" t="s">
        <v>642</v>
      </c>
      <c r="B432" t="s">
        <v>197</v>
      </c>
      <c r="C432" t="s">
        <v>120</v>
      </c>
      <c r="D432">
        <v>1.4</v>
      </c>
      <c r="E432">
        <v>13</v>
      </c>
      <c r="F432" t="s">
        <v>63</v>
      </c>
      <c r="G432">
        <v>8</v>
      </c>
      <c r="H432">
        <v>0.3</v>
      </c>
      <c r="I432" t="s">
        <v>144</v>
      </c>
      <c r="J432" t="s">
        <v>269</v>
      </c>
      <c r="K432" t="s">
        <v>178</v>
      </c>
      <c r="L432" t="s">
        <v>200</v>
      </c>
      <c r="M432" t="s">
        <v>134</v>
      </c>
      <c r="N432">
        <v>69</v>
      </c>
      <c r="O432" t="s">
        <v>201</v>
      </c>
      <c r="P432">
        <v>6</v>
      </c>
      <c r="Q432" t="s">
        <v>135</v>
      </c>
      <c r="R432" t="s">
        <v>116</v>
      </c>
      <c r="S432" t="s">
        <v>147</v>
      </c>
    </row>
    <row r="433" spans="1:19" x14ac:dyDescent="0.35">
      <c r="A433" t="s">
        <v>643</v>
      </c>
      <c r="B433" t="s">
        <v>189</v>
      </c>
      <c r="C433" t="s">
        <v>120</v>
      </c>
      <c r="D433">
        <v>9.1999999999999993</v>
      </c>
      <c r="E433">
        <v>25</v>
      </c>
      <c r="F433" t="s">
        <v>58</v>
      </c>
      <c r="G433">
        <v>8</v>
      </c>
      <c r="H433">
        <v>1</v>
      </c>
      <c r="I433" t="s">
        <v>109</v>
      </c>
      <c r="J433" t="s">
        <v>181</v>
      </c>
      <c r="K433" t="s">
        <v>190</v>
      </c>
      <c r="L433" t="s">
        <v>182</v>
      </c>
      <c r="M433" t="s">
        <v>159</v>
      </c>
      <c r="N433">
        <v>328</v>
      </c>
      <c r="O433" t="s">
        <v>126</v>
      </c>
      <c r="P433">
        <v>2</v>
      </c>
      <c r="Q433" t="s">
        <v>135</v>
      </c>
      <c r="R433" t="s">
        <v>116</v>
      </c>
      <c r="S433" t="s">
        <v>142</v>
      </c>
    </row>
    <row r="434" spans="1:19" x14ac:dyDescent="0.35">
      <c r="A434" t="s">
        <v>644</v>
      </c>
      <c r="B434" t="s">
        <v>218</v>
      </c>
      <c r="C434" t="s">
        <v>108</v>
      </c>
      <c r="D434">
        <v>46.5</v>
      </c>
      <c r="E434">
        <v>31</v>
      </c>
      <c r="F434" t="s">
        <v>63</v>
      </c>
      <c r="G434">
        <v>11</v>
      </c>
      <c r="H434">
        <v>1</v>
      </c>
      <c r="I434" t="s">
        <v>205</v>
      </c>
      <c r="J434" t="s">
        <v>298</v>
      </c>
      <c r="K434" t="s">
        <v>141</v>
      </c>
      <c r="L434" t="s">
        <v>152</v>
      </c>
      <c r="M434" t="s">
        <v>113</v>
      </c>
      <c r="N434">
        <v>29</v>
      </c>
      <c r="O434" t="s">
        <v>126</v>
      </c>
      <c r="P434">
        <v>10</v>
      </c>
      <c r="Q434" t="s">
        <v>135</v>
      </c>
      <c r="R434" t="s">
        <v>168</v>
      </c>
      <c r="S434" t="s">
        <v>117</v>
      </c>
    </row>
    <row r="435" spans="1:19" x14ac:dyDescent="0.35">
      <c r="A435" t="s">
        <v>645</v>
      </c>
      <c r="B435" t="s">
        <v>155</v>
      </c>
      <c r="C435" t="s">
        <v>120</v>
      </c>
      <c r="D435">
        <v>3.2</v>
      </c>
      <c r="E435">
        <v>12</v>
      </c>
      <c r="F435" t="s">
        <v>56</v>
      </c>
      <c r="G435">
        <v>7</v>
      </c>
      <c r="H435">
        <v>1.2</v>
      </c>
      <c r="I435" t="s">
        <v>246</v>
      </c>
      <c r="J435" t="s">
        <v>247</v>
      </c>
      <c r="K435" t="s">
        <v>158</v>
      </c>
      <c r="L435" t="s">
        <v>195</v>
      </c>
      <c r="M435" t="s">
        <v>134</v>
      </c>
      <c r="N435">
        <v>93</v>
      </c>
      <c r="O435" t="s">
        <v>126</v>
      </c>
      <c r="P435">
        <v>4</v>
      </c>
      <c r="Q435" t="s">
        <v>115</v>
      </c>
      <c r="R435" t="s">
        <v>168</v>
      </c>
      <c r="S435" t="s">
        <v>142</v>
      </c>
    </row>
    <row r="436" spans="1:19" x14ac:dyDescent="0.35">
      <c r="A436" t="s">
        <v>646</v>
      </c>
      <c r="B436" t="s">
        <v>138</v>
      </c>
      <c r="C436" t="s">
        <v>120</v>
      </c>
      <c r="D436">
        <v>7.8</v>
      </c>
      <c r="E436">
        <v>12</v>
      </c>
      <c r="F436" t="s">
        <v>56</v>
      </c>
      <c r="G436">
        <v>4</v>
      </c>
      <c r="H436">
        <v>0.6</v>
      </c>
      <c r="I436" t="s">
        <v>109</v>
      </c>
      <c r="J436" t="s">
        <v>181</v>
      </c>
      <c r="K436" t="s">
        <v>111</v>
      </c>
      <c r="L436" t="s">
        <v>141</v>
      </c>
      <c r="M436" t="s">
        <v>125</v>
      </c>
      <c r="N436">
        <v>417</v>
      </c>
      <c r="O436" t="s">
        <v>126</v>
      </c>
      <c r="P436">
        <v>1</v>
      </c>
      <c r="Q436" t="s">
        <v>115</v>
      </c>
      <c r="R436" t="s">
        <v>116</v>
      </c>
      <c r="S436" t="s">
        <v>127</v>
      </c>
    </row>
    <row r="437" spans="1:19" x14ac:dyDescent="0.35">
      <c r="A437" t="s">
        <v>647</v>
      </c>
      <c r="B437" t="s">
        <v>218</v>
      </c>
      <c r="C437" t="s">
        <v>108</v>
      </c>
      <c r="D437">
        <v>19.100000000000001</v>
      </c>
      <c r="E437">
        <v>33</v>
      </c>
      <c r="F437" t="s">
        <v>65</v>
      </c>
      <c r="G437">
        <v>7</v>
      </c>
      <c r="H437">
        <v>1.2</v>
      </c>
      <c r="I437" t="s">
        <v>139</v>
      </c>
      <c r="J437" t="s">
        <v>239</v>
      </c>
      <c r="K437" t="s">
        <v>152</v>
      </c>
      <c r="L437" t="s">
        <v>141</v>
      </c>
      <c r="M437" t="s">
        <v>134</v>
      </c>
      <c r="N437">
        <v>84</v>
      </c>
      <c r="O437" t="s">
        <v>126</v>
      </c>
      <c r="P437">
        <v>4</v>
      </c>
      <c r="Q437" t="s">
        <v>115</v>
      </c>
      <c r="R437" t="s">
        <v>153</v>
      </c>
      <c r="S437" t="s">
        <v>193</v>
      </c>
    </row>
    <row r="438" spans="1:19" x14ac:dyDescent="0.35">
      <c r="A438" t="s">
        <v>648</v>
      </c>
      <c r="B438" t="s">
        <v>149</v>
      </c>
      <c r="C438" t="s">
        <v>120</v>
      </c>
      <c r="D438">
        <v>3.4</v>
      </c>
      <c r="E438">
        <v>23</v>
      </c>
      <c r="F438" t="s">
        <v>63</v>
      </c>
      <c r="G438">
        <v>2</v>
      </c>
      <c r="H438">
        <v>0.6</v>
      </c>
      <c r="I438" t="s">
        <v>246</v>
      </c>
      <c r="J438" t="s">
        <v>250</v>
      </c>
      <c r="K438" t="s">
        <v>123</v>
      </c>
      <c r="L438" t="s">
        <v>211</v>
      </c>
      <c r="M438" t="s">
        <v>159</v>
      </c>
      <c r="N438">
        <v>172</v>
      </c>
      <c r="O438" t="s">
        <v>126</v>
      </c>
      <c r="P438">
        <v>2</v>
      </c>
      <c r="Q438" t="s">
        <v>135</v>
      </c>
      <c r="R438" t="s">
        <v>153</v>
      </c>
      <c r="S438" t="s">
        <v>147</v>
      </c>
    </row>
    <row r="439" spans="1:19" x14ac:dyDescent="0.35">
      <c r="A439" t="s">
        <v>649</v>
      </c>
      <c r="B439" t="s">
        <v>161</v>
      </c>
      <c r="C439" t="s">
        <v>120</v>
      </c>
      <c r="D439">
        <v>1.1000000000000001</v>
      </c>
      <c r="E439">
        <v>19</v>
      </c>
      <c r="F439" t="s">
        <v>58</v>
      </c>
      <c r="G439">
        <v>11</v>
      </c>
      <c r="H439">
        <v>0.3</v>
      </c>
      <c r="I439" t="s">
        <v>156</v>
      </c>
      <c r="J439" t="s">
        <v>203</v>
      </c>
      <c r="K439" t="s">
        <v>133</v>
      </c>
      <c r="L439" t="s">
        <v>182</v>
      </c>
      <c r="M439" t="s">
        <v>159</v>
      </c>
      <c r="N439">
        <v>153</v>
      </c>
      <c r="O439" t="s">
        <v>201</v>
      </c>
      <c r="P439">
        <v>1</v>
      </c>
      <c r="Q439" t="s">
        <v>115</v>
      </c>
      <c r="R439" t="s">
        <v>116</v>
      </c>
      <c r="S439" t="s">
        <v>117</v>
      </c>
    </row>
    <row r="440" spans="1:19" x14ac:dyDescent="0.35">
      <c r="A440" t="s">
        <v>650</v>
      </c>
      <c r="B440" t="s">
        <v>119</v>
      </c>
      <c r="C440" t="s">
        <v>120</v>
      </c>
      <c r="D440">
        <v>4</v>
      </c>
      <c r="E440">
        <v>17</v>
      </c>
      <c r="F440" t="s">
        <v>66</v>
      </c>
      <c r="G440">
        <v>10</v>
      </c>
      <c r="H440">
        <v>1.2</v>
      </c>
      <c r="I440" t="s">
        <v>144</v>
      </c>
      <c r="J440" t="s">
        <v>269</v>
      </c>
      <c r="K440" t="s">
        <v>123</v>
      </c>
      <c r="L440" t="s">
        <v>124</v>
      </c>
      <c r="M440" t="s">
        <v>134</v>
      </c>
      <c r="N440">
        <v>86</v>
      </c>
      <c r="O440" t="s">
        <v>126</v>
      </c>
      <c r="P440">
        <v>3</v>
      </c>
      <c r="Q440" t="s">
        <v>115</v>
      </c>
      <c r="R440" t="s">
        <v>153</v>
      </c>
      <c r="S440" t="s">
        <v>136</v>
      </c>
    </row>
    <row r="441" spans="1:19" x14ac:dyDescent="0.35">
      <c r="A441" t="s">
        <v>651</v>
      </c>
      <c r="B441" t="s">
        <v>155</v>
      </c>
      <c r="C441" t="s">
        <v>108</v>
      </c>
      <c r="D441">
        <v>46.6</v>
      </c>
      <c r="E441">
        <v>42</v>
      </c>
      <c r="F441" t="s">
        <v>63</v>
      </c>
      <c r="G441">
        <v>2</v>
      </c>
      <c r="H441">
        <v>0.7</v>
      </c>
      <c r="I441" t="s">
        <v>246</v>
      </c>
      <c r="J441" t="s">
        <v>264</v>
      </c>
      <c r="K441" t="s">
        <v>112</v>
      </c>
      <c r="L441" t="s">
        <v>158</v>
      </c>
      <c r="M441" t="s">
        <v>125</v>
      </c>
      <c r="N441">
        <v>200</v>
      </c>
      <c r="O441" t="s">
        <v>114</v>
      </c>
      <c r="P441">
        <v>0</v>
      </c>
      <c r="Q441" t="s">
        <v>115</v>
      </c>
      <c r="R441" t="s">
        <v>153</v>
      </c>
      <c r="S441" t="s">
        <v>179</v>
      </c>
    </row>
    <row r="442" spans="1:19" x14ac:dyDescent="0.35">
      <c r="A442" t="s">
        <v>652</v>
      </c>
      <c r="B442" t="s">
        <v>138</v>
      </c>
      <c r="C442" t="s">
        <v>108</v>
      </c>
      <c r="D442">
        <v>13.2</v>
      </c>
      <c r="E442">
        <v>28</v>
      </c>
      <c r="F442" t="s">
        <v>66</v>
      </c>
      <c r="G442">
        <v>6</v>
      </c>
      <c r="H442">
        <v>0.9</v>
      </c>
      <c r="I442" t="s">
        <v>205</v>
      </c>
      <c r="J442" t="s">
        <v>236</v>
      </c>
      <c r="K442" t="s">
        <v>111</v>
      </c>
      <c r="L442" t="s">
        <v>146</v>
      </c>
      <c r="M442" t="s">
        <v>159</v>
      </c>
      <c r="N442">
        <v>182</v>
      </c>
      <c r="O442" t="s">
        <v>126</v>
      </c>
      <c r="P442">
        <v>2</v>
      </c>
      <c r="Q442" t="s">
        <v>115</v>
      </c>
      <c r="R442" t="s">
        <v>153</v>
      </c>
      <c r="S442" t="s">
        <v>117</v>
      </c>
    </row>
    <row r="443" spans="1:19" x14ac:dyDescent="0.35">
      <c r="A443" t="s">
        <v>653</v>
      </c>
      <c r="B443" t="s">
        <v>161</v>
      </c>
      <c r="C443" t="s">
        <v>120</v>
      </c>
      <c r="D443">
        <v>3.6</v>
      </c>
      <c r="E443">
        <v>29</v>
      </c>
      <c r="F443" t="s">
        <v>63</v>
      </c>
      <c r="G443">
        <v>10</v>
      </c>
      <c r="H443">
        <v>0.6</v>
      </c>
      <c r="I443" t="s">
        <v>185</v>
      </c>
      <c r="J443" t="s">
        <v>223</v>
      </c>
      <c r="K443" t="s">
        <v>164</v>
      </c>
      <c r="L443" t="s">
        <v>182</v>
      </c>
      <c r="M443" t="s">
        <v>134</v>
      </c>
      <c r="N443">
        <v>62</v>
      </c>
      <c r="O443" t="s">
        <v>126</v>
      </c>
      <c r="P443">
        <v>3</v>
      </c>
      <c r="Q443" t="s">
        <v>115</v>
      </c>
      <c r="R443" t="s">
        <v>65</v>
      </c>
      <c r="S443" t="s">
        <v>142</v>
      </c>
    </row>
    <row r="444" spans="1:19" x14ac:dyDescent="0.35">
      <c r="A444" t="s">
        <v>654</v>
      </c>
      <c r="B444" t="s">
        <v>155</v>
      </c>
      <c r="C444" t="s">
        <v>120</v>
      </c>
      <c r="D444">
        <v>7</v>
      </c>
      <c r="E444">
        <v>7</v>
      </c>
      <c r="F444" t="s">
        <v>66</v>
      </c>
      <c r="G444">
        <v>5</v>
      </c>
      <c r="H444">
        <v>0.4</v>
      </c>
      <c r="I444" t="s">
        <v>139</v>
      </c>
      <c r="J444" t="s">
        <v>140</v>
      </c>
      <c r="K444" t="s">
        <v>195</v>
      </c>
      <c r="L444" t="s">
        <v>112</v>
      </c>
      <c r="M444" t="s">
        <v>159</v>
      </c>
      <c r="N444">
        <v>288</v>
      </c>
      <c r="O444" t="s">
        <v>126</v>
      </c>
      <c r="P444">
        <v>1</v>
      </c>
      <c r="Q444" t="s">
        <v>115</v>
      </c>
      <c r="R444" t="s">
        <v>65</v>
      </c>
      <c r="S444" t="s">
        <v>169</v>
      </c>
    </row>
    <row r="445" spans="1:19" x14ac:dyDescent="0.35">
      <c r="A445" t="s">
        <v>655</v>
      </c>
      <c r="B445" t="s">
        <v>176</v>
      </c>
      <c r="C445" t="s">
        <v>120</v>
      </c>
      <c r="D445">
        <v>8.8000000000000007</v>
      </c>
      <c r="E445">
        <v>11</v>
      </c>
      <c r="F445" t="s">
        <v>63</v>
      </c>
      <c r="G445">
        <v>4</v>
      </c>
      <c r="H445">
        <v>0.7</v>
      </c>
      <c r="I445" t="s">
        <v>150</v>
      </c>
      <c r="J445" t="s">
        <v>244</v>
      </c>
      <c r="K445" t="s">
        <v>228</v>
      </c>
      <c r="L445" t="s">
        <v>178</v>
      </c>
      <c r="M445" t="s">
        <v>113</v>
      </c>
      <c r="N445">
        <v>30</v>
      </c>
      <c r="O445" t="s">
        <v>126</v>
      </c>
      <c r="P445">
        <v>14</v>
      </c>
      <c r="Q445" t="s">
        <v>115</v>
      </c>
      <c r="R445" t="s">
        <v>116</v>
      </c>
      <c r="S445" t="s">
        <v>142</v>
      </c>
    </row>
    <row r="446" spans="1:19" x14ac:dyDescent="0.35">
      <c r="A446" t="s">
        <v>656</v>
      </c>
      <c r="B446" t="s">
        <v>149</v>
      </c>
      <c r="C446" t="s">
        <v>120</v>
      </c>
      <c r="D446">
        <v>4.2</v>
      </c>
      <c r="E446">
        <v>11</v>
      </c>
      <c r="F446" t="s">
        <v>65</v>
      </c>
      <c r="G446">
        <v>5</v>
      </c>
      <c r="H446">
        <v>1.4</v>
      </c>
      <c r="I446" t="s">
        <v>185</v>
      </c>
      <c r="J446" t="s">
        <v>186</v>
      </c>
      <c r="K446" t="s">
        <v>152</v>
      </c>
      <c r="L446" t="s">
        <v>123</v>
      </c>
      <c r="M446" t="s">
        <v>113</v>
      </c>
      <c r="N446">
        <v>7</v>
      </c>
      <c r="O446" t="s">
        <v>126</v>
      </c>
      <c r="P446">
        <v>8</v>
      </c>
      <c r="Q446" t="s">
        <v>115</v>
      </c>
      <c r="R446" t="s">
        <v>153</v>
      </c>
      <c r="S446" t="s">
        <v>147</v>
      </c>
    </row>
    <row r="447" spans="1:19" x14ac:dyDescent="0.35">
      <c r="A447" t="s">
        <v>657</v>
      </c>
      <c r="B447" t="s">
        <v>176</v>
      </c>
      <c r="C447" t="s">
        <v>120</v>
      </c>
      <c r="D447">
        <v>2.5</v>
      </c>
      <c r="E447">
        <v>30</v>
      </c>
      <c r="F447" t="s">
        <v>65</v>
      </c>
      <c r="G447">
        <v>11</v>
      </c>
      <c r="H447">
        <v>0.5</v>
      </c>
      <c r="I447" t="s">
        <v>156</v>
      </c>
      <c r="J447" t="s">
        <v>167</v>
      </c>
      <c r="K447" t="s">
        <v>124</v>
      </c>
      <c r="L447" t="s">
        <v>178</v>
      </c>
      <c r="M447" t="s">
        <v>159</v>
      </c>
      <c r="N447">
        <v>305</v>
      </c>
      <c r="O447" t="s">
        <v>126</v>
      </c>
      <c r="P447">
        <v>1</v>
      </c>
      <c r="Q447" t="s">
        <v>115</v>
      </c>
      <c r="R447" t="s">
        <v>116</v>
      </c>
      <c r="S447" t="s">
        <v>169</v>
      </c>
    </row>
    <row r="448" spans="1:19" x14ac:dyDescent="0.35">
      <c r="A448" t="s">
        <v>658</v>
      </c>
      <c r="B448" t="s">
        <v>161</v>
      </c>
      <c r="C448" t="s">
        <v>120</v>
      </c>
      <c r="D448">
        <v>2.7</v>
      </c>
      <c r="E448">
        <v>28</v>
      </c>
      <c r="F448" t="s">
        <v>56</v>
      </c>
      <c r="G448">
        <v>11</v>
      </c>
      <c r="H448">
        <v>0.4</v>
      </c>
      <c r="I448" t="s">
        <v>109</v>
      </c>
      <c r="J448" t="s">
        <v>110</v>
      </c>
      <c r="K448" t="s">
        <v>164</v>
      </c>
      <c r="L448" t="s">
        <v>133</v>
      </c>
      <c r="M448" t="s">
        <v>113</v>
      </c>
      <c r="N448">
        <v>17</v>
      </c>
      <c r="O448" t="s">
        <v>126</v>
      </c>
      <c r="P448">
        <v>10</v>
      </c>
      <c r="Q448" t="s">
        <v>115</v>
      </c>
      <c r="R448" t="s">
        <v>168</v>
      </c>
      <c r="S448" t="s">
        <v>179</v>
      </c>
    </row>
    <row r="449" spans="1:19" x14ac:dyDescent="0.35">
      <c r="A449" t="s">
        <v>659</v>
      </c>
      <c r="B449" t="s">
        <v>107</v>
      </c>
      <c r="C449" t="s">
        <v>120</v>
      </c>
      <c r="D449">
        <v>6.6</v>
      </c>
      <c r="E449">
        <v>12</v>
      </c>
      <c r="F449" t="s">
        <v>63</v>
      </c>
      <c r="G449">
        <v>8</v>
      </c>
      <c r="H449">
        <v>0.5</v>
      </c>
      <c r="I449" t="s">
        <v>121</v>
      </c>
      <c r="J449" t="s">
        <v>122</v>
      </c>
      <c r="K449" t="s">
        <v>112</v>
      </c>
      <c r="L449" t="s">
        <v>111</v>
      </c>
      <c r="M449" t="s">
        <v>113</v>
      </c>
      <c r="N449">
        <v>23</v>
      </c>
      <c r="O449" t="s">
        <v>114</v>
      </c>
      <c r="P449">
        <v>8</v>
      </c>
      <c r="Q449" t="s">
        <v>115</v>
      </c>
      <c r="R449" t="s">
        <v>116</v>
      </c>
      <c r="S449" t="s">
        <v>136</v>
      </c>
    </row>
    <row r="450" spans="1:19" x14ac:dyDescent="0.35">
      <c r="A450" t="s">
        <v>660</v>
      </c>
      <c r="B450" t="s">
        <v>197</v>
      </c>
      <c r="C450" t="s">
        <v>120</v>
      </c>
      <c r="D450">
        <v>4.5999999999999996</v>
      </c>
      <c r="E450">
        <v>14</v>
      </c>
      <c r="F450" t="s">
        <v>66</v>
      </c>
      <c r="G450">
        <v>9</v>
      </c>
      <c r="H450">
        <v>0.9</v>
      </c>
      <c r="I450" t="s">
        <v>139</v>
      </c>
      <c r="J450" t="s">
        <v>239</v>
      </c>
      <c r="K450" t="s">
        <v>199</v>
      </c>
      <c r="L450" t="s">
        <v>200</v>
      </c>
      <c r="M450" t="s">
        <v>134</v>
      </c>
      <c r="N450">
        <v>71</v>
      </c>
      <c r="O450" t="s">
        <v>114</v>
      </c>
      <c r="P450">
        <v>3</v>
      </c>
      <c r="Q450" t="s">
        <v>115</v>
      </c>
      <c r="R450" t="s">
        <v>168</v>
      </c>
      <c r="S450" t="s">
        <v>127</v>
      </c>
    </row>
    <row r="451" spans="1:19" x14ac:dyDescent="0.35">
      <c r="A451" t="s">
        <v>661</v>
      </c>
      <c r="B451" t="s">
        <v>176</v>
      </c>
      <c r="C451" t="s">
        <v>120</v>
      </c>
      <c r="D451">
        <v>7.4</v>
      </c>
      <c r="E451">
        <v>10</v>
      </c>
      <c r="F451" t="s">
        <v>60</v>
      </c>
      <c r="G451">
        <v>5</v>
      </c>
      <c r="H451">
        <v>0.4</v>
      </c>
      <c r="I451" t="s">
        <v>162</v>
      </c>
      <c r="J451" t="s">
        <v>413</v>
      </c>
      <c r="K451" t="s">
        <v>228</v>
      </c>
      <c r="L451" t="s">
        <v>124</v>
      </c>
      <c r="M451" t="s">
        <v>113</v>
      </c>
      <c r="N451">
        <v>21</v>
      </c>
      <c r="O451" t="s">
        <v>126</v>
      </c>
      <c r="P451">
        <v>11</v>
      </c>
      <c r="Q451" t="s">
        <v>115</v>
      </c>
      <c r="R451" t="s">
        <v>168</v>
      </c>
      <c r="S451" t="s">
        <v>136</v>
      </c>
    </row>
    <row r="452" spans="1:19" x14ac:dyDescent="0.35">
      <c r="A452" t="s">
        <v>662</v>
      </c>
      <c r="B452" t="s">
        <v>189</v>
      </c>
      <c r="C452" t="s">
        <v>120</v>
      </c>
      <c r="D452">
        <v>8.4</v>
      </c>
      <c r="E452">
        <v>26</v>
      </c>
      <c r="F452" t="s">
        <v>65</v>
      </c>
      <c r="G452">
        <v>2</v>
      </c>
      <c r="H452">
        <v>0.7</v>
      </c>
      <c r="I452" t="s">
        <v>130</v>
      </c>
      <c r="J452" t="s">
        <v>258</v>
      </c>
      <c r="K452" t="s">
        <v>209</v>
      </c>
      <c r="L452" t="s">
        <v>190</v>
      </c>
      <c r="M452" t="s">
        <v>125</v>
      </c>
      <c r="N452">
        <v>355</v>
      </c>
      <c r="O452" t="s">
        <v>114</v>
      </c>
      <c r="P452">
        <v>2</v>
      </c>
      <c r="Q452" t="s">
        <v>135</v>
      </c>
      <c r="R452" t="s">
        <v>116</v>
      </c>
      <c r="S452" t="s">
        <v>117</v>
      </c>
    </row>
    <row r="453" spans="1:19" x14ac:dyDescent="0.35">
      <c r="A453" t="s">
        <v>663</v>
      </c>
      <c r="B453" t="s">
        <v>189</v>
      </c>
      <c r="C453" t="s">
        <v>108</v>
      </c>
      <c r="D453">
        <v>28.3</v>
      </c>
      <c r="E453">
        <v>30</v>
      </c>
      <c r="F453" t="s">
        <v>58</v>
      </c>
      <c r="G453">
        <v>4</v>
      </c>
      <c r="H453">
        <v>1.3</v>
      </c>
      <c r="I453" t="s">
        <v>185</v>
      </c>
      <c r="J453" t="s">
        <v>311</v>
      </c>
      <c r="K453" t="s">
        <v>209</v>
      </c>
      <c r="L453" t="s">
        <v>182</v>
      </c>
      <c r="M453" t="s">
        <v>113</v>
      </c>
      <c r="N453">
        <v>23</v>
      </c>
      <c r="O453" t="s">
        <v>126</v>
      </c>
      <c r="P453">
        <v>13</v>
      </c>
      <c r="Q453" t="s">
        <v>115</v>
      </c>
      <c r="R453" t="s">
        <v>65</v>
      </c>
      <c r="S453" t="s">
        <v>179</v>
      </c>
    </row>
    <row r="454" spans="1:19" x14ac:dyDescent="0.35">
      <c r="A454" t="s">
        <v>664</v>
      </c>
      <c r="B454" t="s">
        <v>184</v>
      </c>
      <c r="C454" t="s">
        <v>108</v>
      </c>
      <c r="D454">
        <v>36</v>
      </c>
      <c r="E454">
        <v>25</v>
      </c>
      <c r="F454" t="s">
        <v>63</v>
      </c>
      <c r="G454">
        <v>10</v>
      </c>
      <c r="H454">
        <v>1.4</v>
      </c>
      <c r="I454" t="s">
        <v>246</v>
      </c>
      <c r="J454" t="s">
        <v>250</v>
      </c>
      <c r="K454" t="s">
        <v>192</v>
      </c>
      <c r="L454" t="s">
        <v>187</v>
      </c>
      <c r="M454" t="s">
        <v>113</v>
      </c>
      <c r="N454">
        <v>13</v>
      </c>
      <c r="O454" t="s">
        <v>126</v>
      </c>
      <c r="P454">
        <v>14</v>
      </c>
      <c r="Q454" t="s">
        <v>115</v>
      </c>
      <c r="R454" t="s">
        <v>116</v>
      </c>
      <c r="S454" t="s">
        <v>142</v>
      </c>
    </row>
    <row r="455" spans="1:19" x14ac:dyDescent="0.35">
      <c r="A455" t="s">
        <v>665</v>
      </c>
      <c r="B455" t="s">
        <v>176</v>
      </c>
      <c r="C455" t="s">
        <v>108</v>
      </c>
      <c r="D455">
        <v>42.5</v>
      </c>
      <c r="E455">
        <v>42</v>
      </c>
      <c r="F455" t="s">
        <v>63</v>
      </c>
      <c r="G455">
        <v>8</v>
      </c>
      <c r="H455">
        <v>1</v>
      </c>
      <c r="I455" t="s">
        <v>121</v>
      </c>
      <c r="J455" t="s">
        <v>255</v>
      </c>
      <c r="K455" t="s">
        <v>124</v>
      </c>
      <c r="L455" t="s">
        <v>178</v>
      </c>
      <c r="M455" t="s">
        <v>113</v>
      </c>
      <c r="N455">
        <v>25</v>
      </c>
      <c r="O455" t="s">
        <v>126</v>
      </c>
      <c r="P455">
        <v>14</v>
      </c>
      <c r="Q455" t="s">
        <v>135</v>
      </c>
      <c r="R455" t="s">
        <v>65</v>
      </c>
      <c r="S455" t="s">
        <v>193</v>
      </c>
    </row>
    <row r="456" spans="1:19" x14ac:dyDescent="0.35">
      <c r="A456" t="s">
        <v>666</v>
      </c>
      <c r="B456" t="s">
        <v>176</v>
      </c>
      <c r="C456" t="s">
        <v>120</v>
      </c>
      <c r="D456">
        <v>8.1</v>
      </c>
      <c r="E456">
        <v>11</v>
      </c>
      <c r="F456" t="s">
        <v>66</v>
      </c>
      <c r="G456">
        <v>2</v>
      </c>
      <c r="H456">
        <v>0.9</v>
      </c>
      <c r="I456" t="s">
        <v>246</v>
      </c>
      <c r="J456" t="s">
        <v>250</v>
      </c>
      <c r="K456" t="s">
        <v>178</v>
      </c>
      <c r="L456" t="s">
        <v>124</v>
      </c>
      <c r="M456" t="s">
        <v>113</v>
      </c>
      <c r="N456">
        <v>14</v>
      </c>
      <c r="O456" t="s">
        <v>126</v>
      </c>
      <c r="P456">
        <v>8</v>
      </c>
      <c r="Q456" t="s">
        <v>115</v>
      </c>
      <c r="R456" t="s">
        <v>168</v>
      </c>
      <c r="S456" t="s">
        <v>147</v>
      </c>
    </row>
    <row r="457" spans="1:19" x14ac:dyDescent="0.35">
      <c r="A457" t="s">
        <v>667</v>
      </c>
      <c r="B457" t="s">
        <v>149</v>
      </c>
      <c r="C457" t="s">
        <v>108</v>
      </c>
      <c r="D457">
        <v>21</v>
      </c>
      <c r="E457">
        <v>28</v>
      </c>
      <c r="F457" t="s">
        <v>60</v>
      </c>
      <c r="G457">
        <v>4</v>
      </c>
      <c r="H457">
        <v>0.5</v>
      </c>
      <c r="I457" t="s">
        <v>173</v>
      </c>
      <c r="J457" t="s">
        <v>216</v>
      </c>
      <c r="K457" t="s">
        <v>152</v>
      </c>
      <c r="L457" t="s">
        <v>211</v>
      </c>
      <c r="M457" t="s">
        <v>113</v>
      </c>
      <c r="N457">
        <v>5</v>
      </c>
      <c r="O457" t="s">
        <v>126</v>
      </c>
      <c r="P457">
        <v>15</v>
      </c>
      <c r="Q457" t="s">
        <v>115</v>
      </c>
      <c r="R457" t="s">
        <v>116</v>
      </c>
      <c r="S457" t="s">
        <v>169</v>
      </c>
    </row>
    <row r="458" spans="1:19" x14ac:dyDescent="0.35">
      <c r="A458" t="s">
        <v>668</v>
      </c>
      <c r="B458" t="s">
        <v>161</v>
      </c>
      <c r="C458" t="s">
        <v>120</v>
      </c>
      <c r="D458">
        <v>8.9</v>
      </c>
      <c r="E458">
        <v>24</v>
      </c>
      <c r="F458" t="s">
        <v>60</v>
      </c>
      <c r="G458">
        <v>7</v>
      </c>
      <c r="H458">
        <v>0.2</v>
      </c>
      <c r="I458" t="s">
        <v>246</v>
      </c>
      <c r="J458" t="s">
        <v>250</v>
      </c>
      <c r="K458" t="s">
        <v>182</v>
      </c>
      <c r="L458" t="s">
        <v>133</v>
      </c>
      <c r="M458" t="s">
        <v>134</v>
      </c>
      <c r="N458">
        <v>82</v>
      </c>
      <c r="O458" t="s">
        <v>126</v>
      </c>
      <c r="P458">
        <v>5</v>
      </c>
      <c r="Q458" t="s">
        <v>115</v>
      </c>
      <c r="R458" t="s">
        <v>153</v>
      </c>
      <c r="S458" t="s">
        <v>142</v>
      </c>
    </row>
    <row r="459" spans="1:19" x14ac:dyDescent="0.35">
      <c r="A459" t="s">
        <v>669</v>
      </c>
      <c r="B459" t="s">
        <v>161</v>
      </c>
      <c r="C459" t="s">
        <v>120</v>
      </c>
      <c r="D459">
        <v>5.6</v>
      </c>
      <c r="E459">
        <v>18</v>
      </c>
      <c r="F459" t="s">
        <v>56</v>
      </c>
      <c r="G459">
        <v>6</v>
      </c>
      <c r="H459">
        <v>0.7</v>
      </c>
      <c r="I459" t="s">
        <v>144</v>
      </c>
      <c r="J459" t="s">
        <v>145</v>
      </c>
      <c r="K459" t="s">
        <v>164</v>
      </c>
      <c r="L459" t="s">
        <v>133</v>
      </c>
      <c r="M459" t="s">
        <v>113</v>
      </c>
      <c r="N459">
        <v>16</v>
      </c>
      <c r="O459" t="s">
        <v>201</v>
      </c>
      <c r="P459">
        <v>10</v>
      </c>
      <c r="Q459" t="s">
        <v>115</v>
      </c>
      <c r="R459" t="s">
        <v>153</v>
      </c>
      <c r="S459" t="s">
        <v>179</v>
      </c>
    </row>
    <row r="460" spans="1:19" x14ac:dyDescent="0.35">
      <c r="A460" t="s">
        <v>670</v>
      </c>
      <c r="B460" t="s">
        <v>155</v>
      </c>
      <c r="C460" t="s">
        <v>120</v>
      </c>
      <c r="D460">
        <v>2.2999999999999998</v>
      </c>
      <c r="E460">
        <v>24</v>
      </c>
      <c r="F460" t="s">
        <v>56</v>
      </c>
      <c r="G460">
        <v>12</v>
      </c>
      <c r="H460">
        <v>0.9</v>
      </c>
      <c r="I460" t="s">
        <v>162</v>
      </c>
      <c r="J460" t="s">
        <v>413</v>
      </c>
      <c r="K460" t="s">
        <v>112</v>
      </c>
      <c r="L460" t="s">
        <v>195</v>
      </c>
      <c r="M460" t="s">
        <v>134</v>
      </c>
      <c r="N460">
        <v>68</v>
      </c>
      <c r="O460" t="s">
        <v>114</v>
      </c>
      <c r="P460">
        <v>3</v>
      </c>
      <c r="Q460" t="s">
        <v>115</v>
      </c>
      <c r="R460" t="s">
        <v>116</v>
      </c>
      <c r="S460" t="s">
        <v>169</v>
      </c>
    </row>
    <row r="461" spans="1:19" x14ac:dyDescent="0.35">
      <c r="A461" t="s">
        <v>671</v>
      </c>
      <c r="B461" t="s">
        <v>218</v>
      </c>
      <c r="C461" t="s">
        <v>120</v>
      </c>
      <c r="D461">
        <v>5</v>
      </c>
      <c r="E461">
        <v>29</v>
      </c>
      <c r="F461" t="s">
        <v>65</v>
      </c>
      <c r="G461">
        <v>3</v>
      </c>
      <c r="H461">
        <v>1</v>
      </c>
      <c r="I461" t="s">
        <v>185</v>
      </c>
      <c r="J461" t="s">
        <v>382</v>
      </c>
      <c r="K461" t="s">
        <v>277</v>
      </c>
      <c r="L461" t="s">
        <v>141</v>
      </c>
      <c r="M461" t="s">
        <v>159</v>
      </c>
      <c r="N461">
        <v>285</v>
      </c>
      <c r="O461" t="s">
        <v>126</v>
      </c>
      <c r="P461">
        <v>1</v>
      </c>
      <c r="Q461" t="s">
        <v>135</v>
      </c>
      <c r="R461" t="s">
        <v>116</v>
      </c>
      <c r="S461" t="s">
        <v>147</v>
      </c>
    </row>
    <row r="462" spans="1:19" x14ac:dyDescent="0.35">
      <c r="A462" t="s">
        <v>672</v>
      </c>
      <c r="B462" t="s">
        <v>189</v>
      </c>
      <c r="C462" t="s">
        <v>120</v>
      </c>
      <c r="D462">
        <v>9.1999999999999993</v>
      </c>
      <c r="E462">
        <v>26</v>
      </c>
      <c r="F462" t="s">
        <v>63</v>
      </c>
      <c r="G462">
        <v>10</v>
      </c>
      <c r="H462">
        <v>0.6</v>
      </c>
      <c r="I462" t="s">
        <v>173</v>
      </c>
      <c r="J462" t="s">
        <v>174</v>
      </c>
      <c r="K462" t="s">
        <v>209</v>
      </c>
      <c r="L462" t="s">
        <v>182</v>
      </c>
      <c r="M462" t="s">
        <v>113</v>
      </c>
      <c r="N462">
        <v>20</v>
      </c>
      <c r="O462" t="s">
        <v>126</v>
      </c>
      <c r="P462">
        <v>11</v>
      </c>
      <c r="Q462" t="s">
        <v>115</v>
      </c>
      <c r="R462" t="s">
        <v>65</v>
      </c>
      <c r="S462" t="s">
        <v>147</v>
      </c>
    </row>
    <row r="463" spans="1:19" x14ac:dyDescent="0.35">
      <c r="A463" t="s">
        <v>673</v>
      </c>
      <c r="B463" t="s">
        <v>138</v>
      </c>
      <c r="C463" t="s">
        <v>120</v>
      </c>
      <c r="D463">
        <v>1.8</v>
      </c>
      <c r="E463">
        <v>23</v>
      </c>
      <c r="F463" t="s">
        <v>58</v>
      </c>
      <c r="G463">
        <v>10</v>
      </c>
      <c r="H463">
        <v>0.4</v>
      </c>
      <c r="I463" t="s">
        <v>173</v>
      </c>
      <c r="J463" t="s">
        <v>174</v>
      </c>
      <c r="K463" t="s">
        <v>141</v>
      </c>
      <c r="L463" t="s">
        <v>111</v>
      </c>
      <c r="M463" t="s">
        <v>159</v>
      </c>
      <c r="N463">
        <v>188</v>
      </c>
      <c r="O463" t="s">
        <v>126</v>
      </c>
      <c r="P463">
        <v>1</v>
      </c>
      <c r="Q463" t="s">
        <v>115</v>
      </c>
      <c r="R463" t="s">
        <v>116</v>
      </c>
      <c r="S463" t="s">
        <v>147</v>
      </c>
    </row>
    <row r="464" spans="1:19" x14ac:dyDescent="0.35">
      <c r="A464" t="s">
        <v>674</v>
      </c>
      <c r="B464" t="s">
        <v>149</v>
      </c>
      <c r="C464" t="s">
        <v>120</v>
      </c>
      <c r="D464">
        <v>3.9</v>
      </c>
      <c r="E464">
        <v>21</v>
      </c>
      <c r="F464" t="s">
        <v>65</v>
      </c>
      <c r="G464">
        <v>10</v>
      </c>
      <c r="H464">
        <v>0.2</v>
      </c>
      <c r="I464" t="s">
        <v>156</v>
      </c>
      <c r="J464" t="s">
        <v>203</v>
      </c>
      <c r="K464" t="s">
        <v>211</v>
      </c>
      <c r="L464" t="s">
        <v>123</v>
      </c>
      <c r="M464" t="s">
        <v>134</v>
      </c>
      <c r="N464">
        <v>95</v>
      </c>
      <c r="O464" t="s">
        <v>126</v>
      </c>
      <c r="P464">
        <v>3</v>
      </c>
      <c r="Q464" t="s">
        <v>115</v>
      </c>
      <c r="R464" t="s">
        <v>116</v>
      </c>
      <c r="S464" t="s">
        <v>117</v>
      </c>
    </row>
    <row r="465" spans="1:19" x14ac:dyDescent="0.35">
      <c r="A465" t="s">
        <v>675</v>
      </c>
      <c r="B465" t="s">
        <v>218</v>
      </c>
      <c r="C465" t="s">
        <v>108</v>
      </c>
      <c r="D465">
        <v>40.1</v>
      </c>
      <c r="E465">
        <v>36</v>
      </c>
      <c r="F465" t="s">
        <v>60</v>
      </c>
      <c r="G465">
        <v>10</v>
      </c>
      <c r="H465">
        <v>0.7</v>
      </c>
      <c r="I465" t="s">
        <v>150</v>
      </c>
      <c r="J465" t="s">
        <v>244</v>
      </c>
      <c r="K465" t="s">
        <v>277</v>
      </c>
      <c r="L465" t="s">
        <v>152</v>
      </c>
      <c r="M465" t="s">
        <v>113</v>
      </c>
      <c r="N465">
        <v>28</v>
      </c>
      <c r="O465" t="s">
        <v>114</v>
      </c>
      <c r="P465">
        <v>14</v>
      </c>
      <c r="Q465" t="s">
        <v>115</v>
      </c>
      <c r="R465" t="s">
        <v>116</v>
      </c>
      <c r="S465" t="s">
        <v>142</v>
      </c>
    </row>
    <row r="466" spans="1:19" x14ac:dyDescent="0.35">
      <c r="A466" t="s">
        <v>676</v>
      </c>
      <c r="B466" t="s">
        <v>189</v>
      </c>
      <c r="C466" t="s">
        <v>120</v>
      </c>
      <c r="D466">
        <v>8.8000000000000007</v>
      </c>
      <c r="E466">
        <v>14</v>
      </c>
      <c r="F466" t="s">
        <v>63</v>
      </c>
      <c r="G466">
        <v>9</v>
      </c>
      <c r="H466">
        <v>1.4</v>
      </c>
      <c r="I466" t="s">
        <v>139</v>
      </c>
      <c r="J466" t="s">
        <v>239</v>
      </c>
      <c r="K466" t="s">
        <v>209</v>
      </c>
      <c r="L466" t="s">
        <v>190</v>
      </c>
      <c r="M466" t="s">
        <v>134</v>
      </c>
      <c r="N466">
        <v>88</v>
      </c>
      <c r="O466" t="s">
        <v>126</v>
      </c>
      <c r="P466">
        <v>3</v>
      </c>
      <c r="Q466" t="s">
        <v>115</v>
      </c>
      <c r="R466" t="s">
        <v>65</v>
      </c>
      <c r="S466" t="s">
        <v>193</v>
      </c>
    </row>
    <row r="467" spans="1:19" x14ac:dyDescent="0.35">
      <c r="A467" t="s">
        <v>677</v>
      </c>
      <c r="B467" t="s">
        <v>138</v>
      </c>
      <c r="C467" t="s">
        <v>108</v>
      </c>
      <c r="D467">
        <v>30</v>
      </c>
      <c r="E467">
        <v>20</v>
      </c>
      <c r="F467" t="s">
        <v>65</v>
      </c>
      <c r="G467">
        <v>11</v>
      </c>
      <c r="H467">
        <v>1.5</v>
      </c>
      <c r="I467" t="s">
        <v>121</v>
      </c>
      <c r="J467" t="s">
        <v>122</v>
      </c>
      <c r="K467" t="s">
        <v>146</v>
      </c>
      <c r="L467" t="s">
        <v>141</v>
      </c>
      <c r="M467" t="s">
        <v>113</v>
      </c>
      <c r="N467">
        <v>7</v>
      </c>
      <c r="O467" t="s">
        <v>126</v>
      </c>
      <c r="P467">
        <v>11</v>
      </c>
      <c r="Q467" t="s">
        <v>115</v>
      </c>
      <c r="R467" t="s">
        <v>168</v>
      </c>
      <c r="S467" t="s">
        <v>117</v>
      </c>
    </row>
    <row r="468" spans="1:19" x14ac:dyDescent="0.35">
      <c r="A468" t="s">
        <v>678</v>
      </c>
      <c r="B468" t="s">
        <v>155</v>
      </c>
      <c r="C468" t="s">
        <v>120</v>
      </c>
      <c r="D468">
        <v>7.4</v>
      </c>
      <c r="E468">
        <v>7</v>
      </c>
      <c r="F468" t="s">
        <v>58</v>
      </c>
      <c r="G468">
        <v>8</v>
      </c>
      <c r="H468">
        <v>0.8</v>
      </c>
      <c r="I468" t="s">
        <v>246</v>
      </c>
      <c r="J468" t="s">
        <v>250</v>
      </c>
      <c r="K468" t="s">
        <v>195</v>
      </c>
      <c r="L468" t="s">
        <v>112</v>
      </c>
      <c r="M468" t="s">
        <v>134</v>
      </c>
      <c r="N468">
        <v>90</v>
      </c>
      <c r="O468" t="s">
        <v>126</v>
      </c>
      <c r="P468">
        <v>3</v>
      </c>
      <c r="Q468" t="s">
        <v>115</v>
      </c>
      <c r="R468" t="s">
        <v>116</v>
      </c>
      <c r="S468" t="s">
        <v>179</v>
      </c>
    </row>
    <row r="469" spans="1:19" x14ac:dyDescent="0.35">
      <c r="A469" t="s">
        <v>679</v>
      </c>
      <c r="B469" t="s">
        <v>189</v>
      </c>
      <c r="C469" t="s">
        <v>120</v>
      </c>
      <c r="D469">
        <v>7.3</v>
      </c>
      <c r="E469">
        <v>9</v>
      </c>
      <c r="F469" t="s">
        <v>58</v>
      </c>
      <c r="G469">
        <v>4</v>
      </c>
      <c r="H469">
        <v>0.6</v>
      </c>
      <c r="I469" t="s">
        <v>185</v>
      </c>
      <c r="J469" t="s">
        <v>186</v>
      </c>
      <c r="K469" t="s">
        <v>190</v>
      </c>
      <c r="L469" t="s">
        <v>182</v>
      </c>
      <c r="M469" t="s">
        <v>159</v>
      </c>
      <c r="N469">
        <v>187</v>
      </c>
      <c r="O469" t="s">
        <v>126</v>
      </c>
      <c r="P469">
        <v>2</v>
      </c>
      <c r="Q469" t="s">
        <v>135</v>
      </c>
      <c r="R469" t="s">
        <v>168</v>
      </c>
      <c r="S469" t="s">
        <v>127</v>
      </c>
    </row>
    <row r="470" spans="1:19" x14ac:dyDescent="0.35">
      <c r="A470" t="s">
        <v>680</v>
      </c>
      <c r="B470" t="s">
        <v>218</v>
      </c>
      <c r="C470" t="s">
        <v>120</v>
      </c>
      <c r="D470">
        <v>8.3000000000000007</v>
      </c>
      <c r="E470">
        <v>7</v>
      </c>
      <c r="F470" t="s">
        <v>56</v>
      </c>
      <c r="G470">
        <v>4</v>
      </c>
      <c r="H470">
        <v>0.6</v>
      </c>
      <c r="I470" t="s">
        <v>121</v>
      </c>
      <c r="J470" t="s">
        <v>122</v>
      </c>
      <c r="K470" t="s">
        <v>141</v>
      </c>
      <c r="L470" t="s">
        <v>152</v>
      </c>
      <c r="M470" t="s">
        <v>113</v>
      </c>
      <c r="N470">
        <v>28</v>
      </c>
      <c r="O470" t="s">
        <v>126</v>
      </c>
      <c r="P470">
        <v>10</v>
      </c>
      <c r="Q470" t="s">
        <v>115</v>
      </c>
      <c r="R470" t="s">
        <v>116</v>
      </c>
      <c r="S470" t="s">
        <v>127</v>
      </c>
    </row>
    <row r="471" spans="1:19" x14ac:dyDescent="0.35">
      <c r="A471" t="s">
        <v>681</v>
      </c>
      <c r="B471" t="s">
        <v>119</v>
      </c>
      <c r="C471" t="s">
        <v>120</v>
      </c>
      <c r="D471">
        <v>2.4</v>
      </c>
      <c r="E471">
        <v>22</v>
      </c>
      <c r="F471" t="s">
        <v>65</v>
      </c>
      <c r="G471">
        <v>11</v>
      </c>
      <c r="H471">
        <v>0.9</v>
      </c>
      <c r="I471" t="s">
        <v>156</v>
      </c>
      <c r="J471" t="s">
        <v>203</v>
      </c>
      <c r="K471" t="s">
        <v>141</v>
      </c>
      <c r="L471" t="s">
        <v>124</v>
      </c>
      <c r="M471" t="s">
        <v>159</v>
      </c>
      <c r="N471">
        <v>219</v>
      </c>
      <c r="O471" t="s">
        <v>126</v>
      </c>
      <c r="P471">
        <v>2</v>
      </c>
      <c r="Q471" t="s">
        <v>115</v>
      </c>
      <c r="R471" t="s">
        <v>116</v>
      </c>
      <c r="S471" t="s">
        <v>193</v>
      </c>
    </row>
    <row r="472" spans="1:19" x14ac:dyDescent="0.35">
      <c r="A472" t="s">
        <v>682</v>
      </c>
      <c r="B472" t="s">
        <v>161</v>
      </c>
      <c r="C472" t="s">
        <v>166</v>
      </c>
      <c r="D472">
        <v>133.9</v>
      </c>
      <c r="E472">
        <v>41</v>
      </c>
      <c r="F472" t="s">
        <v>63</v>
      </c>
      <c r="G472">
        <v>7</v>
      </c>
      <c r="H472">
        <v>0.4</v>
      </c>
      <c r="I472" t="s">
        <v>205</v>
      </c>
      <c r="J472" t="s">
        <v>206</v>
      </c>
      <c r="K472" t="s">
        <v>133</v>
      </c>
      <c r="L472" t="s">
        <v>164</v>
      </c>
      <c r="M472" t="s">
        <v>113</v>
      </c>
      <c r="N472">
        <v>14</v>
      </c>
      <c r="O472" t="s">
        <v>126</v>
      </c>
      <c r="P472">
        <v>10</v>
      </c>
      <c r="Q472" t="s">
        <v>135</v>
      </c>
      <c r="R472" t="s">
        <v>116</v>
      </c>
      <c r="S472" t="s">
        <v>136</v>
      </c>
    </row>
    <row r="473" spans="1:19" x14ac:dyDescent="0.35">
      <c r="A473" t="s">
        <v>683</v>
      </c>
      <c r="B473" t="s">
        <v>138</v>
      </c>
      <c r="C473" t="s">
        <v>120</v>
      </c>
      <c r="D473">
        <v>6.7</v>
      </c>
      <c r="E473">
        <v>12</v>
      </c>
      <c r="F473" t="s">
        <v>63</v>
      </c>
      <c r="G473">
        <v>7</v>
      </c>
      <c r="H473">
        <v>1.1000000000000001</v>
      </c>
      <c r="I473" t="s">
        <v>205</v>
      </c>
      <c r="J473" t="s">
        <v>236</v>
      </c>
      <c r="K473" t="s">
        <v>146</v>
      </c>
      <c r="L473" t="s">
        <v>141</v>
      </c>
      <c r="M473" t="s">
        <v>113</v>
      </c>
      <c r="N473">
        <v>5</v>
      </c>
      <c r="O473" t="s">
        <v>126</v>
      </c>
      <c r="P473">
        <v>11</v>
      </c>
      <c r="Q473" t="s">
        <v>214</v>
      </c>
      <c r="R473" t="s">
        <v>116</v>
      </c>
      <c r="S473" t="s">
        <v>127</v>
      </c>
    </row>
    <row r="474" spans="1:19" x14ac:dyDescent="0.35">
      <c r="A474" t="s">
        <v>684</v>
      </c>
      <c r="B474" t="s">
        <v>107</v>
      </c>
      <c r="C474" t="s">
        <v>120</v>
      </c>
      <c r="D474">
        <v>2.7</v>
      </c>
      <c r="E474">
        <v>12</v>
      </c>
      <c r="F474" t="s">
        <v>66</v>
      </c>
      <c r="G474">
        <v>6</v>
      </c>
      <c r="H474">
        <v>0.9</v>
      </c>
      <c r="I474" t="s">
        <v>130</v>
      </c>
      <c r="J474" t="s">
        <v>262</v>
      </c>
      <c r="K474" t="s">
        <v>112</v>
      </c>
      <c r="L474" t="s">
        <v>171</v>
      </c>
      <c r="M474" t="s">
        <v>159</v>
      </c>
      <c r="N474">
        <v>303</v>
      </c>
      <c r="O474" t="s">
        <v>126</v>
      </c>
      <c r="P474">
        <v>1</v>
      </c>
      <c r="Q474" t="s">
        <v>115</v>
      </c>
      <c r="R474" t="s">
        <v>168</v>
      </c>
      <c r="S474" t="s">
        <v>142</v>
      </c>
    </row>
    <row r="475" spans="1:19" x14ac:dyDescent="0.35">
      <c r="A475" t="s">
        <v>685</v>
      </c>
      <c r="B475" t="s">
        <v>218</v>
      </c>
      <c r="C475" t="s">
        <v>120</v>
      </c>
      <c r="D475">
        <v>9.5</v>
      </c>
      <c r="E475">
        <v>28</v>
      </c>
      <c r="F475" t="s">
        <v>65</v>
      </c>
      <c r="G475">
        <v>3</v>
      </c>
      <c r="H475">
        <v>0.6</v>
      </c>
      <c r="I475" t="s">
        <v>144</v>
      </c>
      <c r="J475" t="s">
        <v>145</v>
      </c>
      <c r="K475" t="s">
        <v>141</v>
      </c>
      <c r="L475" t="s">
        <v>152</v>
      </c>
      <c r="M475" t="s">
        <v>134</v>
      </c>
      <c r="N475">
        <v>94</v>
      </c>
      <c r="O475" t="s">
        <v>201</v>
      </c>
      <c r="P475">
        <v>4</v>
      </c>
      <c r="Q475" t="s">
        <v>115</v>
      </c>
      <c r="R475" t="s">
        <v>116</v>
      </c>
      <c r="S475" t="s">
        <v>127</v>
      </c>
    </row>
    <row r="476" spans="1:19" x14ac:dyDescent="0.35">
      <c r="A476" t="s">
        <v>686</v>
      </c>
      <c r="B476" t="s">
        <v>155</v>
      </c>
      <c r="C476" t="s">
        <v>120</v>
      </c>
      <c r="D476">
        <v>2.9</v>
      </c>
      <c r="E476">
        <v>27</v>
      </c>
      <c r="F476" t="s">
        <v>60</v>
      </c>
      <c r="G476">
        <v>7</v>
      </c>
      <c r="H476">
        <v>0.5</v>
      </c>
      <c r="I476" t="s">
        <v>173</v>
      </c>
      <c r="J476" t="s">
        <v>174</v>
      </c>
      <c r="K476" t="s">
        <v>195</v>
      </c>
      <c r="L476" t="s">
        <v>158</v>
      </c>
      <c r="M476" t="s">
        <v>113</v>
      </c>
      <c r="N476">
        <v>17</v>
      </c>
      <c r="O476" t="s">
        <v>126</v>
      </c>
      <c r="P476">
        <v>10</v>
      </c>
      <c r="Q476" t="s">
        <v>115</v>
      </c>
      <c r="R476" t="s">
        <v>153</v>
      </c>
      <c r="S476" t="s">
        <v>169</v>
      </c>
    </row>
    <row r="477" spans="1:19" x14ac:dyDescent="0.35">
      <c r="A477" t="s">
        <v>687</v>
      </c>
      <c r="B477" t="s">
        <v>129</v>
      </c>
      <c r="C477" t="s">
        <v>120</v>
      </c>
      <c r="D477">
        <v>1.1000000000000001</v>
      </c>
      <c r="E477">
        <v>13</v>
      </c>
      <c r="F477" t="s">
        <v>56</v>
      </c>
      <c r="G477">
        <v>6</v>
      </c>
      <c r="H477">
        <v>1.3</v>
      </c>
      <c r="I477" t="s">
        <v>130</v>
      </c>
      <c r="J477" t="s">
        <v>131</v>
      </c>
      <c r="K477" t="s">
        <v>133</v>
      </c>
      <c r="L477" t="s">
        <v>132</v>
      </c>
      <c r="M477" t="s">
        <v>134</v>
      </c>
      <c r="N477">
        <v>72</v>
      </c>
      <c r="O477" t="s">
        <v>126</v>
      </c>
      <c r="P477">
        <v>6</v>
      </c>
      <c r="Q477" t="s">
        <v>115</v>
      </c>
      <c r="R477" t="s">
        <v>116</v>
      </c>
      <c r="S477" t="s">
        <v>169</v>
      </c>
    </row>
    <row r="478" spans="1:19" x14ac:dyDescent="0.35">
      <c r="A478" t="s">
        <v>688</v>
      </c>
      <c r="B478" t="s">
        <v>138</v>
      </c>
      <c r="C478" t="s">
        <v>120</v>
      </c>
      <c r="D478">
        <v>3.8</v>
      </c>
      <c r="E478">
        <v>29</v>
      </c>
      <c r="F478" t="s">
        <v>65</v>
      </c>
      <c r="G478">
        <v>8</v>
      </c>
      <c r="H478">
        <v>1.3</v>
      </c>
      <c r="I478" t="s">
        <v>144</v>
      </c>
      <c r="J478" t="s">
        <v>145</v>
      </c>
      <c r="K478" t="s">
        <v>141</v>
      </c>
      <c r="L478" t="s">
        <v>111</v>
      </c>
      <c r="M478" t="s">
        <v>113</v>
      </c>
      <c r="N478">
        <v>21</v>
      </c>
      <c r="O478" t="s">
        <v>114</v>
      </c>
      <c r="P478">
        <v>9</v>
      </c>
      <c r="Q478" t="s">
        <v>115</v>
      </c>
      <c r="R478" t="s">
        <v>116</v>
      </c>
      <c r="S478" t="s">
        <v>179</v>
      </c>
    </row>
    <row r="479" spans="1:19" x14ac:dyDescent="0.35">
      <c r="A479" t="s">
        <v>689</v>
      </c>
      <c r="B479" t="s">
        <v>184</v>
      </c>
      <c r="C479" t="s">
        <v>120</v>
      </c>
      <c r="D479">
        <v>5.0999999999999996</v>
      </c>
      <c r="E479">
        <v>19</v>
      </c>
      <c r="F479" t="s">
        <v>63</v>
      </c>
      <c r="G479">
        <v>4</v>
      </c>
      <c r="H479">
        <v>1</v>
      </c>
      <c r="I479" t="s">
        <v>150</v>
      </c>
      <c r="J479" t="s">
        <v>244</v>
      </c>
      <c r="K479" t="s">
        <v>124</v>
      </c>
      <c r="L479" t="s">
        <v>192</v>
      </c>
      <c r="M479" t="s">
        <v>113</v>
      </c>
      <c r="N479">
        <v>20</v>
      </c>
      <c r="O479" t="s">
        <v>126</v>
      </c>
      <c r="P479">
        <v>13</v>
      </c>
      <c r="Q479" t="s">
        <v>115</v>
      </c>
      <c r="R479" t="s">
        <v>153</v>
      </c>
      <c r="S479" t="s">
        <v>127</v>
      </c>
    </row>
    <row r="480" spans="1:19" x14ac:dyDescent="0.35">
      <c r="A480" t="s">
        <v>690</v>
      </c>
      <c r="B480" t="s">
        <v>149</v>
      </c>
      <c r="C480" t="s">
        <v>108</v>
      </c>
      <c r="D480">
        <v>38.200000000000003</v>
      </c>
      <c r="E480">
        <v>23</v>
      </c>
      <c r="F480" t="s">
        <v>66</v>
      </c>
      <c r="G480">
        <v>2</v>
      </c>
      <c r="H480">
        <v>0.5</v>
      </c>
      <c r="I480" t="s">
        <v>121</v>
      </c>
      <c r="J480" t="s">
        <v>122</v>
      </c>
      <c r="K480" t="s">
        <v>152</v>
      </c>
      <c r="L480" t="s">
        <v>211</v>
      </c>
      <c r="M480" t="s">
        <v>125</v>
      </c>
      <c r="N480">
        <v>267</v>
      </c>
      <c r="O480" t="s">
        <v>114</v>
      </c>
      <c r="P480">
        <v>0</v>
      </c>
      <c r="Q480" t="s">
        <v>115</v>
      </c>
      <c r="R480" t="s">
        <v>153</v>
      </c>
      <c r="S480" t="s">
        <v>169</v>
      </c>
    </row>
    <row r="481" spans="1:19" x14ac:dyDescent="0.35">
      <c r="A481" t="s">
        <v>691</v>
      </c>
      <c r="B481" t="s">
        <v>149</v>
      </c>
      <c r="C481" t="s">
        <v>120</v>
      </c>
      <c r="D481">
        <v>7.1</v>
      </c>
      <c r="E481">
        <v>20</v>
      </c>
      <c r="F481" t="s">
        <v>60</v>
      </c>
      <c r="G481">
        <v>12</v>
      </c>
      <c r="H481">
        <v>0.5</v>
      </c>
      <c r="I481" t="s">
        <v>246</v>
      </c>
      <c r="J481" t="s">
        <v>250</v>
      </c>
      <c r="K481" t="s">
        <v>123</v>
      </c>
      <c r="L481" t="s">
        <v>211</v>
      </c>
      <c r="M481" t="s">
        <v>134</v>
      </c>
      <c r="N481">
        <v>71</v>
      </c>
      <c r="O481" t="s">
        <v>126</v>
      </c>
      <c r="P481">
        <v>5</v>
      </c>
      <c r="Q481" t="s">
        <v>115</v>
      </c>
      <c r="R481" t="s">
        <v>65</v>
      </c>
      <c r="S481" t="s">
        <v>127</v>
      </c>
    </row>
    <row r="482" spans="1:19" x14ac:dyDescent="0.35">
      <c r="A482" t="s">
        <v>692</v>
      </c>
      <c r="B482" t="s">
        <v>129</v>
      </c>
      <c r="C482" t="s">
        <v>108</v>
      </c>
      <c r="D482">
        <v>40.9</v>
      </c>
      <c r="E482">
        <v>40</v>
      </c>
      <c r="F482" t="s">
        <v>60</v>
      </c>
      <c r="G482">
        <v>13</v>
      </c>
      <c r="H482">
        <v>0.4</v>
      </c>
      <c r="I482" t="s">
        <v>144</v>
      </c>
      <c r="J482" t="s">
        <v>145</v>
      </c>
      <c r="K482" t="s">
        <v>133</v>
      </c>
      <c r="L482" t="s">
        <v>132</v>
      </c>
      <c r="M482" t="s">
        <v>134</v>
      </c>
      <c r="N482">
        <v>88</v>
      </c>
      <c r="O482" t="s">
        <v>126</v>
      </c>
      <c r="P482">
        <v>3</v>
      </c>
      <c r="Q482" t="s">
        <v>115</v>
      </c>
      <c r="R482" t="s">
        <v>116</v>
      </c>
      <c r="S482" t="s">
        <v>136</v>
      </c>
    </row>
    <row r="483" spans="1:19" x14ac:dyDescent="0.35">
      <c r="A483" t="s">
        <v>693</v>
      </c>
      <c r="B483" t="s">
        <v>161</v>
      </c>
      <c r="C483" t="s">
        <v>120</v>
      </c>
      <c r="D483">
        <v>4.4000000000000004</v>
      </c>
      <c r="E483">
        <v>9</v>
      </c>
      <c r="F483" t="s">
        <v>56</v>
      </c>
      <c r="G483">
        <v>3</v>
      </c>
      <c r="H483">
        <v>0.5</v>
      </c>
      <c r="I483" t="s">
        <v>246</v>
      </c>
      <c r="J483" t="s">
        <v>264</v>
      </c>
      <c r="K483" t="s">
        <v>133</v>
      </c>
      <c r="L483" t="s">
        <v>182</v>
      </c>
      <c r="M483" t="s">
        <v>113</v>
      </c>
      <c r="N483">
        <v>19</v>
      </c>
      <c r="O483" t="s">
        <v>126</v>
      </c>
      <c r="P483">
        <v>14</v>
      </c>
      <c r="Q483" t="s">
        <v>135</v>
      </c>
      <c r="R483" t="s">
        <v>168</v>
      </c>
      <c r="S483" t="s">
        <v>136</v>
      </c>
    </row>
    <row r="484" spans="1:19" x14ac:dyDescent="0.35">
      <c r="A484" t="s">
        <v>694</v>
      </c>
      <c r="B484" t="s">
        <v>107</v>
      </c>
      <c r="C484" t="s">
        <v>120</v>
      </c>
      <c r="D484">
        <v>1.3</v>
      </c>
      <c r="E484">
        <v>27</v>
      </c>
      <c r="F484" t="s">
        <v>58</v>
      </c>
      <c r="G484">
        <v>6</v>
      </c>
      <c r="H484">
        <v>1</v>
      </c>
      <c r="I484" t="s">
        <v>205</v>
      </c>
      <c r="J484" t="s">
        <v>298</v>
      </c>
      <c r="K484" t="s">
        <v>112</v>
      </c>
      <c r="L484" t="s">
        <v>111</v>
      </c>
      <c r="M484" t="s">
        <v>113</v>
      </c>
      <c r="N484">
        <v>25</v>
      </c>
      <c r="O484" t="s">
        <v>126</v>
      </c>
      <c r="P484">
        <v>13</v>
      </c>
      <c r="Q484" t="s">
        <v>115</v>
      </c>
      <c r="R484" t="s">
        <v>65</v>
      </c>
      <c r="S484" t="s">
        <v>142</v>
      </c>
    </row>
    <row r="485" spans="1:19" x14ac:dyDescent="0.35">
      <c r="A485" t="s">
        <v>695</v>
      </c>
      <c r="B485" t="s">
        <v>189</v>
      </c>
      <c r="C485" t="s">
        <v>120</v>
      </c>
      <c r="D485">
        <v>3.4</v>
      </c>
      <c r="E485">
        <v>25</v>
      </c>
      <c r="F485" t="s">
        <v>56</v>
      </c>
      <c r="G485">
        <v>9</v>
      </c>
      <c r="H485">
        <v>0.9</v>
      </c>
      <c r="I485" t="s">
        <v>246</v>
      </c>
      <c r="J485" t="s">
        <v>250</v>
      </c>
      <c r="K485" t="s">
        <v>182</v>
      </c>
      <c r="L485" t="s">
        <v>209</v>
      </c>
      <c r="M485" t="s">
        <v>113</v>
      </c>
      <c r="N485">
        <v>7</v>
      </c>
      <c r="O485" t="s">
        <v>114</v>
      </c>
      <c r="P485">
        <v>12</v>
      </c>
      <c r="Q485" t="s">
        <v>135</v>
      </c>
      <c r="R485" t="s">
        <v>168</v>
      </c>
      <c r="S485" t="s">
        <v>179</v>
      </c>
    </row>
    <row r="486" spans="1:19" x14ac:dyDescent="0.35">
      <c r="A486" t="s">
        <v>696</v>
      </c>
      <c r="B486" t="s">
        <v>218</v>
      </c>
      <c r="C486" t="s">
        <v>120</v>
      </c>
      <c r="D486">
        <v>2.1</v>
      </c>
      <c r="E486">
        <v>12</v>
      </c>
      <c r="F486" t="s">
        <v>65</v>
      </c>
      <c r="G486">
        <v>3</v>
      </c>
      <c r="H486">
        <v>0.9</v>
      </c>
      <c r="I486" t="s">
        <v>139</v>
      </c>
      <c r="J486" t="s">
        <v>140</v>
      </c>
      <c r="K486" t="s">
        <v>277</v>
      </c>
      <c r="L486" t="s">
        <v>141</v>
      </c>
      <c r="M486" t="s">
        <v>113</v>
      </c>
      <c r="N486">
        <v>30</v>
      </c>
      <c r="O486" t="s">
        <v>126</v>
      </c>
      <c r="P486">
        <v>15</v>
      </c>
      <c r="Q486" t="s">
        <v>115</v>
      </c>
      <c r="R486" t="s">
        <v>153</v>
      </c>
      <c r="S486" t="s">
        <v>117</v>
      </c>
    </row>
    <row r="487" spans="1:19" x14ac:dyDescent="0.35">
      <c r="A487" t="s">
        <v>697</v>
      </c>
      <c r="B487" t="s">
        <v>218</v>
      </c>
      <c r="C487" t="s">
        <v>120</v>
      </c>
      <c r="D487">
        <v>7.1</v>
      </c>
      <c r="E487">
        <v>26</v>
      </c>
      <c r="F487" t="s">
        <v>66</v>
      </c>
      <c r="G487">
        <v>7</v>
      </c>
      <c r="H487">
        <v>0.6</v>
      </c>
      <c r="I487" t="s">
        <v>156</v>
      </c>
      <c r="J487" t="s">
        <v>157</v>
      </c>
      <c r="K487" t="s">
        <v>277</v>
      </c>
      <c r="L487" t="s">
        <v>152</v>
      </c>
      <c r="M487" t="s">
        <v>134</v>
      </c>
      <c r="N487">
        <v>69</v>
      </c>
      <c r="O487" t="s">
        <v>114</v>
      </c>
      <c r="P487">
        <v>5</v>
      </c>
      <c r="Q487" t="s">
        <v>135</v>
      </c>
      <c r="R487" t="s">
        <v>116</v>
      </c>
      <c r="S487" t="s">
        <v>127</v>
      </c>
    </row>
    <row r="488" spans="1:19" x14ac:dyDescent="0.35">
      <c r="A488" t="s">
        <v>698</v>
      </c>
      <c r="B488" t="s">
        <v>129</v>
      </c>
      <c r="C488" t="s">
        <v>108</v>
      </c>
      <c r="D488">
        <v>19.100000000000001</v>
      </c>
      <c r="E488">
        <v>39</v>
      </c>
      <c r="F488" t="s">
        <v>66</v>
      </c>
      <c r="G488">
        <v>4</v>
      </c>
      <c r="H488">
        <v>0.6</v>
      </c>
      <c r="I488" t="s">
        <v>205</v>
      </c>
      <c r="J488" t="s">
        <v>206</v>
      </c>
      <c r="K488" t="s">
        <v>132</v>
      </c>
      <c r="L488" t="s">
        <v>133</v>
      </c>
      <c r="M488" t="s">
        <v>159</v>
      </c>
      <c r="N488">
        <v>237</v>
      </c>
      <c r="O488" t="s">
        <v>114</v>
      </c>
      <c r="P488">
        <v>1</v>
      </c>
      <c r="Q488" t="s">
        <v>115</v>
      </c>
      <c r="R488" t="s">
        <v>116</v>
      </c>
      <c r="S488" t="s">
        <v>142</v>
      </c>
    </row>
    <row r="489" spans="1:19" x14ac:dyDescent="0.35">
      <c r="A489" t="s">
        <v>699</v>
      </c>
      <c r="B489" t="s">
        <v>119</v>
      </c>
      <c r="C489" t="s">
        <v>108</v>
      </c>
      <c r="D489">
        <v>28</v>
      </c>
      <c r="E489">
        <v>36</v>
      </c>
      <c r="F489" t="s">
        <v>58</v>
      </c>
      <c r="G489">
        <v>12</v>
      </c>
      <c r="H489">
        <v>0.7</v>
      </c>
      <c r="I489" t="s">
        <v>156</v>
      </c>
      <c r="J489" t="s">
        <v>203</v>
      </c>
      <c r="K489" t="s">
        <v>141</v>
      </c>
      <c r="L489" t="s">
        <v>123</v>
      </c>
      <c r="M489" t="s">
        <v>113</v>
      </c>
      <c r="N489">
        <v>29</v>
      </c>
      <c r="O489" t="s">
        <v>201</v>
      </c>
      <c r="P489">
        <v>15</v>
      </c>
      <c r="Q489" t="s">
        <v>115</v>
      </c>
      <c r="R489" t="s">
        <v>153</v>
      </c>
      <c r="S489" t="s">
        <v>147</v>
      </c>
    </row>
    <row r="490" spans="1:19" x14ac:dyDescent="0.35">
      <c r="A490" t="s">
        <v>700</v>
      </c>
      <c r="B490" t="s">
        <v>155</v>
      </c>
      <c r="C490" t="s">
        <v>120</v>
      </c>
      <c r="D490">
        <v>3.9</v>
      </c>
      <c r="E490">
        <v>27</v>
      </c>
      <c r="F490" t="s">
        <v>56</v>
      </c>
      <c r="G490">
        <v>6</v>
      </c>
      <c r="H490">
        <v>0.1</v>
      </c>
      <c r="I490" t="s">
        <v>185</v>
      </c>
      <c r="J490" t="s">
        <v>311</v>
      </c>
      <c r="K490" t="s">
        <v>112</v>
      </c>
      <c r="L490" t="s">
        <v>158</v>
      </c>
      <c r="M490" t="s">
        <v>134</v>
      </c>
      <c r="N490">
        <v>93</v>
      </c>
      <c r="O490" t="s">
        <v>126</v>
      </c>
      <c r="P490">
        <v>5</v>
      </c>
      <c r="Q490" t="s">
        <v>135</v>
      </c>
      <c r="R490" t="s">
        <v>168</v>
      </c>
      <c r="S490" t="s">
        <v>193</v>
      </c>
    </row>
    <row r="491" spans="1:19" x14ac:dyDescent="0.35">
      <c r="A491" t="s">
        <v>701</v>
      </c>
      <c r="B491" t="s">
        <v>119</v>
      </c>
      <c r="C491" t="s">
        <v>120</v>
      </c>
      <c r="D491">
        <v>6.3</v>
      </c>
      <c r="E491">
        <v>14</v>
      </c>
      <c r="F491" t="s">
        <v>65</v>
      </c>
      <c r="G491">
        <v>10</v>
      </c>
      <c r="H491">
        <v>0.7</v>
      </c>
      <c r="I491" t="s">
        <v>130</v>
      </c>
      <c r="J491" t="s">
        <v>262</v>
      </c>
      <c r="K491" t="s">
        <v>141</v>
      </c>
      <c r="L491" t="s">
        <v>123</v>
      </c>
      <c r="M491" t="s">
        <v>159</v>
      </c>
      <c r="N491">
        <v>185</v>
      </c>
      <c r="O491" t="s">
        <v>126</v>
      </c>
      <c r="P491">
        <v>2</v>
      </c>
      <c r="Q491" t="s">
        <v>115</v>
      </c>
      <c r="R491" t="s">
        <v>153</v>
      </c>
      <c r="S491" t="s">
        <v>169</v>
      </c>
    </row>
    <row r="492" spans="1:19" x14ac:dyDescent="0.35">
      <c r="A492" t="s">
        <v>702</v>
      </c>
      <c r="B492" t="s">
        <v>155</v>
      </c>
      <c r="C492" t="s">
        <v>120</v>
      </c>
      <c r="D492">
        <v>9.8000000000000007</v>
      </c>
      <c r="E492">
        <v>18</v>
      </c>
      <c r="F492" t="s">
        <v>60</v>
      </c>
      <c r="G492">
        <v>2</v>
      </c>
      <c r="H492">
        <v>1.1000000000000001</v>
      </c>
      <c r="I492" t="s">
        <v>121</v>
      </c>
      <c r="J492" t="s">
        <v>255</v>
      </c>
      <c r="K492" t="s">
        <v>195</v>
      </c>
      <c r="L492" t="s">
        <v>112</v>
      </c>
      <c r="M492" t="s">
        <v>113</v>
      </c>
      <c r="N492">
        <v>15</v>
      </c>
      <c r="O492" t="s">
        <v>201</v>
      </c>
      <c r="P492">
        <v>11</v>
      </c>
      <c r="Q492" t="s">
        <v>214</v>
      </c>
      <c r="R492" t="s">
        <v>116</v>
      </c>
      <c r="S492" t="s">
        <v>127</v>
      </c>
    </row>
    <row r="493" spans="1:19" x14ac:dyDescent="0.35">
      <c r="A493" t="s">
        <v>703</v>
      </c>
      <c r="B493" t="s">
        <v>189</v>
      </c>
      <c r="C493" t="s">
        <v>120</v>
      </c>
      <c r="D493">
        <v>2.1</v>
      </c>
      <c r="E493">
        <v>25</v>
      </c>
      <c r="F493" t="s">
        <v>58</v>
      </c>
      <c r="G493">
        <v>4</v>
      </c>
      <c r="H493">
        <v>0.6</v>
      </c>
      <c r="I493" t="s">
        <v>130</v>
      </c>
      <c r="J493" t="s">
        <v>258</v>
      </c>
      <c r="K493" t="s">
        <v>209</v>
      </c>
      <c r="L493" t="s">
        <v>190</v>
      </c>
      <c r="M493" t="s">
        <v>113</v>
      </c>
      <c r="N493">
        <v>23</v>
      </c>
      <c r="O493" t="s">
        <v>126</v>
      </c>
      <c r="P493">
        <v>15</v>
      </c>
      <c r="Q493" t="s">
        <v>135</v>
      </c>
      <c r="R493" t="s">
        <v>65</v>
      </c>
      <c r="S493" t="s">
        <v>117</v>
      </c>
    </row>
    <row r="494" spans="1:19" x14ac:dyDescent="0.35">
      <c r="A494" t="s">
        <v>704</v>
      </c>
      <c r="B494" t="s">
        <v>161</v>
      </c>
      <c r="C494" t="s">
        <v>120</v>
      </c>
      <c r="D494">
        <v>4</v>
      </c>
      <c r="E494">
        <v>8</v>
      </c>
      <c r="F494" t="s">
        <v>58</v>
      </c>
      <c r="G494">
        <v>4</v>
      </c>
      <c r="H494">
        <v>1.5</v>
      </c>
      <c r="I494" t="s">
        <v>156</v>
      </c>
      <c r="J494" t="s">
        <v>203</v>
      </c>
      <c r="K494" t="s">
        <v>133</v>
      </c>
      <c r="L494" t="s">
        <v>164</v>
      </c>
      <c r="M494" t="s">
        <v>134</v>
      </c>
      <c r="N494">
        <v>81</v>
      </c>
      <c r="O494" t="s">
        <v>126</v>
      </c>
      <c r="P494">
        <v>3</v>
      </c>
      <c r="Q494" t="s">
        <v>115</v>
      </c>
      <c r="R494" t="s">
        <v>168</v>
      </c>
      <c r="S494" t="s">
        <v>147</v>
      </c>
    </row>
    <row r="495" spans="1:19" x14ac:dyDescent="0.35">
      <c r="A495" t="s">
        <v>705</v>
      </c>
      <c r="B495" t="s">
        <v>119</v>
      </c>
      <c r="C495" t="s">
        <v>120</v>
      </c>
      <c r="D495">
        <v>4.5999999999999996</v>
      </c>
      <c r="E495">
        <v>6</v>
      </c>
      <c r="F495" t="s">
        <v>63</v>
      </c>
      <c r="G495">
        <v>9</v>
      </c>
      <c r="H495">
        <v>1.1000000000000001</v>
      </c>
      <c r="I495" t="s">
        <v>150</v>
      </c>
      <c r="J495" t="s">
        <v>151</v>
      </c>
      <c r="K495" t="s">
        <v>141</v>
      </c>
      <c r="L495" t="s">
        <v>124</v>
      </c>
      <c r="M495" t="s">
        <v>113</v>
      </c>
      <c r="N495">
        <v>23</v>
      </c>
      <c r="O495" t="s">
        <v>114</v>
      </c>
      <c r="P495">
        <v>9</v>
      </c>
      <c r="Q495" t="s">
        <v>115</v>
      </c>
      <c r="R495" t="s">
        <v>65</v>
      </c>
      <c r="S495" t="s">
        <v>169</v>
      </c>
    </row>
    <row r="496" spans="1:19" x14ac:dyDescent="0.35">
      <c r="A496" t="s">
        <v>706</v>
      </c>
      <c r="B496" t="s">
        <v>149</v>
      </c>
      <c r="C496" t="s">
        <v>108</v>
      </c>
      <c r="D496">
        <v>25.4</v>
      </c>
      <c r="E496">
        <v>38</v>
      </c>
      <c r="F496" t="s">
        <v>66</v>
      </c>
      <c r="G496">
        <v>10</v>
      </c>
      <c r="H496">
        <v>0.6</v>
      </c>
      <c r="I496" t="s">
        <v>144</v>
      </c>
      <c r="J496" t="s">
        <v>269</v>
      </c>
      <c r="K496" t="s">
        <v>211</v>
      </c>
      <c r="L496" t="s">
        <v>152</v>
      </c>
      <c r="M496" t="s">
        <v>113</v>
      </c>
      <c r="N496">
        <v>23</v>
      </c>
      <c r="O496" t="s">
        <v>126</v>
      </c>
      <c r="P496">
        <v>13</v>
      </c>
      <c r="Q496" t="s">
        <v>115</v>
      </c>
      <c r="R496" t="s">
        <v>153</v>
      </c>
      <c r="S496" t="s">
        <v>136</v>
      </c>
    </row>
    <row r="497" spans="1:19" x14ac:dyDescent="0.35">
      <c r="A497" t="s">
        <v>707</v>
      </c>
      <c r="B497" t="s">
        <v>149</v>
      </c>
      <c r="C497" t="s">
        <v>120</v>
      </c>
      <c r="D497">
        <v>6.7</v>
      </c>
      <c r="E497">
        <v>12</v>
      </c>
      <c r="F497" t="s">
        <v>60</v>
      </c>
      <c r="G497">
        <v>9</v>
      </c>
      <c r="H497">
        <v>0</v>
      </c>
      <c r="I497" t="s">
        <v>173</v>
      </c>
      <c r="J497" t="s">
        <v>216</v>
      </c>
      <c r="K497" t="s">
        <v>123</v>
      </c>
      <c r="L497" t="s">
        <v>211</v>
      </c>
      <c r="M497" t="s">
        <v>113</v>
      </c>
      <c r="N497">
        <v>29</v>
      </c>
      <c r="O497" t="s">
        <v>126</v>
      </c>
      <c r="P497">
        <v>10</v>
      </c>
      <c r="Q497" t="s">
        <v>214</v>
      </c>
      <c r="R497" t="s">
        <v>116</v>
      </c>
      <c r="S497" t="s">
        <v>142</v>
      </c>
    </row>
    <row r="498" spans="1:19" x14ac:dyDescent="0.35">
      <c r="A498" t="s">
        <v>708</v>
      </c>
      <c r="B498" t="s">
        <v>119</v>
      </c>
      <c r="C498" t="s">
        <v>120</v>
      </c>
      <c r="D498">
        <v>1.2</v>
      </c>
      <c r="E498">
        <v>8</v>
      </c>
      <c r="F498" t="s">
        <v>66</v>
      </c>
      <c r="G498">
        <v>2</v>
      </c>
      <c r="H498">
        <v>1.2</v>
      </c>
      <c r="I498" t="s">
        <v>109</v>
      </c>
      <c r="J498" t="s">
        <v>181</v>
      </c>
      <c r="K498" t="s">
        <v>141</v>
      </c>
      <c r="L498" t="s">
        <v>123</v>
      </c>
      <c r="M498" t="s">
        <v>113</v>
      </c>
      <c r="N498">
        <v>10</v>
      </c>
      <c r="O498" t="s">
        <v>126</v>
      </c>
      <c r="P498">
        <v>10</v>
      </c>
      <c r="Q498" t="s">
        <v>214</v>
      </c>
      <c r="R498" t="s">
        <v>116</v>
      </c>
      <c r="S498" t="s">
        <v>117</v>
      </c>
    </row>
    <row r="499" spans="1:19" x14ac:dyDescent="0.35">
      <c r="A499" t="s">
        <v>709</v>
      </c>
      <c r="B499" t="s">
        <v>176</v>
      </c>
      <c r="C499" t="s">
        <v>120</v>
      </c>
      <c r="D499">
        <v>1.5</v>
      </c>
      <c r="E499">
        <v>13</v>
      </c>
      <c r="F499" t="s">
        <v>60</v>
      </c>
      <c r="G499">
        <v>2</v>
      </c>
      <c r="H499">
        <v>0.5</v>
      </c>
      <c r="I499" t="s">
        <v>246</v>
      </c>
      <c r="J499" t="s">
        <v>250</v>
      </c>
      <c r="K499" t="s">
        <v>228</v>
      </c>
      <c r="L499" t="s">
        <v>124</v>
      </c>
      <c r="M499" t="s">
        <v>134</v>
      </c>
      <c r="N499">
        <v>71</v>
      </c>
      <c r="O499" t="s">
        <v>114</v>
      </c>
      <c r="P499">
        <v>3</v>
      </c>
      <c r="Q499" t="s">
        <v>135</v>
      </c>
      <c r="R499" t="s">
        <v>116</v>
      </c>
      <c r="S499" t="s">
        <v>193</v>
      </c>
    </row>
    <row r="500" spans="1:19" x14ac:dyDescent="0.35">
      <c r="A500" t="s">
        <v>710</v>
      </c>
      <c r="B500" t="s">
        <v>176</v>
      </c>
      <c r="C500" t="s">
        <v>120</v>
      </c>
      <c r="D500">
        <v>6.2</v>
      </c>
      <c r="E500">
        <v>29</v>
      </c>
      <c r="F500" t="s">
        <v>58</v>
      </c>
      <c r="G500">
        <v>9</v>
      </c>
      <c r="H500">
        <v>1.3</v>
      </c>
      <c r="I500" t="s">
        <v>205</v>
      </c>
      <c r="J500" t="s">
        <v>298</v>
      </c>
      <c r="K500" t="s">
        <v>124</v>
      </c>
      <c r="L500" t="s">
        <v>178</v>
      </c>
      <c r="M500" t="s">
        <v>159</v>
      </c>
      <c r="N500">
        <v>339</v>
      </c>
      <c r="O500" t="s">
        <v>126</v>
      </c>
      <c r="P500">
        <v>2</v>
      </c>
      <c r="Q500" t="s">
        <v>115</v>
      </c>
      <c r="R500" t="s">
        <v>116</v>
      </c>
      <c r="S500" t="s">
        <v>169</v>
      </c>
    </row>
    <row r="501" spans="1:19" x14ac:dyDescent="0.35">
      <c r="A501" t="s">
        <v>711</v>
      </c>
      <c r="B501" t="s">
        <v>184</v>
      </c>
      <c r="C501" t="s">
        <v>120</v>
      </c>
      <c r="D501">
        <v>4.2</v>
      </c>
      <c r="E501">
        <v>22</v>
      </c>
      <c r="F501" t="s">
        <v>58</v>
      </c>
      <c r="G501">
        <v>3</v>
      </c>
      <c r="H501">
        <v>0.7</v>
      </c>
      <c r="I501" t="s">
        <v>139</v>
      </c>
      <c r="J501" t="s">
        <v>239</v>
      </c>
      <c r="K501" t="s">
        <v>124</v>
      </c>
      <c r="L501" t="s">
        <v>192</v>
      </c>
      <c r="M501" t="s">
        <v>113</v>
      </c>
      <c r="N501">
        <v>30</v>
      </c>
      <c r="O501" t="s">
        <v>126</v>
      </c>
      <c r="P501">
        <v>15</v>
      </c>
      <c r="Q501" t="s">
        <v>214</v>
      </c>
      <c r="R501" t="s">
        <v>168</v>
      </c>
      <c r="S501" t="s">
        <v>169</v>
      </c>
    </row>
    <row r="502" spans="1:19" x14ac:dyDescent="0.35">
      <c r="A502" t="s">
        <v>712</v>
      </c>
      <c r="B502" t="s">
        <v>218</v>
      </c>
      <c r="C502" t="s">
        <v>108</v>
      </c>
      <c r="D502">
        <v>10.9</v>
      </c>
      <c r="E502">
        <v>15</v>
      </c>
      <c r="F502" t="s">
        <v>58</v>
      </c>
      <c r="G502">
        <v>6</v>
      </c>
      <c r="H502">
        <v>1.3</v>
      </c>
      <c r="I502" t="s">
        <v>156</v>
      </c>
      <c r="J502" t="s">
        <v>157</v>
      </c>
      <c r="K502" t="s">
        <v>152</v>
      </c>
      <c r="L502" t="s">
        <v>277</v>
      </c>
      <c r="M502" t="s">
        <v>113</v>
      </c>
      <c r="N502">
        <v>11</v>
      </c>
      <c r="O502" t="s">
        <v>126</v>
      </c>
      <c r="P502">
        <v>12</v>
      </c>
      <c r="Q502" t="s">
        <v>115</v>
      </c>
      <c r="R502" t="s">
        <v>153</v>
      </c>
      <c r="S502" t="s">
        <v>147</v>
      </c>
    </row>
    <row r="503" spans="1:19" x14ac:dyDescent="0.35">
      <c r="A503" t="s">
        <v>713</v>
      </c>
      <c r="B503" t="s">
        <v>161</v>
      </c>
      <c r="C503" t="s">
        <v>120</v>
      </c>
      <c r="D503">
        <v>2.6</v>
      </c>
      <c r="E503">
        <v>11</v>
      </c>
      <c r="F503" t="s">
        <v>63</v>
      </c>
      <c r="G503">
        <v>3</v>
      </c>
      <c r="H503">
        <v>1.1000000000000001</v>
      </c>
      <c r="I503" t="s">
        <v>162</v>
      </c>
      <c r="J503" t="s">
        <v>198</v>
      </c>
      <c r="K503" t="s">
        <v>182</v>
      </c>
      <c r="L503" t="s">
        <v>164</v>
      </c>
      <c r="M503" t="s">
        <v>113</v>
      </c>
      <c r="N503">
        <v>30</v>
      </c>
      <c r="O503" t="s">
        <v>126</v>
      </c>
      <c r="P503">
        <v>9</v>
      </c>
      <c r="Q503" t="s">
        <v>115</v>
      </c>
      <c r="R503" t="s">
        <v>65</v>
      </c>
      <c r="S503" t="s">
        <v>136</v>
      </c>
    </row>
    <row r="504" spans="1:19" x14ac:dyDescent="0.35">
      <c r="A504" t="s">
        <v>714</v>
      </c>
      <c r="B504" t="s">
        <v>197</v>
      </c>
      <c r="C504" t="s">
        <v>108</v>
      </c>
      <c r="D504">
        <v>34.700000000000003</v>
      </c>
      <c r="E504">
        <v>16</v>
      </c>
      <c r="F504" t="s">
        <v>66</v>
      </c>
      <c r="G504">
        <v>10</v>
      </c>
      <c r="H504">
        <v>0.2</v>
      </c>
      <c r="I504" t="s">
        <v>205</v>
      </c>
      <c r="J504" t="s">
        <v>236</v>
      </c>
      <c r="K504" t="s">
        <v>200</v>
      </c>
      <c r="L504" t="s">
        <v>199</v>
      </c>
      <c r="M504" t="s">
        <v>113</v>
      </c>
      <c r="N504">
        <v>10</v>
      </c>
      <c r="O504" t="s">
        <v>126</v>
      </c>
      <c r="P504">
        <v>10</v>
      </c>
      <c r="Q504" t="s">
        <v>115</v>
      </c>
      <c r="R504" t="s">
        <v>168</v>
      </c>
      <c r="S504" t="s">
        <v>136</v>
      </c>
    </row>
    <row r="505" spans="1:19" x14ac:dyDescent="0.35">
      <c r="A505" t="s">
        <v>715</v>
      </c>
      <c r="B505" t="s">
        <v>119</v>
      </c>
      <c r="C505" t="s">
        <v>120</v>
      </c>
      <c r="D505">
        <v>6.4</v>
      </c>
      <c r="E505">
        <v>15</v>
      </c>
      <c r="F505" t="s">
        <v>56</v>
      </c>
      <c r="G505">
        <v>11</v>
      </c>
      <c r="H505">
        <v>0.8</v>
      </c>
      <c r="I505" t="s">
        <v>121</v>
      </c>
      <c r="J505" t="s">
        <v>122</v>
      </c>
      <c r="K505" t="s">
        <v>124</v>
      </c>
      <c r="L505" t="s">
        <v>141</v>
      </c>
      <c r="M505" t="s">
        <v>134</v>
      </c>
      <c r="N505">
        <v>84</v>
      </c>
      <c r="O505" t="s">
        <v>126</v>
      </c>
      <c r="P505">
        <v>4</v>
      </c>
      <c r="Q505" t="s">
        <v>115</v>
      </c>
      <c r="R505" t="s">
        <v>153</v>
      </c>
      <c r="S505" t="s">
        <v>117</v>
      </c>
    </row>
    <row r="506" spans="1:19" x14ac:dyDescent="0.35">
      <c r="A506" t="s">
        <v>716</v>
      </c>
      <c r="B506" t="s">
        <v>138</v>
      </c>
      <c r="C506" t="s">
        <v>108</v>
      </c>
      <c r="D506">
        <v>44.6</v>
      </c>
      <c r="E506">
        <v>37</v>
      </c>
      <c r="F506" t="s">
        <v>63</v>
      </c>
      <c r="G506">
        <v>6</v>
      </c>
      <c r="H506">
        <v>1.3</v>
      </c>
      <c r="I506" t="s">
        <v>246</v>
      </c>
      <c r="J506" t="s">
        <v>264</v>
      </c>
      <c r="K506" t="s">
        <v>146</v>
      </c>
      <c r="L506" t="s">
        <v>111</v>
      </c>
      <c r="M506" t="s">
        <v>113</v>
      </c>
      <c r="N506">
        <v>25</v>
      </c>
      <c r="O506" t="s">
        <v>126</v>
      </c>
      <c r="P506">
        <v>8</v>
      </c>
      <c r="Q506" t="s">
        <v>115</v>
      </c>
      <c r="R506" t="s">
        <v>116</v>
      </c>
      <c r="S506" t="s">
        <v>169</v>
      </c>
    </row>
    <row r="507" spans="1:19" x14ac:dyDescent="0.35">
      <c r="A507" t="s">
        <v>717</v>
      </c>
      <c r="B507" t="s">
        <v>189</v>
      </c>
      <c r="C507" t="s">
        <v>108</v>
      </c>
      <c r="D507">
        <v>11.8</v>
      </c>
      <c r="E507">
        <v>41</v>
      </c>
      <c r="F507" t="s">
        <v>60</v>
      </c>
      <c r="G507">
        <v>12</v>
      </c>
      <c r="H507">
        <v>0.7</v>
      </c>
      <c r="I507" t="s">
        <v>246</v>
      </c>
      <c r="J507" t="s">
        <v>247</v>
      </c>
      <c r="K507" t="s">
        <v>182</v>
      </c>
      <c r="L507" t="s">
        <v>190</v>
      </c>
      <c r="M507" t="s">
        <v>134</v>
      </c>
      <c r="N507">
        <v>76</v>
      </c>
      <c r="O507" t="s">
        <v>114</v>
      </c>
      <c r="P507">
        <v>6</v>
      </c>
      <c r="Q507" t="s">
        <v>115</v>
      </c>
      <c r="R507" t="s">
        <v>153</v>
      </c>
      <c r="S507" t="s">
        <v>117</v>
      </c>
    </row>
    <row r="508" spans="1:19" x14ac:dyDescent="0.35">
      <c r="A508" t="s">
        <v>718</v>
      </c>
      <c r="B508" t="s">
        <v>161</v>
      </c>
      <c r="C508" t="s">
        <v>166</v>
      </c>
      <c r="D508">
        <v>178.1</v>
      </c>
      <c r="E508">
        <v>41</v>
      </c>
      <c r="F508" t="s">
        <v>58</v>
      </c>
      <c r="G508">
        <v>3</v>
      </c>
      <c r="H508">
        <v>0.9</v>
      </c>
      <c r="I508" t="s">
        <v>185</v>
      </c>
      <c r="J508" t="s">
        <v>382</v>
      </c>
      <c r="K508" t="s">
        <v>133</v>
      </c>
      <c r="L508" t="s">
        <v>164</v>
      </c>
      <c r="M508" t="s">
        <v>113</v>
      </c>
      <c r="N508">
        <v>24</v>
      </c>
      <c r="O508" t="s">
        <v>126</v>
      </c>
      <c r="P508">
        <v>14</v>
      </c>
      <c r="Q508" t="s">
        <v>135</v>
      </c>
      <c r="R508" t="s">
        <v>168</v>
      </c>
      <c r="S508" t="s">
        <v>179</v>
      </c>
    </row>
    <row r="509" spans="1:19" x14ac:dyDescent="0.35">
      <c r="A509" t="s">
        <v>719</v>
      </c>
      <c r="B509" t="s">
        <v>218</v>
      </c>
      <c r="C509" t="s">
        <v>120</v>
      </c>
      <c r="D509">
        <v>6.2</v>
      </c>
      <c r="E509">
        <v>16</v>
      </c>
      <c r="F509" t="s">
        <v>56</v>
      </c>
      <c r="G509">
        <v>8</v>
      </c>
      <c r="H509">
        <v>0.8</v>
      </c>
      <c r="I509" t="s">
        <v>121</v>
      </c>
      <c r="J509" t="s">
        <v>122</v>
      </c>
      <c r="K509" t="s">
        <v>152</v>
      </c>
      <c r="L509" t="s">
        <v>277</v>
      </c>
      <c r="M509" t="s">
        <v>113</v>
      </c>
      <c r="N509">
        <v>26</v>
      </c>
      <c r="O509" t="s">
        <v>114</v>
      </c>
      <c r="P509">
        <v>11</v>
      </c>
      <c r="Q509" t="s">
        <v>115</v>
      </c>
      <c r="R509" t="s">
        <v>168</v>
      </c>
      <c r="S509" t="s">
        <v>179</v>
      </c>
    </row>
    <row r="510" spans="1:19" x14ac:dyDescent="0.35">
      <c r="A510" t="s">
        <v>720</v>
      </c>
      <c r="B510" t="s">
        <v>184</v>
      </c>
      <c r="C510" t="s">
        <v>166</v>
      </c>
      <c r="D510">
        <v>164.5</v>
      </c>
      <c r="E510">
        <v>39</v>
      </c>
      <c r="F510" t="s">
        <v>56</v>
      </c>
      <c r="G510">
        <v>9</v>
      </c>
      <c r="H510">
        <v>0.6</v>
      </c>
      <c r="I510" t="s">
        <v>156</v>
      </c>
      <c r="J510" t="s">
        <v>157</v>
      </c>
      <c r="K510" t="s">
        <v>124</v>
      </c>
      <c r="L510" t="s">
        <v>192</v>
      </c>
      <c r="M510" t="s">
        <v>159</v>
      </c>
      <c r="N510">
        <v>274</v>
      </c>
      <c r="O510" t="s">
        <v>126</v>
      </c>
      <c r="P510">
        <v>2</v>
      </c>
      <c r="Q510" t="s">
        <v>135</v>
      </c>
      <c r="R510" t="s">
        <v>153</v>
      </c>
      <c r="S510" t="s">
        <v>117</v>
      </c>
    </row>
    <row r="511" spans="1:19" x14ac:dyDescent="0.35">
      <c r="A511" t="s">
        <v>721</v>
      </c>
      <c r="B511" t="s">
        <v>107</v>
      </c>
      <c r="C511" t="s">
        <v>120</v>
      </c>
      <c r="D511">
        <v>5.7</v>
      </c>
      <c r="E511">
        <v>14</v>
      </c>
      <c r="F511" t="s">
        <v>56</v>
      </c>
      <c r="G511">
        <v>11</v>
      </c>
      <c r="H511">
        <v>1.2</v>
      </c>
      <c r="I511" t="s">
        <v>246</v>
      </c>
      <c r="J511" t="s">
        <v>264</v>
      </c>
      <c r="K511" t="s">
        <v>111</v>
      </c>
      <c r="L511" t="s">
        <v>171</v>
      </c>
      <c r="M511" t="s">
        <v>159</v>
      </c>
      <c r="N511">
        <v>256</v>
      </c>
      <c r="O511" t="s">
        <v>114</v>
      </c>
      <c r="P511">
        <v>2</v>
      </c>
      <c r="Q511" t="s">
        <v>115</v>
      </c>
      <c r="R511" t="s">
        <v>168</v>
      </c>
      <c r="S511" t="s">
        <v>127</v>
      </c>
    </row>
    <row r="512" spans="1:19" x14ac:dyDescent="0.35">
      <c r="A512" t="s">
        <v>722</v>
      </c>
      <c r="B512" t="s">
        <v>184</v>
      </c>
      <c r="C512" t="s">
        <v>120</v>
      </c>
      <c r="D512">
        <v>3.8</v>
      </c>
      <c r="E512">
        <v>8</v>
      </c>
      <c r="F512" t="s">
        <v>65</v>
      </c>
      <c r="G512">
        <v>7</v>
      </c>
      <c r="H512">
        <v>0.6</v>
      </c>
      <c r="I512" t="s">
        <v>109</v>
      </c>
      <c r="J512" t="s">
        <v>181</v>
      </c>
      <c r="K512" t="s">
        <v>187</v>
      </c>
      <c r="L512" t="s">
        <v>192</v>
      </c>
      <c r="M512" t="s">
        <v>125</v>
      </c>
      <c r="N512">
        <v>385</v>
      </c>
      <c r="O512" t="s">
        <v>126</v>
      </c>
      <c r="P512">
        <v>0</v>
      </c>
      <c r="Q512" t="s">
        <v>115</v>
      </c>
      <c r="R512" t="s">
        <v>168</v>
      </c>
      <c r="S512" t="s">
        <v>193</v>
      </c>
    </row>
    <row r="513" spans="1:19" x14ac:dyDescent="0.35">
      <c r="A513" t="s">
        <v>723</v>
      </c>
      <c r="B513" t="s">
        <v>218</v>
      </c>
      <c r="C513" t="s">
        <v>120</v>
      </c>
      <c r="D513">
        <v>6.9</v>
      </c>
      <c r="E513">
        <v>15</v>
      </c>
      <c r="F513" t="s">
        <v>63</v>
      </c>
      <c r="G513">
        <v>9</v>
      </c>
      <c r="H513">
        <v>0.8</v>
      </c>
      <c r="I513" t="s">
        <v>185</v>
      </c>
      <c r="J513" t="s">
        <v>225</v>
      </c>
      <c r="K513" t="s">
        <v>152</v>
      </c>
      <c r="L513" t="s">
        <v>277</v>
      </c>
      <c r="M513" t="s">
        <v>134</v>
      </c>
      <c r="N513">
        <v>83</v>
      </c>
      <c r="O513" t="s">
        <v>126</v>
      </c>
      <c r="P513">
        <v>3</v>
      </c>
      <c r="Q513" t="s">
        <v>115</v>
      </c>
      <c r="R513" t="s">
        <v>65</v>
      </c>
      <c r="S513" t="s">
        <v>169</v>
      </c>
    </row>
    <row r="514" spans="1:19" x14ac:dyDescent="0.35">
      <c r="A514" t="s">
        <v>724</v>
      </c>
      <c r="B514" t="s">
        <v>119</v>
      </c>
      <c r="C514" t="s">
        <v>120</v>
      </c>
      <c r="D514">
        <v>9.6</v>
      </c>
      <c r="E514">
        <v>13</v>
      </c>
      <c r="F514" t="s">
        <v>65</v>
      </c>
      <c r="G514">
        <v>7</v>
      </c>
      <c r="H514">
        <v>0.7</v>
      </c>
      <c r="I514" t="s">
        <v>150</v>
      </c>
      <c r="J514" t="s">
        <v>151</v>
      </c>
      <c r="K514" t="s">
        <v>124</v>
      </c>
      <c r="L514" t="s">
        <v>141</v>
      </c>
      <c r="M514" t="s">
        <v>113</v>
      </c>
      <c r="N514">
        <v>10</v>
      </c>
      <c r="O514" t="s">
        <v>126</v>
      </c>
      <c r="P514">
        <v>14</v>
      </c>
      <c r="Q514" t="s">
        <v>115</v>
      </c>
      <c r="R514" t="s">
        <v>116</v>
      </c>
      <c r="S514" t="s">
        <v>117</v>
      </c>
    </row>
    <row r="515" spans="1:19" x14ac:dyDescent="0.35">
      <c r="A515" t="s">
        <v>725</v>
      </c>
      <c r="B515" t="s">
        <v>119</v>
      </c>
      <c r="C515" t="s">
        <v>120</v>
      </c>
      <c r="D515">
        <v>8</v>
      </c>
      <c r="E515">
        <v>9</v>
      </c>
      <c r="F515" t="s">
        <v>58</v>
      </c>
      <c r="G515">
        <v>10</v>
      </c>
      <c r="H515">
        <v>0.2</v>
      </c>
      <c r="I515" t="s">
        <v>109</v>
      </c>
      <c r="J515" t="s">
        <v>110</v>
      </c>
      <c r="K515" t="s">
        <v>123</v>
      </c>
      <c r="L515" t="s">
        <v>124</v>
      </c>
      <c r="M515" t="s">
        <v>113</v>
      </c>
      <c r="N515">
        <v>16</v>
      </c>
      <c r="O515" t="s">
        <v>126</v>
      </c>
      <c r="P515">
        <v>12</v>
      </c>
      <c r="Q515" t="s">
        <v>115</v>
      </c>
      <c r="R515" t="s">
        <v>116</v>
      </c>
      <c r="S515" t="s">
        <v>127</v>
      </c>
    </row>
    <row r="516" spans="1:19" x14ac:dyDescent="0.35">
      <c r="A516" t="s">
        <v>726</v>
      </c>
      <c r="B516" t="s">
        <v>176</v>
      </c>
      <c r="C516" t="s">
        <v>120</v>
      </c>
      <c r="D516">
        <v>9.4</v>
      </c>
      <c r="E516">
        <v>10</v>
      </c>
      <c r="F516" t="s">
        <v>60</v>
      </c>
      <c r="G516">
        <v>2</v>
      </c>
      <c r="H516">
        <v>0.6</v>
      </c>
      <c r="I516" t="s">
        <v>121</v>
      </c>
      <c r="J516" t="s">
        <v>122</v>
      </c>
      <c r="K516" t="s">
        <v>228</v>
      </c>
      <c r="L516" t="s">
        <v>124</v>
      </c>
      <c r="M516" t="s">
        <v>113</v>
      </c>
      <c r="N516">
        <v>26</v>
      </c>
      <c r="O516" t="s">
        <v>201</v>
      </c>
      <c r="P516">
        <v>15</v>
      </c>
      <c r="Q516" t="s">
        <v>115</v>
      </c>
      <c r="R516" t="s">
        <v>153</v>
      </c>
      <c r="S516" t="s">
        <v>117</v>
      </c>
    </row>
    <row r="517" spans="1:19" x14ac:dyDescent="0.35">
      <c r="A517" t="s">
        <v>727</v>
      </c>
      <c r="B517" t="s">
        <v>197</v>
      </c>
      <c r="C517" t="s">
        <v>108</v>
      </c>
      <c r="D517">
        <v>21.5</v>
      </c>
      <c r="E517">
        <v>35</v>
      </c>
      <c r="F517" t="s">
        <v>66</v>
      </c>
      <c r="G517">
        <v>8</v>
      </c>
      <c r="H517">
        <v>0.5</v>
      </c>
      <c r="I517" t="s">
        <v>205</v>
      </c>
      <c r="J517" t="s">
        <v>236</v>
      </c>
      <c r="K517" t="s">
        <v>178</v>
      </c>
      <c r="L517" t="s">
        <v>199</v>
      </c>
      <c r="M517" t="s">
        <v>125</v>
      </c>
      <c r="N517">
        <v>278</v>
      </c>
      <c r="O517" t="s">
        <v>114</v>
      </c>
      <c r="P517">
        <v>2</v>
      </c>
      <c r="Q517" t="s">
        <v>115</v>
      </c>
      <c r="R517" t="s">
        <v>116</v>
      </c>
      <c r="S517" t="s">
        <v>117</v>
      </c>
    </row>
    <row r="518" spans="1:19" x14ac:dyDescent="0.35">
      <c r="A518" t="s">
        <v>728</v>
      </c>
      <c r="B518" t="s">
        <v>107</v>
      </c>
      <c r="C518" t="s">
        <v>120</v>
      </c>
      <c r="D518">
        <v>1.2</v>
      </c>
      <c r="E518">
        <v>16</v>
      </c>
      <c r="F518" t="s">
        <v>65</v>
      </c>
      <c r="G518">
        <v>8</v>
      </c>
      <c r="H518">
        <v>0.7</v>
      </c>
      <c r="I518" t="s">
        <v>150</v>
      </c>
      <c r="J518" t="s">
        <v>151</v>
      </c>
      <c r="K518" t="s">
        <v>111</v>
      </c>
      <c r="L518" t="s">
        <v>112</v>
      </c>
      <c r="M518" t="s">
        <v>134</v>
      </c>
      <c r="N518">
        <v>87</v>
      </c>
      <c r="O518" t="s">
        <v>126</v>
      </c>
      <c r="P518">
        <v>3</v>
      </c>
      <c r="Q518" t="s">
        <v>214</v>
      </c>
      <c r="R518" t="s">
        <v>153</v>
      </c>
      <c r="S518" t="s">
        <v>142</v>
      </c>
    </row>
    <row r="519" spans="1:19" x14ac:dyDescent="0.35">
      <c r="A519" t="s">
        <v>729</v>
      </c>
      <c r="B519" t="s">
        <v>138</v>
      </c>
      <c r="C519" t="s">
        <v>120</v>
      </c>
      <c r="D519">
        <v>4.5999999999999996</v>
      </c>
      <c r="E519">
        <v>18</v>
      </c>
      <c r="F519" t="s">
        <v>58</v>
      </c>
      <c r="G519">
        <v>12</v>
      </c>
      <c r="H519">
        <v>0.5</v>
      </c>
      <c r="I519" t="s">
        <v>185</v>
      </c>
      <c r="J519" t="s">
        <v>186</v>
      </c>
      <c r="K519" t="s">
        <v>111</v>
      </c>
      <c r="L519" t="s">
        <v>141</v>
      </c>
      <c r="M519" t="s">
        <v>113</v>
      </c>
      <c r="N519">
        <v>14</v>
      </c>
      <c r="O519" t="s">
        <v>126</v>
      </c>
      <c r="P519">
        <v>11</v>
      </c>
      <c r="Q519" t="s">
        <v>115</v>
      </c>
      <c r="R519" t="s">
        <v>116</v>
      </c>
      <c r="S519" t="s">
        <v>193</v>
      </c>
    </row>
    <row r="520" spans="1:19" x14ac:dyDescent="0.35">
      <c r="A520" t="s">
        <v>730</v>
      </c>
      <c r="B520" t="s">
        <v>189</v>
      </c>
      <c r="C520" t="s">
        <v>120</v>
      </c>
      <c r="D520">
        <v>9.6999999999999993</v>
      </c>
      <c r="E520">
        <v>22</v>
      </c>
      <c r="F520" t="s">
        <v>60</v>
      </c>
      <c r="G520">
        <v>11</v>
      </c>
      <c r="H520">
        <v>0.1</v>
      </c>
      <c r="I520" t="s">
        <v>173</v>
      </c>
      <c r="J520" t="s">
        <v>174</v>
      </c>
      <c r="K520" t="s">
        <v>182</v>
      </c>
      <c r="L520" t="s">
        <v>190</v>
      </c>
      <c r="M520" t="s">
        <v>113</v>
      </c>
      <c r="N520">
        <v>26</v>
      </c>
      <c r="O520" t="s">
        <v>126</v>
      </c>
      <c r="P520">
        <v>13</v>
      </c>
      <c r="Q520" t="s">
        <v>115</v>
      </c>
      <c r="R520" t="s">
        <v>153</v>
      </c>
      <c r="S520" t="s">
        <v>117</v>
      </c>
    </row>
    <row r="521" spans="1:19" x14ac:dyDescent="0.35">
      <c r="A521" t="s">
        <v>731</v>
      </c>
      <c r="B521" t="s">
        <v>189</v>
      </c>
      <c r="C521" t="s">
        <v>120</v>
      </c>
      <c r="D521">
        <v>4.0999999999999996</v>
      </c>
      <c r="E521">
        <v>7</v>
      </c>
      <c r="F521" t="s">
        <v>65</v>
      </c>
      <c r="G521">
        <v>5</v>
      </c>
      <c r="H521">
        <v>0.8</v>
      </c>
      <c r="I521" t="s">
        <v>185</v>
      </c>
      <c r="J521" t="s">
        <v>223</v>
      </c>
      <c r="K521" t="s">
        <v>190</v>
      </c>
      <c r="L521" t="s">
        <v>209</v>
      </c>
      <c r="M521" t="s">
        <v>134</v>
      </c>
      <c r="N521">
        <v>82</v>
      </c>
      <c r="O521" t="s">
        <v>114</v>
      </c>
      <c r="P521">
        <v>4</v>
      </c>
      <c r="Q521" t="s">
        <v>115</v>
      </c>
      <c r="R521" t="s">
        <v>168</v>
      </c>
      <c r="S521" t="s">
        <v>147</v>
      </c>
    </row>
    <row r="522" spans="1:19" x14ac:dyDescent="0.35">
      <c r="A522" t="s">
        <v>732</v>
      </c>
      <c r="B522" t="s">
        <v>155</v>
      </c>
      <c r="C522" t="s">
        <v>120</v>
      </c>
      <c r="D522">
        <v>6.9</v>
      </c>
      <c r="E522">
        <v>5</v>
      </c>
      <c r="F522" t="s">
        <v>65</v>
      </c>
      <c r="G522">
        <v>7</v>
      </c>
      <c r="H522">
        <v>1.4</v>
      </c>
      <c r="I522" t="s">
        <v>139</v>
      </c>
      <c r="J522" t="s">
        <v>239</v>
      </c>
      <c r="K522" t="s">
        <v>158</v>
      </c>
      <c r="L522" t="s">
        <v>195</v>
      </c>
      <c r="M522" t="s">
        <v>134</v>
      </c>
      <c r="N522">
        <v>81</v>
      </c>
      <c r="O522" t="s">
        <v>126</v>
      </c>
      <c r="P522">
        <v>5</v>
      </c>
      <c r="Q522" t="s">
        <v>115</v>
      </c>
      <c r="R522" t="s">
        <v>116</v>
      </c>
      <c r="S522" t="s">
        <v>142</v>
      </c>
    </row>
    <row r="523" spans="1:19" x14ac:dyDescent="0.35">
      <c r="A523" t="s">
        <v>733</v>
      </c>
      <c r="B523" t="s">
        <v>189</v>
      </c>
      <c r="C523" t="s">
        <v>120</v>
      </c>
      <c r="D523">
        <v>6.1</v>
      </c>
      <c r="E523">
        <v>28</v>
      </c>
      <c r="F523" t="s">
        <v>66</v>
      </c>
      <c r="G523">
        <v>12</v>
      </c>
      <c r="H523">
        <v>0.8</v>
      </c>
      <c r="I523" t="s">
        <v>205</v>
      </c>
      <c r="J523" t="s">
        <v>236</v>
      </c>
      <c r="K523" t="s">
        <v>209</v>
      </c>
      <c r="L523" t="s">
        <v>182</v>
      </c>
      <c r="M523" t="s">
        <v>125</v>
      </c>
      <c r="N523">
        <v>286</v>
      </c>
      <c r="O523" t="s">
        <v>201</v>
      </c>
      <c r="P523">
        <v>0</v>
      </c>
      <c r="Q523" t="s">
        <v>115</v>
      </c>
      <c r="R523" t="s">
        <v>153</v>
      </c>
      <c r="S523" t="s">
        <v>169</v>
      </c>
    </row>
    <row r="524" spans="1:19" x14ac:dyDescent="0.35">
      <c r="A524" t="s">
        <v>734</v>
      </c>
      <c r="B524" t="s">
        <v>197</v>
      </c>
      <c r="C524" t="s">
        <v>120</v>
      </c>
      <c r="D524">
        <v>4.9000000000000004</v>
      </c>
      <c r="E524">
        <v>17</v>
      </c>
      <c r="F524" t="s">
        <v>63</v>
      </c>
      <c r="G524">
        <v>4</v>
      </c>
      <c r="H524">
        <v>1</v>
      </c>
      <c r="I524" t="s">
        <v>139</v>
      </c>
      <c r="J524" t="s">
        <v>140</v>
      </c>
      <c r="K524" t="s">
        <v>199</v>
      </c>
      <c r="L524" t="s">
        <v>178</v>
      </c>
      <c r="M524" t="s">
        <v>134</v>
      </c>
      <c r="N524">
        <v>85</v>
      </c>
      <c r="O524" t="s">
        <v>126</v>
      </c>
      <c r="P524">
        <v>5</v>
      </c>
      <c r="Q524" t="s">
        <v>115</v>
      </c>
      <c r="R524" t="s">
        <v>168</v>
      </c>
      <c r="S524" t="s">
        <v>142</v>
      </c>
    </row>
    <row r="525" spans="1:19" x14ac:dyDescent="0.35">
      <c r="A525" t="s">
        <v>735</v>
      </c>
      <c r="B525" t="s">
        <v>129</v>
      </c>
      <c r="C525" t="s">
        <v>120</v>
      </c>
      <c r="D525">
        <v>9.3000000000000007</v>
      </c>
      <c r="E525">
        <v>20</v>
      </c>
      <c r="F525" t="s">
        <v>58</v>
      </c>
      <c r="G525">
        <v>4</v>
      </c>
      <c r="H525">
        <v>1</v>
      </c>
      <c r="I525" t="s">
        <v>139</v>
      </c>
      <c r="J525" t="s">
        <v>239</v>
      </c>
      <c r="K525" t="s">
        <v>133</v>
      </c>
      <c r="L525" t="s">
        <v>132</v>
      </c>
      <c r="M525" t="s">
        <v>134</v>
      </c>
      <c r="N525">
        <v>93</v>
      </c>
      <c r="O525" t="s">
        <v>126</v>
      </c>
      <c r="P525">
        <v>4</v>
      </c>
      <c r="Q525" t="s">
        <v>115</v>
      </c>
      <c r="R525" t="s">
        <v>153</v>
      </c>
      <c r="S525" t="s">
        <v>136</v>
      </c>
    </row>
    <row r="526" spans="1:19" x14ac:dyDescent="0.35">
      <c r="A526" t="s">
        <v>736</v>
      </c>
      <c r="B526" t="s">
        <v>129</v>
      </c>
      <c r="C526" t="s">
        <v>120</v>
      </c>
      <c r="D526">
        <v>4.7</v>
      </c>
      <c r="E526">
        <v>6</v>
      </c>
      <c r="F526" t="s">
        <v>66</v>
      </c>
      <c r="G526">
        <v>4</v>
      </c>
      <c r="H526">
        <v>0.5</v>
      </c>
      <c r="I526" t="s">
        <v>144</v>
      </c>
      <c r="J526" t="s">
        <v>269</v>
      </c>
      <c r="K526" t="s">
        <v>132</v>
      </c>
      <c r="L526" t="s">
        <v>164</v>
      </c>
      <c r="M526" t="s">
        <v>159</v>
      </c>
      <c r="N526">
        <v>177</v>
      </c>
      <c r="O526" t="s">
        <v>126</v>
      </c>
      <c r="P526">
        <v>2</v>
      </c>
      <c r="Q526" t="s">
        <v>115</v>
      </c>
      <c r="R526" t="s">
        <v>116</v>
      </c>
      <c r="S526" t="s">
        <v>193</v>
      </c>
    </row>
    <row r="527" spans="1:19" x14ac:dyDescent="0.35">
      <c r="A527" t="s">
        <v>737</v>
      </c>
      <c r="B527" t="s">
        <v>119</v>
      </c>
      <c r="C527" t="s">
        <v>120</v>
      </c>
      <c r="D527">
        <v>2.2999999999999998</v>
      </c>
      <c r="E527">
        <v>15</v>
      </c>
      <c r="F527" t="s">
        <v>56</v>
      </c>
      <c r="G527">
        <v>12</v>
      </c>
      <c r="H527">
        <v>1</v>
      </c>
      <c r="I527" t="s">
        <v>185</v>
      </c>
      <c r="J527" t="s">
        <v>225</v>
      </c>
      <c r="K527" t="s">
        <v>141</v>
      </c>
      <c r="L527" t="s">
        <v>123</v>
      </c>
      <c r="M527" t="s">
        <v>134</v>
      </c>
      <c r="N527">
        <v>63</v>
      </c>
      <c r="O527" t="s">
        <v>126</v>
      </c>
      <c r="P527">
        <v>4</v>
      </c>
      <c r="Q527" t="s">
        <v>115</v>
      </c>
      <c r="R527" t="s">
        <v>116</v>
      </c>
      <c r="S527" t="s">
        <v>127</v>
      </c>
    </row>
    <row r="528" spans="1:19" x14ac:dyDescent="0.35">
      <c r="A528" t="s">
        <v>738</v>
      </c>
      <c r="B528" t="s">
        <v>176</v>
      </c>
      <c r="C528" t="s">
        <v>120</v>
      </c>
      <c r="D528">
        <v>1.1000000000000001</v>
      </c>
      <c r="E528">
        <v>18</v>
      </c>
      <c r="F528" t="s">
        <v>58</v>
      </c>
      <c r="G528">
        <v>9</v>
      </c>
      <c r="H528">
        <v>1.5</v>
      </c>
      <c r="I528" t="s">
        <v>121</v>
      </c>
      <c r="J528" t="s">
        <v>122</v>
      </c>
      <c r="K528" t="s">
        <v>178</v>
      </c>
      <c r="L528" t="s">
        <v>228</v>
      </c>
      <c r="M528" t="s">
        <v>159</v>
      </c>
      <c r="N528">
        <v>251</v>
      </c>
      <c r="O528" t="s">
        <v>126</v>
      </c>
      <c r="P528">
        <v>1</v>
      </c>
      <c r="Q528" t="s">
        <v>135</v>
      </c>
      <c r="R528" t="s">
        <v>65</v>
      </c>
      <c r="S528" t="s">
        <v>169</v>
      </c>
    </row>
    <row r="529" spans="1:19" x14ac:dyDescent="0.35">
      <c r="A529" t="s">
        <v>739</v>
      </c>
      <c r="B529" t="s">
        <v>218</v>
      </c>
      <c r="C529" t="s">
        <v>108</v>
      </c>
      <c r="D529">
        <v>42.2</v>
      </c>
      <c r="E529">
        <v>35</v>
      </c>
      <c r="F529" t="s">
        <v>66</v>
      </c>
      <c r="G529">
        <v>4</v>
      </c>
      <c r="H529">
        <v>0.5</v>
      </c>
      <c r="I529" t="s">
        <v>109</v>
      </c>
      <c r="J529" t="s">
        <v>110</v>
      </c>
      <c r="K529" t="s">
        <v>277</v>
      </c>
      <c r="L529" t="s">
        <v>152</v>
      </c>
      <c r="M529" t="s">
        <v>134</v>
      </c>
      <c r="N529">
        <v>87</v>
      </c>
      <c r="O529" t="s">
        <v>201</v>
      </c>
      <c r="P529">
        <v>3</v>
      </c>
      <c r="Q529" t="s">
        <v>135</v>
      </c>
      <c r="R529" t="s">
        <v>168</v>
      </c>
      <c r="S529" t="s">
        <v>136</v>
      </c>
    </row>
    <row r="530" spans="1:19" x14ac:dyDescent="0.35">
      <c r="A530" t="s">
        <v>740</v>
      </c>
      <c r="B530" t="s">
        <v>176</v>
      </c>
      <c r="C530" t="s">
        <v>166</v>
      </c>
      <c r="D530">
        <v>176.5</v>
      </c>
      <c r="E530">
        <v>30</v>
      </c>
      <c r="F530" t="s">
        <v>66</v>
      </c>
      <c r="G530">
        <v>13</v>
      </c>
      <c r="H530">
        <v>0.4</v>
      </c>
      <c r="I530" t="s">
        <v>139</v>
      </c>
      <c r="J530" t="s">
        <v>239</v>
      </c>
      <c r="K530" t="s">
        <v>228</v>
      </c>
      <c r="L530" t="s">
        <v>124</v>
      </c>
      <c r="M530" t="s">
        <v>134</v>
      </c>
      <c r="N530">
        <v>79</v>
      </c>
      <c r="O530" t="s">
        <v>126</v>
      </c>
      <c r="P530">
        <v>6</v>
      </c>
      <c r="Q530" t="s">
        <v>115</v>
      </c>
      <c r="R530" t="s">
        <v>116</v>
      </c>
      <c r="S530" t="s">
        <v>147</v>
      </c>
    </row>
    <row r="531" spans="1:19" x14ac:dyDescent="0.35">
      <c r="A531" t="s">
        <v>741</v>
      </c>
      <c r="B531" t="s">
        <v>197</v>
      </c>
      <c r="C531" t="s">
        <v>120</v>
      </c>
      <c r="D531">
        <v>3.5</v>
      </c>
      <c r="E531">
        <v>11</v>
      </c>
      <c r="F531" t="s">
        <v>65</v>
      </c>
      <c r="G531">
        <v>5</v>
      </c>
      <c r="H531">
        <v>0.7</v>
      </c>
      <c r="I531" t="s">
        <v>246</v>
      </c>
      <c r="J531" t="s">
        <v>264</v>
      </c>
      <c r="K531" t="s">
        <v>200</v>
      </c>
      <c r="L531" t="s">
        <v>199</v>
      </c>
      <c r="M531" t="s">
        <v>134</v>
      </c>
      <c r="N531">
        <v>78</v>
      </c>
      <c r="O531" t="s">
        <v>114</v>
      </c>
      <c r="P531">
        <v>4</v>
      </c>
      <c r="Q531" t="s">
        <v>115</v>
      </c>
      <c r="R531" t="s">
        <v>153</v>
      </c>
      <c r="S531" t="s">
        <v>127</v>
      </c>
    </row>
    <row r="532" spans="1:19" x14ac:dyDescent="0.35">
      <c r="A532" t="s">
        <v>742</v>
      </c>
      <c r="B532" t="s">
        <v>119</v>
      </c>
      <c r="C532" t="s">
        <v>120</v>
      </c>
      <c r="D532">
        <v>4.5</v>
      </c>
      <c r="E532">
        <v>23</v>
      </c>
      <c r="F532" t="s">
        <v>63</v>
      </c>
      <c r="G532">
        <v>6</v>
      </c>
      <c r="H532">
        <v>0.6</v>
      </c>
      <c r="I532" t="s">
        <v>246</v>
      </c>
      <c r="J532" t="s">
        <v>250</v>
      </c>
      <c r="K532" t="s">
        <v>124</v>
      </c>
      <c r="L532" t="s">
        <v>123</v>
      </c>
      <c r="M532" t="s">
        <v>134</v>
      </c>
      <c r="N532">
        <v>80</v>
      </c>
      <c r="O532" t="s">
        <v>126</v>
      </c>
      <c r="P532">
        <v>3</v>
      </c>
      <c r="Q532" t="s">
        <v>115</v>
      </c>
      <c r="R532" t="s">
        <v>168</v>
      </c>
      <c r="S532" t="s">
        <v>193</v>
      </c>
    </row>
    <row r="533" spans="1:19" x14ac:dyDescent="0.35">
      <c r="A533" t="s">
        <v>743</v>
      </c>
      <c r="B533" t="s">
        <v>107</v>
      </c>
      <c r="C533" t="s">
        <v>120</v>
      </c>
      <c r="D533">
        <v>1.3</v>
      </c>
      <c r="E533">
        <v>18</v>
      </c>
      <c r="F533" t="s">
        <v>60</v>
      </c>
      <c r="G533">
        <v>10</v>
      </c>
      <c r="H533">
        <v>1.1000000000000001</v>
      </c>
      <c r="I533" t="s">
        <v>109</v>
      </c>
      <c r="J533" t="s">
        <v>181</v>
      </c>
      <c r="K533" t="s">
        <v>171</v>
      </c>
      <c r="L533" t="s">
        <v>112</v>
      </c>
      <c r="M533" t="s">
        <v>113</v>
      </c>
      <c r="N533">
        <v>14</v>
      </c>
      <c r="O533" t="s">
        <v>114</v>
      </c>
      <c r="P533">
        <v>13</v>
      </c>
      <c r="Q533" t="s">
        <v>115</v>
      </c>
      <c r="R533" t="s">
        <v>168</v>
      </c>
      <c r="S533" t="s">
        <v>147</v>
      </c>
    </row>
    <row r="534" spans="1:19" x14ac:dyDescent="0.35">
      <c r="A534" t="s">
        <v>744</v>
      </c>
      <c r="B534" t="s">
        <v>107</v>
      </c>
      <c r="C534" t="s">
        <v>120</v>
      </c>
      <c r="D534">
        <v>7.6</v>
      </c>
      <c r="E534">
        <v>7</v>
      </c>
      <c r="F534" t="s">
        <v>65</v>
      </c>
      <c r="G534">
        <v>7</v>
      </c>
      <c r="H534">
        <v>0.3</v>
      </c>
      <c r="I534" t="s">
        <v>246</v>
      </c>
      <c r="J534" t="s">
        <v>250</v>
      </c>
      <c r="K534" t="s">
        <v>171</v>
      </c>
      <c r="L534" t="s">
        <v>112</v>
      </c>
      <c r="M534" t="s">
        <v>134</v>
      </c>
      <c r="N534">
        <v>77</v>
      </c>
      <c r="O534" t="s">
        <v>126</v>
      </c>
      <c r="P534">
        <v>3</v>
      </c>
      <c r="Q534" t="s">
        <v>135</v>
      </c>
      <c r="R534" t="s">
        <v>168</v>
      </c>
      <c r="S534" t="s">
        <v>179</v>
      </c>
    </row>
    <row r="535" spans="1:19" x14ac:dyDescent="0.35">
      <c r="A535" t="s">
        <v>745</v>
      </c>
      <c r="B535" t="s">
        <v>184</v>
      </c>
      <c r="C535" t="s">
        <v>120</v>
      </c>
      <c r="D535">
        <v>8.6</v>
      </c>
      <c r="E535">
        <v>15</v>
      </c>
      <c r="F535" t="s">
        <v>58</v>
      </c>
      <c r="G535">
        <v>8</v>
      </c>
      <c r="H535">
        <v>1.3</v>
      </c>
      <c r="I535" t="s">
        <v>144</v>
      </c>
      <c r="J535" t="s">
        <v>145</v>
      </c>
      <c r="K535" t="s">
        <v>192</v>
      </c>
      <c r="L535" t="s">
        <v>187</v>
      </c>
      <c r="M535" t="s">
        <v>113</v>
      </c>
      <c r="N535">
        <v>16</v>
      </c>
      <c r="O535" t="s">
        <v>126</v>
      </c>
      <c r="P535">
        <v>8</v>
      </c>
      <c r="Q535" t="s">
        <v>115</v>
      </c>
      <c r="R535" t="s">
        <v>153</v>
      </c>
      <c r="S535" t="s">
        <v>193</v>
      </c>
    </row>
    <row r="536" spans="1:19" x14ac:dyDescent="0.35">
      <c r="A536" t="s">
        <v>746</v>
      </c>
      <c r="B536" t="s">
        <v>138</v>
      </c>
      <c r="C536" t="s">
        <v>166</v>
      </c>
      <c r="D536">
        <v>77.8</v>
      </c>
      <c r="E536">
        <v>33</v>
      </c>
      <c r="F536" t="s">
        <v>56</v>
      </c>
      <c r="G536">
        <v>7</v>
      </c>
      <c r="H536">
        <v>0.9</v>
      </c>
      <c r="I536" t="s">
        <v>162</v>
      </c>
      <c r="J536" t="s">
        <v>177</v>
      </c>
      <c r="K536" t="s">
        <v>141</v>
      </c>
      <c r="L536" t="s">
        <v>146</v>
      </c>
      <c r="M536" t="s">
        <v>134</v>
      </c>
      <c r="N536">
        <v>77</v>
      </c>
      <c r="O536" t="s">
        <v>126</v>
      </c>
      <c r="P536">
        <v>5</v>
      </c>
      <c r="Q536" t="s">
        <v>115</v>
      </c>
      <c r="R536" t="s">
        <v>116</v>
      </c>
      <c r="S536" t="s">
        <v>169</v>
      </c>
    </row>
    <row r="537" spans="1:19" x14ac:dyDescent="0.35">
      <c r="A537" t="s">
        <v>747</v>
      </c>
      <c r="B537" t="s">
        <v>176</v>
      </c>
      <c r="C537" t="s">
        <v>120</v>
      </c>
      <c r="D537">
        <v>3.7</v>
      </c>
      <c r="E537">
        <v>19</v>
      </c>
      <c r="F537" t="s">
        <v>58</v>
      </c>
      <c r="G537">
        <v>3</v>
      </c>
      <c r="H537">
        <v>1.2</v>
      </c>
      <c r="I537" t="s">
        <v>205</v>
      </c>
      <c r="J537" t="s">
        <v>298</v>
      </c>
      <c r="K537" t="s">
        <v>124</v>
      </c>
      <c r="L537" t="s">
        <v>228</v>
      </c>
      <c r="M537" t="s">
        <v>134</v>
      </c>
      <c r="N537">
        <v>91</v>
      </c>
      <c r="O537" t="s">
        <v>126</v>
      </c>
      <c r="P537">
        <v>3</v>
      </c>
      <c r="Q537" t="s">
        <v>115</v>
      </c>
      <c r="R537" t="s">
        <v>168</v>
      </c>
      <c r="S537" t="s">
        <v>142</v>
      </c>
    </row>
    <row r="538" spans="1:19" x14ac:dyDescent="0.35">
      <c r="A538" t="s">
        <v>748</v>
      </c>
      <c r="B538" t="s">
        <v>197</v>
      </c>
      <c r="C538" t="s">
        <v>120</v>
      </c>
      <c r="D538">
        <v>10</v>
      </c>
      <c r="E538">
        <v>16</v>
      </c>
      <c r="F538" t="s">
        <v>63</v>
      </c>
      <c r="G538">
        <v>8</v>
      </c>
      <c r="H538">
        <v>1</v>
      </c>
      <c r="I538" t="s">
        <v>156</v>
      </c>
      <c r="J538" t="s">
        <v>157</v>
      </c>
      <c r="K538" t="s">
        <v>199</v>
      </c>
      <c r="L538" t="s">
        <v>200</v>
      </c>
      <c r="M538" t="s">
        <v>134</v>
      </c>
      <c r="N538">
        <v>80</v>
      </c>
      <c r="O538" t="s">
        <v>126</v>
      </c>
      <c r="P538">
        <v>5</v>
      </c>
      <c r="Q538" t="s">
        <v>115</v>
      </c>
      <c r="R538" t="s">
        <v>168</v>
      </c>
      <c r="S538" t="s">
        <v>136</v>
      </c>
    </row>
    <row r="539" spans="1:19" x14ac:dyDescent="0.35">
      <c r="A539" t="s">
        <v>749</v>
      </c>
      <c r="B539" t="s">
        <v>197</v>
      </c>
      <c r="C539" t="s">
        <v>120</v>
      </c>
      <c r="D539">
        <v>1</v>
      </c>
      <c r="E539">
        <v>28</v>
      </c>
      <c r="F539" t="s">
        <v>66</v>
      </c>
      <c r="G539">
        <v>2</v>
      </c>
      <c r="H539">
        <v>0.6</v>
      </c>
      <c r="I539" t="s">
        <v>139</v>
      </c>
      <c r="J539" t="s">
        <v>140</v>
      </c>
      <c r="K539" t="s">
        <v>200</v>
      </c>
      <c r="L539" t="s">
        <v>199</v>
      </c>
      <c r="M539" t="s">
        <v>113</v>
      </c>
      <c r="N539">
        <v>19</v>
      </c>
      <c r="O539" t="s">
        <v>126</v>
      </c>
      <c r="P539">
        <v>15</v>
      </c>
      <c r="Q539" t="s">
        <v>115</v>
      </c>
      <c r="R539" t="s">
        <v>116</v>
      </c>
      <c r="S539" t="s">
        <v>142</v>
      </c>
    </row>
    <row r="540" spans="1:19" x14ac:dyDescent="0.35">
      <c r="A540" t="s">
        <v>750</v>
      </c>
      <c r="B540" t="s">
        <v>138</v>
      </c>
      <c r="C540" t="s">
        <v>120</v>
      </c>
      <c r="D540">
        <v>4.5999999999999996</v>
      </c>
      <c r="E540">
        <v>9</v>
      </c>
      <c r="F540" t="s">
        <v>58</v>
      </c>
      <c r="G540">
        <v>10</v>
      </c>
      <c r="H540">
        <v>0.6</v>
      </c>
      <c r="I540" t="s">
        <v>185</v>
      </c>
      <c r="J540" t="s">
        <v>186</v>
      </c>
      <c r="K540" t="s">
        <v>146</v>
      </c>
      <c r="L540" t="s">
        <v>111</v>
      </c>
      <c r="M540" t="s">
        <v>159</v>
      </c>
      <c r="N540">
        <v>334</v>
      </c>
      <c r="O540" t="s">
        <v>201</v>
      </c>
      <c r="P540">
        <v>2</v>
      </c>
      <c r="Q540" t="s">
        <v>135</v>
      </c>
      <c r="R540" t="s">
        <v>153</v>
      </c>
      <c r="S540" t="s">
        <v>147</v>
      </c>
    </row>
    <row r="541" spans="1:19" x14ac:dyDescent="0.35">
      <c r="A541" t="s">
        <v>751</v>
      </c>
      <c r="B541" t="s">
        <v>138</v>
      </c>
      <c r="C541" t="s">
        <v>120</v>
      </c>
      <c r="D541">
        <v>2.2999999999999998</v>
      </c>
      <c r="E541">
        <v>16</v>
      </c>
      <c r="F541" t="s">
        <v>63</v>
      </c>
      <c r="G541">
        <v>11</v>
      </c>
      <c r="H541">
        <v>0.8</v>
      </c>
      <c r="I541" t="s">
        <v>109</v>
      </c>
      <c r="J541" t="s">
        <v>181</v>
      </c>
      <c r="K541" t="s">
        <v>111</v>
      </c>
      <c r="L541" t="s">
        <v>141</v>
      </c>
      <c r="M541" t="s">
        <v>134</v>
      </c>
      <c r="N541">
        <v>84</v>
      </c>
      <c r="O541" t="s">
        <v>114</v>
      </c>
      <c r="P541">
        <v>3</v>
      </c>
      <c r="Q541" t="s">
        <v>115</v>
      </c>
      <c r="R541" t="s">
        <v>168</v>
      </c>
      <c r="S541" t="s">
        <v>169</v>
      </c>
    </row>
    <row r="542" spans="1:19" x14ac:dyDescent="0.35">
      <c r="A542" t="s">
        <v>752</v>
      </c>
      <c r="B542" t="s">
        <v>218</v>
      </c>
      <c r="C542" t="s">
        <v>120</v>
      </c>
      <c r="D542">
        <v>8.5</v>
      </c>
      <c r="E542">
        <v>9</v>
      </c>
      <c r="F542" t="s">
        <v>63</v>
      </c>
      <c r="G542">
        <v>10</v>
      </c>
      <c r="H542">
        <v>0.3</v>
      </c>
      <c r="I542" t="s">
        <v>130</v>
      </c>
      <c r="J542" t="s">
        <v>131</v>
      </c>
      <c r="K542" t="s">
        <v>152</v>
      </c>
      <c r="L542" t="s">
        <v>141</v>
      </c>
      <c r="M542" t="s">
        <v>134</v>
      </c>
      <c r="N542">
        <v>67</v>
      </c>
      <c r="O542" t="s">
        <v>126</v>
      </c>
      <c r="P542">
        <v>3</v>
      </c>
      <c r="Q542" t="s">
        <v>115</v>
      </c>
      <c r="R542" t="s">
        <v>153</v>
      </c>
      <c r="S542" t="s">
        <v>127</v>
      </c>
    </row>
    <row r="543" spans="1:19" x14ac:dyDescent="0.35">
      <c r="A543" t="s">
        <v>753</v>
      </c>
      <c r="B543" t="s">
        <v>184</v>
      </c>
      <c r="C543" t="s">
        <v>108</v>
      </c>
      <c r="D543">
        <v>20.6</v>
      </c>
      <c r="E543">
        <v>40</v>
      </c>
      <c r="F543" t="s">
        <v>66</v>
      </c>
      <c r="G543">
        <v>5</v>
      </c>
      <c r="H543">
        <v>0.6</v>
      </c>
      <c r="I543" t="s">
        <v>185</v>
      </c>
      <c r="J543" t="s">
        <v>186</v>
      </c>
      <c r="K543" t="s">
        <v>124</v>
      </c>
      <c r="L543" t="s">
        <v>192</v>
      </c>
      <c r="M543" t="s">
        <v>113</v>
      </c>
      <c r="N543">
        <v>6</v>
      </c>
      <c r="O543" t="s">
        <v>114</v>
      </c>
      <c r="P543">
        <v>14</v>
      </c>
      <c r="Q543" t="s">
        <v>135</v>
      </c>
      <c r="R543" t="s">
        <v>116</v>
      </c>
      <c r="S543" t="s">
        <v>179</v>
      </c>
    </row>
    <row r="544" spans="1:19" x14ac:dyDescent="0.35">
      <c r="A544" t="s">
        <v>754</v>
      </c>
      <c r="B544" t="s">
        <v>129</v>
      </c>
      <c r="C544" t="s">
        <v>120</v>
      </c>
      <c r="D544">
        <v>8.1</v>
      </c>
      <c r="E544">
        <v>10</v>
      </c>
      <c r="F544" t="s">
        <v>60</v>
      </c>
      <c r="G544">
        <v>10</v>
      </c>
      <c r="H544">
        <v>1</v>
      </c>
      <c r="I544" t="s">
        <v>173</v>
      </c>
      <c r="J544" t="s">
        <v>216</v>
      </c>
      <c r="K544" t="s">
        <v>133</v>
      </c>
      <c r="L544" t="s">
        <v>132</v>
      </c>
      <c r="M544" t="s">
        <v>113</v>
      </c>
      <c r="N544">
        <v>26</v>
      </c>
      <c r="O544" t="s">
        <v>126</v>
      </c>
      <c r="P544">
        <v>10</v>
      </c>
      <c r="Q544" t="s">
        <v>115</v>
      </c>
      <c r="R544" t="s">
        <v>168</v>
      </c>
      <c r="S544" t="s">
        <v>179</v>
      </c>
    </row>
    <row r="545" spans="1:19" x14ac:dyDescent="0.35">
      <c r="A545" t="s">
        <v>755</v>
      </c>
      <c r="B545" t="s">
        <v>155</v>
      </c>
      <c r="C545" t="s">
        <v>120</v>
      </c>
      <c r="D545">
        <v>7.2</v>
      </c>
      <c r="E545">
        <v>21</v>
      </c>
      <c r="F545" t="s">
        <v>60</v>
      </c>
      <c r="G545">
        <v>12</v>
      </c>
      <c r="H545">
        <v>1</v>
      </c>
      <c r="I545" t="s">
        <v>173</v>
      </c>
      <c r="J545" t="s">
        <v>216</v>
      </c>
      <c r="K545" t="s">
        <v>112</v>
      </c>
      <c r="L545" t="s">
        <v>195</v>
      </c>
      <c r="M545" t="s">
        <v>159</v>
      </c>
      <c r="N545">
        <v>223</v>
      </c>
      <c r="O545" t="s">
        <v>126</v>
      </c>
      <c r="P545">
        <v>1</v>
      </c>
      <c r="Q545" t="s">
        <v>115</v>
      </c>
      <c r="R545" t="s">
        <v>153</v>
      </c>
      <c r="S545" t="s">
        <v>147</v>
      </c>
    </row>
    <row r="546" spans="1:19" x14ac:dyDescent="0.35">
      <c r="A546" t="s">
        <v>756</v>
      </c>
      <c r="B546" t="s">
        <v>176</v>
      </c>
      <c r="C546" t="s">
        <v>120</v>
      </c>
      <c r="D546">
        <v>6.8</v>
      </c>
      <c r="E546">
        <v>22</v>
      </c>
      <c r="F546" t="s">
        <v>58</v>
      </c>
      <c r="G546">
        <v>6</v>
      </c>
      <c r="H546">
        <v>0.8</v>
      </c>
      <c r="I546" t="s">
        <v>185</v>
      </c>
      <c r="J546" t="s">
        <v>223</v>
      </c>
      <c r="K546" t="s">
        <v>228</v>
      </c>
      <c r="L546" t="s">
        <v>178</v>
      </c>
      <c r="M546" t="s">
        <v>159</v>
      </c>
      <c r="N546">
        <v>219</v>
      </c>
      <c r="O546" t="s">
        <v>126</v>
      </c>
      <c r="P546">
        <v>1</v>
      </c>
      <c r="Q546" t="s">
        <v>115</v>
      </c>
      <c r="R546" t="s">
        <v>116</v>
      </c>
      <c r="S546" t="s">
        <v>117</v>
      </c>
    </row>
    <row r="547" spans="1:19" x14ac:dyDescent="0.35">
      <c r="A547" t="s">
        <v>757</v>
      </c>
      <c r="B547" t="s">
        <v>184</v>
      </c>
      <c r="C547" t="s">
        <v>108</v>
      </c>
      <c r="D547">
        <v>28.3</v>
      </c>
      <c r="E547">
        <v>42</v>
      </c>
      <c r="F547" t="s">
        <v>63</v>
      </c>
      <c r="G547">
        <v>12</v>
      </c>
      <c r="H547">
        <v>1.1000000000000001</v>
      </c>
      <c r="I547" t="s">
        <v>156</v>
      </c>
      <c r="J547" t="s">
        <v>203</v>
      </c>
      <c r="K547" t="s">
        <v>187</v>
      </c>
      <c r="L547" t="s">
        <v>192</v>
      </c>
      <c r="M547" t="s">
        <v>134</v>
      </c>
      <c r="N547">
        <v>94</v>
      </c>
      <c r="O547" t="s">
        <v>126</v>
      </c>
      <c r="P547">
        <v>5</v>
      </c>
      <c r="Q547" t="s">
        <v>135</v>
      </c>
      <c r="R547" t="s">
        <v>116</v>
      </c>
      <c r="S547" t="s">
        <v>127</v>
      </c>
    </row>
    <row r="548" spans="1:19" x14ac:dyDescent="0.35">
      <c r="A548" t="s">
        <v>758</v>
      </c>
      <c r="B548" t="s">
        <v>218</v>
      </c>
      <c r="C548" t="s">
        <v>120</v>
      </c>
      <c r="D548">
        <v>6.1</v>
      </c>
      <c r="E548">
        <v>8</v>
      </c>
      <c r="F548" t="s">
        <v>66</v>
      </c>
      <c r="G548">
        <v>5</v>
      </c>
      <c r="H548">
        <v>0.5</v>
      </c>
      <c r="I548" t="s">
        <v>173</v>
      </c>
      <c r="J548" t="s">
        <v>216</v>
      </c>
      <c r="K548" t="s">
        <v>277</v>
      </c>
      <c r="L548" t="s">
        <v>141</v>
      </c>
      <c r="M548" t="s">
        <v>134</v>
      </c>
      <c r="N548">
        <v>75</v>
      </c>
      <c r="O548" t="s">
        <v>114</v>
      </c>
      <c r="P548">
        <v>4</v>
      </c>
      <c r="Q548" t="s">
        <v>135</v>
      </c>
      <c r="R548" t="s">
        <v>116</v>
      </c>
      <c r="S548" t="s">
        <v>169</v>
      </c>
    </row>
    <row r="549" spans="1:19" x14ac:dyDescent="0.35">
      <c r="A549" t="s">
        <v>759</v>
      </c>
      <c r="B549" t="s">
        <v>189</v>
      </c>
      <c r="C549" t="s">
        <v>166</v>
      </c>
      <c r="D549">
        <v>96</v>
      </c>
      <c r="E549">
        <v>35</v>
      </c>
      <c r="F549" t="s">
        <v>63</v>
      </c>
      <c r="G549">
        <v>13</v>
      </c>
      <c r="H549">
        <v>1.3</v>
      </c>
      <c r="I549" t="s">
        <v>246</v>
      </c>
      <c r="J549" t="s">
        <v>250</v>
      </c>
      <c r="K549" t="s">
        <v>209</v>
      </c>
      <c r="L549" t="s">
        <v>190</v>
      </c>
      <c r="M549" t="s">
        <v>134</v>
      </c>
      <c r="N549">
        <v>69</v>
      </c>
      <c r="O549" t="s">
        <v>126</v>
      </c>
      <c r="P549">
        <v>6</v>
      </c>
      <c r="Q549" t="s">
        <v>115</v>
      </c>
      <c r="R549" t="s">
        <v>116</v>
      </c>
      <c r="S549" t="s">
        <v>193</v>
      </c>
    </row>
    <row r="550" spans="1:19" x14ac:dyDescent="0.35">
      <c r="A550" t="s">
        <v>760</v>
      </c>
      <c r="B550" t="s">
        <v>189</v>
      </c>
      <c r="C550" t="s">
        <v>108</v>
      </c>
      <c r="D550">
        <v>19.100000000000001</v>
      </c>
      <c r="E550">
        <v>21</v>
      </c>
      <c r="F550" t="s">
        <v>60</v>
      </c>
      <c r="G550">
        <v>9</v>
      </c>
      <c r="H550">
        <v>0.6</v>
      </c>
      <c r="I550" t="s">
        <v>109</v>
      </c>
      <c r="J550" t="s">
        <v>110</v>
      </c>
      <c r="K550" t="s">
        <v>209</v>
      </c>
      <c r="L550" t="s">
        <v>182</v>
      </c>
      <c r="M550" t="s">
        <v>159</v>
      </c>
      <c r="N550">
        <v>290</v>
      </c>
      <c r="O550" t="s">
        <v>126</v>
      </c>
      <c r="P550">
        <v>2</v>
      </c>
      <c r="Q550" t="s">
        <v>115</v>
      </c>
      <c r="R550" t="s">
        <v>153</v>
      </c>
      <c r="S550" t="s">
        <v>147</v>
      </c>
    </row>
    <row r="551" spans="1:19" x14ac:dyDescent="0.35">
      <c r="A551" t="s">
        <v>761</v>
      </c>
      <c r="B551" t="s">
        <v>218</v>
      </c>
      <c r="C551" t="s">
        <v>120</v>
      </c>
      <c r="D551">
        <v>4.3</v>
      </c>
      <c r="E551">
        <v>24</v>
      </c>
      <c r="F551" t="s">
        <v>65</v>
      </c>
      <c r="G551">
        <v>10</v>
      </c>
      <c r="H551">
        <v>1.3</v>
      </c>
      <c r="I551" t="s">
        <v>144</v>
      </c>
      <c r="J551" t="s">
        <v>269</v>
      </c>
      <c r="K551" t="s">
        <v>141</v>
      </c>
      <c r="L551" t="s">
        <v>152</v>
      </c>
      <c r="M551" t="s">
        <v>134</v>
      </c>
      <c r="N551">
        <v>94</v>
      </c>
      <c r="O551" t="s">
        <v>126</v>
      </c>
      <c r="P551">
        <v>3</v>
      </c>
      <c r="Q551" t="s">
        <v>135</v>
      </c>
      <c r="R551" t="s">
        <v>168</v>
      </c>
      <c r="S551" t="s">
        <v>179</v>
      </c>
    </row>
    <row r="552" spans="1:19" x14ac:dyDescent="0.35">
      <c r="A552" t="s">
        <v>762</v>
      </c>
      <c r="B552" t="s">
        <v>149</v>
      </c>
      <c r="C552" t="s">
        <v>120</v>
      </c>
      <c r="D552">
        <v>4.9000000000000004</v>
      </c>
      <c r="E552">
        <v>7</v>
      </c>
      <c r="F552" t="s">
        <v>60</v>
      </c>
      <c r="G552">
        <v>10</v>
      </c>
      <c r="H552">
        <v>1.1000000000000001</v>
      </c>
      <c r="I552" t="s">
        <v>144</v>
      </c>
      <c r="J552" t="s">
        <v>269</v>
      </c>
      <c r="K552" t="s">
        <v>211</v>
      </c>
      <c r="L552" t="s">
        <v>152</v>
      </c>
      <c r="M552" t="s">
        <v>113</v>
      </c>
      <c r="N552">
        <v>28</v>
      </c>
      <c r="O552" t="s">
        <v>114</v>
      </c>
      <c r="P552">
        <v>13</v>
      </c>
      <c r="Q552" t="s">
        <v>115</v>
      </c>
      <c r="R552" t="s">
        <v>153</v>
      </c>
      <c r="S552" t="s">
        <v>179</v>
      </c>
    </row>
    <row r="553" spans="1:19" x14ac:dyDescent="0.35">
      <c r="A553" t="s">
        <v>763</v>
      </c>
      <c r="B553" t="s">
        <v>176</v>
      </c>
      <c r="C553" t="s">
        <v>108</v>
      </c>
      <c r="D553">
        <v>27.3</v>
      </c>
      <c r="E553">
        <v>23</v>
      </c>
      <c r="F553" t="s">
        <v>58</v>
      </c>
      <c r="G553">
        <v>8</v>
      </c>
      <c r="H553">
        <v>0.8</v>
      </c>
      <c r="I553" t="s">
        <v>162</v>
      </c>
      <c r="J553" t="s">
        <v>177</v>
      </c>
      <c r="K553" t="s">
        <v>178</v>
      </c>
      <c r="L553" t="s">
        <v>228</v>
      </c>
      <c r="M553" t="s">
        <v>113</v>
      </c>
      <c r="N553">
        <v>20</v>
      </c>
      <c r="O553" t="s">
        <v>126</v>
      </c>
      <c r="P553">
        <v>15</v>
      </c>
      <c r="Q553" t="s">
        <v>214</v>
      </c>
      <c r="R553" t="s">
        <v>65</v>
      </c>
      <c r="S553" t="s">
        <v>127</v>
      </c>
    </row>
    <row r="554" spans="1:19" x14ac:dyDescent="0.35">
      <c r="A554" t="s">
        <v>764</v>
      </c>
      <c r="B554" t="s">
        <v>176</v>
      </c>
      <c r="C554" t="s">
        <v>108</v>
      </c>
      <c r="D554">
        <v>48.4</v>
      </c>
      <c r="E554">
        <v>37</v>
      </c>
      <c r="F554" t="s">
        <v>66</v>
      </c>
      <c r="G554">
        <v>9</v>
      </c>
      <c r="H554">
        <v>1.5</v>
      </c>
      <c r="I554" t="s">
        <v>246</v>
      </c>
      <c r="J554" t="s">
        <v>250</v>
      </c>
      <c r="K554" t="s">
        <v>178</v>
      </c>
      <c r="L554" t="s">
        <v>124</v>
      </c>
      <c r="M554" t="s">
        <v>159</v>
      </c>
      <c r="N554">
        <v>246</v>
      </c>
      <c r="O554" t="s">
        <v>126</v>
      </c>
      <c r="P554">
        <v>1</v>
      </c>
      <c r="Q554" t="s">
        <v>115</v>
      </c>
      <c r="R554" t="s">
        <v>168</v>
      </c>
      <c r="S554" t="s">
        <v>136</v>
      </c>
    </row>
    <row r="555" spans="1:19" x14ac:dyDescent="0.35">
      <c r="A555" t="s">
        <v>765</v>
      </c>
      <c r="B555" t="s">
        <v>119</v>
      </c>
      <c r="C555" t="s">
        <v>166</v>
      </c>
      <c r="D555">
        <v>131.6</v>
      </c>
      <c r="E555">
        <v>34</v>
      </c>
      <c r="F555" t="s">
        <v>65</v>
      </c>
      <c r="G555">
        <v>6</v>
      </c>
      <c r="H555">
        <v>0.9</v>
      </c>
      <c r="I555" t="s">
        <v>130</v>
      </c>
      <c r="J555" t="s">
        <v>131</v>
      </c>
      <c r="K555" t="s">
        <v>124</v>
      </c>
      <c r="L555" t="s">
        <v>141</v>
      </c>
      <c r="M555" t="s">
        <v>159</v>
      </c>
      <c r="N555">
        <v>319</v>
      </c>
      <c r="O555" t="s">
        <v>126</v>
      </c>
      <c r="P555">
        <v>2</v>
      </c>
      <c r="Q555" t="s">
        <v>135</v>
      </c>
      <c r="R555" t="s">
        <v>168</v>
      </c>
      <c r="S555" t="s">
        <v>127</v>
      </c>
    </row>
    <row r="556" spans="1:19" x14ac:dyDescent="0.35">
      <c r="A556" t="s">
        <v>766</v>
      </c>
      <c r="B556" t="s">
        <v>119</v>
      </c>
      <c r="C556" t="s">
        <v>120</v>
      </c>
      <c r="D556">
        <v>3.9</v>
      </c>
      <c r="E556">
        <v>11</v>
      </c>
      <c r="F556" t="s">
        <v>63</v>
      </c>
      <c r="G556">
        <v>4</v>
      </c>
      <c r="H556">
        <v>0.4</v>
      </c>
      <c r="I556" t="s">
        <v>162</v>
      </c>
      <c r="J556" t="s">
        <v>413</v>
      </c>
      <c r="K556" t="s">
        <v>123</v>
      </c>
      <c r="L556" t="s">
        <v>141</v>
      </c>
      <c r="M556" t="s">
        <v>113</v>
      </c>
      <c r="N556">
        <v>15</v>
      </c>
      <c r="O556" t="s">
        <v>126</v>
      </c>
      <c r="P556">
        <v>15</v>
      </c>
      <c r="Q556" t="s">
        <v>115</v>
      </c>
      <c r="R556" t="s">
        <v>116</v>
      </c>
      <c r="S556" t="s">
        <v>117</v>
      </c>
    </row>
    <row r="557" spans="1:19" x14ac:dyDescent="0.35">
      <c r="A557" t="s">
        <v>767</v>
      </c>
      <c r="B557" t="s">
        <v>176</v>
      </c>
      <c r="C557" t="s">
        <v>120</v>
      </c>
      <c r="D557">
        <v>2.8</v>
      </c>
      <c r="E557">
        <v>11</v>
      </c>
      <c r="F557" t="s">
        <v>56</v>
      </c>
      <c r="G557">
        <v>2</v>
      </c>
      <c r="H557">
        <v>0.6</v>
      </c>
      <c r="I557" t="s">
        <v>173</v>
      </c>
      <c r="J557" t="s">
        <v>216</v>
      </c>
      <c r="K557" t="s">
        <v>228</v>
      </c>
      <c r="L557" t="s">
        <v>124</v>
      </c>
      <c r="M557" t="s">
        <v>113</v>
      </c>
      <c r="N557">
        <v>30</v>
      </c>
      <c r="O557" t="s">
        <v>126</v>
      </c>
      <c r="P557">
        <v>8</v>
      </c>
      <c r="Q557" t="s">
        <v>115</v>
      </c>
      <c r="R557" t="s">
        <v>65</v>
      </c>
      <c r="S557" t="s">
        <v>117</v>
      </c>
    </row>
    <row r="558" spans="1:19" x14ac:dyDescent="0.35">
      <c r="A558" t="s">
        <v>768</v>
      </c>
      <c r="B558" t="s">
        <v>176</v>
      </c>
      <c r="C558" t="s">
        <v>108</v>
      </c>
      <c r="D558">
        <v>46.2</v>
      </c>
      <c r="E558">
        <v>43</v>
      </c>
      <c r="F558" t="s">
        <v>63</v>
      </c>
      <c r="G558">
        <v>7</v>
      </c>
      <c r="H558">
        <v>0.9</v>
      </c>
      <c r="I558" t="s">
        <v>246</v>
      </c>
      <c r="J558" t="s">
        <v>264</v>
      </c>
      <c r="K558" t="s">
        <v>228</v>
      </c>
      <c r="L558" t="s">
        <v>178</v>
      </c>
      <c r="M558" t="s">
        <v>134</v>
      </c>
      <c r="N558">
        <v>69</v>
      </c>
      <c r="O558" t="s">
        <v>114</v>
      </c>
      <c r="P558">
        <v>5</v>
      </c>
      <c r="Q558" t="s">
        <v>115</v>
      </c>
      <c r="R558" t="s">
        <v>153</v>
      </c>
      <c r="S558" t="s">
        <v>179</v>
      </c>
    </row>
    <row r="559" spans="1:19" x14ac:dyDescent="0.35">
      <c r="A559" t="s">
        <v>769</v>
      </c>
      <c r="B559" t="s">
        <v>189</v>
      </c>
      <c r="C559" t="s">
        <v>120</v>
      </c>
      <c r="D559">
        <v>7.3</v>
      </c>
      <c r="E559">
        <v>28</v>
      </c>
      <c r="F559" t="s">
        <v>66</v>
      </c>
      <c r="G559">
        <v>10</v>
      </c>
      <c r="H559">
        <v>0.7</v>
      </c>
      <c r="I559" t="s">
        <v>185</v>
      </c>
      <c r="J559" t="s">
        <v>186</v>
      </c>
      <c r="K559" t="s">
        <v>182</v>
      </c>
      <c r="L559" t="s">
        <v>190</v>
      </c>
      <c r="M559" t="s">
        <v>113</v>
      </c>
      <c r="N559">
        <v>23</v>
      </c>
      <c r="O559" t="s">
        <v>126</v>
      </c>
      <c r="P559">
        <v>15</v>
      </c>
      <c r="Q559" t="s">
        <v>115</v>
      </c>
      <c r="R559" t="s">
        <v>168</v>
      </c>
      <c r="S559" t="s">
        <v>179</v>
      </c>
    </row>
    <row r="560" spans="1:19" x14ac:dyDescent="0.35">
      <c r="A560" t="s">
        <v>770</v>
      </c>
      <c r="B560" t="s">
        <v>197</v>
      </c>
      <c r="C560" t="s">
        <v>120</v>
      </c>
      <c r="D560">
        <v>6.3</v>
      </c>
      <c r="E560">
        <v>18</v>
      </c>
      <c r="F560" t="s">
        <v>56</v>
      </c>
      <c r="G560">
        <v>12</v>
      </c>
      <c r="H560">
        <v>1.1000000000000001</v>
      </c>
      <c r="I560" t="s">
        <v>121</v>
      </c>
      <c r="J560" t="s">
        <v>122</v>
      </c>
      <c r="K560" t="s">
        <v>200</v>
      </c>
      <c r="L560" t="s">
        <v>199</v>
      </c>
      <c r="M560" t="s">
        <v>134</v>
      </c>
      <c r="N560">
        <v>62</v>
      </c>
      <c r="O560" t="s">
        <v>114</v>
      </c>
      <c r="P560">
        <v>5</v>
      </c>
      <c r="Q560" t="s">
        <v>115</v>
      </c>
      <c r="R560" t="s">
        <v>116</v>
      </c>
      <c r="S560" t="s">
        <v>169</v>
      </c>
    </row>
    <row r="561" spans="1:19" x14ac:dyDescent="0.35">
      <c r="A561" t="s">
        <v>771</v>
      </c>
      <c r="B561" t="s">
        <v>184</v>
      </c>
      <c r="C561" t="s">
        <v>120</v>
      </c>
      <c r="D561">
        <v>4</v>
      </c>
      <c r="E561">
        <v>8</v>
      </c>
      <c r="F561" t="s">
        <v>63</v>
      </c>
      <c r="G561">
        <v>4</v>
      </c>
      <c r="H561">
        <v>0.7</v>
      </c>
      <c r="I561" t="s">
        <v>156</v>
      </c>
      <c r="J561" t="s">
        <v>203</v>
      </c>
      <c r="K561" t="s">
        <v>192</v>
      </c>
      <c r="L561" t="s">
        <v>187</v>
      </c>
      <c r="M561" t="s">
        <v>113</v>
      </c>
      <c r="N561">
        <v>18</v>
      </c>
      <c r="O561" t="s">
        <v>126</v>
      </c>
      <c r="P561">
        <v>12</v>
      </c>
      <c r="Q561" t="s">
        <v>115</v>
      </c>
      <c r="R561" t="s">
        <v>116</v>
      </c>
      <c r="S561" t="s">
        <v>127</v>
      </c>
    </row>
    <row r="562" spans="1:19" x14ac:dyDescent="0.35">
      <c r="A562" t="s">
        <v>772</v>
      </c>
      <c r="B562" t="s">
        <v>197</v>
      </c>
      <c r="C562" t="s">
        <v>120</v>
      </c>
      <c r="D562">
        <v>8.3000000000000007</v>
      </c>
      <c r="E562">
        <v>24</v>
      </c>
      <c r="F562" t="s">
        <v>63</v>
      </c>
      <c r="G562">
        <v>5</v>
      </c>
      <c r="H562">
        <v>1</v>
      </c>
      <c r="I562" t="s">
        <v>162</v>
      </c>
      <c r="J562" t="s">
        <v>163</v>
      </c>
      <c r="K562" t="s">
        <v>200</v>
      </c>
      <c r="L562" t="s">
        <v>178</v>
      </c>
      <c r="M562" t="s">
        <v>134</v>
      </c>
      <c r="N562">
        <v>75</v>
      </c>
      <c r="O562" t="s">
        <v>126</v>
      </c>
      <c r="P562">
        <v>3</v>
      </c>
      <c r="Q562" t="s">
        <v>115</v>
      </c>
      <c r="R562" t="s">
        <v>116</v>
      </c>
      <c r="S562" t="s">
        <v>169</v>
      </c>
    </row>
    <row r="563" spans="1:19" x14ac:dyDescent="0.35">
      <c r="A563" t="s">
        <v>773</v>
      </c>
      <c r="B563" t="s">
        <v>129</v>
      </c>
      <c r="C563" t="s">
        <v>120</v>
      </c>
      <c r="D563">
        <v>5.7</v>
      </c>
      <c r="E563">
        <v>22</v>
      </c>
      <c r="F563" t="s">
        <v>65</v>
      </c>
      <c r="G563">
        <v>5</v>
      </c>
      <c r="H563">
        <v>0</v>
      </c>
      <c r="I563" t="s">
        <v>246</v>
      </c>
      <c r="J563" t="s">
        <v>247</v>
      </c>
      <c r="K563" t="s">
        <v>133</v>
      </c>
      <c r="L563" t="s">
        <v>132</v>
      </c>
      <c r="M563" t="s">
        <v>113</v>
      </c>
      <c r="N563">
        <v>10</v>
      </c>
      <c r="O563" t="s">
        <v>126</v>
      </c>
      <c r="P563">
        <v>15</v>
      </c>
      <c r="Q563" t="s">
        <v>214</v>
      </c>
      <c r="R563" t="s">
        <v>153</v>
      </c>
      <c r="S563" t="s">
        <v>142</v>
      </c>
    </row>
    <row r="564" spans="1:19" x14ac:dyDescent="0.35">
      <c r="A564" t="s">
        <v>774</v>
      </c>
      <c r="B564" t="s">
        <v>155</v>
      </c>
      <c r="C564" t="s">
        <v>120</v>
      </c>
      <c r="D564">
        <v>6.5</v>
      </c>
      <c r="E564">
        <v>17</v>
      </c>
      <c r="F564" t="s">
        <v>60</v>
      </c>
      <c r="G564">
        <v>3</v>
      </c>
      <c r="H564">
        <v>0.3</v>
      </c>
      <c r="I564" t="s">
        <v>156</v>
      </c>
      <c r="J564" t="s">
        <v>203</v>
      </c>
      <c r="K564" t="s">
        <v>158</v>
      </c>
      <c r="L564" t="s">
        <v>195</v>
      </c>
      <c r="M564" t="s">
        <v>134</v>
      </c>
      <c r="N564">
        <v>65</v>
      </c>
      <c r="O564" t="s">
        <v>126</v>
      </c>
      <c r="P564">
        <v>4</v>
      </c>
      <c r="Q564" t="s">
        <v>115</v>
      </c>
      <c r="R564" t="s">
        <v>116</v>
      </c>
      <c r="S564" t="s">
        <v>142</v>
      </c>
    </row>
    <row r="565" spans="1:19" x14ac:dyDescent="0.35">
      <c r="A565" t="s">
        <v>775</v>
      </c>
      <c r="B565" t="s">
        <v>218</v>
      </c>
      <c r="C565" t="s">
        <v>120</v>
      </c>
      <c r="D565">
        <v>1.6</v>
      </c>
      <c r="E565">
        <v>9</v>
      </c>
      <c r="F565" t="s">
        <v>63</v>
      </c>
      <c r="G565">
        <v>2</v>
      </c>
      <c r="H565">
        <v>1.5</v>
      </c>
      <c r="I565" t="s">
        <v>144</v>
      </c>
      <c r="J565" t="s">
        <v>145</v>
      </c>
      <c r="K565" t="s">
        <v>152</v>
      </c>
      <c r="L565" t="s">
        <v>141</v>
      </c>
      <c r="M565" t="s">
        <v>113</v>
      </c>
      <c r="N565">
        <v>9</v>
      </c>
      <c r="O565" t="s">
        <v>114</v>
      </c>
      <c r="P565">
        <v>13</v>
      </c>
      <c r="Q565" t="s">
        <v>115</v>
      </c>
      <c r="R565" t="s">
        <v>65</v>
      </c>
      <c r="S565" t="s">
        <v>169</v>
      </c>
    </row>
    <row r="566" spans="1:19" x14ac:dyDescent="0.35">
      <c r="A566" t="s">
        <v>776</v>
      </c>
      <c r="B566" t="s">
        <v>138</v>
      </c>
      <c r="C566" t="s">
        <v>108</v>
      </c>
      <c r="D566">
        <v>47.9</v>
      </c>
      <c r="E566">
        <v>22</v>
      </c>
      <c r="F566" t="s">
        <v>66</v>
      </c>
      <c r="G566">
        <v>6</v>
      </c>
      <c r="H566">
        <v>0.4</v>
      </c>
      <c r="I566" t="s">
        <v>185</v>
      </c>
      <c r="J566" t="s">
        <v>382</v>
      </c>
      <c r="K566" t="s">
        <v>111</v>
      </c>
      <c r="L566" t="s">
        <v>146</v>
      </c>
      <c r="M566" t="s">
        <v>113</v>
      </c>
      <c r="N566">
        <v>18</v>
      </c>
      <c r="O566" t="s">
        <v>114</v>
      </c>
      <c r="P566">
        <v>13</v>
      </c>
      <c r="Q566" t="s">
        <v>115</v>
      </c>
      <c r="R566" t="s">
        <v>153</v>
      </c>
      <c r="S566" t="s">
        <v>147</v>
      </c>
    </row>
    <row r="567" spans="1:19" x14ac:dyDescent="0.35">
      <c r="A567" t="s">
        <v>777</v>
      </c>
      <c r="B567" t="s">
        <v>161</v>
      </c>
      <c r="C567" t="s">
        <v>120</v>
      </c>
      <c r="D567">
        <v>7.5</v>
      </c>
      <c r="E567">
        <v>9</v>
      </c>
      <c r="F567" t="s">
        <v>56</v>
      </c>
      <c r="G567">
        <v>5</v>
      </c>
      <c r="H567">
        <v>0.7</v>
      </c>
      <c r="I567" t="s">
        <v>109</v>
      </c>
      <c r="J567" t="s">
        <v>110</v>
      </c>
      <c r="K567" t="s">
        <v>182</v>
      </c>
      <c r="L567" t="s">
        <v>164</v>
      </c>
      <c r="M567" t="s">
        <v>159</v>
      </c>
      <c r="N567">
        <v>286</v>
      </c>
      <c r="O567" t="s">
        <v>126</v>
      </c>
      <c r="P567">
        <v>2</v>
      </c>
      <c r="Q567" t="s">
        <v>115</v>
      </c>
      <c r="R567" t="s">
        <v>168</v>
      </c>
      <c r="S567" t="s">
        <v>169</v>
      </c>
    </row>
    <row r="568" spans="1:19" x14ac:dyDescent="0.35">
      <c r="A568" t="s">
        <v>778</v>
      </c>
      <c r="B568" t="s">
        <v>189</v>
      </c>
      <c r="C568" t="s">
        <v>120</v>
      </c>
      <c r="D568">
        <v>4.7</v>
      </c>
      <c r="E568">
        <v>19</v>
      </c>
      <c r="F568" t="s">
        <v>66</v>
      </c>
      <c r="G568">
        <v>6</v>
      </c>
      <c r="H568">
        <v>1</v>
      </c>
      <c r="I568" t="s">
        <v>121</v>
      </c>
      <c r="J568" t="s">
        <v>255</v>
      </c>
      <c r="K568" t="s">
        <v>190</v>
      </c>
      <c r="L568" t="s">
        <v>209</v>
      </c>
      <c r="M568" t="s">
        <v>159</v>
      </c>
      <c r="N568">
        <v>326</v>
      </c>
      <c r="O568" t="s">
        <v>126</v>
      </c>
      <c r="P568">
        <v>2</v>
      </c>
      <c r="Q568" t="s">
        <v>135</v>
      </c>
      <c r="R568" t="s">
        <v>116</v>
      </c>
      <c r="S568" t="s">
        <v>169</v>
      </c>
    </row>
    <row r="569" spans="1:19" x14ac:dyDescent="0.35">
      <c r="A569" t="s">
        <v>779</v>
      </c>
      <c r="B569" t="s">
        <v>129</v>
      </c>
      <c r="C569" t="s">
        <v>108</v>
      </c>
      <c r="D569">
        <v>41.7</v>
      </c>
      <c r="E569">
        <v>38</v>
      </c>
      <c r="F569" t="s">
        <v>60</v>
      </c>
      <c r="G569">
        <v>13</v>
      </c>
      <c r="H569">
        <v>1</v>
      </c>
      <c r="I569" t="s">
        <v>109</v>
      </c>
      <c r="J569" t="s">
        <v>110</v>
      </c>
      <c r="K569" t="s">
        <v>164</v>
      </c>
      <c r="L569" t="s">
        <v>132</v>
      </c>
      <c r="M569" t="s">
        <v>113</v>
      </c>
      <c r="N569">
        <v>15</v>
      </c>
      <c r="O569" t="s">
        <v>126</v>
      </c>
      <c r="P569">
        <v>10</v>
      </c>
      <c r="Q569" t="s">
        <v>135</v>
      </c>
      <c r="R569" t="s">
        <v>116</v>
      </c>
      <c r="S569" t="s">
        <v>142</v>
      </c>
    </row>
    <row r="570" spans="1:19" x14ac:dyDescent="0.35">
      <c r="A570" t="s">
        <v>780</v>
      </c>
      <c r="B570" t="s">
        <v>161</v>
      </c>
      <c r="C570" t="s">
        <v>120</v>
      </c>
      <c r="D570">
        <v>4.4000000000000004</v>
      </c>
      <c r="E570">
        <v>18</v>
      </c>
      <c r="F570" t="s">
        <v>56</v>
      </c>
      <c r="G570">
        <v>11</v>
      </c>
      <c r="H570">
        <v>0.6</v>
      </c>
      <c r="I570" t="s">
        <v>205</v>
      </c>
      <c r="J570" t="s">
        <v>298</v>
      </c>
      <c r="K570" t="s">
        <v>133</v>
      </c>
      <c r="L570" t="s">
        <v>182</v>
      </c>
      <c r="M570" t="s">
        <v>113</v>
      </c>
      <c r="N570">
        <v>28</v>
      </c>
      <c r="O570" t="s">
        <v>126</v>
      </c>
      <c r="P570">
        <v>13</v>
      </c>
      <c r="Q570" t="s">
        <v>135</v>
      </c>
      <c r="R570" t="s">
        <v>168</v>
      </c>
      <c r="S570" t="s">
        <v>127</v>
      </c>
    </row>
    <row r="571" spans="1:19" x14ac:dyDescent="0.35">
      <c r="A571" t="s">
        <v>781</v>
      </c>
      <c r="B571" t="s">
        <v>149</v>
      </c>
      <c r="C571" t="s">
        <v>120</v>
      </c>
      <c r="D571">
        <v>3.6</v>
      </c>
      <c r="E571">
        <v>19</v>
      </c>
      <c r="F571" t="s">
        <v>63</v>
      </c>
      <c r="G571">
        <v>2</v>
      </c>
      <c r="H571">
        <v>0.7</v>
      </c>
      <c r="I571" t="s">
        <v>205</v>
      </c>
      <c r="J571" t="s">
        <v>236</v>
      </c>
      <c r="K571" t="s">
        <v>152</v>
      </c>
      <c r="L571" t="s">
        <v>123</v>
      </c>
      <c r="M571" t="s">
        <v>134</v>
      </c>
      <c r="N571">
        <v>71</v>
      </c>
      <c r="O571" t="s">
        <v>114</v>
      </c>
      <c r="P571">
        <v>3</v>
      </c>
      <c r="Q571" t="s">
        <v>115</v>
      </c>
      <c r="R571" t="s">
        <v>116</v>
      </c>
      <c r="S571" t="s">
        <v>193</v>
      </c>
    </row>
    <row r="572" spans="1:19" x14ac:dyDescent="0.35">
      <c r="A572" t="s">
        <v>782</v>
      </c>
      <c r="B572" t="s">
        <v>149</v>
      </c>
      <c r="C572" t="s">
        <v>108</v>
      </c>
      <c r="D572">
        <v>15.7</v>
      </c>
      <c r="E572">
        <v>15</v>
      </c>
      <c r="F572" t="s">
        <v>66</v>
      </c>
      <c r="G572">
        <v>2</v>
      </c>
      <c r="H572">
        <v>0.6</v>
      </c>
      <c r="I572" t="s">
        <v>205</v>
      </c>
      <c r="J572" t="s">
        <v>206</v>
      </c>
      <c r="K572" t="s">
        <v>152</v>
      </c>
      <c r="L572" t="s">
        <v>123</v>
      </c>
      <c r="M572" t="s">
        <v>159</v>
      </c>
      <c r="N572">
        <v>320</v>
      </c>
      <c r="O572" t="s">
        <v>126</v>
      </c>
      <c r="P572">
        <v>1</v>
      </c>
      <c r="Q572" t="s">
        <v>214</v>
      </c>
      <c r="R572" t="s">
        <v>116</v>
      </c>
      <c r="S572" t="s">
        <v>179</v>
      </c>
    </row>
    <row r="573" spans="1:19" x14ac:dyDescent="0.35">
      <c r="A573" t="s">
        <v>783</v>
      </c>
      <c r="B573" t="s">
        <v>197</v>
      </c>
      <c r="C573" t="s">
        <v>120</v>
      </c>
      <c r="D573">
        <v>7.4</v>
      </c>
      <c r="E573">
        <v>9</v>
      </c>
      <c r="F573" t="s">
        <v>63</v>
      </c>
      <c r="G573">
        <v>5</v>
      </c>
      <c r="H573">
        <v>0.8</v>
      </c>
      <c r="I573" t="s">
        <v>121</v>
      </c>
      <c r="J573" t="s">
        <v>122</v>
      </c>
      <c r="K573" t="s">
        <v>200</v>
      </c>
      <c r="L573" t="s">
        <v>199</v>
      </c>
      <c r="M573" t="s">
        <v>134</v>
      </c>
      <c r="N573">
        <v>73</v>
      </c>
      <c r="O573" t="s">
        <v>114</v>
      </c>
      <c r="P573">
        <v>6</v>
      </c>
      <c r="Q573" t="s">
        <v>135</v>
      </c>
      <c r="R573" t="s">
        <v>116</v>
      </c>
      <c r="S573" t="s">
        <v>169</v>
      </c>
    </row>
    <row r="574" spans="1:19" x14ac:dyDescent="0.35">
      <c r="A574" t="s">
        <v>784</v>
      </c>
      <c r="B574" t="s">
        <v>197</v>
      </c>
      <c r="C574" t="s">
        <v>120</v>
      </c>
      <c r="D574">
        <v>7.1</v>
      </c>
      <c r="E574">
        <v>26</v>
      </c>
      <c r="F574" t="s">
        <v>66</v>
      </c>
      <c r="G574">
        <v>11</v>
      </c>
      <c r="H574">
        <v>0.6</v>
      </c>
      <c r="I574" t="s">
        <v>246</v>
      </c>
      <c r="J574" t="s">
        <v>250</v>
      </c>
      <c r="K574" t="s">
        <v>178</v>
      </c>
      <c r="L574" t="s">
        <v>200</v>
      </c>
      <c r="M574" t="s">
        <v>159</v>
      </c>
      <c r="N574">
        <v>158</v>
      </c>
      <c r="O574" t="s">
        <v>201</v>
      </c>
      <c r="P574">
        <v>2</v>
      </c>
      <c r="Q574" t="s">
        <v>214</v>
      </c>
      <c r="R574" t="s">
        <v>168</v>
      </c>
      <c r="S574" t="s">
        <v>193</v>
      </c>
    </row>
    <row r="575" spans="1:19" x14ac:dyDescent="0.35">
      <c r="A575" t="s">
        <v>785</v>
      </c>
      <c r="B575" t="s">
        <v>138</v>
      </c>
      <c r="C575" t="s">
        <v>120</v>
      </c>
      <c r="D575">
        <v>2.5</v>
      </c>
      <c r="E575">
        <v>13</v>
      </c>
      <c r="F575" t="s">
        <v>56</v>
      </c>
      <c r="G575">
        <v>2</v>
      </c>
      <c r="H575">
        <v>1.5</v>
      </c>
      <c r="I575" t="s">
        <v>173</v>
      </c>
      <c r="J575" t="s">
        <v>174</v>
      </c>
      <c r="K575" t="s">
        <v>141</v>
      </c>
      <c r="L575" t="s">
        <v>146</v>
      </c>
      <c r="M575" t="s">
        <v>113</v>
      </c>
      <c r="N575">
        <v>19</v>
      </c>
      <c r="O575" t="s">
        <v>126</v>
      </c>
      <c r="P575">
        <v>10</v>
      </c>
      <c r="Q575" t="s">
        <v>115</v>
      </c>
      <c r="R575" t="s">
        <v>153</v>
      </c>
      <c r="S575" t="s">
        <v>147</v>
      </c>
    </row>
    <row r="576" spans="1:19" x14ac:dyDescent="0.35">
      <c r="A576" t="s">
        <v>786</v>
      </c>
      <c r="B576" t="s">
        <v>176</v>
      </c>
      <c r="C576" t="s">
        <v>120</v>
      </c>
      <c r="D576">
        <v>4.9000000000000004</v>
      </c>
      <c r="E576">
        <v>18</v>
      </c>
      <c r="F576" t="s">
        <v>60</v>
      </c>
      <c r="G576">
        <v>7</v>
      </c>
      <c r="H576">
        <v>0.9</v>
      </c>
      <c r="I576" t="s">
        <v>185</v>
      </c>
      <c r="J576" t="s">
        <v>225</v>
      </c>
      <c r="K576" t="s">
        <v>228</v>
      </c>
      <c r="L576" t="s">
        <v>124</v>
      </c>
      <c r="M576" t="s">
        <v>113</v>
      </c>
      <c r="N576">
        <v>26</v>
      </c>
      <c r="O576" t="s">
        <v>126</v>
      </c>
      <c r="P576">
        <v>12</v>
      </c>
      <c r="Q576" t="s">
        <v>115</v>
      </c>
      <c r="R576" t="s">
        <v>65</v>
      </c>
      <c r="S576" t="s">
        <v>179</v>
      </c>
    </row>
    <row r="577" spans="1:19" x14ac:dyDescent="0.35">
      <c r="A577" t="s">
        <v>787</v>
      </c>
      <c r="B577" t="s">
        <v>184</v>
      </c>
      <c r="C577" t="s">
        <v>120</v>
      </c>
      <c r="D577">
        <v>1.2</v>
      </c>
      <c r="E577">
        <v>6</v>
      </c>
      <c r="F577" t="s">
        <v>56</v>
      </c>
      <c r="G577">
        <v>3</v>
      </c>
      <c r="H577">
        <v>1.2</v>
      </c>
      <c r="I577" t="s">
        <v>185</v>
      </c>
      <c r="J577" t="s">
        <v>223</v>
      </c>
      <c r="K577" t="s">
        <v>124</v>
      </c>
      <c r="L577" t="s">
        <v>187</v>
      </c>
      <c r="M577" t="s">
        <v>113</v>
      </c>
      <c r="N577">
        <v>24</v>
      </c>
      <c r="O577" t="s">
        <v>126</v>
      </c>
      <c r="P577">
        <v>9</v>
      </c>
      <c r="Q577" t="s">
        <v>115</v>
      </c>
      <c r="R577" t="s">
        <v>116</v>
      </c>
      <c r="S577" t="s">
        <v>127</v>
      </c>
    </row>
    <row r="578" spans="1:19" x14ac:dyDescent="0.35">
      <c r="A578" t="s">
        <v>788</v>
      </c>
      <c r="B578" t="s">
        <v>197</v>
      </c>
      <c r="C578" t="s">
        <v>166</v>
      </c>
      <c r="D578">
        <v>176.5</v>
      </c>
      <c r="E578">
        <v>37</v>
      </c>
      <c r="F578" t="s">
        <v>58</v>
      </c>
      <c r="G578">
        <v>13</v>
      </c>
      <c r="H578">
        <v>0.6</v>
      </c>
      <c r="I578" t="s">
        <v>130</v>
      </c>
      <c r="J578" t="s">
        <v>258</v>
      </c>
      <c r="K578" t="s">
        <v>178</v>
      </c>
      <c r="L578" t="s">
        <v>199</v>
      </c>
      <c r="M578" t="s">
        <v>125</v>
      </c>
      <c r="N578">
        <v>359</v>
      </c>
      <c r="O578" t="s">
        <v>126</v>
      </c>
      <c r="P578">
        <v>0</v>
      </c>
      <c r="Q578" t="s">
        <v>115</v>
      </c>
      <c r="R578" t="s">
        <v>116</v>
      </c>
      <c r="S578" t="s">
        <v>147</v>
      </c>
    </row>
    <row r="579" spans="1:19" x14ac:dyDescent="0.35">
      <c r="A579" t="s">
        <v>789</v>
      </c>
      <c r="B579" t="s">
        <v>161</v>
      </c>
      <c r="C579" t="s">
        <v>120</v>
      </c>
      <c r="D579">
        <v>6.3</v>
      </c>
      <c r="E579">
        <v>10</v>
      </c>
      <c r="F579" t="s">
        <v>58</v>
      </c>
      <c r="G579">
        <v>3</v>
      </c>
      <c r="H579">
        <v>0.4</v>
      </c>
      <c r="I579" t="s">
        <v>121</v>
      </c>
      <c r="J579" t="s">
        <v>122</v>
      </c>
      <c r="K579" t="s">
        <v>182</v>
      </c>
      <c r="L579" t="s">
        <v>133</v>
      </c>
      <c r="M579" t="s">
        <v>113</v>
      </c>
      <c r="N579">
        <v>27</v>
      </c>
      <c r="O579" t="s">
        <v>126</v>
      </c>
      <c r="P579">
        <v>13</v>
      </c>
      <c r="Q579" t="s">
        <v>135</v>
      </c>
      <c r="R579" t="s">
        <v>116</v>
      </c>
      <c r="S579" t="s">
        <v>142</v>
      </c>
    </row>
    <row r="580" spans="1:19" x14ac:dyDescent="0.35">
      <c r="A580" t="s">
        <v>790</v>
      </c>
      <c r="B580" t="s">
        <v>129</v>
      </c>
      <c r="C580" t="s">
        <v>120</v>
      </c>
      <c r="D580">
        <v>9.4</v>
      </c>
      <c r="E580">
        <v>11</v>
      </c>
      <c r="F580" t="s">
        <v>66</v>
      </c>
      <c r="G580">
        <v>6</v>
      </c>
      <c r="H580">
        <v>0.9</v>
      </c>
      <c r="I580" t="s">
        <v>246</v>
      </c>
      <c r="J580" t="s">
        <v>247</v>
      </c>
      <c r="K580" t="s">
        <v>164</v>
      </c>
      <c r="L580" t="s">
        <v>133</v>
      </c>
      <c r="M580" t="s">
        <v>134</v>
      </c>
      <c r="N580">
        <v>80</v>
      </c>
      <c r="O580" t="s">
        <v>126</v>
      </c>
      <c r="P580">
        <v>4</v>
      </c>
      <c r="Q580" t="s">
        <v>115</v>
      </c>
      <c r="R580" t="s">
        <v>168</v>
      </c>
      <c r="S580" t="s">
        <v>136</v>
      </c>
    </row>
    <row r="581" spans="1:19" x14ac:dyDescent="0.35">
      <c r="A581" t="s">
        <v>791</v>
      </c>
      <c r="B581" t="s">
        <v>129</v>
      </c>
      <c r="C581" t="s">
        <v>108</v>
      </c>
      <c r="D581">
        <v>16.2</v>
      </c>
      <c r="E581">
        <v>36</v>
      </c>
      <c r="F581" t="s">
        <v>66</v>
      </c>
      <c r="G581">
        <v>3</v>
      </c>
      <c r="H581">
        <v>0.9</v>
      </c>
      <c r="I581" t="s">
        <v>185</v>
      </c>
      <c r="J581" t="s">
        <v>225</v>
      </c>
      <c r="K581" t="s">
        <v>132</v>
      </c>
      <c r="L581" t="s">
        <v>133</v>
      </c>
      <c r="M581" t="s">
        <v>113</v>
      </c>
      <c r="N581">
        <v>25</v>
      </c>
      <c r="O581" t="s">
        <v>126</v>
      </c>
      <c r="P581">
        <v>15</v>
      </c>
      <c r="Q581" t="s">
        <v>115</v>
      </c>
      <c r="R581" t="s">
        <v>116</v>
      </c>
      <c r="S581" t="s">
        <v>136</v>
      </c>
    </row>
    <row r="582" spans="1:19" x14ac:dyDescent="0.35">
      <c r="A582" t="s">
        <v>792</v>
      </c>
      <c r="B582" t="s">
        <v>197</v>
      </c>
      <c r="C582" t="s">
        <v>120</v>
      </c>
      <c r="D582">
        <v>4.7</v>
      </c>
      <c r="E582">
        <v>14</v>
      </c>
      <c r="F582" t="s">
        <v>63</v>
      </c>
      <c r="G582">
        <v>3</v>
      </c>
      <c r="H582">
        <v>0.3</v>
      </c>
      <c r="I582" t="s">
        <v>139</v>
      </c>
      <c r="J582" t="s">
        <v>140</v>
      </c>
      <c r="K582" t="s">
        <v>200</v>
      </c>
      <c r="L582" t="s">
        <v>178</v>
      </c>
      <c r="M582" t="s">
        <v>113</v>
      </c>
      <c r="N582">
        <v>28</v>
      </c>
      <c r="O582" t="s">
        <v>126</v>
      </c>
      <c r="P582">
        <v>10</v>
      </c>
      <c r="Q582" t="s">
        <v>115</v>
      </c>
      <c r="R582" t="s">
        <v>153</v>
      </c>
      <c r="S582" t="s">
        <v>117</v>
      </c>
    </row>
    <row r="583" spans="1:19" x14ac:dyDescent="0.35">
      <c r="A583" t="s">
        <v>793</v>
      </c>
      <c r="B583" t="s">
        <v>107</v>
      </c>
      <c r="C583" t="s">
        <v>120</v>
      </c>
      <c r="D583">
        <v>8</v>
      </c>
      <c r="E583">
        <v>25</v>
      </c>
      <c r="F583" t="s">
        <v>66</v>
      </c>
      <c r="G583">
        <v>9</v>
      </c>
      <c r="H583">
        <v>0.6</v>
      </c>
      <c r="I583" t="s">
        <v>185</v>
      </c>
      <c r="J583" t="s">
        <v>186</v>
      </c>
      <c r="K583" t="s">
        <v>171</v>
      </c>
      <c r="L583" t="s">
        <v>111</v>
      </c>
      <c r="M583" t="s">
        <v>113</v>
      </c>
      <c r="N583">
        <v>27</v>
      </c>
      <c r="O583" t="s">
        <v>201</v>
      </c>
      <c r="P583">
        <v>10</v>
      </c>
      <c r="Q583" t="s">
        <v>135</v>
      </c>
      <c r="R583" t="s">
        <v>153</v>
      </c>
      <c r="S583" t="s">
        <v>179</v>
      </c>
    </row>
    <row r="584" spans="1:19" x14ac:dyDescent="0.35">
      <c r="A584" t="s">
        <v>794</v>
      </c>
      <c r="B584" t="s">
        <v>161</v>
      </c>
      <c r="C584" t="s">
        <v>108</v>
      </c>
      <c r="D584">
        <v>26.9</v>
      </c>
      <c r="E584">
        <v>29</v>
      </c>
      <c r="F584" t="s">
        <v>60</v>
      </c>
      <c r="G584">
        <v>4</v>
      </c>
      <c r="H584">
        <v>1.3</v>
      </c>
      <c r="I584" t="s">
        <v>156</v>
      </c>
      <c r="J584" t="s">
        <v>203</v>
      </c>
      <c r="K584" t="s">
        <v>182</v>
      </c>
      <c r="L584" t="s">
        <v>164</v>
      </c>
      <c r="M584" t="s">
        <v>113</v>
      </c>
      <c r="N584">
        <v>17</v>
      </c>
      <c r="O584" t="s">
        <v>126</v>
      </c>
      <c r="P584">
        <v>15</v>
      </c>
      <c r="Q584" t="s">
        <v>115</v>
      </c>
      <c r="R584" t="s">
        <v>116</v>
      </c>
      <c r="S584" t="s">
        <v>147</v>
      </c>
    </row>
    <row r="585" spans="1:19" x14ac:dyDescent="0.35">
      <c r="A585" t="s">
        <v>795</v>
      </c>
      <c r="B585" t="s">
        <v>119</v>
      </c>
      <c r="C585" t="s">
        <v>120</v>
      </c>
      <c r="D585">
        <v>9.4</v>
      </c>
      <c r="E585">
        <v>5</v>
      </c>
      <c r="F585" t="s">
        <v>65</v>
      </c>
      <c r="G585">
        <v>9</v>
      </c>
      <c r="H585">
        <v>0.9</v>
      </c>
      <c r="I585" t="s">
        <v>139</v>
      </c>
      <c r="J585" t="s">
        <v>239</v>
      </c>
      <c r="K585" t="s">
        <v>124</v>
      </c>
      <c r="L585" t="s">
        <v>123</v>
      </c>
      <c r="M585" t="s">
        <v>113</v>
      </c>
      <c r="N585">
        <v>10</v>
      </c>
      <c r="O585" t="s">
        <v>126</v>
      </c>
      <c r="P585">
        <v>9</v>
      </c>
      <c r="Q585" t="s">
        <v>135</v>
      </c>
      <c r="R585" t="s">
        <v>168</v>
      </c>
      <c r="S585" t="s">
        <v>193</v>
      </c>
    </row>
    <row r="586" spans="1:19" x14ac:dyDescent="0.35">
      <c r="A586" t="s">
        <v>796</v>
      </c>
      <c r="B586" t="s">
        <v>189</v>
      </c>
      <c r="C586" t="s">
        <v>120</v>
      </c>
      <c r="D586">
        <v>2.5</v>
      </c>
      <c r="E586">
        <v>11</v>
      </c>
      <c r="F586" t="s">
        <v>66</v>
      </c>
      <c r="G586">
        <v>11</v>
      </c>
      <c r="H586">
        <v>0.7</v>
      </c>
      <c r="I586" t="s">
        <v>173</v>
      </c>
      <c r="J586" t="s">
        <v>174</v>
      </c>
      <c r="K586" t="s">
        <v>209</v>
      </c>
      <c r="L586" t="s">
        <v>190</v>
      </c>
      <c r="M586" t="s">
        <v>159</v>
      </c>
      <c r="N586">
        <v>280</v>
      </c>
      <c r="O586" t="s">
        <v>126</v>
      </c>
      <c r="P586">
        <v>1</v>
      </c>
      <c r="Q586" t="s">
        <v>115</v>
      </c>
      <c r="R586" t="s">
        <v>116</v>
      </c>
      <c r="S586" t="s">
        <v>127</v>
      </c>
    </row>
    <row r="587" spans="1:19" x14ac:dyDescent="0.35">
      <c r="A587" t="s">
        <v>797</v>
      </c>
      <c r="B587" t="s">
        <v>197</v>
      </c>
      <c r="C587" t="s">
        <v>120</v>
      </c>
      <c r="D587">
        <v>6.2</v>
      </c>
      <c r="E587">
        <v>18</v>
      </c>
      <c r="F587" t="s">
        <v>63</v>
      </c>
      <c r="G587">
        <v>6</v>
      </c>
      <c r="H587">
        <v>0.9</v>
      </c>
      <c r="I587" t="s">
        <v>246</v>
      </c>
      <c r="J587" t="s">
        <v>250</v>
      </c>
      <c r="K587" t="s">
        <v>178</v>
      </c>
      <c r="L587" t="s">
        <v>199</v>
      </c>
      <c r="M587" t="s">
        <v>159</v>
      </c>
      <c r="N587">
        <v>307</v>
      </c>
      <c r="O587" t="s">
        <v>126</v>
      </c>
      <c r="P587">
        <v>1</v>
      </c>
      <c r="Q587" t="s">
        <v>115</v>
      </c>
      <c r="R587" t="s">
        <v>168</v>
      </c>
      <c r="S587" t="s">
        <v>142</v>
      </c>
    </row>
    <row r="588" spans="1:19" x14ac:dyDescent="0.35">
      <c r="A588" t="s">
        <v>798</v>
      </c>
      <c r="B588" t="s">
        <v>155</v>
      </c>
      <c r="C588" t="s">
        <v>120</v>
      </c>
      <c r="D588">
        <v>9.6999999999999993</v>
      </c>
      <c r="E588">
        <v>17</v>
      </c>
      <c r="F588" t="s">
        <v>65</v>
      </c>
      <c r="G588">
        <v>11</v>
      </c>
      <c r="H588">
        <v>0.6</v>
      </c>
      <c r="I588" t="s">
        <v>162</v>
      </c>
      <c r="J588" t="s">
        <v>413</v>
      </c>
      <c r="K588" t="s">
        <v>158</v>
      </c>
      <c r="L588" t="s">
        <v>195</v>
      </c>
      <c r="M588" t="s">
        <v>113</v>
      </c>
      <c r="N588">
        <v>18</v>
      </c>
      <c r="O588" t="s">
        <v>126</v>
      </c>
      <c r="P588">
        <v>12</v>
      </c>
      <c r="Q588" t="s">
        <v>214</v>
      </c>
      <c r="R588" t="s">
        <v>168</v>
      </c>
      <c r="S588" t="s">
        <v>147</v>
      </c>
    </row>
    <row r="589" spans="1:19" x14ac:dyDescent="0.35">
      <c r="A589" t="s">
        <v>799</v>
      </c>
      <c r="B589" t="s">
        <v>138</v>
      </c>
      <c r="C589" t="s">
        <v>120</v>
      </c>
      <c r="D589">
        <v>2.8</v>
      </c>
      <c r="E589">
        <v>18</v>
      </c>
      <c r="F589" t="s">
        <v>63</v>
      </c>
      <c r="G589">
        <v>7</v>
      </c>
      <c r="H589">
        <v>0.7</v>
      </c>
      <c r="I589" t="s">
        <v>121</v>
      </c>
      <c r="J589" t="s">
        <v>122</v>
      </c>
      <c r="K589" t="s">
        <v>141</v>
      </c>
      <c r="L589" t="s">
        <v>146</v>
      </c>
      <c r="M589" t="s">
        <v>159</v>
      </c>
      <c r="N589">
        <v>301</v>
      </c>
      <c r="O589" t="s">
        <v>126</v>
      </c>
      <c r="P589">
        <v>1</v>
      </c>
      <c r="Q589" t="s">
        <v>115</v>
      </c>
      <c r="R589" t="s">
        <v>168</v>
      </c>
      <c r="S589" t="s">
        <v>169</v>
      </c>
    </row>
    <row r="590" spans="1:19" x14ac:dyDescent="0.35">
      <c r="A590" t="s">
        <v>800</v>
      </c>
      <c r="B590" t="s">
        <v>129</v>
      </c>
      <c r="C590" t="s">
        <v>120</v>
      </c>
      <c r="D590">
        <v>2.9</v>
      </c>
      <c r="E590">
        <v>12</v>
      </c>
      <c r="F590" t="s">
        <v>63</v>
      </c>
      <c r="G590">
        <v>11</v>
      </c>
      <c r="H590">
        <v>1.1000000000000001</v>
      </c>
      <c r="I590" t="s">
        <v>205</v>
      </c>
      <c r="J590" t="s">
        <v>206</v>
      </c>
      <c r="K590" t="s">
        <v>164</v>
      </c>
      <c r="L590" t="s">
        <v>132</v>
      </c>
      <c r="M590" t="s">
        <v>113</v>
      </c>
      <c r="N590">
        <v>12</v>
      </c>
      <c r="O590" t="s">
        <v>126</v>
      </c>
      <c r="P590">
        <v>8</v>
      </c>
      <c r="Q590" t="s">
        <v>115</v>
      </c>
      <c r="R590" t="s">
        <v>168</v>
      </c>
      <c r="S590" t="s">
        <v>147</v>
      </c>
    </row>
    <row r="591" spans="1:19" x14ac:dyDescent="0.35">
      <c r="A591" t="s">
        <v>801</v>
      </c>
      <c r="B591" t="s">
        <v>197</v>
      </c>
      <c r="C591" t="s">
        <v>120</v>
      </c>
      <c r="D591">
        <v>8.5</v>
      </c>
      <c r="E591">
        <v>16</v>
      </c>
      <c r="F591" t="s">
        <v>65</v>
      </c>
      <c r="G591">
        <v>4</v>
      </c>
      <c r="H591">
        <v>1.1000000000000001</v>
      </c>
      <c r="I591" t="s">
        <v>109</v>
      </c>
      <c r="J591" t="s">
        <v>181</v>
      </c>
      <c r="K591" t="s">
        <v>178</v>
      </c>
      <c r="L591" t="s">
        <v>200</v>
      </c>
      <c r="M591" t="s">
        <v>113</v>
      </c>
      <c r="N591">
        <v>16</v>
      </c>
      <c r="O591" t="s">
        <v>126</v>
      </c>
      <c r="P591">
        <v>14</v>
      </c>
      <c r="Q591" t="s">
        <v>115</v>
      </c>
      <c r="R591" t="s">
        <v>168</v>
      </c>
      <c r="S591" t="s">
        <v>179</v>
      </c>
    </row>
    <row r="592" spans="1:19" x14ac:dyDescent="0.35">
      <c r="A592" t="s">
        <v>802</v>
      </c>
      <c r="B592" t="s">
        <v>161</v>
      </c>
      <c r="C592" t="s">
        <v>166</v>
      </c>
      <c r="D592">
        <v>108.3</v>
      </c>
      <c r="E592">
        <v>44</v>
      </c>
      <c r="F592" t="s">
        <v>58</v>
      </c>
      <c r="G592">
        <v>7</v>
      </c>
      <c r="H592">
        <v>0.5</v>
      </c>
      <c r="I592" t="s">
        <v>185</v>
      </c>
      <c r="J592" t="s">
        <v>223</v>
      </c>
      <c r="K592" t="s">
        <v>133</v>
      </c>
      <c r="L592" t="s">
        <v>182</v>
      </c>
      <c r="M592" t="s">
        <v>113</v>
      </c>
      <c r="N592">
        <v>29</v>
      </c>
      <c r="O592" t="s">
        <v>201</v>
      </c>
      <c r="P592">
        <v>12</v>
      </c>
      <c r="Q592" t="s">
        <v>115</v>
      </c>
      <c r="R592" t="s">
        <v>65</v>
      </c>
      <c r="S592" t="s">
        <v>142</v>
      </c>
    </row>
    <row r="593" spans="1:19" x14ac:dyDescent="0.35">
      <c r="A593" t="s">
        <v>803</v>
      </c>
      <c r="B593" t="s">
        <v>218</v>
      </c>
      <c r="C593" t="s">
        <v>120</v>
      </c>
      <c r="D593">
        <v>6.7</v>
      </c>
      <c r="E593">
        <v>24</v>
      </c>
      <c r="F593" t="s">
        <v>66</v>
      </c>
      <c r="G593">
        <v>2</v>
      </c>
      <c r="H593">
        <v>0.5</v>
      </c>
      <c r="I593" t="s">
        <v>150</v>
      </c>
      <c r="J593" t="s">
        <v>244</v>
      </c>
      <c r="K593" t="s">
        <v>141</v>
      </c>
      <c r="L593" t="s">
        <v>152</v>
      </c>
      <c r="M593" t="s">
        <v>113</v>
      </c>
      <c r="N593">
        <v>28</v>
      </c>
      <c r="O593" t="s">
        <v>126</v>
      </c>
      <c r="P593">
        <v>10</v>
      </c>
      <c r="Q593" t="s">
        <v>115</v>
      </c>
      <c r="R593" t="s">
        <v>116</v>
      </c>
      <c r="S593" t="s">
        <v>127</v>
      </c>
    </row>
    <row r="594" spans="1:19" x14ac:dyDescent="0.35">
      <c r="A594" t="s">
        <v>804</v>
      </c>
      <c r="B594" t="s">
        <v>218</v>
      </c>
      <c r="C594" t="s">
        <v>120</v>
      </c>
      <c r="D594">
        <v>9.1999999999999993</v>
      </c>
      <c r="E594">
        <v>6</v>
      </c>
      <c r="F594" t="s">
        <v>66</v>
      </c>
      <c r="G594">
        <v>5</v>
      </c>
      <c r="H594">
        <v>1.2</v>
      </c>
      <c r="I594" t="s">
        <v>109</v>
      </c>
      <c r="J594" t="s">
        <v>181</v>
      </c>
      <c r="K594" t="s">
        <v>277</v>
      </c>
      <c r="L594" t="s">
        <v>141</v>
      </c>
      <c r="M594" t="s">
        <v>113</v>
      </c>
      <c r="N594">
        <v>29</v>
      </c>
      <c r="O594" t="s">
        <v>114</v>
      </c>
      <c r="P594">
        <v>8</v>
      </c>
      <c r="Q594" t="s">
        <v>115</v>
      </c>
      <c r="R594" t="s">
        <v>116</v>
      </c>
      <c r="S594" t="s">
        <v>142</v>
      </c>
    </row>
    <row r="595" spans="1:19" x14ac:dyDescent="0.35">
      <c r="A595" t="s">
        <v>805</v>
      </c>
      <c r="B595" t="s">
        <v>184</v>
      </c>
      <c r="C595" t="s">
        <v>108</v>
      </c>
      <c r="D595">
        <v>47.4</v>
      </c>
      <c r="E595">
        <v>19</v>
      </c>
      <c r="F595" t="s">
        <v>65</v>
      </c>
      <c r="G595">
        <v>9</v>
      </c>
      <c r="H595">
        <v>1.3</v>
      </c>
      <c r="I595" t="s">
        <v>246</v>
      </c>
      <c r="J595" t="s">
        <v>250</v>
      </c>
      <c r="K595" t="s">
        <v>124</v>
      </c>
      <c r="L595" t="s">
        <v>187</v>
      </c>
      <c r="M595" t="s">
        <v>134</v>
      </c>
      <c r="N595">
        <v>63</v>
      </c>
      <c r="O595" t="s">
        <v>114</v>
      </c>
      <c r="P595">
        <v>3</v>
      </c>
      <c r="Q595" t="s">
        <v>135</v>
      </c>
      <c r="R595" t="s">
        <v>168</v>
      </c>
      <c r="S595" t="s">
        <v>127</v>
      </c>
    </row>
    <row r="596" spans="1:19" x14ac:dyDescent="0.35">
      <c r="A596" t="s">
        <v>806</v>
      </c>
      <c r="B596" t="s">
        <v>161</v>
      </c>
      <c r="C596" t="s">
        <v>120</v>
      </c>
      <c r="D596">
        <v>8.5</v>
      </c>
      <c r="E596">
        <v>11</v>
      </c>
      <c r="F596" t="s">
        <v>58</v>
      </c>
      <c r="G596">
        <v>10</v>
      </c>
      <c r="H596">
        <v>0</v>
      </c>
      <c r="I596" t="s">
        <v>246</v>
      </c>
      <c r="J596" t="s">
        <v>264</v>
      </c>
      <c r="K596" t="s">
        <v>133</v>
      </c>
      <c r="L596" t="s">
        <v>182</v>
      </c>
      <c r="M596" t="s">
        <v>134</v>
      </c>
      <c r="N596">
        <v>69</v>
      </c>
      <c r="O596" t="s">
        <v>126</v>
      </c>
      <c r="P596">
        <v>3</v>
      </c>
      <c r="Q596" t="s">
        <v>115</v>
      </c>
      <c r="R596" t="s">
        <v>168</v>
      </c>
      <c r="S596" t="s">
        <v>127</v>
      </c>
    </row>
    <row r="597" spans="1:19" x14ac:dyDescent="0.35">
      <c r="A597" t="s">
        <v>807</v>
      </c>
      <c r="B597" t="s">
        <v>119</v>
      </c>
      <c r="C597" t="s">
        <v>120</v>
      </c>
      <c r="D597">
        <v>7.9</v>
      </c>
      <c r="E597">
        <v>22</v>
      </c>
      <c r="F597" t="s">
        <v>65</v>
      </c>
      <c r="G597">
        <v>6</v>
      </c>
      <c r="H597">
        <v>0.6</v>
      </c>
      <c r="I597" t="s">
        <v>139</v>
      </c>
      <c r="J597" t="s">
        <v>239</v>
      </c>
      <c r="K597" t="s">
        <v>124</v>
      </c>
      <c r="L597" t="s">
        <v>141</v>
      </c>
      <c r="M597" t="s">
        <v>113</v>
      </c>
      <c r="N597">
        <v>18</v>
      </c>
      <c r="O597" t="s">
        <v>114</v>
      </c>
      <c r="P597">
        <v>12</v>
      </c>
      <c r="Q597" t="s">
        <v>115</v>
      </c>
      <c r="R597" t="s">
        <v>153</v>
      </c>
      <c r="S597" t="s">
        <v>169</v>
      </c>
    </row>
    <row r="598" spans="1:19" x14ac:dyDescent="0.35">
      <c r="A598" t="s">
        <v>808</v>
      </c>
      <c r="B598" t="s">
        <v>119</v>
      </c>
      <c r="C598" t="s">
        <v>120</v>
      </c>
      <c r="D598">
        <v>8.4</v>
      </c>
      <c r="E598">
        <v>22</v>
      </c>
      <c r="F598" t="s">
        <v>65</v>
      </c>
      <c r="G598">
        <v>8</v>
      </c>
      <c r="H598">
        <v>0.8</v>
      </c>
      <c r="I598" t="s">
        <v>144</v>
      </c>
      <c r="J598" t="s">
        <v>145</v>
      </c>
      <c r="K598" t="s">
        <v>124</v>
      </c>
      <c r="L598" t="s">
        <v>141</v>
      </c>
      <c r="M598" t="s">
        <v>125</v>
      </c>
      <c r="N598">
        <v>424</v>
      </c>
      <c r="O598" t="s">
        <v>114</v>
      </c>
      <c r="P598">
        <v>2</v>
      </c>
      <c r="Q598" t="s">
        <v>214</v>
      </c>
      <c r="R598" t="s">
        <v>153</v>
      </c>
      <c r="S598" t="s">
        <v>136</v>
      </c>
    </row>
    <row r="599" spans="1:19" x14ac:dyDescent="0.35">
      <c r="A599" t="s">
        <v>809</v>
      </c>
      <c r="B599" t="s">
        <v>107</v>
      </c>
      <c r="C599" t="s">
        <v>120</v>
      </c>
      <c r="D599">
        <v>8.6</v>
      </c>
      <c r="E599">
        <v>18</v>
      </c>
      <c r="F599" t="s">
        <v>63</v>
      </c>
      <c r="G599">
        <v>8</v>
      </c>
      <c r="H599">
        <v>1.5</v>
      </c>
      <c r="I599" t="s">
        <v>173</v>
      </c>
      <c r="J599" t="s">
        <v>216</v>
      </c>
      <c r="K599" t="s">
        <v>112</v>
      </c>
      <c r="L599" t="s">
        <v>111</v>
      </c>
      <c r="M599" t="s">
        <v>134</v>
      </c>
      <c r="N599">
        <v>67</v>
      </c>
      <c r="O599" t="s">
        <v>201</v>
      </c>
      <c r="P599">
        <v>5</v>
      </c>
      <c r="Q599" t="s">
        <v>115</v>
      </c>
      <c r="R599" t="s">
        <v>116</v>
      </c>
      <c r="S599" t="s">
        <v>136</v>
      </c>
    </row>
    <row r="600" spans="1:19" x14ac:dyDescent="0.35">
      <c r="A600" t="s">
        <v>810</v>
      </c>
      <c r="B600" t="s">
        <v>184</v>
      </c>
      <c r="C600" t="s">
        <v>120</v>
      </c>
      <c r="D600">
        <v>6.4</v>
      </c>
      <c r="E600">
        <v>7</v>
      </c>
      <c r="F600" t="s">
        <v>65</v>
      </c>
      <c r="G600">
        <v>9</v>
      </c>
      <c r="H600">
        <v>0.1</v>
      </c>
      <c r="I600" t="s">
        <v>130</v>
      </c>
      <c r="J600" t="s">
        <v>131</v>
      </c>
      <c r="K600" t="s">
        <v>192</v>
      </c>
      <c r="L600" t="s">
        <v>187</v>
      </c>
      <c r="M600" t="s">
        <v>113</v>
      </c>
      <c r="N600">
        <v>9</v>
      </c>
      <c r="O600" t="s">
        <v>126</v>
      </c>
      <c r="P600">
        <v>15</v>
      </c>
      <c r="Q600" t="s">
        <v>115</v>
      </c>
      <c r="R600" t="s">
        <v>153</v>
      </c>
      <c r="S600" t="s">
        <v>127</v>
      </c>
    </row>
    <row r="601" spans="1:19" x14ac:dyDescent="0.35">
      <c r="A601" t="s">
        <v>811</v>
      </c>
      <c r="B601" t="s">
        <v>107</v>
      </c>
      <c r="C601" t="s">
        <v>120</v>
      </c>
      <c r="D601">
        <v>2.8</v>
      </c>
      <c r="E601">
        <v>30</v>
      </c>
      <c r="F601" t="s">
        <v>58</v>
      </c>
      <c r="G601">
        <v>11</v>
      </c>
      <c r="H601">
        <v>1.3</v>
      </c>
      <c r="I601" t="s">
        <v>173</v>
      </c>
      <c r="J601" t="s">
        <v>174</v>
      </c>
      <c r="K601" t="s">
        <v>111</v>
      </c>
      <c r="L601" t="s">
        <v>171</v>
      </c>
      <c r="M601" t="s">
        <v>159</v>
      </c>
      <c r="N601">
        <v>226</v>
      </c>
      <c r="O601" t="s">
        <v>126</v>
      </c>
      <c r="P601">
        <v>1</v>
      </c>
      <c r="Q601" t="s">
        <v>115</v>
      </c>
      <c r="R601" t="s">
        <v>116</v>
      </c>
      <c r="S601" t="s">
        <v>117</v>
      </c>
    </row>
    <row r="602" spans="1:19" x14ac:dyDescent="0.35">
      <c r="A602" t="s">
        <v>812</v>
      </c>
      <c r="B602" t="s">
        <v>184</v>
      </c>
      <c r="C602" t="s">
        <v>166</v>
      </c>
      <c r="D602">
        <v>187.4</v>
      </c>
      <c r="E602">
        <v>34</v>
      </c>
      <c r="F602" t="s">
        <v>65</v>
      </c>
      <c r="G602">
        <v>7</v>
      </c>
      <c r="H602">
        <v>0.7</v>
      </c>
      <c r="I602" t="s">
        <v>139</v>
      </c>
      <c r="J602" t="s">
        <v>239</v>
      </c>
      <c r="K602" t="s">
        <v>192</v>
      </c>
      <c r="L602" t="s">
        <v>124</v>
      </c>
      <c r="M602" t="s">
        <v>113</v>
      </c>
      <c r="N602">
        <v>16</v>
      </c>
      <c r="O602" t="s">
        <v>126</v>
      </c>
      <c r="P602">
        <v>8</v>
      </c>
      <c r="Q602" t="s">
        <v>214</v>
      </c>
      <c r="R602" t="s">
        <v>116</v>
      </c>
      <c r="S602" t="s">
        <v>117</v>
      </c>
    </row>
    <row r="603" spans="1:19" x14ac:dyDescent="0.35">
      <c r="A603" t="s">
        <v>813</v>
      </c>
      <c r="B603" t="s">
        <v>138</v>
      </c>
      <c r="C603" t="s">
        <v>120</v>
      </c>
      <c r="D603">
        <v>6.7</v>
      </c>
      <c r="E603">
        <v>11</v>
      </c>
      <c r="F603" t="s">
        <v>65</v>
      </c>
      <c r="G603">
        <v>10</v>
      </c>
      <c r="H603">
        <v>1.4</v>
      </c>
      <c r="I603" t="s">
        <v>246</v>
      </c>
      <c r="J603" t="s">
        <v>247</v>
      </c>
      <c r="K603" t="s">
        <v>141</v>
      </c>
      <c r="L603" t="s">
        <v>111</v>
      </c>
      <c r="M603" t="s">
        <v>113</v>
      </c>
      <c r="N603">
        <v>22</v>
      </c>
      <c r="O603" t="s">
        <v>201</v>
      </c>
      <c r="P603">
        <v>14</v>
      </c>
      <c r="Q603" t="s">
        <v>115</v>
      </c>
      <c r="R603" t="s">
        <v>153</v>
      </c>
      <c r="S603" t="s">
        <v>142</v>
      </c>
    </row>
    <row r="604" spans="1:19" x14ac:dyDescent="0.35">
      <c r="A604" t="s">
        <v>814</v>
      </c>
      <c r="B604" t="s">
        <v>107</v>
      </c>
      <c r="C604" t="s">
        <v>108</v>
      </c>
      <c r="D604">
        <v>37.1</v>
      </c>
      <c r="E604">
        <v>17</v>
      </c>
      <c r="F604" t="s">
        <v>60</v>
      </c>
      <c r="G604">
        <v>9</v>
      </c>
      <c r="H604">
        <v>0.7</v>
      </c>
      <c r="I604" t="s">
        <v>246</v>
      </c>
      <c r="J604" t="s">
        <v>250</v>
      </c>
      <c r="K604" t="s">
        <v>171</v>
      </c>
      <c r="L604" t="s">
        <v>111</v>
      </c>
      <c r="M604" t="s">
        <v>159</v>
      </c>
      <c r="N604">
        <v>199</v>
      </c>
      <c r="O604" t="s">
        <v>126</v>
      </c>
      <c r="P604">
        <v>2</v>
      </c>
      <c r="Q604" t="s">
        <v>214</v>
      </c>
      <c r="R604" t="s">
        <v>168</v>
      </c>
      <c r="S604" t="s">
        <v>136</v>
      </c>
    </row>
    <row r="605" spans="1:19" x14ac:dyDescent="0.35">
      <c r="A605" t="s">
        <v>815</v>
      </c>
      <c r="B605" t="s">
        <v>138</v>
      </c>
      <c r="C605" t="s">
        <v>120</v>
      </c>
      <c r="D605">
        <v>7.7</v>
      </c>
      <c r="E605">
        <v>24</v>
      </c>
      <c r="F605" t="s">
        <v>60</v>
      </c>
      <c r="G605">
        <v>3</v>
      </c>
      <c r="H605">
        <v>0.5</v>
      </c>
      <c r="I605" t="s">
        <v>185</v>
      </c>
      <c r="J605" t="s">
        <v>382</v>
      </c>
      <c r="K605" t="s">
        <v>141</v>
      </c>
      <c r="L605" t="s">
        <v>146</v>
      </c>
      <c r="M605" t="s">
        <v>134</v>
      </c>
      <c r="N605">
        <v>61</v>
      </c>
      <c r="O605" t="s">
        <v>126</v>
      </c>
      <c r="P605">
        <v>6</v>
      </c>
      <c r="Q605" t="s">
        <v>115</v>
      </c>
      <c r="R605" t="s">
        <v>153</v>
      </c>
      <c r="S605" t="s">
        <v>193</v>
      </c>
    </row>
    <row r="606" spans="1:19" x14ac:dyDescent="0.35">
      <c r="A606" t="s">
        <v>816</v>
      </c>
      <c r="B606" t="s">
        <v>189</v>
      </c>
      <c r="C606" t="s">
        <v>120</v>
      </c>
      <c r="D606">
        <v>6.1</v>
      </c>
      <c r="E606">
        <v>26</v>
      </c>
      <c r="F606" t="s">
        <v>58</v>
      </c>
      <c r="G606">
        <v>3</v>
      </c>
      <c r="H606">
        <v>1.2</v>
      </c>
      <c r="I606" t="s">
        <v>144</v>
      </c>
      <c r="J606" t="s">
        <v>145</v>
      </c>
      <c r="K606" t="s">
        <v>190</v>
      </c>
      <c r="L606" t="s">
        <v>209</v>
      </c>
      <c r="M606" t="s">
        <v>113</v>
      </c>
      <c r="N606">
        <v>24</v>
      </c>
      <c r="O606" t="s">
        <v>126</v>
      </c>
      <c r="P606">
        <v>14</v>
      </c>
      <c r="Q606" t="s">
        <v>214</v>
      </c>
      <c r="R606" t="s">
        <v>153</v>
      </c>
      <c r="S606" t="s">
        <v>169</v>
      </c>
    </row>
    <row r="607" spans="1:19" x14ac:dyDescent="0.35">
      <c r="A607" t="s">
        <v>817</v>
      </c>
      <c r="B607" t="s">
        <v>107</v>
      </c>
      <c r="C607" t="s">
        <v>120</v>
      </c>
      <c r="D607">
        <v>3.9</v>
      </c>
      <c r="E607">
        <v>17</v>
      </c>
      <c r="F607" t="s">
        <v>65</v>
      </c>
      <c r="G607">
        <v>9</v>
      </c>
      <c r="H607">
        <v>0.8</v>
      </c>
      <c r="I607" t="s">
        <v>173</v>
      </c>
      <c r="J607" t="s">
        <v>174</v>
      </c>
      <c r="K607" t="s">
        <v>171</v>
      </c>
      <c r="L607" t="s">
        <v>112</v>
      </c>
      <c r="M607" t="s">
        <v>134</v>
      </c>
      <c r="N607">
        <v>91</v>
      </c>
      <c r="O607" t="s">
        <v>126</v>
      </c>
      <c r="P607">
        <v>6</v>
      </c>
      <c r="Q607" t="s">
        <v>214</v>
      </c>
      <c r="R607" t="s">
        <v>153</v>
      </c>
      <c r="S607" t="s">
        <v>147</v>
      </c>
    </row>
    <row r="608" spans="1:19" x14ac:dyDescent="0.35">
      <c r="A608" t="s">
        <v>818</v>
      </c>
      <c r="B608" t="s">
        <v>161</v>
      </c>
      <c r="C608" t="s">
        <v>166</v>
      </c>
      <c r="D608">
        <v>111.6</v>
      </c>
      <c r="E608">
        <v>43</v>
      </c>
      <c r="F608" t="s">
        <v>65</v>
      </c>
      <c r="G608">
        <v>9</v>
      </c>
      <c r="H608">
        <v>0.6</v>
      </c>
      <c r="I608" t="s">
        <v>150</v>
      </c>
      <c r="J608" t="s">
        <v>244</v>
      </c>
      <c r="K608" t="s">
        <v>133</v>
      </c>
      <c r="L608" t="s">
        <v>182</v>
      </c>
      <c r="M608" t="s">
        <v>113</v>
      </c>
      <c r="N608">
        <v>10</v>
      </c>
      <c r="O608" t="s">
        <v>126</v>
      </c>
      <c r="P608">
        <v>12</v>
      </c>
      <c r="Q608" t="s">
        <v>115</v>
      </c>
      <c r="R608" t="s">
        <v>116</v>
      </c>
      <c r="S608" t="s">
        <v>169</v>
      </c>
    </row>
    <row r="609" spans="1:19" x14ac:dyDescent="0.35">
      <c r="A609" t="s">
        <v>819</v>
      </c>
      <c r="B609" t="s">
        <v>197</v>
      </c>
      <c r="C609" t="s">
        <v>120</v>
      </c>
      <c r="D609">
        <v>7.6</v>
      </c>
      <c r="E609">
        <v>9</v>
      </c>
      <c r="F609" t="s">
        <v>56</v>
      </c>
      <c r="G609">
        <v>7</v>
      </c>
      <c r="H609">
        <v>0.8</v>
      </c>
      <c r="I609" t="s">
        <v>173</v>
      </c>
      <c r="J609" t="s">
        <v>216</v>
      </c>
      <c r="K609" t="s">
        <v>178</v>
      </c>
      <c r="L609" t="s">
        <v>199</v>
      </c>
      <c r="M609" t="s">
        <v>125</v>
      </c>
      <c r="N609">
        <v>437</v>
      </c>
      <c r="O609" t="s">
        <v>201</v>
      </c>
      <c r="P609">
        <v>0</v>
      </c>
      <c r="Q609" t="s">
        <v>214</v>
      </c>
      <c r="R609" t="s">
        <v>116</v>
      </c>
      <c r="S609" t="s">
        <v>117</v>
      </c>
    </row>
    <row r="610" spans="1:19" x14ac:dyDescent="0.35">
      <c r="A610" t="s">
        <v>820</v>
      </c>
      <c r="B610" t="s">
        <v>138</v>
      </c>
      <c r="C610" t="s">
        <v>120</v>
      </c>
      <c r="D610">
        <v>9.9</v>
      </c>
      <c r="E610">
        <v>5</v>
      </c>
      <c r="F610" t="s">
        <v>56</v>
      </c>
      <c r="G610">
        <v>9</v>
      </c>
      <c r="H610">
        <v>0.7</v>
      </c>
      <c r="I610" t="s">
        <v>162</v>
      </c>
      <c r="J610" t="s">
        <v>177</v>
      </c>
      <c r="K610" t="s">
        <v>146</v>
      </c>
      <c r="L610" t="s">
        <v>141</v>
      </c>
      <c r="M610" t="s">
        <v>159</v>
      </c>
      <c r="N610">
        <v>226</v>
      </c>
      <c r="O610" t="s">
        <v>126</v>
      </c>
      <c r="P610">
        <v>2</v>
      </c>
      <c r="Q610" t="s">
        <v>115</v>
      </c>
      <c r="R610" t="s">
        <v>168</v>
      </c>
      <c r="S610" t="s">
        <v>127</v>
      </c>
    </row>
    <row r="611" spans="1:19" x14ac:dyDescent="0.35">
      <c r="A611" t="s">
        <v>821</v>
      </c>
      <c r="B611" t="s">
        <v>184</v>
      </c>
      <c r="C611" t="s">
        <v>120</v>
      </c>
      <c r="D611">
        <v>3.9</v>
      </c>
      <c r="E611">
        <v>11</v>
      </c>
      <c r="F611" t="s">
        <v>56</v>
      </c>
      <c r="G611">
        <v>7</v>
      </c>
      <c r="H611">
        <v>0.8</v>
      </c>
      <c r="I611" t="s">
        <v>246</v>
      </c>
      <c r="J611" t="s">
        <v>247</v>
      </c>
      <c r="K611" t="s">
        <v>187</v>
      </c>
      <c r="L611" t="s">
        <v>124</v>
      </c>
      <c r="M611" t="s">
        <v>134</v>
      </c>
      <c r="N611">
        <v>94</v>
      </c>
      <c r="O611" t="s">
        <v>114</v>
      </c>
      <c r="P611">
        <v>5</v>
      </c>
      <c r="Q611" t="s">
        <v>214</v>
      </c>
      <c r="R611" t="s">
        <v>116</v>
      </c>
      <c r="S611" t="s">
        <v>179</v>
      </c>
    </row>
    <row r="612" spans="1:19" x14ac:dyDescent="0.35">
      <c r="A612" t="s">
        <v>822</v>
      </c>
      <c r="B612" t="s">
        <v>184</v>
      </c>
      <c r="C612" t="s">
        <v>120</v>
      </c>
      <c r="D612">
        <v>5.7</v>
      </c>
      <c r="E612">
        <v>21</v>
      </c>
      <c r="F612" t="s">
        <v>66</v>
      </c>
      <c r="G612">
        <v>11</v>
      </c>
      <c r="H612">
        <v>1.1000000000000001</v>
      </c>
      <c r="I612" t="s">
        <v>156</v>
      </c>
      <c r="J612" t="s">
        <v>157</v>
      </c>
      <c r="K612" t="s">
        <v>192</v>
      </c>
      <c r="L612" t="s">
        <v>124</v>
      </c>
      <c r="M612" t="s">
        <v>113</v>
      </c>
      <c r="N612">
        <v>21</v>
      </c>
      <c r="O612" t="s">
        <v>126</v>
      </c>
      <c r="P612">
        <v>9</v>
      </c>
      <c r="Q612" t="s">
        <v>115</v>
      </c>
      <c r="R612" t="s">
        <v>168</v>
      </c>
      <c r="S612" t="s">
        <v>193</v>
      </c>
    </row>
    <row r="613" spans="1:19" x14ac:dyDescent="0.35">
      <c r="A613" t="s">
        <v>823</v>
      </c>
      <c r="B613" t="s">
        <v>155</v>
      </c>
      <c r="C613" t="s">
        <v>120</v>
      </c>
      <c r="D613">
        <v>6.3</v>
      </c>
      <c r="E613">
        <v>23</v>
      </c>
      <c r="F613" t="s">
        <v>58</v>
      </c>
      <c r="G613">
        <v>8</v>
      </c>
      <c r="H613">
        <v>1.1000000000000001</v>
      </c>
      <c r="I613" t="s">
        <v>130</v>
      </c>
      <c r="J613" t="s">
        <v>262</v>
      </c>
      <c r="K613" t="s">
        <v>195</v>
      </c>
      <c r="L613" t="s">
        <v>158</v>
      </c>
      <c r="M613" t="s">
        <v>125</v>
      </c>
      <c r="N613">
        <v>369</v>
      </c>
      <c r="O613" t="s">
        <v>126</v>
      </c>
      <c r="P613">
        <v>1</v>
      </c>
      <c r="Q613" t="s">
        <v>115</v>
      </c>
      <c r="R613" t="s">
        <v>168</v>
      </c>
      <c r="S613" t="s">
        <v>147</v>
      </c>
    </row>
    <row r="614" spans="1:19" x14ac:dyDescent="0.35">
      <c r="A614" t="s">
        <v>824</v>
      </c>
      <c r="B614" t="s">
        <v>176</v>
      </c>
      <c r="C614" t="s">
        <v>120</v>
      </c>
      <c r="D614">
        <v>6</v>
      </c>
      <c r="E614">
        <v>12</v>
      </c>
      <c r="F614" t="s">
        <v>66</v>
      </c>
      <c r="G614">
        <v>8</v>
      </c>
      <c r="H614">
        <v>1.2</v>
      </c>
      <c r="I614" t="s">
        <v>150</v>
      </c>
      <c r="J614" t="s">
        <v>244</v>
      </c>
      <c r="K614" t="s">
        <v>228</v>
      </c>
      <c r="L614" t="s">
        <v>178</v>
      </c>
      <c r="M614" t="s">
        <v>125</v>
      </c>
      <c r="N614">
        <v>206</v>
      </c>
      <c r="O614" t="s">
        <v>126</v>
      </c>
      <c r="P614">
        <v>1</v>
      </c>
      <c r="Q614" t="s">
        <v>135</v>
      </c>
      <c r="R614" t="s">
        <v>153</v>
      </c>
      <c r="S614" t="s">
        <v>193</v>
      </c>
    </row>
    <row r="615" spans="1:19" x14ac:dyDescent="0.35">
      <c r="A615" t="s">
        <v>825</v>
      </c>
      <c r="B615" t="s">
        <v>138</v>
      </c>
      <c r="C615" t="s">
        <v>108</v>
      </c>
      <c r="D615">
        <v>10.6</v>
      </c>
      <c r="E615">
        <v>28</v>
      </c>
      <c r="F615" t="s">
        <v>65</v>
      </c>
      <c r="G615">
        <v>8</v>
      </c>
      <c r="H615">
        <v>1.1000000000000001</v>
      </c>
      <c r="I615" t="s">
        <v>246</v>
      </c>
      <c r="J615" t="s">
        <v>247</v>
      </c>
      <c r="K615" t="s">
        <v>146</v>
      </c>
      <c r="L615" t="s">
        <v>111</v>
      </c>
      <c r="M615" t="s">
        <v>113</v>
      </c>
      <c r="N615">
        <v>8</v>
      </c>
      <c r="O615" t="s">
        <v>126</v>
      </c>
      <c r="P615">
        <v>8</v>
      </c>
      <c r="Q615" t="s">
        <v>115</v>
      </c>
      <c r="R615" t="s">
        <v>168</v>
      </c>
      <c r="S615" t="s">
        <v>169</v>
      </c>
    </row>
    <row r="616" spans="1:19" x14ac:dyDescent="0.35">
      <c r="A616" t="s">
        <v>826</v>
      </c>
      <c r="B616" t="s">
        <v>184</v>
      </c>
      <c r="C616" t="s">
        <v>108</v>
      </c>
      <c r="D616">
        <v>44.7</v>
      </c>
      <c r="E616">
        <v>17</v>
      </c>
      <c r="F616" t="s">
        <v>66</v>
      </c>
      <c r="G616">
        <v>12</v>
      </c>
      <c r="H616">
        <v>0.8</v>
      </c>
      <c r="I616" t="s">
        <v>205</v>
      </c>
      <c r="J616" t="s">
        <v>206</v>
      </c>
      <c r="K616" t="s">
        <v>187</v>
      </c>
      <c r="L616" t="s">
        <v>124</v>
      </c>
      <c r="M616" t="s">
        <v>113</v>
      </c>
      <c r="N616">
        <v>25</v>
      </c>
      <c r="O616" t="s">
        <v>126</v>
      </c>
      <c r="P616">
        <v>13</v>
      </c>
      <c r="Q616" t="s">
        <v>115</v>
      </c>
      <c r="R616" t="s">
        <v>168</v>
      </c>
      <c r="S616" t="s">
        <v>169</v>
      </c>
    </row>
    <row r="617" spans="1:19" x14ac:dyDescent="0.35">
      <c r="A617" t="s">
        <v>827</v>
      </c>
      <c r="B617" t="s">
        <v>149</v>
      </c>
      <c r="C617" t="s">
        <v>108</v>
      </c>
      <c r="D617">
        <v>43.4</v>
      </c>
      <c r="E617">
        <v>33</v>
      </c>
      <c r="F617" t="s">
        <v>63</v>
      </c>
      <c r="G617">
        <v>12</v>
      </c>
      <c r="H617">
        <v>0.9</v>
      </c>
      <c r="I617" t="s">
        <v>109</v>
      </c>
      <c r="J617" t="s">
        <v>110</v>
      </c>
      <c r="K617" t="s">
        <v>123</v>
      </c>
      <c r="L617" t="s">
        <v>211</v>
      </c>
      <c r="M617" t="s">
        <v>134</v>
      </c>
      <c r="N617">
        <v>74</v>
      </c>
      <c r="O617" t="s">
        <v>126</v>
      </c>
      <c r="P617">
        <v>3</v>
      </c>
      <c r="Q617" t="s">
        <v>135</v>
      </c>
      <c r="R617" t="s">
        <v>168</v>
      </c>
      <c r="S617" t="s">
        <v>169</v>
      </c>
    </row>
    <row r="618" spans="1:19" x14ac:dyDescent="0.35">
      <c r="A618" t="s">
        <v>828</v>
      </c>
      <c r="B618" t="s">
        <v>161</v>
      </c>
      <c r="C618" t="s">
        <v>120</v>
      </c>
      <c r="D618">
        <v>4.8</v>
      </c>
      <c r="E618">
        <v>27</v>
      </c>
      <c r="F618" t="s">
        <v>56</v>
      </c>
      <c r="G618">
        <v>9</v>
      </c>
      <c r="H618">
        <v>0.2</v>
      </c>
      <c r="I618" t="s">
        <v>144</v>
      </c>
      <c r="J618" t="s">
        <v>269</v>
      </c>
      <c r="K618" t="s">
        <v>182</v>
      </c>
      <c r="L618" t="s">
        <v>133</v>
      </c>
      <c r="M618" t="s">
        <v>113</v>
      </c>
      <c r="N618">
        <v>11</v>
      </c>
      <c r="O618" t="s">
        <v>126</v>
      </c>
      <c r="P618">
        <v>13</v>
      </c>
      <c r="Q618" t="s">
        <v>115</v>
      </c>
      <c r="R618" t="s">
        <v>153</v>
      </c>
      <c r="S618" t="s">
        <v>127</v>
      </c>
    </row>
    <row r="619" spans="1:19" x14ac:dyDescent="0.35">
      <c r="A619" t="s">
        <v>829</v>
      </c>
      <c r="B619" t="s">
        <v>161</v>
      </c>
      <c r="C619" t="s">
        <v>120</v>
      </c>
      <c r="D619">
        <v>1.2</v>
      </c>
      <c r="E619">
        <v>18</v>
      </c>
      <c r="F619" t="s">
        <v>60</v>
      </c>
      <c r="G619">
        <v>12</v>
      </c>
      <c r="H619">
        <v>0.1</v>
      </c>
      <c r="I619" t="s">
        <v>246</v>
      </c>
      <c r="J619" t="s">
        <v>247</v>
      </c>
      <c r="K619" t="s">
        <v>133</v>
      </c>
      <c r="L619" t="s">
        <v>182</v>
      </c>
      <c r="M619" t="s">
        <v>125</v>
      </c>
      <c r="N619">
        <v>334</v>
      </c>
      <c r="O619" t="s">
        <v>126</v>
      </c>
      <c r="P619">
        <v>2</v>
      </c>
      <c r="Q619" t="s">
        <v>135</v>
      </c>
      <c r="R619" t="s">
        <v>168</v>
      </c>
      <c r="S619" t="s">
        <v>169</v>
      </c>
    </row>
    <row r="620" spans="1:19" x14ac:dyDescent="0.35">
      <c r="A620" t="s">
        <v>830</v>
      </c>
      <c r="B620" t="s">
        <v>189</v>
      </c>
      <c r="C620" t="s">
        <v>166</v>
      </c>
      <c r="D620">
        <v>161.19999999999999</v>
      </c>
      <c r="E620">
        <v>37</v>
      </c>
      <c r="F620" t="s">
        <v>58</v>
      </c>
      <c r="G620">
        <v>8</v>
      </c>
      <c r="H620">
        <v>1</v>
      </c>
      <c r="I620" t="s">
        <v>144</v>
      </c>
      <c r="J620" t="s">
        <v>269</v>
      </c>
      <c r="K620" t="s">
        <v>182</v>
      </c>
      <c r="L620" t="s">
        <v>190</v>
      </c>
      <c r="M620" t="s">
        <v>159</v>
      </c>
      <c r="N620">
        <v>211</v>
      </c>
      <c r="O620" t="s">
        <v>114</v>
      </c>
      <c r="P620">
        <v>1</v>
      </c>
      <c r="Q620" t="s">
        <v>115</v>
      </c>
      <c r="R620" t="s">
        <v>116</v>
      </c>
      <c r="S620" t="s">
        <v>117</v>
      </c>
    </row>
    <row r="621" spans="1:19" x14ac:dyDescent="0.35">
      <c r="A621" t="s">
        <v>831</v>
      </c>
      <c r="B621" t="s">
        <v>107</v>
      </c>
      <c r="C621" t="s">
        <v>120</v>
      </c>
      <c r="D621">
        <v>3.1</v>
      </c>
      <c r="E621">
        <v>27</v>
      </c>
      <c r="F621" t="s">
        <v>66</v>
      </c>
      <c r="G621">
        <v>10</v>
      </c>
      <c r="H621">
        <v>1.1000000000000001</v>
      </c>
      <c r="I621" t="s">
        <v>185</v>
      </c>
      <c r="J621" t="s">
        <v>382</v>
      </c>
      <c r="K621" t="s">
        <v>112</v>
      </c>
      <c r="L621" t="s">
        <v>171</v>
      </c>
      <c r="M621" t="s">
        <v>134</v>
      </c>
      <c r="N621">
        <v>60</v>
      </c>
      <c r="O621" t="s">
        <v>126</v>
      </c>
      <c r="P621">
        <v>6</v>
      </c>
      <c r="Q621" t="s">
        <v>115</v>
      </c>
      <c r="R621" t="s">
        <v>168</v>
      </c>
      <c r="S621" t="s">
        <v>193</v>
      </c>
    </row>
    <row r="622" spans="1:19" x14ac:dyDescent="0.35">
      <c r="A622" t="s">
        <v>832</v>
      </c>
      <c r="B622" t="s">
        <v>184</v>
      </c>
      <c r="C622" t="s">
        <v>166</v>
      </c>
      <c r="D622">
        <v>71.7</v>
      </c>
      <c r="E622">
        <v>25</v>
      </c>
      <c r="F622" t="s">
        <v>58</v>
      </c>
      <c r="G622">
        <v>11</v>
      </c>
      <c r="H622">
        <v>0.8</v>
      </c>
      <c r="I622" t="s">
        <v>246</v>
      </c>
      <c r="J622" t="s">
        <v>264</v>
      </c>
      <c r="K622" t="s">
        <v>124</v>
      </c>
      <c r="L622" t="s">
        <v>187</v>
      </c>
      <c r="M622" t="s">
        <v>113</v>
      </c>
      <c r="N622">
        <v>13</v>
      </c>
      <c r="O622" t="s">
        <v>114</v>
      </c>
      <c r="P622">
        <v>11</v>
      </c>
      <c r="Q622" t="s">
        <v>115</v>
      </c>
      <c r="R622" t="s">
        <v>153</v>
      </c>
      <c r="S622" t="s">
        <v>136</v>
      </c>
    </row>
    <row r="623" spans="1:19" x14ac:dyDescent="0.35">
      <c r="A623" t="s">
        <v>833</v>
      </c>
      <c r="B623" t="s">
        <v>176</v>
      </c>
      <c r="C623" t="s">
        <v>108</v>
      </c>
      <c r="D623">
        <v>41.7</v>
      </c>
      <c r="E623">
        <v>35</v>
      </c>
      <c r="F623" t="s">
        <v>63</v>
      </c>
      <c r="G623">
        <v>7</v>
      </c>
      <c r="H623">
        <v>0.3</v>
      </c>
      <c r="I623" t="s">
        <v>150</v>
      </c>
      <c r="J623" t="s">
        <v>151</v>
      </c>
      <c r="K623" t="s">
        <v>178</v>
      </c>
      <c r="L623" t="s">
        <v>228</v>
      </c>
      <c r="M623" t="s">
        <v>113</v>
      </c>
      <c r="N623">
        <v>8</v>
      </c>
      <c r="O623" t="s">
        <v>126</v>
      </c>
      <c r="P623">
        <v>12</v>
      </c>
      <c r="Q623" t="s">
        <v>115</v>
      </c>
      <c r="R623" t="s">
        <v>65</v>
      </c>
      <c r="S623" t="s">
        <v>179</v>
      </c>
    </row>
    <row r="624" spans="1:19" x14ac:dyDescent="0.35">
      <c r="A624" t="s">
        <v>834</v>
      </c>
      <c r="B624" t="s">
        <v>189</v>
      </c>
      <c r="C624" t="s">
        <v>120</v>
      </c>
      <c r="D624">
        <v>3.8</v>
      </c>
      <c r="E624">
        <v>16</v>
      </c>
      <c r="F624" t="s">
        <v>60</v>
      </c>
      <c r="G624">
        <v>11</v>
      </c>
      <c r="H624">
        <v>1.5</v>
      </c>
      <c r="I624" t="s">
        <v>139</v>
      </c>
      <c r="J624" t="s">
        <v>140</v>
      </c>
      <c r="K624" t="s">
        <v>209</v>
      </c>
      <c r="L624" t="s">
        <v>182</v>
      </c>
      <c r="M624" t="s">
        <v>113</v>
      </c>
      <c r="N624">
        <v>20</v>
      </c>
      <c r="O624" t="s">
        <v>201</v>
      </c>
      <c r="P624">
        <v>9</v>
      </c>
      <c r="Q624" t="s">
        <v>115</v>
      </c>
      <c r="R624" t="s">
        <v>153</v>
      </c>
      <c r="S624" t="s">
        <v>142</v>
      </c>
    </row>
    <row r="625" spans="1:19" x14ac:dyDescent="0.35">
      <c r="A625" t="s">
        <v>835</v>
      </c>
      <c r="B625" t="s">
        <v>161</v>
      </c>
      <c r="C625" t="s">
        <v>108</v>
      </c>
      <c r="D625">
        <v>16.600000000000001</v>
      </c>
      <c r="E625">
        <v>35</v>
      </c>
      <c r="F625" t="s">
        <v>63</v>
      </c>
      <c r="G625">
        <v>12</v>
      </c>
      <c r="H625">
        <v>0.7</v>
      </c>
      <c r="I625" t="s">
        <v>121</v>
      </c>
      <c r="J625" t="s">
        <v>255</v>
      </c>
      <c r="K625" t="s">
        <v>133</v>
      </c>
      <c r="L625" t="s">
        <v>182</v>
      </c>
      <c r="M625" t="s">
        <v>134</v>
      </c>
      <c r="N625">
        <v>94</v>
      </c>
      <c r="O625" t="s">
        <v>114</v>
      </c>
      <c r="P625">
        <v>5</v>
      </c>
      <c r="Q625" t="s">
        <v>115</v>
      </c>
      <c r="R625" t="s">
        <v>116</v>
      </c>
      <c r="S625" t="s">
        <v>193</v>
      </c>
    </row>
    <row r="626" spans="1:19" x14ac:dyDescent="0.35">
      <c r="A626" t="s">
        <v>836</v>
      </c>
      <c r="B626" t="s">
        <v>218</v>
      </c>
      <c r="C626" t="s">
        <v>108</v>
      </c>
      <c r="D626">
        <v>15.1</v>
      </c>
      <c r="E626">
        <v>23</v>
      </c>
      <c r="F626" t="s">
        <v>66</v>
      </c>
      <c r="G626">
        <v>4</v>
      </c>
      <c r="H626">
        <v>0.9</v>
      </c>
      <c r="I626" t="s">
        <v>139</v>
      </c>
      <c r="J626" t="s">
        <v>239</v>
      </c>
      <c r="K626" t="s">
        <v>277</v>
      </c>
      <c r="L626" t="s">
        <v>141</v>
      </c>
      <c r="M626" t="s">
        <v>125</v>
      </c>
      <c r="N626">
        <v>188</v>
      </c>
      <c r="O626" t="s">
        <v>201</v>
      </c>
      <c r="P626">
        <v>0</v>
      </c>
      <c r="Q626" t="s">
        <v>115</v>
      </c>
      <c r="R626" t="s">
        <v>153</v>
      </c>
      <c r="S626" t="s">
        <v>147</v>
      </c>
    </row>
    <row r="627" spans="1:19" x14ac:dyDescent="0.35">
      <c r="A627" t="s">
        <v>837</v>
      </c>
      <c r="B627" t="s">
        <v>197</v>
      </c>
      <c r="C627" t="s">
        <v>120</v>
      </c>
      <c r="D627">
        <v>8.1</v>
      </c>
      <c r="E627">
        <v>16</v>
      </c>
      <c r="F627" t="s">
        <v>65</v>
      </c>
      <c r="G627">
        <v>7</v>
      </c>
      <c r="H627">
        <v>0.7</v>
      </c>
      <c r="I627" t="s">
        <v>139</v>
      </c>
      <c r="J627" t="s">
        <v>239</v>
      </c>
      <c r="K627" t="s">
        <v>178</v>
      </c>
      <c r="L627" t="s">
        <v>200</v>
      </c>
      <c r="M627" t="s">
        <v>113</v>
      </c>
      <c r="N627">
        <v>30</v>
      </c>
      <c r="O627" t="s">
        <v>126</v>
      </c>
      <c r="P627">
        <v>8</v>
      </c>
      <c r="Q627" t="s">
        <v>115</v>
      </c>
      <c r="R627" t="s">
        <v>153</v>
      </c>
      <c r="S627" t="s">
        <v>179</v>
      </c>
    </row>
    <row r="628" spans="1:19" x14ac:dyDescent="0.35">
      <c r="A628" t="s">
        <v>838</v>
      </c>
      <c r="B628" t="s">
        <v>138</v>
      </c>
      <c r="C628" t="s">
        <v>120</v>
      </c>
      <c r="D628">
        <v>1.3</v>
      </c>
      <c r="E628">
        <v>9</v>
      </c>
      <c r="F628" t="s">
        <v>58</v>
      </c>
      <c r="G628">
        <v>5</v>
      </c>
      <c r="H628">
        <v>0.5</v>
      </c>
      <c r="I628" t="s">
        <v>139</v>
      </c>
      <c r="J628" t="s">
        <v>239</v>
      </c>
      <c r="K628" t="s">
        <v>146</v>
      </c>
      <c r="L628" t="s">
        <v>141</v>
      </c>
      <c r="M628" t="s">
        <v>125</v>
      </c>
      <c r="N628">
        <v>236</v>
      </c>
      <c r="O628" t="s">
        <v>114</v>
      </c>
      <c r="P628">
        <v>1</v>
      </c>
      <c r="Q628" t="s">
        <v>214</v>
      </c>
      <c r="R628" t="s">
        <v>153</v>
      </c>
      <c r="S628" t="s">
        <v>179</v>
      </c>
    </row>
    <row r="629" spans="1:19" x14ac:dyDescent="0.35">
      <c r="A629" t="s">
        <v>839</v>
      </c>
      <c r="B629" t="s">
        <v>129</v>
      </c>
      <c r="C629" t="s">
        <v>120</v>
      </c>
      <c r="D629">
        <v>2.8</v>
      </c>
      <c r="E629">
        <v>12</v>
      </c>
      <c r="F629" t="s">
        <v>65</v>
      </c>
      <c r="G629">
        <v>4</v>
      </c>
      <c r="H629">
        <v>0.2</v>
      </c>
      <c r="I629" t="s">
        <v>205</v>
      </c>
      <c r="J629" t="s">
        <v>206</v>
      </c>
      <c r="K629" t="s">
        <v>164</v>
      </c>
      <c r="L629" t="s">
        <v>133</v>
      </c>
      <c r="M629" t="s">
        <v>134</v>
      </c>
      <c r="N629">
        <v>63</v>
      </c>
      <c r="O629" t="s">
        <v>114</v>
      </c>
      <c r="P629">
        <v>5</v>
      </c>
      <c r="Q629" t="s">
        <v>135</v>
      </c>
      <c r="R629" t="s">
        <v>65</v>
      </c>
      <c r="S629" t="s">
        <v>169</v>
      </c>
    </row>
    <row r="630" spans="1:19" x14ac:dyDescent="0.35">
      <c r="A630" t="s">
        <v>840</v>
      </c>
      <c r="B630" t="s">
        <v>184</v>
      </c>
      <c r="C630" t="s">
        <v>120</v>
      </c>
      <c r="D630">
        <v>4.0999999999999996</v>
      </c>
      <c r="E630">
        <v>13</v>
      </c>
      <c r="F630" t="s">
        <v>65</v>
      </c>
      <c r="G630">
        <v>7</v>
      </c>
      <c r="H630">
        <v>0</v>
      </c>
      <c r="I630" t="s">
        <v>162</v>
      </c>
      <c r="J630" t="s">
        <v>198</v>
      </c>
      <c r="K630" t="s">
        <v>187</v>
      </c>
      <c r="L630" t="s">
        <v>192</v>
      </c>
      <c r="M630" t="s">
        <v>134</v>
      </c>
      <c r="N630">
        <v>73</v>
      </c>
      <c r="O630" t="s">
        <v>126</v>
      </c>
      <c r="P630">
        <v>4</v>
      </c>
      <c r="Q630" t="s">
        <v>135</v>
      </c>
      <c r="R630" t="s">
        <v>153</v>
      </c>
      <c r="S630" t="s">
        <v>142</v>
      </c>
    </row>
    <row r="631" spans="1:19" x14ac:dyDescent="0.35">
      <c r="A631" t="s">
        <v>841</v>
      </c>
      <c r="B631" t="s">
        <v>119</v>
      </c>
      <c r="C631" t="s">
        <v>120</v>
      </c>
      <c r="D631">
        <v>8.8000000000000007</v>
      </c>
      <c r="E631">
        <v>27</v>
      </c>
      <c r="F631" t="s">
        <v>60</v>
      </c>
      <c r="G631">
        <v>6</v>
      </c>
      <c r="H631">
        <v>0.9</v>
      </c>
      <c r="I631" t="s">
        <v>121</v>
      </c>
      <c r="J631" t="s">
        <v>255</v>
      </c>
      <c r="K631" t="s">
        <v>141</v>
      </c>
      <c r="L631" t="s">
        <v>123</v>
      </c>
      <c r="M631" t="s">
        <v>159</v>
      </c>
      <c r="N631">
        <v>154</v>
      </c>
      <c r="O631" t="s">
        <v>126</v>
      </c>
      <c r="P631">
        <v>1</v>
      </c>
      <c r="Q631" t="s">
        <v>115</v>
      </c>
      <c r="R631" t="s">
        <v>168</v>
      </c>
      <c r="S631" t="s">
        <v>127</v>
      </c>
    </row>
    <row r="632" spans="1:19" x14ac:dyDescent="0.35">
      <c r="A632" t="s">
        <v>842</v>
      </c>
      <c r="B632" t="s">
        <v>149</v>
      </c>
      <c r="C632" t="s">
        <v>120</v>
      </c>
      <c r="D632">
        <v>6.8</v>
      </c>
      <c r="E632">
        <v>18</v>
      </c>
      <c r="F632" t="s">
        <v>58</v>
      </c>
      <c r="G632">
        <v>10</v>
      </c>
      <c r="H632">
        <v>0.7</v>
      </c>
      <c r="I632" t="s">
        <v>130</v>
      </c>
      <c r="J632" t="s">
        <v>258</v>
      </c>
      <c r="K632" t="s">
        <v>211</v>
      </c>
      <c r="L632" t="s">
        <v>123</v>
      </c>
      <c r="M632" t="s">
        <v>113</v>
      </c>
      <c r="N632">
        <v>27</v>
      </c>
      <c r="O632" t="s">
        <v>126</v>
      </c>
      <c r="P632">
        <v>11</v>
      </c>
      <c r="Q632" t="s">
        <v>115</v>
      </c>
      <c r="R632" t="s">
        <v>116</v>
      </c>
      <c r="S632" t="s">
        <v>193</v>
      </c>
    </row>
    <row r="633" spans="1:19" x14ac:dyDescent="0.35">
      <c r="A633" t="s">
        <v>843</v>
      </c>
      <c r="B633" t="s">
        <v>176</v>
      </c>
      <c r="C633" t="s">
        <v>120</v>
      </c>
      <c r="D633">
        <v>9.4</v>
      </c>
      <c r="E633">
        <v>26</v>
      </c>
      <c r="F633" t="s">
        <v>58</v>
      </c>
      <c r="G633">
        <v>12</v>
      </c>
      <c r="H633">
        <v>0.6</v>
      </c>
      <c r="I633" t="s">
        <v>156</v>
      </c>
      <c r="J633" t="s">
        <v>167</v>
      </c>
      <c r="K633" t="s">
        <v>228</v>
      </c>
      <c r="L633" t="s">
        <v>178</v>
      </c>
      <c r="M633" t="s">
        <v>113</v>
      </c>
      <c r="N633">
        <v>7</v>
      </c>
      <c r="O633" t="s">
        <v>114</v>
      </c>
      <c r="P633">
        <v>11</v>
      </c>
      <c r="Q633" t="s">
        <v>115</v>
      </c>
      <c r="R633" t="s">
        <v>116</v>
      </c>
      <c r="S633" t="s">
        <v>117</v>
      </c>
    </row>
    <row r="634" spans="1:19" x14ac:dyDescent="0.35">
      <c r="A634" t="s">
        <v>844</v>
      </c>
      <c r="B634" t="s">
        <v>107</v>
      </c>
      <c r="C634" t="s">
        <v>120</v>
      </c>
      <c r="D634">
        <v>8.5</v>
      </c>
      <c r="E634">
        <v>9</v>
      </c>
      <c r="F634" t="s">
        <v>56</v>
      </c>
      <c r="G634">
        <v>3</v>
      </c>
      <c r="H634">
        <v>1.2</v>
      </c>
      <c r="I634" t="s">
        <v>150</v>
      </c>
      <c r="J634" t="s">
        <v>151</v>
      </c>
      <c r="K634" t="s">
        <v>171</v>
      </c>
      <c r="L634" t="s">
        <v>111</v>
      </c>
      <c r="M634" t="s">
        <v>134</v>
      </c>
      <c r="N634">
        <v>95</v>
      </c>
      <c r="O634" t="s">
        <v>114</v>
      </c>
      <c r="P634">
        <v>5</v>
      </c>
      <c r="Q634" t="s">
        <v>214</v>
      </c>
      <c r="R634" t="s">
        <v>168</v>
      </c>
      <c r="S634" t="s">
        <v>179</v>
      </c>
    </row>
    <row r="635" spans="1:19" x14ac:dyDescent="0.35">
      <c r="A635" t="s">
        <v>845</v>
      </c>
      <c r="B635" t="s">
        <v>138</v>
      </c>
      <c r="C635" t="s">
        <v>120</v>
      </c>
      <c r="D635">
        <v>3.3</v>
      </c>
      <c r="E635">
        <v>20</v>
      </c>
      <c r="F635" t="s">
        <v>63</v>
      </c>
      <c r="G635">
        <v>3</v>
      </c>
      <c r="H635">
        <v>1.1000000000000001</v>
      </c>
      <c r="I635" t="s">
        <v>121</v>
      </c>
      <c r="J635" t="s">
        <v>122</v>
      </c>
      <c r="K635" t="s">
        <v>141</v>
      </c>
      <c r="L635" t="s">
        <v>111</v>
      </c>
      <c r="M635" t="s">
        <v>113</v>
      </c>
      <c r="N635">
        <v>11</v>
      </c>
      <c r="O635" t="s">
        <v>126</v>
      </c>
      <c r="P635">
        <v>8</v>
      </c>
      <c r="Q635" t="s">
        <v>115</v>
      </c>
      <c r="R635" t="s">
        <v>116</v>
      </c>
      <c r="S635" t="s">
        <v>179</v>
      </c>
    </row>
    <row r="636" spans="1:19" x14ac:dyDescent="0.35">
      <c r="A636" t="s">
        <v>846</v>
      </c>
      <c r="B636" t="s">
        <v>161</v>
      </c>
      <c r="C636" t="s">
        <v>120</v>
      </c>
      <c r="D636">
        <v>4.8</v>
      </c>
      <c r="E636">
        <v>17</v>
      </c>
      <c r="F636" t="s">
        <v>63</v>
      </c>
      <c r="G636">
        <v>4</v>
      </c>
      <c r="H636">
        <v>0.4</v>
      </c>
      <c r="I636" t="s">
        <v>185</v>
      </c>
      <c r="J636" t="s">
        <v>382</v>
      </c>
      <c r="K636" t="s">
        <v>182</v>
      </c>
      <c r="L636" t="s">
        <v>133</v>
      </c>
      <c r="M636" t="s">
        <v>134</v>
      </c>
      <c r="N636">
        <v>78</v>
      </c>
      <c r="O636" t="s">
        <v>114</v>
      </c>
      <c r="P636">
        <v>4</v>
      </c>
      <c r="Q636" t="s">
        <v>115</v>
      </c>
      <c r="R636" t="s">
        <v>116</v>
      </c>
      <c r="S636" t="s">
        <v>127</v>
      </c>
    </row>
    <row r="637" spans="1:19" x14ac:dyDescent="0.35">
      <c r="A637" t="s">
        <v>847</v>
      </c>
      <c r="B637" t="s">
        <v>155</v>
      </c>
      <c r="C637" t="s">
        <v>108</v>
      </c>
      <c r="D637">
        <v>39.9</v>
      </c>
      <c r="E637">
        <v>27</v>
      </c>
      <c r="F637" t="s">
        <v>65</v>
      </c>
      <c r="G637">
        <v>12</v>
      </c>
      <c r="H637">
        <v>0.1</v>
      </c>
      <c r="I637" t="s">
        <v>109</v>
      </c>
      <c r="J637" t="s">
        <v>181</v>
      </c>
      <c r="K637" t="s">
        <v>158</v>
      </c>
      <c r="L637" t="s">
        <v>112</v>
      </c>
      <c r="M637" t="s">
        <v>159</v>
      </c>
      <c r="N637">
        <v>353</v>
      </c>
      <c r="O637" t="s">
        <v>126</v>
      </c>
      <c r="P637">
        <v>2</v>
      </c>
      <c r="Q637" t="s">
        <v>115</v>
      </c>
      <c r="R637" t="s">
        <v>116</v>
      </c>
      <c r="S637" t="s">
        <v>142</v>
      </c>
    </row>
    <row r="638" spans="1:19" x14ac:dyDescent="0.35">
      <c r="A638" t="s">
        <v>848</v>
      </c>
      <c r="B638" t="s">
        <v>218</v>
      </c>
      <c r="C638" t="s">
        <v>120</v>
      </c>
      <c r="D638">
        <v>5.8</v>
      </c>
      <c r="E638">
        <v>20</v>
      </c>
      <c r="F638" t="s">
        <v>65</v>
      </c>
      <c r="G638">
        <v>5</v>
      </c>
      <c r="H638">
        <v>1.2</v>
      </c>
      <c r="I638" t="s">
        <v>109</v>
      </c>
      <c r="J638" t="s">
        <v>110</v>
      </c>
      <c r="K638" t="s">
        <v>152</v>
      </c>
      <c r="L638" t="s">
        <v>141</v>
      </c>
      <c r="M638" t="s">
        <v>134</v>
      </c>
      <c r="N638">
        <v>75</v>
      </c>
      <c r="O638" t="s">
        <v>126</v>
      </c>
      <c r="P638">
        <v>5</v>
      </c>
      <c r="Q638" t="s">
        <v>115</v>
      </c>
      <c r="R638" t="s">
        <v>168</v>
      </c>
      <c r="S638" t="s">
        <v>193</v>
      </c>
    </row>
    <row r="639" spans="1:19" x14ac:dyDescent="0.35">
      <c r="A639" t="s">
        <v>849</v>
      </c>
      <c r="B639" t="s">
        <v>107</v>
      </c>
      <c r="C639" t="s">
        <v>120</v>
      </c>
      <c r="D639">
        <v>3.9</v>
      </c>
      <c r="E639">
        <v>19</v>
      </c>
      <c r="F639" t="s">
        <v>58</v>
      </c>
      <c r="G639">
        <v>9</v>
      </c>
      <c r="H639">
        <v>0.6</v>
      </c>
      <c r="I639" t="s">
        <v>156</v>
      </c>
      <c r="J639" t="s">
        <v>167</v>
      </c>
      <c r="K639" t="s">
        <v>112</v>
      </c>
      <c r="L639" t="s">
        <v>171</v>
      </c>
      <c r="M639" t="s">
        <v>159</v>
      </c>
      <c r="N639">
        <v>352</v>
      </c>
      <c r="O639" t="s">
        <v>126</v>
      </c>
      <c r="P639">
        <v>1</v>
      </c>
      <c r="Q639" t="s">
        <v>135</v>
      </c>
      <c r="R639" t="s">
        <v>168</v>
      </c>
      <c r="S639" t="s">
        <v>127</v>
      </c>
    </row>
    <row r="640" spans="1:19" x14ac:dyDescent="0.35">
      <c r="A640" t="s">
        <v>850</v>
      </c>
      <c r="B640" t="s">
        <v>189</v>
      </c>
      <c r="C640" t="s">
        <v>120</v>
      </c>
      <c r="D640">
        <v>6.2</v>
      </c>
      <c r="E640">
        <v>26</v>
      </c>
      <c r="F640" t="s">
        <v>63</v>
      </c>
      <c r="G640">
        <v>6</v>
      </c>
      <c r="H640">
        <v>0.6</v>
      </c>
      <c r="I640" t="s">
        <v>173</v>
      </c>
      <c r="J640" t="s">
        <v>216</v>
      </c>
      <c r="K640" t="s">
        <v>209</v>
      </c>
      <c r="L640" t="s">
        <v>190</v>
      </c>
      <c r="M640" t="s">
        <v>134</v>
      </c>
      <c r="N640">
        <v>71</v>
      </c>
      <c r="O640" t="s">
        <v>126</v>
      </c>
      <c r="P640">
        <v>5</v>
      </c>
      <c r="Q640" t="s">
        <v>115</v>
      </c>
      <c r="R640" t="s">
        <v>116</v>
      </c>
      <c r="S640" t="s">
        <v>136</v>
      </c>
    </row>
    <row r="641" spans="1:19" x14ac:dyDescent="0.35">
      <c r="A641" t="s">
        <v>851</v>
      </c>
      <c r="B641" t="s">
        <v>189</v>
      </c>
      <c r="C641" t="s">
        <v>108</v>
      </c>
      <c r="D641">
        <v>21.9</v>
      </c>
      <c r="E641">
        <v>28</v>
      </c>
      <c r="F641" t="s">
        <v>63</v>
      </c>
      <c r="G641">
        <v>8</v>
      </c>
      <c r="H641">
        <v>0.7</v>
      </c>
      <c r="I641" t="s">
        <v>150</v>
      </c>
      <c r="J641" t="s">
        <v>151</v>
      </c>
      <c r="K641" t="s">
        <v>190</v>
      </c>
      <c r="L641" t="s">
        <v>182</v>
      </c>
      <c r="M641" t="s">
        <v>134</v>
      </c>
      <c r="N641">
        <v>71</v>
      </c>
      <c r="O641" t="s">
        <v>126</v>
      </c>
      <c r="P641">
        <v>5</v>
      </c>
      <c r="Q641" t="s">
        <v>135</v>
      </c>
      <c r="R641" t="s">
        <v>116</v>
      </c>
      <c r="S641" t="s">
        <v>169</v>
      </c>
    </row>
    <row r="642" spans="1:19" x14ac:dyDescent="0.35">
      <c r="A642" t="s">
        <v>852</v>
      </c>
      <c r="B642" t="s">
        <v>138</v>
      </c>
      <c r="C642" t="s">
        <v>166</v>
      </c>
      <c r="D642">
        <v>72.7</v>
      </c>
      <c r="E642">
        <v>43</v>
      </c>
      <c r="F642" t="s">
        <v>65</v>
      </c>
      <c r="G642">
        <v>7</v>
      </c>
      <c r="H642">
        <v>1.4</v>
      </c>
      <c r="I642" t="s">
        <v>150</v>
      </c>
      <c r="J642" t="s">
        <v>244</v>
      </c>
      <c r="K642" t="s">
        <v>146</v>
      </c>
      <c r="L642" t="s">
        <v>141</v>
      </c>
      <c r="M642" t="s">
        <v>113</v>
      </c>
      <c r="N642">
        <v>8</v>
      </c>
      <c r="O642" t="s">
        <v>126</v>
      </c>
      <c r="P642">
        <v>12</v>
      </c>
      <c r="Q642" t="s">
        <v>115</v>
      </c>
      <c r="R642" t="s">
        <v>168</v>
      </c>
      <c r="S642" t="s">
        <v>127</v>
      </c>
    </row>
    <row r="643" spans="1:19" x14ac:dyDescent="0.35">
      <c r="A643" t="s">
        <v>853</v>
      </c>
      <c r="B643" t="s">
        <v>176</v>
      </c>
      <c r="C643" t="s">
        <v>120</v>
      </c>
      <c r="D643">
        <v>9</v>
      </c>
      <c r="E643">
        <v>5</v>
      </c>
      <c r="F643" t="s">
        <v>58</v>
      </c>
      <c r="G643">
        <v>2</v>
      </c>
      <c r="H643">
        <v>1.2</v>
      </c>
      <c r="I643" t="s">
        <v>205</v>
      </c>
      <c r="J643" t="s">
        <v>206</v>
      </c>
      <c r="K643" t="s">
        <v>228</v>
      </c>
      <c r="L643" t="s">
        <v>124</v>
      </c>
      <c r="M643" t="s">
        <v>113</v>
      </c>
      <c r="N643">
        <v>19</v>
      </c>
      <c r="O643" t="s">
        <v>126</v>
      </c>
      <c r="P643">
        <v>14</v>
      </c>
      <c r="Q643" t="s">
        <v>115</v>
      </c>
      <c r="R643" t="s">
        <v>168</v>
      </c>
      <c r="S643" t="s">
        <v>136</v>
      </c>
    </row>
    <row r="644" spans="1:19" x14ac:dyDescent="0.35">
      <c r="A644" t="s">
        <v>854</v>
      </c>
      <c r="B644" t="s">
        <v>184</v>
      </c>
      <c r="C644" t="s">
        <v>120</v>
      </c>
      <c r="D644">
        <v>4</v>
      </c>
      <c r="E644">
        <v>10</v>
      </c>
      <c r="F644" t="s">
        <v>60</v>
      </c>
      <c r="G644">
        <v>11</v>
      </c>
      <c r="H644">
        <v>1</v>
      </c>
      <c r="I644" t="s">
        <v>130</v>
      </c>
      <c r="J644" t="s">
        <v>258</v>
      </c>
      <c r="K644" t="s">
        <v>192</v>
      </c>
      <c r="L644" t="s">
        <v>124</v>
      </c>
      <c r="M644" t="s">
        <v>159</v>
      </c>
      <c r="N644">
        <v>192</v>
      </c>
      <c r="O644" t="s">
        <v>201</v>
      </c>
      <c r="P644">
        <v>1</v>
      </c>
      <c r="Q644" t="s">
        <v>115</v>
      </c>
      <c r="R644" t="s">
        <v>116</v>
      </c>
      <c r="S644" t="s">
        <v>193</v>
      </c>
    </row>
    <row r="645" spans="1:19" x14ac:dyDescent="0.35">
      <c r="A645" t="s">
        <v>855</v>
      </c>
      <c r="B645" t="s">
        <v>149</v>
      </c>
      <c r="C645" t="s">
        <v>120</v>
      </c>
      <c r="D645">
        <v>4.0999999999999996</v>
      </c>
      <c r="E645">
        <v>15</v>
      </c>
      <c r="F645" t="s">
        <v>58</v>
      </c>
      <c r="G645">
        <v>5</v>
      </c>
      <c r="H645">
        <v>0.4</v>
      </c>
      <c r="I645" t="s">
        <v>130</v>
      </c>
      <c r="J645" t="s">
        <v>208</v>
      </c>
      <c r="K645" t="s">
        <v>152</v>
      </c>
      <c r="L645" t="s">
        <v>211</v>
      </c>
      <c r="M645" t="s">
        <v>134</v>
      </c>
      <c r="N645">
        <v>73</v>
      </c>
      <c r="O645" t="s">
        <v>126</v>
      </c>
      <c r="P645">
        <v>5</v>
      </c>
      <c r="Q645" t="s">
        <v>115</v>
      </c>
      <c r="R645" t="s">
        <v>116</v>
      </c>
      <c r="S645" t="s">
        <v>193</v>
      </c>
    </row>
    <row r="646" spans="1:19" x14ac:dyDescent="0.35">
      <c r="A646" t="s">
        <v>856</v>
      </c>
      <c r="B646" t="s">
        <v>184</v>
      </c>
      <c r="C646" t="s">
        <v>120</v>
      </c>
      <c r="D646">
        <v>2.9</v>
      </c>
      <c r="E646">
        <v>18</v>
      </c>
      <c r="F646" t="s">
        <v>60</v>
      </c>
      <c r="G646">
        <v>6</v>
      </c>
      <c r="H646">
        <v>1.1000000000000001</v>
      </c>
      <c r="I646" t="s">
        <v>173</v>
      </c>
      <c r="J646" t="s">
        <v>216</v>
      </c>
      <c r="K646" t="s">
        <v>124</v>
      </c>
      <c r="L646" t="s">
        <v>192</v>
      </c>
      <c r="M646" t="s">
        <v>159</v>
      </c>
      <c r="N646">
        <v>180</v>
      </c>
      <c r="O646" t="s">
        <v>114</v>
      </c>
      <c r="P646">
        <v>1</v>
      </c>
      <c r="Q646" t="s">
        <v>115</v>
      </c>
      <c r="R646" t="s">
        <v>116</v>
      </c>
      <c r="S646" t="s">
        <v>142</v>
      </c>
    </row>
    <row r="647" spans="1:19" x14ac:dyDescent="0.35">
      <c r="A647" t="s">
        <v>857</v>
      </c>
      <c r="B647" t="s">
        <v>119</v>
      </c>
      <c r="C647" t="s">
        <v>120</v>
      </c>
      <c r="D647">
        <v>1.7</v>
      </c>
      <c r="E647">
        <v>27</v>
      </c>
      <c r="F647" t="s">
        <v>60</v>
      </c>
      <c r="G647">
        <v>12</v>
      </c>
      <c r="H647">
        <v>1</v>
      </c>
      <c r="I647" t="s">
        <v>130</v>
      </c>
      <c r="J647" t="s">
        <v>258</v>
      </c>
      <c r="K647" t="s">
        <v>123</v>
      </c>
      <c r="L647" t="s">
        <v>141</v>
      </c>
      <c r="M647" t="s">
        <v>159</v>
      </c>
      <c r="N647">
        <v>156</v>
      </c>
      <c r="O647" t="s">
        <v>126</v>
      </c>
      <c r="P647">
        <v>2</v>
      </c>
      <c r="Q647" t="s">
        <v>214</v>
      </c>
      <c r="R647" t="s">
        <v>116</v>
      </c>
      <c r="S647" t="s">
        <v>136</v>
      </c>
    </row>
    <row r="648" spans="1:19" x14ac:dyDescent="0.35">
      <c r="A648" t="s">
        <v>858</v>
      </c>
      <c r="B648" t="s">
        <v>119</v>
      </c>
      <c r="C648" t="s">
        <v>108</v>
      </c>
      <c r="D648">
        <v>38.6</v>
      </c>
      <c r="E648">
        <v>30</v>
      </c>
      <c r="F648" t="s">
        <v>56</v>
      </c>
      <c r="G648">
        <v>10</v>
      </c>
      <c r="H648">
        <v>0.4</v>
      </c>
      <c r="I648" t="s">
        <v>156</v>
      </c>
      <c r="J648" t="s">
        <v>203</v>
      </c>
      <c r="K648" t="s">
        <v>141</v>
      </c>
      <c r="L648" t="s">
        <v>124</v>
      </c>
      <c r="M648" t="s">
        <v>134</v>
      </c>
      <c r="N648">
        <v>66</v>
      </c>
      <c r="O648" t="s">
        <v>126</v>
      </c>
      <c r="P648">
        <v>6</v>
      </c>
      <c r="Q648" t="s">
        <v>135</v>
      </c>
      <c r="R648" t="s">
        <v>116</v>
      </c>
      <c r="S648" t="s">
        <v>193</v>
      </c>
    </row>
    <row r="649" spans="1:19" x14ac:dyDescent="0.35">
      <c r="A649" t="s">
        <v>859</v>
      </c>
      <c r="B649" t="s">
        <v>107</v>
      </c>
      <c r="C649" t="s">
        <v>120</v>
      </c>
      <c r="D649">
        <v>7.3</v>
      </c>
      <c r="E649">
        <v>19</v>
      </c>
      <c r="F649" t="s">
        <v>65</v>
      </c>
      <c r="G649">
        <v>12</v>
      </c>
      <c r="H649">
        <v>1.1000000000000001</v>
      </c>
      <c r="I649" t="s">
        <v>144</v>
      </c>
      <c r="J649" t="s">
        <v>269</v>
      </c>
      <c r="K649" t="s">
        <v>171</v>
      </c>
      <c r="L649" t="s">
        <v>111</v>
      </c>
      <c r="M649" t="s">
        <v>134</v>
      </c>
      <c r="N649">
        <v>76</v>
      </c>
      <c r="O649" t="s">
        <v>126</v>
      </c>
      <c r="P649">
        <v>6</v>
      </c>
      <c r="Q649" t="s">
        <v>115</v>
      </c>
      <c r="R649" t="s">
        <v>116</v>
      </c>
      <c r="S649" t="s">
        <v>136</v>
      </c>
    </row>
    <row r="650" spans="1:19" x14ac:dyDescent="0.35">
      <c r="A650" t="s">
        <v>860</v>
      </c>
      <c r="B650" t="s">
        <v>119</v>
      </c>
      <c r="C650" t="s">
        <v>120</v>
      </c>
      <c r="D650">
        <v>3</v>
      </c>
      <c r="E650">
        <v>25</v>
      </c>
      <c r="F650" t="s">
        <v>58</v>
      </c>
      <c r="G650">
        <v>8</v>
      </c>
      <c r="H650">
        <v>0.5</v>
      </c>
      <c r="I650" t="s">
        <v>139</v>
      </c>
      <c r="J650" t="s">
        <v>239</v>
      </c>
      <c r="K650" t="s">
        <v>141</v>
      </c>
      <c r="L650" t="s">
        <v>123</v>
      </c>
      <c r="M650" t="s">
        <v>134</v>
      </c>
      <c r="N650">
        <v>60</v>
      </c>
      <c r="O650" t="s">
        <v>201</v>
      </c>
      <c r="P650">
        <v>3</v>
      </c>
      <c r="Q650" t="s">
        <v>115</v>
      </c>
      <c r="R650" t="s">
        <v>168</v>
      </c>
      <c r="S650" t="s">
        <v>193</v>
      </c>
    </row>
    <row r="651" spans="1:19" x14ac:dyDescent="0.35">
      <c r="A651" t="s">
        <v>861</v>
      </c>
      <c r="B651" t="s">
        <v>149</v>
      </c>
      <c r="C651" t="s">
        <v>120</v>
      </c>
      <c r="D651">
        <v>2</v>
      </c>
      <c r="E651">
        <v>19</v>
      </c>
      <c r="F651" t="s">
        <v>66</v>
      </c>
      <c r="G651">
        <v>10</v>
      </c>
      <c r="H651">
        <v>1.3</v>
      </c>
      <c r="I651" t="s">
        <v>139</v>
      </c>
      <c r="J651" t="s">
        <v>239</v>
      </c>
      <c r="K651" t="s">
        <v>152</v>
      </c>
      <c r="L651" t="s">
        <v>211</v>
      </c>
      <c r="M651" t="s">
        <v>113</v>
      </c>
      <c r="N651">
        <v>18</v>
      </c>
      <c r="O651" t="s">
        <v>126</v>
      </c>
      <c r="P651">
        <v>8</v>
      </c>
      <c r="Q651" t="s">
        <v>115</v>
      </c>
      <c r="R651" t="s">
        <v>116</v>
      </c>
      <c r="S651" t="s">
        <v>179</v>
      </c>
    </row>
    <row r="652" spans="1:19" x14ac:dyDescent="0.35">
      <c r="A652" t="s">
        <v>862</v>
      </c>
      <c r="B652" t="s">
        <v>119</v>
      </c>
      <c r="C652" t="s">
        <v>120</v>
      </c>
      <c r="D652">
        <v>9</v>
      </c>
      <c r="E652">
        <v>22</v>
      </c>
      <c r="F652" t="s">
        <v>65</v>
      </c>
      <c r="G652">
        <v>2</v>
      </c>
      <c r="H652">
        <v>0.3</v>
      </c>
      <c r="I652" t="s">
        <v>205</v>
      </c>
      <c r="J652" t="s">
        <v>206</v>
      </c>
      <c r="K652" t="s">
        <v>124</v>
      </c>
      <c r="L652" t="s">
        <v>141</v>
      </c>
      <c r="M652" t="s">
        <v>159</v>
      </c>
      <c r="N652">
        <v>192</v>
      </c>
      <c r="O652" t="s">
        <v>126</v>
      </c>
      <c r="P652">
        <v>2</v>
      </c>
      <c r="Q652" t="s">
        <v>115</v>
      </c>
      <c r="R652" t="s">
        <v>153</v>
      </c>
      <c r="S652" t="s">
        <v>147</v>
      </c>
    </row>
    <row r="653" spans="1:19" x14ac:dyDescent="0.35">
      <c r="A653" t="s">
        <v>863</v>
      </c>
      <c r="B653" t="s">
        <v>189</v>
      </c>
      <c r="C653" t="s">
        <v>120</v>
      </c>
      <c r="D653">
        <v>6.5</v>
      </c>
      <c r="E653">
        <v>6</v>
      </c>
      <c r="F653" t="s">
        <v>56</v>
      </c>
      <c r="G653">
        <v>7</v>
      </c>
      <c r="H653">
        <v>1.3</v>
      </c>
      <c r="I653" t="s">
        <v>121</v>
      </c>
      <c r="J653" t="s">
        <v>255</v>
      </c>
      <c r="K653" t="s">
        <v>182</v>
      </c>
      <c r="L653" t="s">
        <v>209</v>
      </c>
      <c r="M653" t="s">
        <v>159</v>
      </c>
      <c r="N653">
        <v>318</v>
      </c>
      <c r="O653" t="s">
        <v>126</v>
      </c>
      <c r="P653">
        <v>1</v>
      </c>
      <c r="Q653" t="s">
        <v>115</v>
      </c>
      <c r="R653" t="s">
        <v>168</v>
      </c>
      <c r="S653" t="s">
        <v>136</v>
      </c>
    </row>
    <row r="654" spans="1:19" x14ac:dyDescent="0.35">
      <c r="A654" t="s">
        <v>864</v>
      </c>
      <c r="B654" t="s">
        <v>176</v>
      </c>
      <c r="C654" t="s">
        <v>108</v>
      </c>
      <c r="D654">
        <v>11.2</v>
      </c>
      <c r="E654">
        <v>30</v>
      </c>
      <c r="F654" t="s">
        <v>63</v>
      </c>
      <c r="G654">
        <v>9</v>
      </c>
      <c r="H654">
        <v>0.5</v>
      </c>
      <c r="I654" t="s">
        <v>121</v>
      </c>
      <c r="J654" t="s">
        <v>122</v>
      </c>
      <c r="K654" t="s">
        <v>228</v>
      </c>
      <c r="L654" t="s">
        <v>124</v>
      </c>
      <c r="M654" t="s">
        <v>134</v>
      </c>
      <c r="N654">
        <v>65</v>
      </c>
      <c r="O654" t="s">
        <v>126</v>
      </c>
      <c r="P654">
        <v>4</v>
      </c>
      <c r="Q654" t="s">
        <v>214</v>
      </c>
      <c r="R654" t="s">
        <v>168</v>
      </c>
      <c r="S654" t="s">
        <v>117</v>
      </c>
    </row>
    <row r="655" spans="1:19" x14ac:dyDescent="0.35">
      <c r="A655" t="s">
        <v>865</v>
      </c>
      <c r="B655" t="s">
        <v>197</v>
      </c>
      <c r="C655" t="s">
        <v>108</v>
      </c>
      <c r="D655">
        <v>20.8</v>
      </c>
      <c r="E655">
        <v>39</v>
      </c>
      <c r="F655" t="s">
        <v>58</v>
      </c>
      <c r="G655">
        <v>11</v>
      </c>
      <c r="H655">
        <v>1.1000000000000001</v>
      </c>
      <c r="I655" t="s">
        <v>130</v>
      </c>
      <c r="J655" t="s">
        <v>262</v>
      </c>
      <c r="K655" t="s">
        <v>199</v>
      </c>
      <c r="L655" t="s">
        <v>200</v>
      </c>
      <c r="M655" t="s">
        <v>134</v>
      </c>
      <c r="N655">
        <v>68</v>
      </c>
      <c r="O655" t="s">
        <v>126</v>
      </c>
      <c r="P655">
        <v>5</v>
      </c>
      <c r="Q655" t="s">
        <v>115</v>
      </c>
      <c r="R655" t="s">
        <v>168</v>
      </c>
      <c r="S655" t="s">
        <v>142</v>
      </c>
    </row>
    <row r="656" spans="1:19" x14ac:dyDescent="0.35">
      <c r="A656" t="s">
        <v>866</v>
      </c>
      <c r="B656" t="s">
        <v>119</v>
      </c>
      <c r="C656" t="s">
        <v>120</v>
      </c>
      <c r="D656">
        <v>8.1</v>
      </c>
      <c r="E656">
        <v>13</v>
      </c>
      <c r="F656" t="s">
        <v>60</v>
      </c>
      <c r="G656">
        <v>11</v>
      </c>
      <c r="H656">
        <v>0.5</v>
      </c>
      <c r="I656" t="s">
        <v>144</v>
      </c>
      <c r="J656" t="s">
        <v>269</v>
      </c>
      <c r="K656" t="s">
        <v>124</v>
      </c>
      <c r="L656" t="s">
        <v>141</v>
      </c>
      <c r="M656" t="s">
        <v>159</v>
      </c>
      <c r="N656">
        <v>262</v>
      </c>
      <c r="O656" t="s">
        <v>126</v>
      </c>
      <c r="P656">
        <v>2</v>
      </c>
      <c r="Q656" t="s">
        <v>135</v>
      </c>
      <c r="R656" t="s">
        <v>116</v>
      </c>
      <c r="S656" t="s">
        <v>136</v>
      </c>
    </row>
    <row r="657" spans="1:19" x14ac:dyDescent="0.35">
      <c r="A657" t="s">
        <v>867</v>
      </c>
      <c r="B657" t="s">
        <v>107</v>
      </c>
      <c r="C657" t="s">
        <v>120</v>
      </c>
      <c r="D657">
        <v>3.6</v>
      </c>
      <c r="E657">
        <v>14</v>
      </c>
      <c r="F657" t="s">
        <v>60</v>
      </c>
      <c r="G657">
        <v>11</v>
      </c>
      <c r="H657">
        <v>0.2</v>
      </c>
      <c r="I657" t="s">
        <v>173</v>
      </c>
      <c r="J657" t="s">
        <v>216</v>
      </c>
      <c r="K657" t="s">
        <v>171</v>
      </c>
      <c r="L657" t="s">
        <v>111</v>
      </c>
      <c r="M657" t="s">
        <v>113</v>
      </c>
      <c r="N657">
        <v>9</v>
      </c>
      <c r="O657" t="s">
        <v>201</v>
      </c>
      <c r="P657">
        <v>13</v>
      </c>
      <c r="Q657" t="s">
        <v>115</v>
      </c>
      <c r="R657" t="s">
        <v>116</v>
      </c>
      <c r="S657" t="s">
        <v>117</v>
      </c>
    </row>
    <row r="658" spans="1:19" x14ac:dyDescent="0.35">
      <c r="A658" t="s">
        <v>868</v>
      </c>
      <c r="B658" t="s">
        <v>155</v>
      </c>
      <c r="C658" t="s">
        <v>120</v>
      </c>
      <c r="D658">
        <v>9.6</v>
      </c>
      <c r="E658">
        <v>8</v>
      </c>
      <c r="F658" t="s">
        <v>58</v>
      </c>
      <c r="G658">
        <v>10</v>
      </c>
      <c r="H658">
        <v>0.3</v>
      </c>
      <c r="I658" t="s">
        <v>205</v>
      </c>
      <c r="J658" t="s">
        <v>298</v>
      </c>
      <c r="K658" t="s">
        <v>112</v>
      </c>
      <c r="L658" t="s">
        <v>195</v>
      </c>
      <c r="M658" t="s">
        <v>113</v>
      </c>
      <c r="N658">
        <v>25</v>
      </c>
      <c r="O658" t="s">
        <v>126</v>
      </c>
      <c r="P658">
        <v>9</v>
      </c>
      <c r="Q658" t="s">
        <v>214</v>
      </c>
      <c r="R658" t="s">
        <v>168</v>
      </c>
      <c r="S658" t="s">
        <v>179</v>
      </c>
    </row>
    <row r="659" spans="1:19" x14ac:dyDescent="0.35">
      <c r="A659" t="s">
        <v>869</v>
      </c>
      <c r="B659" t="s">
        <v>155</v>
      </c>
      <c r="C659" t="s">
        <v>120</v>
      </c>
      <c r="D659">
        <v>4.5999999999999996</v>
      </c>
      <c r="E659">
        <v>25</v>
      </c>
      <c r="F659" t="s">
        <v>63</v>
      </c>
      <c r="G659">
        <v>5</v>
      </c>
      <c r="H659">
        <v>0.8</v>
      </c>
      <c r="I659" t="s">
        <v>144</v>
      </c>
      <c r="J659" t="s">
        <v>145</v>
      </c>
      <c r="K659" t="s">
        <v>195</v>
      </c>
      <c r="L659" t="s">
        <v>158</v>
      </c>
      <c r="M659" t="s">
        <v>159</v>
      </c>
      <c r="N659">
        <v>279</v>
      </c>
      <c r="O659" t="s">
        <v>126</v>
      </c>
      <c r="P659">
        <v>1</v>
      </c>
      <c r="Q659" t="s">
        <v>115</v>
      </c>
      <c r="R659" t="s">
        <v>116</v>
      </c>
      <c r="S659" t="s">
        <v>117</v>
      </c>
    </row>
    <row r="660" spans="1:19" x14ac:dyDescent="0.35">
      <c r="A660" t="s">
        <v>870</v>
      </c>
      <c r="B660" t="s">
        <v>189</v>
      </c>
      <c r="C660" t="s">
        <v>120</v>
      </c>
      <c r="D660">
        <v>6</v>
      </c>
      <c r="E660">
        <v>23</v>
      </c>
      <c r="F660" t="s">
        <v>63</v>
      </c>
      <c r="G660">
        <v>3</v>
      </c>
      <c r="H660">
        <v>0.4</v>
      </c>
      <c r="I660" t="s">
        <v>109</v>
      </c>
      <c r="J660" t="s">
        <v>110</v>
      </c>
      <c r="K660" t="s">
        <v>190</v>
      </c>
      <c r="L660" t="s">
        <v>182</v>
      </c>
      <c r="M660" t="s">
        <v>134</v>
      </c>
      <c r="N660">
        <v>77</v>
      </c>
      <c r="O660" t="s">
        <v>126</v>
      </c>
      <c r="P660">
        <v>5</v>
      </c>
      <c r="Q660" t="s">
        <v>115</v>
      </c>
      <c r="R660" t="s">
        <v>153</v>
      </c>
      <c r="S660" t="s">
        <v>136</v>
      </c>
    </row>
    <row r="661" spans="1:19" x14ac:dyDescent="0.35">
      <c r="A661" t="s">
        <v>871</v>
      </c>
      <c r="B661" t="s">
        <v>176</v>
      </c>
      <c r="C661" t="s">
        <v>166</v>
      </c>
      <c r="D661">
        <v>164.2</v>
      </c>
      <c r="E661">
        <v>46</v>
      </c>
      <c r="F661" t="s">
        <v>56</v>
      </c>
      <c r="G661">
        <v>7</v>
      </c>
      <c r="H661">
        <v>0.8</v>
      </c>
      <c r="I661" t="s">
        <v>246</v>
      </c>
      <c r="J661" t="s">
        <v>247</v>
      </c>
      <c r="K661" t="s">
        <v>178</v>
      </c>
      <c r="L661" t="s">
        <v>228</v>
      </c>
      <c r="M661" t="s">
        <v>113</v>
      </c>
      <c r="N661">
        <v>7</v>
      </c>
      <c r="O661" t="s">
        <v>126</v>
      </c>
      <c r="P661">
        <v>11</v>
      </c>
      <c r="Q661" t="s">
        <v>115</v>
      </c>
      <c r="R661" t="s">
        <v>168</v>
      </c>
      <c r="S661" t="s">
        <v>147</v>
      </c>
    </row>
    <row r="662" spans="1:19" x14ac:dyDescent="0.35">
      <c r="A662" t="s">
        <v>872</v>
      </c>
      <c r="B662" t="s">
        <v>155</v>
      </c>
      <c r="C662" t="s">
        <v>120</v>
      </c>
      <c r="D662">
        <v>7.6</v>
      </c>
      <c r="E662">
        <v>11</v>
      </c>
      <c r="F662" t="s">
        <v>56</v>
      </c>
      <c r="G662">
        <v>7</v>
      </c>
      <c r="H662">
        <v>1.5</v>
      </c>
      <c r="I662" t="s">
        <v>173</v>
      </c>
      <c r="J662" t="s">
        <v>216</v>
      </c>
      <c r="K662" t="s">
        <v>195</v>
      </c>
      <c r="L662" t="s">
        <v>158</v>
      </c>
      <c r="M662" t="s">
        <v>134</v>
      </c>
      <c r="N662">
        <v>77</v>
      </c>
      <c r="O662" t="s">
        <v>201</v>
      </c>
      <c r="P662">
        <v>5</v>
      </c>
      <c r="Q662" t="s">
        <v>135</v>
      </c>
      <c r="R662" t="s">
        <v>168</v>
      </c>
      <c r="S662" t="s">
        <v>136</v>
      </c>
    </row>
    <row r="663" spans="1:19" x14ac:dyDescent="0.35">
      <c r="A663" t="s">
        <v>873</v>
      </c>
      <c r="B663" t="s">
        <v>155</v>
      </c>
      <c r="C663" t="s">
        <v>120</v>
      </c>
      <c r="D663">
        <v>3.7</v>
      </c>
      <c r="E663">
        <v>9</v>
      </c>
      <c r="F663" t="s">
        <v>60</v>
      </c>
      <c r="G663">
        <v>8</v>
      </c>
      <c r="H663">
        <v>0.2</v>
      </c>
      <c r="I663" t="s">
        <v>150</v>
      </c>
      <c r="J663" t="s">
        <v>151</v>
      </c>
      <c r="K663" t="s">
        <v>112</v>
      </c>
      <c r="L663" t="s">
        <v>195</v>
      </c>
      <c r="M663" t="s">
        <v>134</v>
      </c>
      <c r="N663">
        <v>67</v>
      </c>
      <c r="O663" t="s">
        <v>114</v>
      </c>
      <c r="P663">
        <v>3</v>
      </c>
      <c r="Q663" t="s">
        <v>135</v>
      </c>
      <c r="R663" t="s">
        <v>116</v>
      </c>
      <c r="S663" t="s">
        <v>136</v>
      </c>
    </row>
    <row r="664" spans="1:19" x14ac:dyDescent="0.35">
      <c r="A664" t="s">
        <v>874</v>
      </c>
      <c r="B664" t="s">
        <v>197</v>
      </c>
      <c r="C664" t="s">
        <v>120</v>
      </c>
      <c r="D664">
        <v>3.5</v>
      </c>
      <c r="E664">
        <v>23</v>
      </c>
      <c r="F664" t="s">
        <v>58</v>
      </c>
      <c r="G664">
        <v>5</v>
      </c>
      <c r="H664">
        <v>1</v>
      </c>
      <c r="I664" t="s">
        <v>139</v>
      </c>
      <c r="J664" t="s">
        <v>140</v>
      </c>
      <c r="K664" t="s">
        <v>199</v>
      </c>
      <c r="L664" t="s">
        <v>178</v>
      </c>
      <c r="M664" t="s">
        <v>134</v>
      </c>
      <c r="N664">
        <v>95</v>
      </c>
      <c r="O664" t="s">
        <v>126</v>
      </c>
      <c r="P664">
        <v>3</v>
      </c>
      <c r="Q664" t="s">
        <v>115</v>
      </c>
      <c r="R664" t="s">
        <v>168</v>
      </c>
      <c r="S664" t="s">
        <v>169</v>
      </c>
    </row>
    <row r="665" spans="1:19" x14ac:dyDescent="0.35">
      <c r="A665" t="s">
        <v>875</v>
      </c>
      <c r="B665" t="s">
        <v>129</v>
      </c>
      <c r="C665" t="s">
        <v>108</v>
      </c>
      <c r="D665">
        <v>17.899999999999999</v>
      </c>
      <c r="E665">
        <v>16</v>
      </c>
      <c r="F665" t="s">
        <v>63</v>
      </c>
      <c r="G665">
        <v>10</v>
      </c>
      <c r="H665">
        <v>0.6</v>
      </c>
      <c r="I665" t="s">
        <v>150</v>
      </c>
      <c r="J665" t="s">
        <v>151</v>
      </c>
      <c r="K665" t="s">
        <v>164</v>
      </c>
      <c r="L665" t="s">
        <v>132</v>
      </c>
      <c r="M665" t="s">
        <v>113</v>
      </c>
      <c r="N665">
        <v>21</v>
      </c>
      <c r="O665" t="s">
        <v>126</v>
      </c>
      <c r="P665">
        <v>9</v>
      </c>
      <c r="Q665" t="s">
        <v>115</v>
      </c>
      <c r="R665" t="s">
        <v>65</v>
      </c>
      <c r="S665" t="s">
        <v>193</v>
      </c>
    </row>
    <row r="666" spans="1:19" x14ac:dyDescent="0.35">
      <c r="A666" t="s">
        <v>876</v>
      </c>
      <c r="B666" t="s">
        <v>197</v>
      </c>
      <c r="C666" t="s">
        <v>120</v>
      </c>
      <c r="D666">
        <v>5.9</v>
      </c>
      <c r="E666">
        <v>10</v>
      </c>
      <c r="F666" t="s">
        <v>65</v>
      </c>
      <c r="G666">
        <v>6</v>
      </c>
      <c r="H666">
        <v>1</v>
      </c>
      <c r="I666" t="s">
        <v>246</v>
      </c>
      <c r="J666" t="s">
        <v>250</v>
      </c>
      <c r="K666" t="s">
        <v>200</v>
      </c>
      <c r="L666" t="s">
        <v>178</v>
      </c>
      <c r="M666" t="s">
        <v>113</v>
      </c>
      <c r="N666">
        <v>23</v>
      </c>
      <c r="O666" t="s">
        <v>126</v>
      </c>
      <c r="P666">
        <v>12</v>
      </c>
      <c r="Q666" t="s">
        <v>115</v>
      </c>
      <c r="R666" t="s">
        <v>153</v>
      </c>
      <c r="S666" t="s">
        <v>169</v>
      </c>
    </row>
    <row r="667" spans="1:19" x14ac:dyDescent="0.35">
      <c r="A667" t="s">
        <v>877</v>
      </c>
      <c r="B667" t="s">
        <v>184</v>
      </c>
      <c r="C667" t="s">
        <v>120</v>
      </c>
      <c r="D667">
        <v>2.8</v>
      </c>
      <c r="E667">
        <v>15</v>
      </c>
      <c r="F667" t="s">
        <v>58</v>
      </c>
      <c r="G667">
        <v>11</v>
      </c>
      <c r="H667">
        <v>1.4</v>
      </c>
      <c r="I667" t="s">
        <v>109</v>
      </c>
      <c r="J667" t="s">
        <v>181</v>
      </c>
      <c r="K667" t="s">
        <v>124</v>
      </c>
      <c r="L667" t="s">
        <v>192</v>
      </c>
      <c r="M667" t="s">
        <v>159</v>
      </c>
      <c r="N667">
        <v>201</v>
      </c>
      <c r="O667" t="s">
        <v>126</v>
      </c>
      <c r="P667">
        <v>2</v>
      </c>
      <c r="Q667" t="s">
        <v>115</v>
      </c>
      <c r="R667" t="s">
        <v>168</v>
      </c>
      <c r="S667" t="s">
        <v>142</v>
      </c>
    </row>
    <row r="668" spans="1:19" x14ac:dyDescent="0.35">
      <c r="A668" t="s">
        <v>878</v>
      </c>
      <c r="B668" t="s">
        <v>197</v>
      </c>
      <c r="C668" t="s">
        <v>120</v>
      </c>
      <c r="D668">
        <v>3.7</v>
      </c>
      <c r="E668">
        <v>10</v>
      </c>
      <c r="F668" t="s">
        <v>65</v>
      </c>
      <c r="G668">
        <v>10</v>
      </c>
      <c r="H668">
        <v>1.2</v>
      </c>
      <c r="I668" t="s">
        <v>150</v>
      </c>
      <c r="J668" t="s">
        <v>244</v>
      </c>
      <c r="K668" t="s">
        <v>200</v>
      </c>
      <c r="L668" t="s">
        <v>199</v>
      </c>
      <c r="M668" t="s">
        <v>159</v>
      </c>
      <c r="N668">
        <v>254</v>
      </c>
      <c r="O668" t="s">
        <v>126</v>
      </c>
      <c r="P668">
        <v>1</v>
      </c>
      <c r="Q668" t="s">
        <v>214</v>
      </c>
      <c r="R668" t="s">
        <v>168</v>
      </c>
      <c r="S668" t="s">
        <v>147</v>
      </c>
    </row>
    <row r="669" spans="1:19" x14ac:dyDescent="0.35">
      <c r="A669" t="s">
        <v>879</v>
      </c>
      <c r="B669" t="s">
        <v>218</v>
      </c>
      <c r="C669" t="s">
        <v>120</v>
      </c>
      <c r="D669">
        <v>2.2000000000000002</v>
      </c>
      <c r="E669">
        <v>20</v>
      </c>
      <c r="F669" t="s">
        <v>66</v>
      </c>
      <c r="G669">
        <v>12</v>
      </c>
      <c r="H669">
        <v>1.2</v>
      </c>
      <c r="I669" t="s">
        <v>144</v>
      </c>
      <c r="J669" t="s">
        <v>145</v>
      </c>
      <c r="K669" t="s">
        <v>152</v>
      </c>
      <c r="L669" t="s">
        <v>277</v>
      </c>
      <c r="M669" t="s">
        <v>134</v>
      </c>
      <c r="N669">
        <v>77</v>
      </c>
      <c r="O669" t="s">
        <v>126</v>
      </c>
      <c r="P669">
        <v>3</v>
      </c>
      <c r="Q669" t="s">
        <v>115</v>
      </c>
      <c r="R669" t="s">
        <v>153</v>
      </c>
      <c r="S669" t="s">
        <v>142</v>
      </c>
    </row>
    <row r="670" spans="1:19" x14ac:dyDescent="0.35">
      <c r="A670" t="s">
        <v>880</v>
      </c>
      <c r="B670" t="s">
        <v>119</v>
      </c>
      <c r="C670" t="s">
        <v>108</v>
      </c>
      <c r="D670">
        <v>30.9</v>
      </c>
      <c r="E670">
        <v>42</v>
      </c>
      <c r="F670" t="s">
        <v>66</v>
      </c>
      <c r="G670">
        <v>8</v>
      </c>
      <c r="H670">
        <v>0</v>
      </c>
      <c r="I670" t="s">
        <v>130</v>
      </c>
      <c r="J670" t="s">
        <v>262</v>
      </c>
      <c r="K670" t="s">
        <v>124</v>
      </c>
      <c r="L670" t="s">
        <v>141</v>
      </c>
      <c r="M670" t="s">
        <v>113</v>
      </c>
      <c r="N670">
        <v>29</v>
      </c>
      <c r="O670" t="s">
        <v>114</v>
      </c>
      <c r="P670">
        <v>8</v>
      </c>
      <c r="Q670" t="s">
        <v>115</v>
      </c>
      <c r="R670" t="s">
        <v>116</v>
      </c>
      <c r="S670" t="s">
        <v>193</v>
      </c>
    </row>
    <row r="671" spans="1:19" x14ac:dyDescent="0.35">
      <c r="A671" t="s">
        <v>881</v>
      </c>
      <c r="B671" t="s">
        <v>119</v>
      </c>
      <c r="C671" t="s">
        <v>108</v>
      </c>
      <c r="D671">
        <v>42</v>
      </c>
      <c r="E671">
        <v>33</v>
      </c>
      <c r="F671" t="s">
        <v>58</v>
      </c>
      <c r="G671">
        <v>13</v>
      </c>
      <c r="H671">
        <v>0.4</v>
      </c>
      <c r="I671" t="s">
        <v>150</v>
      </c>
      <c r="J671" t="s">
        <v>244</v>
      </c>
      <c r="K671" t="s">
        <v>123</v>
      </c>
      <c r="L671" t="s">
        <v>124</v>
      </c>
      <c r="M671" t="s">
        <v>134</v>
      </c>
      <c r="N671">
        <v>93</v>
      </c>
      <c r="O671" t="s">
        <v>114</v>
      </c>
      <c r="P671">
        <v>5</v>
      </c>
      <c r="Q671" t="s">
        <v>115</v>
      </c>
      <c r="R671" t="s">
        <v>116</v>
      </c>
      <c r="S671" t="s">
        <v>193</v>
      </c>
    </row>
    <row r="672" spans="1:19" x14ac:dyDescent="0.35">
      <c r="A672" t="s">
        <v>882</v>
      </c>
      <c r="B672" t="s">
        <v>176</v>
      </c>
      <c r="C672" t="s">
        <v>108</v>
      </c>
      <c r="D672">
        <v>15.3</v>
      </c>
      <c r="E672">
        <v>28</v>
      </c>
      <c r="F672" t="s">
        <v>60</v>
      </c>
      <c r="G672">
        <v>3</v>
      </c>
      <c r="H672">
        <v>1.1000000000000001</v>
      </c>
      <c r="I672" t="s">
        <v>185</v>
      </c>
      <c r="J672" t="s">
        <v>311</v>
      </c>
      <c r="K672" t="s">
        <v>178</v>
      </c>
      <c r="L672" t="s">
        <v>228</v>
      </c>
      <c r="M672" t="s">
        <v>159</v>
      </c>
      <c r="N672">
        <v>171</v>
      </c>
      <c r="O672" t="s">
        <v>126</v>
      </c>
      <c r="P672">
        <v>1</v>
      </c>
      <c r="Q672" t="s">
        <v>115</v>
      </c>
      <c r="R672" t="s">
        <v>116</v>
      </c>
      <c r="S672" t="s">
        <v>117</v>
      </c>
    </row>
    <row r="673" spans="1:19" x14ac:dyDescent="0.35">
      <c r="A673" t="s">
        <v>883</v>
      </c>
      <c r="B673" t="s">
        <v>129</v>
      </c>
      <c r="C673" t="s">
        <v>120</v>
      </c>
      <c r="D673">
        <v>3.4</v>
      </c>
      <c r="E673">
        <v>28</v>
      </c>
      <c r="F673" t="s">
        <v>63</v>
      </c>
      <c r="G673">
        <v>5</v>
      </c>
      <c r="H673">
        <v>1.1000000000000001</v>
      </c>
      <c r="I673" t="s">
        <v>130</v>
      </c>
      <c r="J673" t="s">
        <v>262</v>
      </c>
      <c r="K673" t="s">
        <v>132</v>
      </c>
      <c r="L673" t="s">
        <v>133</v>
      </c>
      <c r="M673" t="s">
        <v>134</v>
      </c>
      <c r="N673">
        <v>66</v>
      </c>
      <c r="O673" t="s">
        <v>126</v>
      </c>
      <c r="P673">
        <v>4</v>
      </c>
      <c r="Q673" t="s">
        <v>115</v>
      </c>
      <c r="R673" t="s">
        <v>116</v>
      </c>
      <c r="S673" t="s">
        <v>193</v>
      </c>
    </row>
    <row r="674" spans="1:19" x14ac:dyDescent="0.35">
      <c r="A674" t="s">
        <v>884</v>
      </c>
      <c r="B674" t="s">
        <v>161</v>
      </c>
      <c r="C674" t="s">
        <v>120</v>
      </c>
      <c r="D674">
        <v>5</v>
      </c>
      <c r="E674">
        <v>17</v>
      </c>
      <c r="F674" t="s">
        <v>65</v>
      </c>
      <c r="G674">
        <v>8</v>
      </c>
      <c r="H674">
        <v>0.7</v>
      </c>
      <c r="I674" t="s">
        <v>162</v>
      </c>
      <c r="J674" t="s">
        <v>177</v>
      </c>
      <c r="K674" t="s">
        <v>164</v>
      </c>
      <c r="L674" t="s">
        <v>133</v>
      </c>
      <c r="M674" t="s">
        <v>134</v>
      </c>
      <c r="N674">
        <v>67</v>
      </c>
      <c r="O674" t="s">
        <v>114</v>
      </c>
      <c r="P674">
        <v>3</v>
      </c>
      <c r="Q674" t="s">
        <v>214</v>
      </c>
      <c r="R674" t="s">
        <v>116</v>
      </c>
      <c r="S674" t="s">
        <v>127</v>
      </c>
    </row>
    <row r="675" spans="1:19" x14ac:dyDescent="0.35">
      <c r="A675" t="s">
        <v>885</v>
      </c>
      <c r="B675" t="s">
        <v>161</v>
      </c>
      <c r="C675" t="s">
        <v>166</v>
      </c>
      <c r="D675">
        <v>104.6</v>
      </c>
      <c r="E675">
        <v>26</v>
      </c>
      <c r="F675" t="s">
        <v>66</v>
      </c>
      <c r="G675">
        <v>2</v>
      </c>
      <c r="H675">
        <v>0.1</v>
      </c>
      <c r="I675" t="s">
        <v>150</v>
      </c>
      <c r="J675" t="s">
        <v>244</v>
      </c>
      <c r="K675" t="s">
        <v>182</v>
      </c>
      <c r="L675" t="s">
        <v>164</v>
      </c>
      <c r="M675" t="s">
        <v>159</v>
      </c>
      <c r="N675">
        <v>344</v>
      </c>
      <c r="O675" t="s">
        <v>126</v>
      </c>
      <c r="P675">
        <v>1</v>
      </c>
      <c r="Q675" t="s">
        <v>115</v>
      </c>
      <c r="R675" t="s">
        <v>153</v>
      </c>
      <c r="S675" t="s">
        <v>142</v>
      </c>
    </row>
    <row r="676" spans="1:19" x14ac:dyDescent="0.35">
      <c r="A676" t="s">
        <v>886</v>
      </c>
      <c r="B676" t="s">
        <v>138</v>
      </c>
      <c r="C676" t="s">
        <v>108</v>
      </c>
      <c r="D676">
        <v>18.2</v>
      </c>
      <c r="E676">
        <v>34</v>
      </c>
      <c r="F676" t="s">
        <v>63</v>
      </c>
      <c r="G676">
        <v>6</v>
      </c>
      <c r="H676">
        <v>0.7</v>
      </c>
      <c r="I676" t="s">
        <v>139</v>
      </c>
      <c r="J676" t="s">
        <v>239</v>
      </c>
      <c r="K676" t="s">
        <v>146</v>
      </c>
      <c r="L676" t="s">
        <v>111</v>
      </c>
      <c r="M676" t="s">
        <v>159</v>
      </c>
      <c r="N676">
        <v>235</v>
      </c>
      <c r="O676" t="s">
        <v>126</v>
      </c>
      <c r="P676">
        <v>2</v>
      </c>
      <c r="Q676" t="s">
        <v>115</v>
      </c>
      <c r="R676" t="s">
        <v>168</v>
      </c>
      <c r="S676" t="s">
        <v>179</v>
      </c>
    </row>
    <row r="677" spans="1:19" x14ac:dyDescent="0.35">
      <c r="A677" t="s">
        <v>887</v>
      </c>
      <c r="B677" t="s">
        <v>189</v>
      </c>
      <c r="C677" t="s">
        <v>120</v>
      </c>
      <c r="D677">
        <v>9.1</v>
      </c>
      <c r="E677">
        <v>22</v>
      </c>
      <c r="F677" t="s">
        <v>58</v>
      </c>
      <c r="G677">
        <v>2</v>
      </c>
      <c r="H677">
        <v>1.2</v>
      </c>
      <c r="I677" t="s">
        <v>205</v>
      </c>
      <c r="J677" t="s">
        <v>298</v>
      </c>
      <c r="K677" t="s">
        <v>190</v>
      </c>
      <c r="L677" t="s">
        <v>209</v>
      </c>
      <c r="M677" t="s">
        <v>134</v>
      </c>
      <c r="N677">
        <v>93</v>
      </c>
      <c r="O677" t="s">
        <v>126</v>
      </c>
      <c r="P677">
        <v>3</v>
      </c>
      <c r="Q677" t="s">
        <v>135</v>
      </c>
      <c r="R677" t="s">
        <v>153</v>
      </c>
      <c r="S677" t="s">
        <v>117</v>
      </c>
    </row>
    <row r="678" spans="1:19" x14ac:dyDescent="0.35">
      <c r="A678" t="s">
        <v>888</v>
      </c>
      <c r="B678" t="s">
        <v>129</v>
      </c>
      <c r="C678" t="s">
        <v>120</v>
      </c>
      <c r="D678">
        <v>6.6</v>
      </c>
      <c r="E678">
        <v>9</v>
      </c>
      <c r="F678" t="s">
        <v>58</v>
      </c>
      <c r="G678">
        <v>2</v>
      </c>
      <c r="H678">
        <v>0.8</v>
      </c>
      <c r="I678" t="s">
        <v>121</v>
      </c>
      <c r="J678" t="s">
        <v>122</v>
      </c>
      <c r="K678" t="s">
        <v>132</v>
      </c>
      <c r="L678" t="s">
        <v>164</v>
      </c>
      <c r="M678" t="s">
        <v>159</v>
      </c>
      <c r="N678">
        <v>317</v>
      </c>
      <c r="O678" t="s">
        <v>126</v>
      </c>
      <c r="P678">
        <v>2</v>
      </c>
      <c r="Q678" t="s">
        <v>115</v>
      </c>
      <c r="R678" t="s">
        <v>116</v>
      </c>
      <c r="S678" t="s">
        <v>169</v>
      </c>
    </row>
    <row r="679" spans="1:19" x14ac:dyDescent="0.35">
      <c r="A679" t="s">
        <v>889</v>
      </c>
      <c r="B679" t="s">
        <v>119</v>
      </c>
      <c r="C679" t="s">
        <v>108</v>
      </c>
      <c r="D679">
        <v>38.700000000000003</v>
      </c>
      <c r="E679">
        <v>36</v>
      </c>
      <c r="F679" t="s">
        <v>58</v>
      </c>
      <c r="G679">
        <v>12</v>
      </c>
      <c r="H679">
        <v>0.5</v>
      </c>
      <c r="I679" t="s">
        <v>156</v>
      </c>
      <c r="J679" t="s">
        <v>203</v>
      </c>
      <c r="K679" t="s">
        <v>124</v>
      </c>
      <c r="L679" t="s">
        <v>141</v>
      </c>
      <c r="M679" t="s">
        <v>113</v>
      </c>
      <c r="N679">
        <v>18</v>
      </c>
      <c r="O679" t="s">
        <v>126</v>
      </c>
      <c r="P679">
        <v>10</v>
      </c>
      <c r="Q679" t="s">
        <v>115</v>
      </c>
      <c r="R679" t="s">
        <v>168</v>
      </c>
      <c r="S679" t="s">
        <v>136</v>
      </c>
    </row>
    <row r="680" spans="1:19" x14ac:dyDescent="0.35">
      <c r="A680" t="s">
        <v>890</v>
      </c>
      <c r="B680" t="s">
        <v>119</v>
      </c>
      <c r="C680" t="s">
        <v>120</v>
      </c>
      <c r="D680">
        <v>6.8</v>
      </c>
      <c r="E680">
        <v>20</v>
      </c>
      <c r="F680" t="s">
        <v>60</v>
      </c>
      <c r="G680">
        <v>9</v>
      </c>
      <c r="H680">
        <v>0.7</v>
      </c>
      <c r="I680" t="s">
        <v>246</v>
      </c>
      <c r="J680" t="s">
        <v>247</v>
      </c>
      <c r="K680" t="s">
        <v>123</v>
      </c>
      <c r="L680" t="s">
        <v>124</v>
      </c>
      <c r="M680" t="s">
        <v>113</v>
      </c>
      <c r="N680">
        <v>22</v>
      </c>
      <c r="O680" t="s">
        <v>201</v>
      </c>
      <c r="P680">
        <v>15</v>
      </c>
      <c r="Q680" t="s">
        <v>115</v>
      </c>
      <c r="R680" t="s">
        <v>116</v>
      </c>
      <c r="S680" t="s">
        <v>179</v>
      </c>
    </row>
    <row r="681" spans="1:19" x14ac:dyDescent="0.35">
      <c r="A681" t="s">
        <v>891</v>
      </c>
      <c r="B681" t="s">
        <v>129</v>
      </c>
      <c r="C681" t="s">
        <v>108</v>
      </c>
      <c r="D681">
        <v>46.6</v>
      </c>
      <c r="E681">
        <v>22</v>
      </c>
      <c r="F681" t="s">
        <v>63</v>
      </c>
      <c r="G681">
        <v>6</v>
      </c>
      <c r="H681">
        <v>0.6</v>
      </c>
      <c r="I681" t="s">
        <v>121</v>
      </c>
      <c r="J681" t="s">
        <v>255</v>
      </c>
      <c r="K681" t="s">
        <v>133</v>
      </c>
      <c r="L681" t="s">
        <v>164</v>
      </c>
      <c r="M681" t="s">
        <v>113</v>
      </c>
      <c r="N681">
        <v>27</v>
      </c>
      <c r="O681" t="s">
        <v>114</v>
      </c>
      <c r="P681">
        <v>12</v>
      </c>
      <c r="Q681" t="s">
        <v>115</v>
      </c>
      <c r="R681" t="s">
        <v>116</v>
      </c>
      <c r="S681" t="s">
        <v>169</v>
      </c>
    </row>
    <row r="682" spans="1:19" x14ac:dyDescent="0.35">
      <c r="A682" t="s">
        <v>892</v>
      </c>
      <c r="B682" t="s">
        <v>138</v>
      </c>
      <c r="C682" t="s">
        <v>166</v>
      </c>
      <c r="D682">
        <v>100</v>
      </c>
      <c r="E682">
        <v>37</v>
      </c>
      <c r="F682" t="s">
        <v>58</v>
      </c>
      <c r="G682">
        <v>9</v>
      </c>
      <c r="H682">
        <v>0.5</v>
      </c>
      <c r="I682" t="s">
        <v>109</v>
      </c>
      <c r="J682" t="s">
        <v>110</v>
      </c>
      <c r="K682" t="s">
        <v>111</v>
      </c>
      <c r="L682" t="s">
        <v>146</v>
      </c>
      <c r="M682" t="s">
        <v>113</v>
      </c>
      <c r="N682">
        <v>27</v>
      </c>
      <c r="O682" t="s">
        <v>126</v>
      </c>
      <c r="P682">
        <v>14</v>
      </c>
      <c r="Q682" t="s">
        <v>115</v>
      </c>
      <c r="R682" t="s">
        <v>168</v>
      </c>
      <c r="S682" t="s">
        <v>117</v>
      </c>
    </row>
    <row r="683" spans="1:19" x14ac:dyDescent="0.35">
      <c r="A683" t="s">
        <v>893</v>
      </c>
      <c r="B683" t="s">
        <v>149</v>
      </c>
      <c r="C683" t="s">
        <v>120</v>
      </c>
      <c r="D683">
        <v>5.2</v>
      </c>
      <c r="E683">
        <v>17</v>
      </c>
      <c r="F683" t="s">
        <v>63</v>
      </c>
      <c r="G683">
        <v>4</v>
      </c>
      <c r="H683">
        <v>0.4</v>
      </c>
      <c r="I683" t="s">
        <v>205</v>
      </c>
      <c r="J683" t="s">
        <v>236</v>
      </c>
      <c r="K683" t="s">
        <v>211</v>
      </c>
      <c r="L683" t="s">
        <v>123</v>
      </c>
      <c r="M683" t="s">
        <v>113</v>
      </c>
      <c r="N683">
        <v>23</v>
      </c>
      <c r="O683" t="s">
        <v>126</v>
      </c>
      <c r="P683">
        <v>11</v>
      </c>
      <c r="Q683" t="s">
        <v>135</v>
      </c>
      <c r="R683" t="s">
        <v>168</v>
      </c>
      <c r="S683" t="s">
        <v>117</v>
      </c>
    </row>
    <row r="684" spans="1:19" x14ac:dyDescent="0.35">
      <c r="A684" t="s">
        <v>894</v>
      </c>
      <c r="B684" t="s">
        <v>184</v>
      </c>
      <c r="C684" t="s">
        <v>120</v>
      </c>
      <c r="D684">
        <v>9.6999999999999993</v>
      </c>
      <c r="E684">
        <v>30</v>
      </c>
      <c r="F684" t="s">
        <v>63</v>
      </c>
      <c r="G684">
        <v>6</v>
      </c>
      <c r="H684">
        <v>0.8</v>
      </c>
      <c r="I684" t="s">
        <v>173</v>
      </c>
      <c r="J684" t="s">
        <v>174</v>
      </c>
      <c r="K684" t="s">
        <v>187</v>
      </c>
      <c r="L684" t="s">
        <v>192</v>
      </c>
      <c r="M684" t="s">
        <v>113</v>
      </c>
      <c r="N684">
        <v>23</v>
      </c>
      <c r="O684" t="s">
        <v>126</v>
      </c>
      <c r="P684">
        <v>15</v>
      </c>
      <c r="Q684" t="s">
        <v>115</v>
      </c>
      <c r="R684" t="s">
        <v>116</v>
      </c>
      <c r="S684" t="s">
        <v>193</v>
      </c>
    </row>
    <row r="685" spans="1:19" x14ac:dyDescent="0.35">
      <c r="A685" t="s">
        <v>895</v>
      </c>
      <c r="B685" t="s">
        <v>218</v>
      </c>
      <c r="C685" t="s">
        <v>120</v>
      </c>
      <c r="D685">
        <v>6.7</v>
      </c>
      <c r="E685">
        <v>27</v>
      </c>
      <c r="F685" t="s">
        <v>58</v>
      </c>
      <c r="G685">
        <v>8</v>
      </c>
      <c r="H685">
        <v>0.7</v>
      </c>
      <c r="I685" t="s">
        <v>144</v>
      </c>
      <c r="J685" t="s">
        <v>145</v>
      </c>
      <c r="K685" t="s">
        <v>141</v>
      </c>
      <c r="L685" t="s">
        <v>277</v>
      </c>
      <c r="M685" t="s">
        <v>159</v>
      </c>
      <c r="N685">
        <v>268</v>
      </c>
      <c r="O685" t="s">
        <v>126</v>
      </c>
      <c r="P685">
        <v>1</v>
      </c>
      <c r="Q685" t="s">
        <v>135</v>
      </c>
      <c r="R685" t="s">
        <v>153</v>
      </c>
      <c r="S685" t="s">
        <v>179</v>
      </c>
    </row>
    <row r="686" spans="1:19" x14ac:dyDescent="0.35">
      <c r="A686" t="s">
        <v>896</v>
      </c>
      <c r="B686" t="s">
        <v>155</v>
      </c>
      <c r="C686" t="s">
        <v>108</v>
      </c>
      <c r="D686">
        <v>35.299999999999997</v>
      </c>
      <c r="E686">
        <v>17</v>
      </c>
      <c r="F686" t="s">
        <v>66</v>
      </c>
      <c r="G686">
        <v>5</v>
      </c>
      <c r="H686">
        <v>1</v>
      </c>
      <c r="I686" t="s">
        <v>205</v>
      </c>
      <c r="J686" t="s">
        <v>206</v>
      </c>
      <c r="K686" t="s">
        <v>112</v>
      </c>
      <c r="L686" t="s">
        <v>158</v>
      </c>
      <c r="M686" t="s">
        <v>134</v>
      </c>
      <c r="N686">
        <v>77</v>
      </c>
      <c r="O686" t="s">
        <v>126</v>
      </c>
      <c r="P686">
        <v>5</v>
      </c>
      <c r="Q686" t="s">
        <v>115</v>
      </c>
      <c r="R686" t="s">
        <v>153</v>
      </c>
      <c r="S686" t="s">
        <v>193</v>
      </c>
    </row>
    <row r="687" spans="1:19" x14ac:dyDescent="0.35">
      <c r="A687" t="s">
        <v>897</v>
      </c>
      <c r="B687" t="s">
        <v>176</v>
      </c>
      <c r="C687" t="s">
        <v>120</v>
      </c>
      <c r="D687">
        <v>2</v>
      </c>
      <c r="E687">
        <v>6</v>
      </c>
      <c r="F687" t="s">
        <v>63</v>
      </c>
      <c r="G687">
        <v>5</v>
      </c>
      <c r="H687">
        <v>1.4</v>
      </c>
      <c r="I687" t="s">
        <v>173</v>
      </c>
      <c r="J687" t="s">
        <v>174</v>
      </c>
      <c r="K687" t="s">
        <v>124</v>
      </c>
      <c r="L687" t="s">
        <v>178</v>
      </c>
      <c r="M687" t="s">
        <v>159</v>
      </c>
      <c r="N687">
        <v>340</v>
      </c>
      <c r="O687" t="s">
        <v>126</v>
      </c>
      <c r="P687">
        <v>2</v>
      </c>
      <c r="Q687" t="s">
        <v>115</v>
      </c>
      <c r="R687" t="s">
        <v>168</v>
      </c>
      <c r="S687" t="s">
        <v>169</v>
      </c>
    </row>
    <row r="688" spans="1:19" x14ac:dyDescent="0.35">
      <c r="A688" t="s">
        <v>898</v>
      </c>
      <c r="B688" t="s">
        <v>138</v>
      </c>
      <c r="C688" t="s">
        <v>108</v>
      </c>
      <c r="D688">
        <v>39.200000000000003</v>
      </c>
      <c r="E688">
        <v>19</v>
      </c>
      <c r="F688" t="s">
        <v>66</v>
      </c>
      <c r="G688">
        <v>2</v>
      </c>
      <c r="H688">
        <v>0.3</v>
      </c>
      <c r="I688" t="s">
        <v>205</v>
      </c>
      <c r="J688" t="s">
        <v>236</v>
      </c>
      <c r="K688" t="s">
        <v>141</v>
      </c>
      <c r="L688" t="s">
        <v>146</v>
      </c>
      <c r="M688" t="s">
        <v>159</v>
      </c>
      <c r="N688">
        <v>183</v>
      </c>
      <c r="O688" t="s">
        <v>126</v>
      </c>
      <c r="P688">
        <v>1</v>
      </c>
      <c r="Q688" t="s">
        <v>115</v>
      </c>
      <c r="R688" t="s">
        <v>153</v>
      </c>
      <c r="S688" t="s">
        <v>179</v>
      </c>
    </row>
    <row r="689" spans="1:19" x14ac:dyDescent="0.35">
      <c r="A689" t="s">
        <v>899</v>
      </c>
      <c r="B689" t="s">
        <v>176</v>
      </c>
      <c r="C689" t="s">
        <v>120</v>
      </c>
      <c r="D689">
        <v>9</v>
      </c>
      <c r="E689">
        <v>23</v>
      </c>
      <c r="F689" t="s">
        <v>66</v>
      </c>
      <c r="G689">
        <v>12</v>
      </c>
      <c r="H689">
        <v>1</v>
      </c>
      <c r="I689" t="s">
        <v>130</v>
      </c>
      <c r="J689" t="s">
        <v>258</v>
      </c>
      <c r="K689" t="s">
        <v>228</v>
      </c>
      <c r="L689" t="s">
        <v>178</v>
      </c>
      <c r="M689" t="s">
        <v>134</v>
      </c>
      <c r="N689">
        <v>75</v>
      </c>
      <c r="O689" t="s">
        <v>114</v>
      </c>
      <c r="P689">
        <v>4</v>
      </c>
      <c r="Q689" t="s">
        <v>115</v>
      </c>
      <c r="R689" t="s">
        <v>153</v>
      </c>
      <c r="S689" t="s">
        <v>147</v>
      </c>
    </row>
    <row r="690" spans="1:19" x14ac:dyDescent="0.35">
      <c r="A690" t="s">
        <v>900</v>
      </c>
      <c r="B690" t="s">
        <v>218</v>
      </c>
      <c r="C690" t="s">
        <v>166</v>
      </c>
      <c r="D690">
        <v>80.3</v>
      </c>
      <c r="E690">
        <v>35</v>
      </c>
      <c r="F690" t="s">
        <v>65</v>
      </c>
      <c r="G690">
        <v>5</v>
      </c>
      <c r="H690">
        <v>1</v>
      </c>
      <c r="I690" t="s">
        <v>109</v>
      </c>
      <c r="J690" t="s">
        <v>181</v>
      </c>
      <c r="K690" t="s">
        <v>277</v>
      </c>
      <c r="L690" t="s">
        <v>141</v>
      </c>
      <c r="M690" t="s">
        <v>113</v>
      </c>
      <c r="N690">
        <v>19</v>
      </c>
      <c r="O690" t="s">
        <v>201</v>
      </c>
      <c r="P690">
        <v>10</v>
      </c>
      <c r="Q690" t="s">
        <v>135</v>
      </c>
      <c r="R690" t="s">
        <v>168</v>
      </c>
      <c r="S690" t="s">
        <v>193</v>
      </c>
    </row>
    <row r="691" spans="1:19" x14ac:dyDescent="0.35">
      <c r="A691" t="s">
        <v>901</v>
      </c>
      <c r="B691" t="s">
        <v>155</v>
      </c>
      <c r="C691" t="s">
        <v>108</v>
      </c>
      <c r="D691">
        <v>24.9</v>
      </c>
      <c r="E691">
        <v>37</v>
      </c>
      <c r="F691" t="s">
        <v>65</v>
      </c>
      <c r="G691">
        <v>6</v>
      </c>
      <c r="H691">
        <v>0.3</v>
      </c>
      <c r="I691" t="s">
        <v>185</v>
      </c>
      <c r="J691" t="s">
        <v>225</v>
      </c>
      <c r="K691" t="s">
        <v>112</v>
      </c>
      <c r="L691" t="s">
        <v>158</v>
      </c>
      <c r="M691" t="s">
        <v>113</v>
      </c>
      <c r="N691">
        <v>20</v>
      </c>
      <c r="O691" t="s">
        <v>126</v>
      </c>
      <c r="P691">
        <v>13</v>
      </c>
      <c r="Q691" t="s">
        <v>115</v>
      </c>
      <c r="R691" t="s">
        <v>116</v>
      </c>
      <c r="S691" t="s">
        <v>127</v>
      </c>
    </row>
    <row r="692" spans="1:19" x14ac:dyDescent="0.35">
      <c r="A692" t="s">
        <v>902</v>
      </c>
      <c r="B692" t="s">
        <v>149</v>
      </c>
      <c r="C692" t="s">
        <v>120</v>
      </c>
      <c r="D692">
        <v>3.1</v>
      </c>
      <c r="E692">
        <v>10</v>
      </c>
      <c r="F692" t="s">
        <v>66</v>
      </c>
      <c r="G692">
        <v>7</v>
      </c>
      <c r="H692">
        <v>0.4</v>
      </c>
      <c r="I692" t="s">
        <v>109</v>
      </c>
      <c r="J692" t="s">
        <v>110</v>
      </c>
      <c r="K692" t="s">
        <v>152</v>
      </c>
      <c r="L692" t="s">
        <v>211</v>
      </c>
      <c r="M692" t="s">
        <v>113</v>
      </c>
      <c r="N692">
        <v>8</v>
      </c>
      <c r="O692" t="s">
        <v>201</v>
      </c>
      <c r="P692">
        <v>13</v>
      </c>
      <c r="Q692" t="s">
        <v>115</v>
      </c>
      <c r="R692" t="s">
        <v>116</v>
      </c>
      <c r="S692" t="s">
        <v>127</v>
      </c>
    </row>
    <row r="693" spans="1:19" x14ac:dyDescent="0.35">
      <c r="A693" t="s">
        <v>903</v>
      </c>
      <c r="B693" t="s">
        <v>184</v>
      </c>
      <c r="C693" t="s">
        <v>120</v>
      </c>
      <c r="D693">
        <v>2.1</v>
      </c>
      <c r="E693">
        <v>23</v>
      </c>
      <c r="F693" t="s">
        <v>65</v>
      </c>
      <c r="G693">
        <v>8</v>
      </c>
      <c r="H693">
        <v>1.1000000000000001</v>
      </c>
      <c r="I693" t="s">
        <v>109</v>
      </c>
      <c r="J693" t="s">
        <v>181</v>
      </c>
      <c r="K693" t="s">
        <v>192</v>
      </c>
      <c r="L693" t="s">
        <v>124</v>
      </c>
      <c r="M693" t="s">
        <v>159</v>
      </c>
      <c r="N693">
        <v>347</v>
      </c>
      <c r="O693" t="s">
        <v>114</v>
      </c>
      <c r="P693">
        <v>1</v>
      </c>
      <c r="Q693" t="s">
        <v>115</v>
      </c>
      <c r="R693" t="s">
        <v>116</v>
      </c>
      <c r="S693" t="s">
        <v>179</v>
      </c>
    </row>
    <row r="694" spans="1:19" x14ac:dyDescent="0.35">
      <c r="A694" t="s">
        <v>904</v>
      </c>
      <c r="B694" t="s">
        <v>161</v>
      </c>
      <c r="C694" t="s">
        <v>120</v>
      </c>
      <c r="D694">
        <v>2.1</v>
      </c>
      <c r="E694">
        <v>15</v>
      </c>
      <c r="F694" t="s">
        <v>65</v>
      </c>
      <c r="G694">
        <v>9</v>
      </c>
      <c r="H694">
        <v>1.1000000000000001</v>
      </c>
      <c r="I694" t="s">
        <v>162</v>
      </c>
      <c r="J694" t="s">
        <v>163</v>
      </c>
      <c r="K694" t="s">
        <v>164</v>
      </c>
      <c r="L694" t="s">
        <v>133</v>
      </c>
      <c r="M694" t="s">
        <v>113</v>
      </c>
      <c r="N694">
        <v>7</v>
      </c>
      <c r="O694" t="s">
        <v>114</v>
      </c>
      <c r="P694">
        <v>14</v>
      </c>
      <c r="Q694" t="s">
        <v>115</v>
      </c>
      <c r="R694" t="s">
        <v>116</v>
      </c>
      <c r="S694" t="s">
        <v>179</v>
      </c>
    </row>
    <row r="695" spans="1:19" x14ac:dyDescent="0.35">
      <c r="A695" t="s">
        <v>905</v>
      </c>
      <c r="B695" t="s">
        <v>107</v>
      </c>
      <c r="C695" t="s">
        <v>120</v>
      </c>
      <c r="D695">
        <v>6.3</v>
      </c>
      <c r="E695">
        <v>22</v>
      </c>
      <c r="F695" t="s">
        <v>58</v>
      </c>
      <c r="G695">
        <v>5</v>
      </c>
      <c r="H695">
        <v>1.4</v>
      </c>
      <c r="I695" t="s">
        <v>173</v>
      </c>
      <c r="J695" t="s">
        <v>216</v>
      </c>
      <c r="K695" t="s">
        <v>111</v>
      </c>
      <c r="L695" t="s">
        <v>171</v>
      </c>
      <c r="M695" t="s">
        <v>113</v>
      </c>
      <c r="N695">
        <v>21</v>
      </c>
      <c r="O695" t="s">
        <v>126</v>
      </c>
      <c r="P695">
        <v>8</v>
      </c>
      <c r="Q695" t="s">
        <v>135</v>
      </c>
      <c r="R695" t="s">
        <v>116</v>
      </c>
      <c r="S695" t="s">
        <v>169</v>
      </c>
    </row>
    <row r="696" spans="1:19" x14ac:dyDescent="0.35">
      <c r="A696" t="s">
        <v>906</v>
      </c>
      <c r="B696" t="s">
        <v>218</v>
      </c>
      <c r="C696" t="s">
        <v>120</v>
      </c>
      <c r="D696">
        <v>3.7</v>
      </c>
      <c r="E696">
        <v>29</v>
      </c>
      <c r="F696" t="s">
        <v>56</v>
      </c>
      <c r="G696">
        <v>8</v>
      </c>
      <c r="H696">
        <v>0.7</v>
      </c>
      <c r="I696" t="s">
        <v>130</v>
      </c>
      <c r="J696" t="s">
        <v>208</v>
      </c>
      <c r="K696" t="s">
        <v>277</v>
      </c>
      <c r="L696" t="s">
        <v>141</v>
      </c>
      <c r="M696" t="s">
        <v>113</v>
      </c>
      <c r="N696">
        <v>27</v>
      </c>
      <c r="O696" t="s">
        <v>126</v>
      </c>
      <c r="P696">
        <v>14</v>
      </c>
      <c r="Q696" t="s">
        <v>115</v>
      </c>
      <c r="R696" t="s">
        <v>168</v>
      </c>
      <c r="S696" t="s">
        <v>169</v>
      </c>
    </row>
    <row r="697" spans="1:19" x14ac:dyDescent="0.35">
      <c r="A697" t="s">
        <v>907</v>
      </c>
      <c r="B697" t="s">
        <v>129</v>
      </c>
      <c r="C697" t="s">
        <v>120</v>
      </c>
      <c r="D697">
        <v>2.2999999999999998</v>
      </c>
      <c r="E697">
        <v>19</v>
      </c>
      <c r="F697" t="s">
        <v>58</v>
      </c>
      <c r="G697">
        <v>11</v>
      </c>
      <c r="H697">
        <v>0.8</v>
      </c>
      <c r="I697" t="s">
        <v>185</v>
      </c>
      <c r="J697" t="s">
        <v>186</v>
      </c>
      <c r="K697" t="s">
        <v>164</v>
      </c>
      <c r="L697" t="s">
        <v>133</v>
      </c>
      <c r="M697" t="s">
        <v>113</v>
      </c>
      <c r="N697">
        <v>27</v>
      </c>
      <c r="O697" t="s">
        <v>126</v>
      </c>
      <c r="P697">
        <v>9</v>
      </c>
      <c r="Q697" t="s">
        <v>135</v>
      </c>
      <c r="R697" t="s">
        <v>116</v>
      </c>
      <c r="S697" t="s">
        <v>147</v>
      </c>
    </row>
    <row r="698" spans="1:19" x14ac:dyDescent="0.35">
      <c r="A698" t="s">
        <v>908</v>
      </c>
      <c r="B698" t="s">
        <v>197</v>
      </c>
      <c r="C698" t="s">
        <v>108</v>
      </c>
      <c r="D698">
        <v>17.3</v>
      </c>
      <c r="E698">
        <v>37</v>
      </c>
      <c r="F698" t="s">
        <v>58</v>
      </c>
      <c r="G698">
        <v>2</v>
      </c>
      <c r="H698">
        <v>0.2</v>
      </c>
      <c r="I698" t="s">
        <v>205</v>
      </c>
      <c r="J698" t="s">
        <v>298</v>
      </c>
      <c r="K698" t="s">
        <v>178</v>
      </c>
      <c r="L698" t="s">
        <v>199</v>
      </c>
      <c r="M698" t="s">
        <v>134</v>
      </c>
      <c r="N698">
        <v>63</v>
      </c>
      <c r="O698" t="s">
        <v>126</v>
      </c>
      <c r="P698">
        <v>5</v>
      </c>
      <c r="Q698" t="s">
        <v>115</v>
      </c>
      <c r="R698" t="s">
        <v>168</v>
      </c>
      <c r="S698" t="s">
        <v>127</v>
      </c>
    </row>
    <row r="699" spans="1:19" x14ac:dyDescent="0.35">
      <c r="A699" t="s">
        <v>909</v>
      </c>
      <c r="B699" t="s">
        <v>189</v>
      </c>
      <c r="C699" t="s">
        <v>120</v>
      </c>
      <c r="D699">
        <v>9.6999999999999993</v>
      </c>
      <c r="E699">
        <v>25</v>
      </c>
      <c r="F699" t="s">
        <v>63</v>
      </c>
      <c r="G699">
        <v>4</v>
      </c>
      <c r="H699">
        <v>1.3</v>
      </c>
      <c r="I699" t="s">
        <v>185</v>
      </c>
      <c r="J699" t="s">
        <v>225</v>
      </c>
      <c r="K699" t="s">
        <v>190</v>
      </c>
      <c r="L699" t="s">
        <v>182</v>
      </c>
      <c r="M699" t="s">
        <v>113</v>
      </c>
      <c r="N699">
        <v>25</v>
      </c>
      <c r="O699" t="s">
        <v>201</v>
      </c>
      <c r="P699">
        <v>8</v>
      </c>
      <c r="Q699" t="s">
        <v>115</v>
      </c>
      <c r="R699" t="s">
        <v>168</v>
      </c>
      <c r="S699" t="s">
        <v>193</v>
      </c>
    </row>
    <row r="700" spans="1:19" x14ac:dyDescent="0.35">
      <c r="A700" t="s">
        <v>910</v>
      </c>
      <c r="B700" t="s">
        <v>119</v>
      </c>
      <c r="C700" t="s">
        <v>108</v>
      </c>
      <c r="D700">
        <v>16.399999999999999</v>
      </c>
      <c r="E700">
        <v>25</v>
      </c>
      <c r="F700" t="s">
        <v>66</v>
      </c>
      <c r="G700">
        <v>3</v>
      </c>
      <c r="H700">
        <v>0.7</v>
      </c>
      <c r="I700" t="s">
        <v>246</v>
      </c>
      <c r="J700" t="s">
        <v>250</v>
      </c>
      <c r="K700" t="s">
        <v>123</v>
      </c>
      <c r="L700" t="s">
        <v>124</v>
      </c>
      <c r="M700" t="s">
        <v>134</v>
      </c>
      <c r="N700">
        <v>66</v>
      </c>
      <c r="O700" t="s">
        <v>114</v>
      </c>
      <c r="P700">
        <v>6</v>
      </c>
      <c r="Q700" t="s">
        <v>214</v>
      </c>
      <c r="R700" t="s">
        <v>116</v>
      </c>
      <c r="S700" t="s">
        <v>193</v>
      </c>
    </row>
    <row r="701" spans="1:19" x14ac:dyDescent="0.35">
      <c r="A701" t="s">
        <v>911</v>
      </c>
      <c r="B701" t="s">
        <v>129</v>
      </c>
      <c r="C701" t="s">
        <v>108</v>
      </c>
      <c r="D701">
        <v>24.7</v>
      </c>
      <c r="E701">
        <v>23</v>
      </c>
      <c r="F701" t="s">
        <v>65</v>
      </c>
      <c r="G701">
        <v>2</v>
      </c>
      <c r="H701">
        <v>1.2</v>
      </c>
      <c r="I701" t="s">
        <v>121</v>
      </c>
      <c r="J701" t="s">
        <v>255</v>
      </c>
      <c r="K701" t="s">
        <v>133</v>
      </c>
      <c r="L701" t="s">
        <v>132</v>
      </c>
      <c r="M701" t="s">
        <v>113</v>
      </c>
      <c r="N701">
        <v>12</v>
      </c>
      <c r="O701" t="s">
        <v>126</v>
      </c>
      <c r="P701">
        <v>12</v>
      </c>
      <c r="Q701" t="s">
        <v>115</v>
      </c>
      <c r="R701" t="s">
        <v>153</v>
      </c>
      <c r="S701" t="s">
        <v>127</v>
      </c>
    </row>
    <row r="702" spans="1:19" x14ac:dyDescent="0.35">
      <c r="A702" t="s">
        <v>912</v>
      </c>
      <c r="B702" t="s">
        <v>155</v>
      </c>
      <c r="C702" t="s">
        <v>108</v>
      </c>
      <c r="D702">
        <v>23.6</v>
      </c>
      <c r="E702">
        <v>18</v>
      </c>
      <c r="F702" t="s">
        <v>58</v>
      </c>
      <c r="G702">
        <v>2</v>
      </c>
      <c r="H702">
        <v>1.1000000000000001</v>
      </c>
      <c r="I702" t="s">
        <v>205</v>
      </c>
      <c r="J702" t="s">
        <v>298</v>
      </c>
      <c r="K702" t="s">
        <v>195</v>
      </c>
      <c r="L702" t="s">
        <v>112</v>
      </c>
      <c r="M702" t="s">
        <v>113</v>
      </c>
      <c r="N702">
        <v>30</v>
      </c>
      <c r="O702" t="s">
        <v>126</v>
      </c>
      <c r="P702">
        <v>8</v>
      </c>
      <c r="Q702" t="s">
        <v>135</v>
      </c>
      <c r="R702" t="s">
        <v>153</v>
      </c>
      <c r="S702" t="s">
        <v>127</v>
      </c>
    </row>
    <row r="703" spans="1:19" x14ac:dyDescent="0.35">
      <c r="A703" t="s">
        <v>913</v>
      </c>
      <c r="B703" t="s">
        <v>107</v>
      </c>
      <c r="C703" t="s">
        <v>120</v>
      </c>
      <c r="D703">
        <v>3</v>
      </c>
      <c r="E703">
        <v>13</v>
      </c>
      <c r="F703" t="s">
        <v>60</v>
      </c>
      <c r="G703">
        <v>10</v>
      </c>
      <c r="H703">
        <v>0.3</v>
      </c>
      <c r="I703" t="s">
        <v>173</v>
      </c>
      <c r="J703" t="s">
        <v>216</v>
      </c>
      <c r="K703" t="s">
        <v>112</v>
      </c>
      <c r="L703" t="s">
        <v>171</v>
      </c>
      <c r="M703" t="s">
        <v>113</v>
      </c>
      <c r="N703">
        <v>26</v>
      </c>
      <c r="O703" t="s">
        <v>114</v>
      </c>
      <c r="P703">
        <v>13</v>
      </c>
      <c r="Q703" t="s">
        <v>115</v>
      </c>
      <c r="R703" t="s">
        <v>116</v>
      </c>
      <c r="S703" t="s">
        <v>127</v>
      </c>
    </row>
    <row r="704" spans="1:19" x14ac:dyDescent="0.35">
      <c r="A704" t="s">
        <v>914</v>
      </c>
      <c r="B704" t="s">
        <v>189</v>
      </c>
      <c r="C704" t="s">
        <v>108</v>
      </c>
      <c r="D704">
        <v>30.8</v>
      </c>
      <c r="E704">
        <v>26</v>
      </c>
      <c r="F704" t="s">
        <v>63</v>
      </c>
      <c r="G704">
        <v>4</v>
      </c>
      <c r="H704">
        <v>0.2</v>
      </c>
      <c r="I704" t="s">
        <v>162</v>
      </c>
      <c r="J704" t="s">
        <v>177</v>
      </c>
      <c r="K704" t="s">
        <v>182</v>
      </c>
      <c r="L704" t="s">
        <v>190</v>
      </c>
      <c r="M704" t="s">
        <v>134</v>
      </c>
      <c r="N704">
        <v>85</v>
      </c>
      <c r="O704" t="s">
        <v>126</v>
      </c>
      <c r="P704">
        <v>5</v>
      </c>
      <c r="Q704" t="s">
        <v>135</v>
      </c>
      <c r="R704" t="s">
        <v>168</v>
      </c>
      <c r="S704" t="s">
        <v>193</v>
      </c>
    </row>
    <row r="705" spans="1:19" x14ac:dyDescent="0.35">
      <c r="A705" t="s">
        <v>915</v>
      </c>
      <c r="B705" t="s">
        <v>155</v>
      </c>
      <c r="C705" t="s">
        <v>120</v>
      </c>
      <c r="D705">
        <v>5.8</v>
      </c>
      <c r="E705">
        <v>29</v>
      </c>
      <c r="F705" t="s">
        <v>60</v>
      </c>
      <c r="G705">
        <v>5</v>
      </c>
      <c r="H705">
        <v>1</v>
      </c>
      <c r="I705" t="s">
        <v>246</v>
      </c>
      <c r="J705" t="s">
        <v>264</v>
      </c>
      <c r="K705" t="s">
        <v>158</v>
      </c>
      <c r="L705" t="s">
        <v>195</v>
      </c>
      <c r="M705" t="s">
        <v>134</v>
      </c>
      <c r="N705">
        <v>89</v>
      </c>
      <c r="O705" t="s">
        <v>126</v>
      </c>
      <c r="P705">
        <v>5</v>
      </c>
      <c r="Q705" t="s">
        <v>214</v>
      </c>
      <c r="R705" t="s">
        <v>116</v>
      </c>
      <c r="S705" t="s">
        <v>142</v>
      </c>
    </row>
    <row r="706" spans="1:19" x14ac:dyDescent="0.35">
      <c r="A706" t="s">
        <v>916</v>
      </c>
      <c r="B706" t="s">
        <v>129</v>
      </c>
      <c r="C706" t="s">
        <v>108</v>
      </c>
      <c r="D706">
        <v>45.7</v>
      </c>
      <c r="E706">
        <v>43</v>
      </c>
      <c r="F706" t="s">
        <v>63</v>
      </c>
      <c r="G706">
        <v>6</v>
      </c>
      <c r="H706">
        <v>0.9</v>
      </c>
      <c r="I706" t="s">
        <v>139</v>
      </c>
      <c r="J706" t="s">
        <v>140</v>
      </c>
      <c r="K706" t="s">
        <v>132</v>
      </c>
      <c r="L706" t="s">
        <v>133</v>
      </c>
      <c r="M706" t="s">
        <v>159</v>
      </c>
      <c r="N706">
        <v>309</v>
      </c>
      <c r="O706" t="s">
        <v>126</v>
      </c>
      <c r="P706">
        <v>1</v>
      </c>
      <c r="Q706" t="s">
        <v>214</v>
      </c>
      <c r="R706" t="s">
        <v>116</v>
      </c>
      <c r="S706" t="s">
        <v>193</v>
      </c>
    </row>
    <row r="707" spans="1:19" x14ac:dyDescent="0.35">
      <c r="A707" t="s">
        <v>917</v>
      </c>
      <c r="B707" t="s">
        <v>107</v>
      </c>
      <c r="C707" t="s">
        <v>120</v>
      </c>
      <c r="D707">
        <v>3.5</v>
      </c>
      <c r="E707">
        <v>7</v>
      </c>
      <c r="F707" t="s">
        <v>60</v>
      </c>
      <c r="G707">
        <v>11</v>
      </c>
      <c r="H707">
        <v>0.9</v>
      </c>
      <c r="I707" t="s">
        <v>144</v>
      </c>
      <c r="J707" t="s">
        <v>269</v>
      </c>
      <c r="K707" t="s">
        <v>171</v>
      </c>
      <c r="L707" t="s">
        <v>112</v>
      </c>
      <c r="M707" t="s">
        <v>134</v>
      </c>
      <c r="N707">
        <v>95</v>
      </c>
      <c r="O707" t="s">
        <v>126</v>
      </c>
      <c r="P707">
        <v>6</v>
      </c>
      <c r="Q707" t="s">
        <v>214</v>
      </c>
      <c r="R707" t="s">
        <v>65</v>
      </c>
      <c r="S707" t="s">
        <v>193</v>
      </c>
    </row>
    <row r="708" spans="1:19" x14ac:dyDescent="0.35">
      <c r="A708" t="s">
        <v>918</v>
      </c>
      <c r="B708" t="s">
        <v>176</v>
      </c>
      <c r="C708" t="s">
        <v>120</v>
      </c>
      <c r="D708">
        <v>8.6999999999999993</v>
      </c>
      <c r="E708">
        <v>22</v>
      </c>
      <c r="F708" t="s">
        <v>65</v>
      </c>
      <c r="G708">
        <v>9</v>
      </c>
      <c r="H708">
        <v>0.7</v>
      </c>
      <c r="I708" t="s">
        <v>150</v>
      </c>
      <c r="J708" t="s">
        <v>244</v>
      </c>
      <c r="K708" t="s">
        <v>124</v>
      </c>
      <c r="L708" t="s">
        <v>228</v>
      </c>
      <c r="M708" t="s">
        <v>113</v>
      </c>
      <c r="N708">
        <v>19</v>
      </c>
      <c r="O708" t="s">
        <v>126</v>
      </c>
      <c r="P708">
        <v>14</v>
      </c>
      <c r="Q708" t="s">
        <v>115</v>
      </c>
      <c r="R708" t="s">
        <v>116</v>
      </c>
      <c r="S708" t="s">
        <v>147</v>
      </c>
    </row>
    <row r="709" spans="1:19" x14ac:dyDescent="0.35">
      <c r="A709" t="s">
        <v>919</v>
      </c>
      <c r="B709" t="s">
        <v>149</v>
      </c>
      <c r="C709" t="s">
        <v>120</v>
      </c>
      <c r="D709">
        <v>1.7</v>
      </c>
      <c r="E709">
        <v>9</v>
      </c>
      <c r="F709" t="s">
        <v>65</v>
      </c>
      <c r="G709">
        <v>11</v>
      </c>
      <c r="H709">
        <v>1.2</v>
      </c>
      <c r="I709" t="s">
        <v>150</v>
      </c>
      <c r="J709" t="s">
        <v>151</v>
      </c>
      <c r="K709" t="s">
        <v>152</v>
      </c>
      <c r="L709" t="s">
        <v>123</v>
      </c>
      <c r="M709" t="s">
        <v>159</v>
      </c>
      <c r="N709">
        <v>209</v>
      </c>
      <c r="O709" t="s">
        <v>126</v>
      </c>
      <c r="P709">
        <v>2</v>
      </c>
      <c r="Q709" t="s">
        <v>135</v>
      </c>
      <c r="R709" t="s">
        <v>65</v>
      </c>
      <c r="S709" t="s">
        <v>179</v>
      </c>
    </row>
    <row r="710" spans="1:19" x14ac:dyDescent="0.35">
      <c r="A710" t="s">
        <v>920</v>
      </c>
      <c r="B710" t="s">
        <v>119</v>
      </c>
      <c r="C710" t="s">
        <v>120</v>
      </c>
      <c r="D710">
        <v>7.3</v>
      </c>
      <c r="E710">
        <v>29</v>
      </c>
      <c r="F710" t="s">
        <v>60</v>
      </c>
      <c r="G710">
        <v>10</v>
      </c>
      <c r="H710">
        <v>0.3</v>
      </c>
      <c r="I710" t="s">
        <v>156</v>
      </c>
      <c r="J710" t="s">
        <v>167</v>
      </c>
      <c r="K710" t="s">
        <v>123</v>
      </c>
      <c r="L710" t="s">
        <v>124</v>
      </c>
      <c r="M710" t="s">
        <v>113</v>
      </c>
      <c r="N710">
        <v>7</v>
      </c>
      <c r="O710" t="s">
        <v>126</v>
      </c>
      <c r="P710">
        <v>9</v>
      </c>
      <c r="Q710" t="s">
        <v>115</v>
      </c>
      <c r="R710" t="s">
        <v>153</v>
      </c>
      <c r="S710" t="s">
        <v>193</v>
      </c>
    </row>
    <row r="711" spans="1:19" x14ac:dyDescent="0.35">
      <c r="A711" t="s">
        <v>921</v>
      </c>
      <c r="B711" t="s">
        <v>155</v>
      </c>
      <c r="C711" t="s">
        <v>120</v>
      </c>
      <c r="D711">
        <v>8.3000000000000007</v>
      </c>
      <c r="E711">
        <v>8</v>
      </c>
      <c r="F711" t="s">
        <v>63</v>
      </c>
      <c r="G711">
        <v>11</v>
      </c>
      <c r="H711">
        <v>0.2</v>
      </c>
      <c r="I711" t="s">
        <v>173</v>
      </c>
      <c r="J711" t="s">
        <v>216</v>
      </c>
      <c r="K711" t="s">
        <v>195</v>
      </c>
      <c r="L711" t="s">
        <v>158</v>
      </c>
      <c r="M711" t="s">
        <v>134</v>
      </c>
      <c r="N711">
        <v>71</v>
      </c>
      <c r="O711" t="s">
        <v>201</v>
      </c>
      <c r="P711">
        <v>6</v>
      </c>
      <c r="Q711" t="s">
        <v>115</v>
      </c>
      <c r="R711" t="s">
        <v>116</v>
      </c>
      <c r="S711" t="s">
        <v>193</v>
      </c>
    </row>
    <row r="712" spans="1:19" x14ac:dyDescent="0.35">
      <c r="A712" t="s">
        <v>922</v>
      </c>
      <c r="B712" t="s">
        <v>107</v>
      </c>
      <c r="C712" t="s">
        <v>108</v>
      </c>
      <c r="D712">
        <v>13.6</v>
      </c>
      <c r="E712">
        <v>30</v>
      </c>
      <c r="F712" t="s">
        <v>63</v>
      </c>
      <c r="G712">
        <v>3</v>
      </c>
      <c r="H712">
        <v>1.3</v>
      </c>
      <c r="I712" t="s">
        <v>109</v>
      </c>
      <c r="J712" t="s">
        <v>110</v>
      </c>
      <c r="K712" t="s">
        <v>112</v>
      </c>
      <c r="L712" t="s">
        <v>111</v>
      </c>
      <c r="M712" t="s">
        <v>113</v>
      </c>
      <c r="N712">
        <v>6</v>
      </c>
      <c r="O712" t="s">
        <v>126</v>
      </c>
      <c r="P712">
        <v>11</v>
      </c>
      <c r="Q712" t="s">
        <v>115</v>
      </c>
      <c r="R712" t="s">
        <v>168</v>
      </c>
      <c r="S712" t="s">
        <v>147</v>
      </c>
    </row>
    <row r="713" spans="1:19" x14ac:dyDescent="0.35">
      <c r="A713" t="s">
        <v>923</v>
      </c>
      <c r="B713" t="s">
        <v>176</v>
      </c>
      <c r="C713" t="s">
        <v>120</v>
      </c>
      <c r="D713">
        <v>2.2000000000000002</v>
      </c>
      <c r="E713">
        <v>18</v>
      </c>
      <c r="F713" t="s">
        <v>66</v>
      </c>
      <c r="G713">
        <v>4</v>
      </c>
      <c r="H713">
        <v>0.2</v>
      </c>
      <c r="I713" t="s">
        <v>246</v>
      </c>
      <c r="J713" t="s">
        <v>250</v>
      </c>
      <c r="K713" t="s">
        <v>124</v>
      </c>
      <c r="L713" t="s">
        <v>178</v>
      </c>
      <c r="M713" t="s">
        <v>113</v>
      </c>
      <c r="N713">
        <v>25</v>
      </c>
      <c r="O713" t="s">
        <v>126</v>
      </c>
      <c r="P713">
        <v>14</v>
      </c>
      <c r="Q713" t="s">
        <v>135</v>
      </c>
      <c r="R713" t="s">
        <v>168</v>
      </c>
      <c r="S713" t="s">
        <v>142</v>
      </c>
    </row>
    <row r="714" spans="1:19" x14ac:dyDescent="0.35">
      <c r="A714" t="s">
        <v>924</v>
      </c>
      <c r="B714" t="s">
        <v>129</v>
      </c>
      <c r="C714" t="s">
        <v>120</v>
      </c>
      <c r="D714">
        <v>4.7</v>
      </c>
      <c r="E714">
        <v>22</v>
      </c>
      <c r="F714" t="s">
        <v>60</v>
      </c>
      <c r="G714">
        <v>3</v>
      </c>
      <c r="H714">
        <v>0.8</v>
      </c>
      <c r="I714" t="s">
        <v>121</v>
      </c>
      <c r="J714" t="s">
        <v>122</v>
      </c>
      <c r="K714" t="s">
        <v>132</v>
      </c>
      <c r="L714" t="s">
        <v>164</v>
      </c>
      <c r="M714" t="s">
        <v>134</v>
      </c>
      <c r="N714">
        <v>78</v>
      </c>
      <c r="O714" t="s">
        <v>114</v>
      </c>
      <c r="P714">
        <v>6</v>
      </c>
      <c r="Q714" t="s">
        <v>115</v>
      </c>
      <c r="R714" t="s">
        <v>116</v>
      </c>
      <c r="S714" t="s">
        <v>136</v>
      </c>
    </row>
    <row r="715" spans="1:19" x14ac:dyDescent="0.35">
      <c r="A715" t="s">
        <v>925</v>
      </c>
      <c r="B715" t="s">
        <v>107</v>
      </c>
      <c r="C715" t="s">
        <v>120</v>
      </c>
      <c r="D715">
        <v>5.8</v>
      </c>
      <c r="E715">
        <v>26</v>
      </c>
      <c r="F715" t="s">
        <v>65</v>
      </c>
      <c r="G715">
        <v>2</v>
      </c>
      <c r="H715">
        <v>1.1000000000000001</v>
      </c>
      <c r="I715" t="s">
        <v>130</v>
      </c>
      <c r="J715" t="s">
        <v>131</v>
      </c>
      <c r="K715" t="s">
        <v>112</v>
      </c>
      <c r="L715" t="s">
        <v>171</v>
      </c>
      <c r="M715" t="s">
        <v>159</v>
      </c>
      <c r="N715">
        <v>283</v>
      </c>
      <c r="O715" t="s">
        <v>126</v>
      </c>
      <c r="P715">
        <v>2</v>
      </c>
      <c r="Q715" t="s">
        <v>115</v>
      </c>
      <c r="R715" t="s">
        <v>116</v>
      </c>
      <c r="S715" t="s">
        <v>117</v>
      </c>
    </row>
    <row r="716" spans="1:19" x14ac:dyDescent="0.35">
      <c r="A716" t="s">
        <v>926</v>
      </c>
      <c r="B716" t="s">
        <v>138</v>
      </c>
      <c r="C716" t="s">
        <v>120</v>
      </c>
      <c r="D716">
        <v>6.7</v>
      </c>
      <c r="E716">
        <v>11</v>
      </c>
      <c r="F716" t="s">
        <v>65</v>
      </c>
      <c r="G716">
        <v>6</v>
      </c>
      <c r="H716">
        <v>0.7</v>
      </c>
      <c r="I716" t="s">
        <v>246</v>
      </c>
      <c r="J716" t="s">
        <v>247</v>
      </c>
      <c r="K716" t="s">
        <v>111</v>
      </c>
      <c r="L716" t="s">
        <v>141</v>
      </c>
      <c r="M716" t="s">
        <v>159</v>
      </c>
      <c r="N716">
        <v>257</v>
      </c>
      <c r="O716" t="s">
        <v>126</v>
      </c>
      <c r="P716">
        <v>1</v>
      </c>
      <c r="Q716" t="s">
        <v>115</v>
      </c>
      <c r="R716" t="s">
        <v>153</v>
      </c>
      <c r="S716" t="s">
        <v>127</v>
      </c>
    </row>
    <row r="717" spans="1:19" x14ac:dyDescent="0.35">
      <c r="A717" t="s">
        <v>927</v>
      </c>
      <c r="B717" t="s">
        <v>138</v>
      </c>
      <c r="C717" t="s">
        <v>108</v>
      </c>
      <c r="D717">
        <v>39.6</v>
      </c>
      <c r="E717">
        <v>22</v>
      </c>
      <c r="F717" t="s">
        <v>65</v>
      </c>
      <c r="G717">
        <v>2</v>
      </c>
      <c r="H717">
        <v>0.9</v>
      </c>
      <c r="I717" t="s">
        <v>246</v>
      </c>
      <c r="J717" t="s">
        <v>250</v>
      </c>
      <c r="K717" t="s">
        <v>141</v>
      </c>
      <c r="L717" t="s">
        <v>111</v>
      </c>
      <c r="M717" t="s">
        <v>134</v>
      </c>
      <c r="N717">
        <v>62</v>
      </c>
      <c r="O717" t="s">
        <v>114</v>
      </c>
      <c r="P717">
        <v>3</v>
      </c>
      <c r="Q717" t="s">
        <v>115</v>
      </c>
      <c r="R717" t="s">
        <v>168</v>
      </c>
      <c r="S717" t="s">
        <v>136</v>
      </c>
    </row>
    <row r="718" spans="1:19" x14ac:dyDescent="0.35">
      <c r="A718" t="s">
        <v>928</v>
      </c>
      <c r="B718" t="s">
        <v>176</v>
      </c>
      <c r="C718" t="s">
        <v>120</v>
      </c>
      <c r="D718">
        <v>4.3</v>
      </c>
      <c r="E718">
        <v>14</v>
      </c>
      <c r="F718" t="s">
        <v>60</v>
      </c>
      <c r="G718">
        <v>4</v>
      </c>
      <c r="H718">
        <v>1</v>
      </c>
      <c r="I718" t="s">
        <v>162</v>
      </c>
      <c r="J718" t="s">
        <v>177</v>
      </c>
      <c r="K718" t="s">
        <v>124</v>
      </c>
      <c r="L718" t="s">
        <v>228</v>
      </c>
      <c r="M718" t="s">
        <v>125</v>
      </c>
      <c r="N718">
        <v>410</v>
      </c>
      <c r="O718" t="s">
        <v>126</v>
      </c>
      <c r="P718">
        <v>1</v>
      </c>
      <c r="Q718" t="s">
        <v>115</v>
      </c>
      <c r="R718" t="s">
        <v>116</v>
      </c>
      <c r="S718" t="s">
        <v>136</v>
      </c>
    </row>
    <row r="719" spans="1:19" x14ac:dyDescent="0.35">
      <c r="A719" t="s">
        <v>929</v>
      </c>
      <c r="B719" t="s">
        <v>161</v>
      </c>
      <c r="C719" t="s">
        <v>120</v>
      </c>
      <c r="D719">
        <v>7.8</v>
      </c>
      <c r="E719">
        <v>13</v>
      </c>
      <c r="F719" t="s">
        <v>58</v>
      </c>
      <c r="G719">
        <v>8</v>
      </c>
      <c r="H719">
        <v>0.5</v>
      </c>
      <c r="I719" t="s">
        <v>144</v>
      </c>
      <c r="J719" t="s">
        <v>145</v>
      </c>
      <c r="K719" t="s">
        <v>133</v>
      </c>
      <c r="L719" t="s">
        <v>164</v>
      </c>
      <c r="M719" t="s">
        <v>159</v>
      </c>
      <c r="N719">
        <v>196</v>
      </c>
      <c r="O719" t="s">
        <v>126</v>
      </c>
      <c r="P719">
        <v>2</v>
      </c>
      <c r="Q719" t="s">
        <v>115</v>
      </c>
      <c r="R719" t="s">
        <v>153</v>
      </c>
      <c r="S719" t="s">
        <v>193</v>
      </c>
    </row>
    <row r="720" spans="1:19" x14ac:dyDescent="0.35">
      <c r="A720" t="s">
        <v>930</v>
      </c>
      <c r="B720" t="s">
        <v>129</v>
      </c>
      <c r="C720" t="s">
        <v>120</v>
      </c>
      <c r="D720">
        <v>10</v>
      </c>
      <c r="E720">
        <v>26</v>
      </c>
      <c r="F720" t="s">
        <v>60</v>
      </c>
      <c r="G720">
        <v>2</v>
      </c>
      <c r="H720">
        <v>0.6</v>
      </c>
      <c r="I720" t="s">
        <v>109</v>
      </c>
      <c r="J720" t="s">
        <v>181</v>
      </c>
      <c r="K720" t="s">
        <v>164</v>
      </c>
      <c r="L720" t="s">
        <v>132</v>
      </c>
      <c r="M720" t="s">
        <v>134</v>
      </c>
      <c r="N720">
        <v>76</v>
      </c>
      <c r="O720" t="s">
        <v>126</v>
      </c>
      <c r="P720">
        <v>4</v>
      </c>
      <c r="Q720" t="s">
        <v>115</v>
      </c>
      <c r="R720" t="s">
        <v>116</v>
      </c>
      <c r="S720" t="s">
        <v>147</v>
      </c>
    </row>
    <row r="721" spans="1:19" x14ac:dyDescent="0.35">
      <c r="A721" t="s">
        <v>931</v>
      </c>
      <c r="B721" t="s">
        <v>184</v>
      </c>
      <c r="C721" t="s">
        <v>120</v>
      </c>
      <c r="D721">
        <v>9.8000000000000007</v>
      </c>
      <c r="E721">
        <v>12</v>
      </c>
      <c r="F721" t="s">
        <v>66</v>
      </c>
      <c r="G721">
        <v>5</v>
      </c>
      <c r="H721">
        <v>1</v>
      </c>
      <c r="I721" t="s">
        <v>130</v>
      </c>
      <c r="J721" t="s">
        <v>208</v>
      </c>
      <c r="K721" t="s">
        <v>124</v>
      </c>
      <c r="L721" t="s">
        <v>192</v>
      </c>
      <c r="M721" t="s">
        <v>134</v>
      </c>
      <c r="N721">
        <v>73</v>
      </c>
      <c r="O721" t="s">
        <v>114</v>
      </c>
      <c r="P721">
        <v>6</v>
      </c>
      <c r="Q721" t="s">
        <v>115</v>
      </c>
      <c r="R721" t="s">
        <v>168</v>
      </c>
      <c r="S721" t="s">
        <v>142</v>
      </c>
    </row>
    <row r="722" spans="1:19" x14ac:dyDescent="0.35">
      <c r="A722" t="s">
        <v>932</v>
      </c>
      <c r="B722" t="s">
        <v>176</v>
      </c>
      <c r="C722" t="s">
        <v>108</v>
      </c>
      <c r="D722">
        <v>15.2</v>
      </c>
      <c r="E722">
        <v>16</v>
      </c>
      <c r="F722" t="s">
        <v>63</v>
      </c>
      <c r="G722">
        <v>11</v>
      </c>
      <c r="H722">
        <v>0.8</v>
      </c>
      <c r="I722" t="s">
        <v>205</v>
      </c>
      <c r="J722" t="s">
        <v>206</v>
      </c>
      <c r="K722" t="s">
        <v>124</v>
      </c>
      <c r="L722" t="s">
        <v>178</v>
      </c>
      <c r="M722" t="s">
        <v>134</v>
      </c>
      <c r="N722">
        <v>84</v>
      </c>
      <c r="O722" t="s">
        <v>201</v>
      </c>
      <c r="P722">
        <v>5</v>
      </c>
      <c r="Q722" t="s">
        <v>135</v>
      </c>
      <c r="R722" t="s">
        <v>116</v>
      </c>
      <c r="S722" t="s">
        <v>142</v>
      </c>
    </row>
    <row r="723" spans="1:19" x14ac:dyDescent="0.35">
      <c r="A723" t="s">
        <v>933</v>
      </c>
      <c r="B723" t="s">
        <v>155</v>
      </c>
      <c r="C723" t="s">
        <v>120</v>
      </c>
      <c r="D723">
        <v>3</v>
      </c>
      <c r="E723">
        <v>9</v>
      </c>
      <c r="F723" t="s">
        <v>65</v>
      </c>
      <c r="G723">
        <v>2</v>
      </c>
      <c r="H723">
        <v>0.8</v>
      </c>
      <c r="I723" t="s">
        <v>246</v>
      </c>
      <c r="J723" t="s">
        <v>247</v>
      </c>
      <c r="K723" t="s">
        <v>158</v>
      </c>
      <c r="L723" t="s">
        <v>112</v>
      </c>
      <c r="M723" t="s">
        <v>134</v>
      </c>
      <c r="N723">
        <v>93</v>
      </c>
      <c r="O723" t="s">
        <v>126</v>
      </c>
      <c r="P723">
        <v>5</v>
      </c>
      <c r="Q723" t="s">
        <v>115</v>
      </c>
      <c r="R723" t="s">
        <v>116</v>
      </c>
      <c r="S723" t="s">
        <v>193</v>
      </c>
    </row>
    <row r="724" spans="1:19" x14ac:dyDescent="0.35">
      <c r="A724" t="s">
        <v>934</v>
      </c>
      <c r="B724" t="s">
        <v>189</v>
      </c>
      <c r="C724" t="s">
        <v>120</v>
      </c>
      <c r="D724">
        <v>1.6</v>
      </c>
      <c r="E724">
        <v>27</v>
      </c>
      <c r="F724" t="s">
        <v>56</v>
      </c>
      <c r="G724">
        <v>11</v>
      </c>
      <c r="H724">
        <v>0.5</v>
      </c>
      <c r="I724" t="s">
        <v>139</v>
      </c>
      <c r="J724" t="s">
        <v>140</v>
      </c>
      <c r="K724" t="s">
        <v>209</v>
      </c>
      <c r="L724" t="s">
        <v>182</v>
      </c>
      <c r="M724" t="s">
        <v>125</v>
      </c>
      <c r="N724">
        <v>255</v>
      </c>
      <c r="O724" t="s">
        <v>126</v>
      </c>
      <c r="P724">
        <v>1</v>
      </c>
      <c r="Q724" t="s">
        <v>115</v>
      </c>
      <c r="R724" t="s">
        <v>116</v>
      </c>
      <c r="S724" t="s">
        <v>117</v>
      </c>
    </row>
    <row r="725" spans="1:19" x14ac:dyDescent="0.35">
      <c r="A725" t="s">
        <v>935</v>
      </c>
      <c r="B725" t="s">
        <v>197</v>
      </c>
      <c r="C725" t="s">
        <v>108</v>
      </c>
      <c r="D725">
        <v>34.6</v>
      </c>
      <c r="E725">
        <v>18</v>
      </c>
      <c r="F725" t="s">
        <v>58</v>
      </c>
      <c r="G725">
        <v>8</v>
      </c>
      <c r="H725">
        <v>0.8</v>
      </c>
      <c r="I725" t="s">
        <v>130</v>
      </c>
      <c r="J725" t="s">
        <v>131</v>
      </c>
      <c r="K725" t="s">
        <v>199</v>
      </c>
      <c r="L725" t="s">
        <v>200</v>
      </c>
      <c r="M725" t="s">
        <v>159</v>
      </c>
      <c r="N725">
        <v>236</v>
      </c>
      <c r="O725" t="s">
        <v>126</v>
      </c>
      <c r="P725">
        <v>1</v>
      </c>
      <c r="Q725" t="s">
        <v>214</v>
      </c>
      <c r="R725" t="s">
        <v>116</v>
      </c>
      <c r="S725" t="s">
        <v>136</v>
      </c>
    </row>
    <row r="726" spans="1:19" x14ac:dyDescent="0.35">
      <c r="A726" t="s">
        <v>936</v>
      </c>
      <c r="B726" t="s">
        <v>138</v>
      </c>
      <c r="C726" t="s">
        <v>108</v>
      </c>
      <c r="D726">
        <v>33.700000000000003</v>
      </c>
      <c r="E726">
        <v>37</v>
      </c>
      <c r="F726" t="s">
        <v>60</v>
      </c>
      <c r="G726">
        <v>12</v>
      </c>
      <c r="H726">
        <v>1</v>
      </c>
      <c r="I726" t="s">
        <v>139</v>
      </c>
      <c r="J726" t="s">
        <v>140</v>
      </c>
      <c r="K726" t="s">
        <v>146</v>
      </c>
      <c r="L726" t="s">
        <v>141</v>
      </c>
      <c r="M726" t="s">
        <v>113</v>
      </c>
      <c r="N726">
        <v>18</v>
      </c>
      <c r="O726" t="s">
        <v>126</v>
      </c>
      <c r="P726">
        <v>9</v>
      </c>
      <c r="Q726" t="s">
        <v>115</v>
      </c>
      <c r="R726" t="s">
        <v>116</v>
      </c>
      <c r="S726" t="s">
        <v>117</v>
      </c>
    </row>
    <row r="727" spans="1:19" x14ac:dyDescent="0.35">
      <c r="A727" t="s">
        <v>937</v>
      </c>
      <c r="B727" t="s">
        <v>155</v>
      </c>
      <c r="C727" t="s">
        <v>108</v>
      </c>
      <c r="D727">
        <v>23.4</v>
      </c>
      <c r="E727">
        <v>31</v>
      </c>
      <c r="F727" t="s">
        <v>66</v>
      </c>
      <c r="G727">
        <v>12</v>
      </c>
      <c r="H727">
        <v>0.6</v>
      </c>
      <c r="I727" t="s">
        <v>162</v>
      </c>
      <c r="J727" t="s">
        <v>413</v>
      </c>
      <c r="K727" t="s">
        <v>158</v>
      </c>
      <c r="L727" t="s">
        <v>195</v>
      </c>
      <c r="M727" t="s">
        <v>159</v>
      </c>
      <c r="N727">
        <v>217</v>
      </c>
      <c r="O727" t="s">
        <v>126</v>
      </c>
      <c r="P727">
        <v>2</v>
      </c>
      <c r="Q727" t="s">
        <v>214</v>
      </c>
      <c r="R727" t="s">
        <v>168</v>
      </c>
      <c r="S727" t="s">
        <v>136</v>
      </c>
    </row>
    <row r="728" spans="1:19" x14ac:dyDescent="0.35">
      <c r="A728" t="s">
        <v>938</v>
      </c>
      <c r="B728" t="s">
        <v>189</v>
      </c>
      <c r="C728" t="s">
        <v>120</v>
      </c>
      <c r="D728">
        <v>6.3</v>
      </c>
      <c r="E728">
        <v>27</v>
      </c>
      <c r="F728" t="s">
        <v>58</v>
      </c>
      <c r="G728">
        <v>9</v>
      </c>
      <c r="H728">
        <v>1.1000000000000001</v>
      </c>
      <c r="I728" t="s">
        <v>185</v>
      </c>
      <c r="J728" t="s">
        <v>225</v>
      </c>
      <c r="K728" t="s">
        <v>182</v>
      </c>
      <c r="L728" t="s">
        <v>209</v>
      </c>
      <c r="M728" t="s">
        <v>113</v>
      </c>
      <c r="N728">
        <v>29</v>
      </c>
      <c r="O728" t="s">
        <v>114</v>
      </c>
      <c r="P728">
        <v>11</v>
      </c>
      <c r="Q728" t="s">
        <v>115</v>
      </c>
      <c r="R728" t="s">
        <v>116</v>
      </c>
      <c r="S728" t="s">
        <v>142</v>
      </c>
    </row>
    <row r="729" spans="1:19" x14ac:dyDescent="0.35">
      <c r="A729" t="s">
        <v>939</v>
      </c>
      <c r="B729" t="s">
        <v>189</v>
      </c>
      <c r="C729" t="s">
        <v>120</v>
      </c>
      <c r="D729">
        <v>2.2999999999999998</v>
      </c>
      <c r="E729">
        <v>5</v>
      </c>
      <c r="F729" t="s">
        <v>60</v>
      </c>
      <c r="G729">
        <v>8</v>
      </c>
      <c r="H729">
        <v>0.5</v>
      </c>
      <c r="I729" t="s">
        <v>156</v>
      </c>
      <c r="J729" t="s">
        <v>167</v>
      </c>
      <c r="K729" t="s">
        <v>182</v>
      </c>
      <c r="L729" t="s">
        <v>190</v>
      </c>
      <c r="M729" t="s">
        <v>113</v>
      </c>
      <c r="N729">
        <v>11</v>
      </c>
      <c r="O729" t="s">
        <v>201</v>
      </c>
      <c r="P729">
        <v>11</v>
      </c>
      <c r="Q729" t="s">
        <v>115</v>
      </c>
      <c r="R729" t="s">
        <v>116</v>
      </c>
      <c r="S729" t="s">
        <v>169</v>
      </c>
    </row>
    <row r="730" spans="1:19" x14ac:dyDescent="0.35">
      <c r="A730" t="s">
        <v>940</v>
      </c>
      <c r="B730" t="s">
        <v>184</v>
      </c>
      <c r="C730" t="s">
        <v>166</v>
      </c>
      <c r="D730">
        <v>60.7</v>
      </c>
      <c r="E730">
        <v>48</v>
      </c>
      <c r="F730" t="s">
        <v>65</v>
      </c>
      <c r="G730">
        <v>13</v>
      </c>
      <c r="H730">
        <v>0.6</v>
      </c>
      <c r="I730" t="s">
        <v>205</v>
      </c>
      <c r="J730" t="s">
        <v>236</v>
      </c>
      <c r="K730" t="s">
        <v>192</v>
      </c>
      <c r="L730" t="s">
        <v>187</v>
      </c>
      <c r="M730" t="s">
        <v>159</v>
      </c>
      <c r="N730">
        <v>344</v>
      </c>
      <c r="O730" t="s">
        <v>201</v>
      </c>
      <c r="P730">
        <v>2</v>
      </c>
      <c r="Q730" t="s">
        <v>115</v>
      </c>
      <c r="R730" t="s">
        <v>153</v>
      </c>
      <c r="S730" t="s">
        <v>117</v>
      </c>
    </row>
    <row r="731" spans="1:19" x14ac:dyDescent="0.35">
      <c r="A731" t="s">
        <v>941</v>
      </c>
      <c r="B731" t="s">
        <v>218</v>
      </c>
      <c r="C731" t="s">
        <v>108</v>
      </c>
      <c r="D731">
        <v>42.8</v>
      </c>
      <c r="E731">
        <v>41</v>
      </c>
      <c r="F731" t="s">
        <v>65</v>
      </c>
      <c r="G731">
        <v>8</v>
      </c>
      <c r="H731">
        <v>0.9</v>
      </c>
      <c r="I731" t="s">
        <v>150</v>
      </c>
      <c r="J731" t="s">
        <v>151</v>
      </c>
      <c r="K731" t="s">
        <v>277</v>
      </c>
      <c r="L731" t="s">
        <v>152</v>
      </c>
      <c r="M731" t="s">
        <v>113</v>
      </c>
      <c r="N731">
        <v>18</v>
      </c>
      <c r="O731" t="s">
        <v>126</v>
      </c>
      <c r="P731">
        <v>13</v>
      </c>
      <c r="Q731" t="s">
        <v>115</v>
      </c>
      <c r="R731" t="s">
        <v>153</v>
      </c>
      <c r="S731" t="s">
        <v>117</v>
      </c>
    </row>
    <row r="732" spans="1:19" x14ac:dyDescent="0.35">
      <c r="A732" t="s">
        <v>942</v>
      </c>
      <c r="B732" t="s">
        <v>149</v>
      </c>
      <c r="C732" t="s">
        <v>120</v>
      </c>
      <c r="D732">
        <v>1.2</v>
      </c>
      <c r="E732">
        <v>14</v>
      </c>
      <c r="F732" t="s">
        <v>65</v>
      </c>
      <c r="G732">
        <v>9</v>
      </c>
      <c r="H732">
        <v>0.9</v>
      </c>
      <c r="I732" t="s">
        <v>150</v>
      </c>
      <c r="J732" t="s">
        <v>244</v>
      </c>
      <c r="K732" t="s">
        <v>123</v>
      </c>
      <c r="L732" t="s">
        <v>152</v>
      </c>
      <c r="M732" t="s">
        <v>134</v>
      </c>
      <c r="N732">
        <v>71</v>
      </c>
      <c r="O732" t="s">
        <v>114</v>
      </c>
      <c r="P732">
        <v>5</v>
      </c>
      <c r="Q732" t="s">
        <v>115</v>
      </c>
      <c r="R732" t="s">
        <v>116</v>
      </c>
      <c r="S732" t="s">
        <v>169</v>
      </c>
    </row>
    <row r="733" spans="1:19" x14ac:dyDescent="0.35">
      <c r="A733" t="s">
        <v>943</v>
      </c>
      <c r="B733" t="s">
        <v>218</v>
      </c>
      <c r="C733" t="s">
        <v>120</v>
      </c>
      <c r="D733">
        <v>7.5</v>
      </c>
      <c r="E733">
        <v>7</v>
      </c>
      <c r="F733" t="s">
        <v>65</v>
      </c>
      <c r="G733">
        <v>11</v>
      </c>
      <c r="H733">
        <v>1.4</v>
      </c>
      <c r="I733" t="s">
        <v>205</v>
      </c>
      <c r="J733" t="s">
        <v>298</v>
      </c>
      <c r="K733" t="s">
        <v>141</v>
      </c>
      <c r="L733" t="s">
        <v>277</v>
      </c>
      <c r="M733" t="s">
        <v>113</v>
      </c>
      <c r="N733">
        <v>22</v>
      </c>
      <c r="O733" t="s">
        <v>126</v>
      </c>
      <c r="P733">
        <v>10</v>
      </c>
      <c r="Q733" t="s">
        <v>135</v>
      </c>
      <c r="R733" t="s">
        <v>153</v>
      </c>
      <c r="S733" t="s">
        <v>193</v>
      </c>
    </row>
    <row r="734" spans="1:19" x14ac:dyDescent="0.35">
      <c r="A734" t="s">
        <v>944</v>
      </c>
      <c r="B734" t="s">
        <v>197</v>
      </c>
      <c r="C734" t="s">
        <v>120</v>
      </c>
      <c r="D734">
        <v>2.1</v>
      </c>
      <c r="E734">
        <v>19</v>
      </c>
      <c r="F734" t="s">
        <v>66</v>
      </c>
      <c r="G734">
        <v>4</v>
      </c>
      <c r="H734">
        <v>1</v>
      </c>
      <c r="I734" t="s">
        <v>130</v>
      </c>
      <c r="J734" t="s">
        <v>258</v>
      </c>
      <c r="K734" t="s">
        <v>178</v>
      </c>
      <c r="L734" t="s">
        <v>200</v>
      </c>
      <c r="M734" t="s">
        <v>113</v>
      </c>
      <c r="N734">
        <v>22</v>
      </c>
      <c r="O734" t="s">
        <v>114</v>
      </c>
      <c r="P734">
        <v>15</v>
      </c>
      <c r="Q734" t="s">
        <v>115</v>
      </c>
      <c r="R734" t="s">
        <v>168</v>
      </c>
      <c r="S734" t="s">
        <v>193</v>
      </c>
    </row>
    <row r="735" spans="1:19" x14ac:dyDescent="0.35">
      <c r="A735" t="s">
        <v>945</v>
      </c>
      <c r="B735" t="s">
        <v>107</v>
      </c>
      <c r="C735" t="s">
        <v>166</v>
      </c>
      <c r="D735">
        <v>116.6</v>
      </c>
      <c r="E735">
        <v>39</v>
      </c>
      <c r="F735" t="s">
        <v>65</v>
      </c>
      <c r="G735">
        <v>9</v>
      </c>
      <c r="H735">
        <v>0.9</v>
      </c>
      <c r="I735" t="s">
        <v>156</v>
      </c>
      <c r="J735" t="s">
        <v>157</v>
      </c>
      <c r="K735" t="s">
        <v>112</v>
      </c>
      <c r="L735" t="s">
        <v>171</v>
      </c>
      <c r="M735" t="s">
        <v>134</v>
      </c>
      <c r="N735">
        <v>76</v>
      </c>
      <c r="O735" t="s">
        <v>126</v>
      </c>
      <c r="P735">
        <v>5</v>
      </c>
      <c r="Q735" t="s">
        <v>115</v>
      </c>
      <c r="R735" t="s">
        <v>153</v>
      </c>
      <c r="S735" t="s">
        <v>127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3D0E2-533F-4F5A-8322-80EF9FDA7827}">
  <dimension ref="A1:P301"/>
  <sheetViews>
    <sheetView workbookViewId="0">
      <selection activeCell="F1" sqref="F1:F15"/>
    </sheetView>
  </sheetViews>
  <sheetFormatPr defaultRowHeight="14.5" x14ac:dyDescent="0.35"/>
  <cols>
    <col min="4" max="4" width="16.08984375" bestFit="1" customWidth="1"/>
    <col min="5" max="5" width="15.08984375" bestFit="1" customWidth="1"/>
    <col min="6" max="6" width="11.54296875" bestFit="1" customWidth="1"/>
    <col min="7" max="7" width="11.453125" bestFit="1" customWidth="1"/>
    <col min="8" max="8" width="9.81640625" bestFit="1" customWidth="1"/>
    <col min="9" max="9" width="14.7265625" bestFit="1" customWidth="1"/>
    <col min="10" max="10" width="15.7265625" bestFit="1" customWidth="1"/>
    <col min="11" max="11" width="19.26953125" bestFit="1" customWidth="1"/>
    <col min="12" max="12" width="16.1796875" bestFit="1" customWidth="1"/>
    <col min="13" max="13" width="23.36328125" bestFit="1" customWidth="1"/>
    <col min="14" max="14" width="17" bestFit="1" customWidth="1"/>
  </cols>
  <sheetData>
    <row r="1" spans="1:16" x14ac:dyDescent="0.35">
      <c r="A1" t="s">
        <v>946</v>
      </c>
      <c r="B1" t="s">
        <v>54</v>
      </c>
      <c r="C1" t="s">
        <v>947</v>
      </c>
      <c r="D1" t="s">
        <v>948</v>
      </c>
      <c r="E1" t="s">
        <v>949</v>
      </c>
      <c r="F1" t="s">
        <v>950</v>
      </c>
      <c r="G1" t="s">
        <v>951</v>
      </c>
      <c r="H1" t="s">
        <v>952</v>
      </c>
      <c r="I1" t="s">
        <v>953</v>
      </c>
      <c r="J1" t="s">
        <v>954</v>
      </c>
      <c r="K1" t="s">
        <v>955</v>
      </c>
      <c r="L1" t="s">
        <v>956</v>
      </c>
      <c r="M1" t="s">
        <v>957</v>
      </c>
      <c r="N1" t="s">
        <v>958</v>
      </c>
      <c r="O1" t="s">
        <v>959</v>
      </c>
      <c r="P1" t="s">
        <v>960</v>
      </c>
    </row>
    <row r="2" spans="1:16" x14ac:dyDescent="0.35">
      <c r="A2" t="s">
        <v>961</v>
      </c>
      <c r="B2" t="s">
        <v>55</v>
      </c>
      <c r="C2" t="s">
        <v>120</v>
      </c>
      <c r="D2" s="18">
        <v>43203</v>
      </c>
      <c r="E2" s="18">
        <v>44227</v>
      </c>
      <c r="F2">
        <v>4</v>
      </c>
      <c r="G2">
        <v>2</v>
      </c>
      <c r="H2">
        <v>25233</v>
      </c>
      <c r="I2" t="s">
        <v>962</v>
      </c>
      <c r="J2">
        <v>69</v>
      </c>
      <c r="K2">
        <v>0</v>
      </c>
      <c r="L2">
        <v>0</v>
      </c>
      <c r="M2">
        <v>5</v>
      </c>
      <c r="N2" t="s">
        <v>963</v>
      </c>
      <c r="O2" t="s">
        <v>964</v>
      </c>
      <c r="P2" t="s">
        <v>962</v>
      </c>
    </row>
    <row r="3" spans="1:16" x14ac:dyDescent="0.35">
      <c r="A3" t="s">
        <v>965</v>
      </c>
      <c r="B3" t="s">
        <v>57</v>
      </c>
      <c r="C3" t="s">
        <v>120</v>
      </c>
      <c r="D3" s="18">
        <v>44053</v>
      </c>
      <c r="E3" s="18">
        <v>45900</v>
      </c>
      <c r="F3">
        <v>1</v>
      </c>
      <c r="G3">
        <v>2</v>
      </c>
      <c r="H3">
        <v>108822.84</v>
      </c>
      <c r="I3" t="s">
        <v>963</v>
      </c>
      <c r="J3">
        <v>0</v>
      </c>
      <c r="K3">
        <v>40</v>
      </c>
      <c r="L3">
        <v>28</v>
      </c>
      <c r="M3">
        <v>5</v>
      </c>
      <c r="N3" t="s">
        <v>963</v>
      </c>
      <c r="O3" t="s">
        <v>108</v>
      </c>
      <c r="P3" t="s">
        <v>962</v>
      </c>
    </row>
    <row r="4" spans="1:16" x14ac:dyDescent="0.35">
      <c r="A4" t="s">
        <v>966</v>
      </c>
      <c r="B4" t="s">
        <v>59</v>
      </c>
      <c r="C4" t="s">
        <v>120</v>
      </c>
      <c r="D4" s="18">
        <v>44832</v>
      </c>
      <c r="E4" s="18">
        <v>45258</v>
      </c>
      <c r="F4">
        <v>5</v>
      </c>
      <c r="G4">
        <v>2</v>
      </c>
      <c r="H4">
        <v>36220.5</v>
      </c>
      <c r="I4" t="s">
        <v>963</v>
      </c>
      <c r="J4">
        <v>0</v>
      </c>
      <c r="K4">
        <v>0</v>
      </c>
      <c r="L4">
        <v>0</v>
      </c>
      <c r="M4">
        <v>1</v>
      </c>
      <c r="N4" t="s">
        <v>963</v>
      </c>
      <c r="O4" t="s">
        <v>964</v>
      </c>
      <c r="P4" t="s">
        <v>962</v>
      </c>
    </row>
    <row r="5" spans="1:16" x14ac:dyDescent="0.35">
      <c r="A5" t="s">
        <v>967</v>
      </c>
      <c r="B5" t="s">
        <v>59</v>
      </c>
      <c r="C5" t="s">
        <v>108</v>
      </c>
      <c r="D5" s="18">
        <v>45573</v>
      </c>
      <c r="E5" s="18">
        <v>45562</v>
      </c>
      <c r="F5">
        <v>1</v>
      </c>
      <c r="G5">
        <v>4</v>
      </c>
      <c r="H5">
        <v>82753.070000000007</v>
      </c>
      <c r="I5" t="s">
        <v>963</v>
      </c>
      <c r="J5">
        <v>0</v>
      </c>
      <c r="K5">
        <v>0</v>
      </c>
      <c r="L5">
        <v>0</v>
      </c>
      <c r="M5">
        <v>5</v>
      </c>
      <c r="N5" t="s">
        <v>963</v>
      </c>
      <c r="O5" t="s">
        <v>108</v>
      </c>
      <c r="P5" t="s">
        <v>963</v>
      </c>
    </row>
    <row r="6" spans="1:16" x14ac:dyDescent="0.35">
      <c r="A6" t="s">
        <v>968</v>
      </c>
      <c r="B6" t="s">
        <v>61</v>
      </c>
      <c r="C6" t="s">
        <v>120</v>
      </c>
      <c r="D6" s="18">
        <v>43385</v>
      </c>
      <c r="E6" s="18">
        <v>43288</v>
      </c>
      <c r="F6">
        <v>4</v>
      </c>
      <c r="G6">
        <v>3</v>
      </c>
      <c r="H6">
        <v>147857.12</v>
      </c>
      <c r="I6" t="s">
        <v>962</v>
      </c>
      <c r="J6">
        <v>12</v>
      </c>
      <c r="K6">
        <v>160</v>
      </c>
      <c r="L6">
        <v>71</v>
      </c>
      <c r="M6">
        <v>4</v>
      </c>
      <c r="N6" t="s">
        <v>963</v>
      </c>
      <c r="O6" t="s">
        <v>964</v>
      </c>
      <c r="P6" t="s">
        <v>962</v>
      </c>
    </row>
    <row r="7" spans="1:16" x14ac:dyDescent="0.35">
      <c r="A7" t="s">
        <v>969</v>
      </c>
      <c r="B7" t="s">
        <v>62</v>
      </c>
      <c r="C7" t="s">
        <v>120</v>
      </c>
      <c r="D7" s="18">
        <v>44194</v>
      </c>
      <c r="E7" s="18">
        <v>44123</v>
      </c>
      <c r="F7">
        <v>3</v>
      </c>
      <c r="G7">
        <v>2</v>
      </c>
      <c r="H7">
        <v>28693.360000000001</v>
      </c>
      <c r="I7" t="s">
        <v>963</v>
      </c>
      <c r="J7">
        <v>0</v>
      </c>
      <c r="K7">
        <v>80</v>
      </c>
      <c r="L7">
        <v>71</v>
      </c>
      <c r="M7">
        <v>2</v>
      </c>
      <c r="N7" t="s">
        <v>963</v>
      </c>
      <c r="O7" t="s">
        <v>108</v>
      </c>
      <c r="P7" t="s">
        <v>962</v>
      </c>
    </row>
    <row r="8" spans="1:16" x14ac:dyDescent="0.35">
      <c r="A8" t="s">
        <v>970</v>
      </c>
      <c r="B8" t="s">
        <v>64</v>
      </c>
      <c r="C8" t="s">
        <v>120</v>
      </c>
      <c r="D8" s="18">
        <v>44393</v>
      </c>
      <c r="E8" s="18">
        <v>45018</v>
      </c>
      <c r="F8">
        <v>5</v>
      </c>
      <c r="G8">
        <v>1</v>
      </c>
      <c r="H8">
        <v>35592.51</v>
      </c>
      <c r="I8" t="s">
        <v>963</v>
      </c>
      <c r="J8">
        <v>0</v>
      </c>
      <c r="K8">
        <v>40</v>
      </c>
      <c r="L8">
        <v>31</v>
      </c>
      <c r="M8">
        <v>4</v>
      </c>
      <c r="N8" t="s">
        <v>963</v>
      </c>
      <c r="O8" t="s">
        <v>964</v>
      </c>
      <c r="P8" t="s">
        <v>962</v>
      </c>
    </row>
    <row r="9" spans="1:16" x14ac:dyDescent="0.35">
      <c r="A9" t="s">
        <v>971</v>
      </c>
      <c r="B9" t="s">
        <v>64</v>
      </c>
      <c r="C9" t="s">
        <v>120</v>
      </c>
      <c r="D9" s="18">
        <v>45400</v>
      </c>
      <c r="E9" s="18">
        <v>45843</v>
      </c>
      <c r="F9">
        <v>5</v>
      </c>
      <c r="G9">
        <v>4</v>
      </c>
      <c r="H9">
        <v>135184.32000000001</v>
      </c>
      <c r="I9" t="s">
        <v>963</v>
      </c>
      <c r="J9">
        <v>0</v>
      </c>
      <c r="K9">
        <v>80</v>
      </c>
      <c r="L9">
        <v>28</v>
      </c>
      <c r="M9">
        <v>2</v>
      </c>
      <c r="N9" t="s">
        <v>963</v>
      </c>
      <c r="O9" t="s">
        <v>964</v>
      </c>
      <c r="P9" t="s">
        <v>962</v>
      </c>
    </row>
    <row r="10" spans="1:16" x14ac:dyDescent="0.35">
      <c r="A10" t="s">
        <v>972</v>
      </c>
      <c r="B10" t="s">
        <v>57</v>
      </c>
      <c r="C10" t="s">
        <v>120</v>
      </c>
      <c r="D10" s="18">
        <v>43727</v>
      </c>
      <c r="E10" s="18">
        <v>44121</v>
      </c>
      <c r="F10">
        <v>7</v>
      </c>
      <c r="G10">
        <v>1</v>
      </c>
      <c r="H10">
        <v>60791.26</v>
      </c>
      <c r="I10" t="s">
        <v>963</v>
      </c>
      <c r="J10">
        <v>0</v>
      </c>
      <c r="K10">
        <v>80</v>
      </c>
      <c r="L10">
        <v>70</v>
      </c>
      <c r="M10">
        <v>1</v>
      </c>
      <c r="N10" t="s">
        <v>962</v>
      </c>
      <c r="O10" t="s">
        <v>108</v>
      </c>
      <c r="P10" t="s">
        <v>963</v>
      </c>
    </row>
    <row r="11" spans="1:16" x14ac:dyDescent="0.35">
      <c r="A11" t="s">
        <v>973</v>
      </c>
      <c r="B11" t="s">
        <v>59</v>
      </c>
      <c r="C11" t="s">
        <v>166</v>
      </c>
      <c r="D11" s="18">
        <v>44494</v>
      </c>
      <c r="E11" s="18">
        <v>44425</v>
      </c>
      <c r="F11">
        <v>5</v>
      </c>
      <c r="G11">
        <v>4</v>
      </c>
      <c r="H11">
        <v>27932.87</v>
      </c>
      <c r="I11" t="s">
        <v>962</v>
      </c>
      <c r="J11">
        <v>33</v>
      </c>
      <c r="K11">
        <v>40</v>
      </c>
      <c r="L11">
        <v>32</v>
      </c>
      <c r="M11">
        <v>1</v>
      </c>
      <c r="N11" t="s">
        <v>963</v>
      </c>
      <c r="O11" t="s">
        <v>108</v>
      </c>
      <c r="P11" t="s">
        <v>962</v>
      </c>
    </row>
    <row r="12" spans="1:16" x14ac:dyDescent="0.35">
      <c r="A12" t="s">
        <v>974</v>
      </c>
      <c r="B12" t="s">
        <v>64</v>
      </c>
      <c r="C12" t="s">
        <v>108</v>
      </c>
      <c r="D12" s="18">
        <v>43762</v>
      </c>
      <c r="E12" s="18">
        <v>45675</v>
      </c>
      <c r="F12">
        <v>1</v>
      </c>
      <c r="G12">
        <v>3</v>
      </c>
      <c r="H12">
        <v>75847.83</v>
      </c>
      <c r="I12" t="s">
        <v>962</v>
      </c>
      <c r="J12">
        <v>46</v>
      </c>
      <c r="K12">
        <v>80</v>
      </c>
      <c r="L12">
        <v>30</v>
      </c>
      <c r="M12">
        <v>1</v>
      </c>
      <c r="N12" t="s">
        <v>962</v>
      </c>
      <c r="O12" t="s">
        <v>108</v>
      </c>
      <c r="P12" t="s">
        <v>962</v>
      </c>
    </row>
    <row r="13" spans="1:16" x14ac:dyDescent="0.35">
      <c r="A13" t="s">
        <v>975</v>
      </c>
      <c r="B13" t="s">
        <v>57</v>
      </c>
      <c r="C13" t="s">
        <v>166</v>
      </c>
      <c r="D13" s="18">
        <v>45091</v>
      </c>
      <c r="E13" s="18">
        <v>45068</v>
      </c>
      <c r="F13">
        <v>3</v>
      </c>
      <c r="G13">
        <v>2</v>
      </c>
      <c r="H13">
        <v>100663.87</v>
      </c>
      <c r="I13" t="s">
        <v>962</v>
      </c>
      <c r="J13">
        <v>33</v>
      </c>
      <c r="K13">
        <v>160</v>
      </c>
      <c r="L13">
        <v>54</v>
      </c>
      <c r="M13">
        <v>5</v>
      </c>
      <c r="N13" t="s">
        <v>962</v>
      </c>
      <c r="O13" t="s">
        <v>108</v>
      </c>
      <c r="P13" t="s">
        <v>963</v>
      </c>
    </row>
    <row r="14" spans="1:16" x14ac:dyDescent="0.35">
      <c r="A14" t="s">
        <v>976</v>
      </c>
      <c r="B14" t="s">
        <v>55</v>
      </c>
      <c r="C14" t="s">
        <v>166</v>
      </c>
      <c r="D14" s="18">
        <v>44630</v>
      </c>
      <c r="E14" s="18">
        <v>45459</v>
      </c>
      <c r="F14">
        <v>8</v>
      </c>
      <c r="G14">
        <v>1</v>
      </c>
      <c r="H14">
        <v>40946.31</v>
      </c>
      <c r="I14" t="s">
        <v>962</v>
      </c>
      <c r="J14">
        <v>43</v>
      </c>
      <c r="K14">
        <v>0</v>
      </c>
      <c r="L14">
        <v>0</v>
      </c>
      <c r="M14">
        <v>5</v>
      </c>
      <c r="N14" t="s">
        <v>962</v>
      </c>
      <c r="O14" t="s">
        <v>964</v>
      </c>
      <c r="P14" t="s">
        <v>962</v>
      </c>
    </row>
    <row r="15" spans="1:16" x14ac:dyDescent="0.35">
      <c r="A15" t="s">
        <v>977</v>
      </c>
      <c r="B15" t="s">
        <v>57</v>
      </c>
      <c r="C15" t="s">
        <v>120</v>
      </c>
      <c r="D15" s="18">
        <v>43342</v>
      </c>
      <c r="E15" s="18">
        <v>44038</v>
      </c>
      <c r="F15">
        <v>2</v>
      </c>
      <c r="G15">
        <v>1</v>
      </c>
      <c r="H15">
        <v>129647.13</v>
      </c>
      <c r="I15" t="s">
        <v>962</v>
      </c>
      <c r="J15">
        <v>65</v>
      </c>
      <c r="K15">
        <v>40</v>
      </c>
      <c r="L15">
        <v>17</v>
      </c>
      <c r="M15">
        <v>4</v>
      </c>
      <c r="N15" t="s">
        <v>962</v>
      </c>
      <c r="O15" t="s">
        <v>964</v>
      </c>
      <c r="P15" t="s">
        <v>962</v>
      </c>
    </row>
    <row r="16" spans="1:16" x14ac:dyDescent="0.35">
      <c r="A16" t="s">
        <v>978</v>
      </c>
      <c r="B16" t="s">
        <v>55</v>
      </c>
      <c r="C16" t="s">
        <v>166</v>
      </c>
      <c r="D16" s="18">
        <v>45461</v>
      </c>
      <c r="E16" s="18">
        <v>45776</v>
      </c>
      <c r="F16">
        <v>4</v>
      </c>
      <c r="G16">
        <v>4</v>
      </c>
      <c r="H16">
        <v>122087.06</v>
      </c>
      <c r="I16" t="s">
        <v>962</v>
      </c>
      <c r="J16">
        <v>12</v>
      </c>
      <c r="K16">
        <v>0</v>
      </c>
      <c r="L16">
        <v>0</v>
      </c>
      <c r="M16">
        <v>4</v>
      </c>
      <c r="N16" t="s">
        <v>963</v>
      </c>
      <c r="O16" t="s">
        <v>964</v>
      </c>
      <c r="P16" t="s">
        <v>962</v>
      </c>
    </row>
    <row r="17" spans="1:16" x14ac:dyDescent="0.35">
      <c r="A17" t="s">
        <v>979</v>
      </c>
      <c r="B17" t="s">
        <v>980</v>
      </c>
      <c r="C17" t="s">
        <v>166</v>
      </c>
      <c r="D17" s="18">
        <v>43322</v>
      </c>
      <c r="E17" s="18">
        <v>45859</v>
      </c>
      <c r="F17">
        <v>2</v>
      </c>
      <c r="G17">
        <v>1</v>
      </c>
      <c r="H17">
        <v>63380.09</v>
      </c>
      <c r="I17" t="s">
        <v>963</v>
      </c>
      <c r="J17">
        <v>0</v>
      </c>
      <c r="K17">
        <v>0</v>
      </c>
      <c r="L17">
        <v>0</v>
      </c>
      <c r="M17">
        <v>2</v>
      </c>
      <c r="N17" t="s">
        <v>962</v>
      </c>
      <c r="O17" t="s">
        <v>964</v>
      </c>
      <c r="P17" t="s">
        <v>962</v>
      </c>
    </row>
    <row r="18" spans="1:16" x14ac:dyDescent="0.35">
      <c r="A18" t="s">
        <v>981</v>
      </c>
      <c r="B18" t="s">
        <v>980</v>
      </c>
      <c r="C18" t="s">
        <v>120</v>
      </c>
      <c r="D18" s="18">
        <v>44829</v>
      </c>
      <c r="E18" s="18">
        <v>44937</v>
      </c>
      <c r="F18">
        <v>5</v>
      </c>
      <c r="G18">
        <v>4</v>
      </c>
      <c r="H18">
        <v>41221.93</v>
      </c>
      <c r="I18" t="s">
        <v>962</v>
      </c>
      <c r="J18">
        <v>56</v>
      </c>
      <c r="K18">
        <v>0</v>
      </c>
      <c r="L18">
        <v>0</v>
      </c>
      <c r="M18">
        <v>1</v>
      </c>
      <c r="N18" t="s">
        <v>962</v>
      </c>
      <c r="O18" t="s">
        <v>982</v>
      </c>
      <c r="P18" t="s">
        <v>962</v>
      </c>
    </row>
    <row r="19" spans="1:16" x14ac:dyDescent="0.35">
      <c r="A19" t="s">
        <v>983</v>
      </c>
      <c r="B19" t="s">
        <v>64</v>
      </c>
      <c r="C19" t="s">
        <v>108</v>
      </c>
      <c r="D19" s="18">
        <v>45090</v>
      </c>
      <c r="E19" s="18">
        <v>45912</v>
      </c>
      <c r="F19">
        <v>4</v>
      </c>
      <c r="G19">
        <v>4</v>
      </c>
      <c r="H19">
        <v>135854.22</v>
      </c>
      <c r="I19" t="s">
        <v>962</v>
      </c>
      <c r="J19">
        <v>48</v>
      </c>
      <c r="K19">
        <v>0</v>
      </c>
      <c r="L19">
        <v>0</v>
      </c>
      <c r="M19">
        <v>4</v>
      </c>
      <c r="N19" t="s">
        <v>963</v>
      </c>
      <c r="O19" t="s">
        <v>982</v>
      </c>
      <c r="P19" t="s">
        <v>963</v>
      </c>
    </row>
    <row r="20" spans="1:16" x14ac:dyDescent="0.35">
      <c r="A20" t="s">
        <v>984</v>
      </c>
      <c r="B20" t="s">
        <v>62</v>
      </c>
      <c r="C20" t="s">
        <v>108</v>
      </c>
      <c r="D20" s="18">
        <v>45377</v>
      </c>
      <c r="E20" s="18">
        <v>45969</v>
      </c>
      <c r="F20">
        <v>8</v>
      </c>
      <c r="G20">
        <v>2</v>
      </c>
      <c r="H20">
        <v>32535.19</v>
      </c>
      <c r="I20" t="s">
        <v>962</v>
      </c>
      <c r="J20">
        <v>7</v>
      </c>
      <c r="K20">
        <v>0</v>
      </c>
      <c r="L20">
        <v>0</v>
      </c>
      <c r="M20">
        <v>3</v>
      </c>
      <c r="N20" t="s">
        <v>962</v>
      </c>
      <c r="O20" t="s">
        <v>964</v>
      </c>
      <c r="P20" t="s">
        <v>962</v>
      </c>
    </row>
    <row r="21" spans="1:16" x14ac:dyDescent="0.35">
      <c r="A21" t="s">
        <v>985</v>
      </c>
      <c r="B21" t="s">
        <v>980</v>
      </c>
      <c r="C21" t="s">
        <v>166</v>
      </c>
      <c r="D21" s="18">
        <v>45276</v>
      </c>
      <c r="E21" s="18">
        <v>45249</v>
      </c>
      <c r="F21">
        <v>1</v>
      </c>
      <c r="G21">
        <v>1</v>
      </c>
      <c r="H21">
        <v>128444.67</v>
      </c>
      <c r="I21" t="s">
        <v>962</v>
      </c>
      <c r="J21">
        <v>76</v>
      </c>
      <c r="K21">
        <v>0</v>
      </c>
      <c r="L21">
        <v>0</v>
      </c>
      <c r="M21">
        <v>2</v>
      </c>
      <c r="N21" t="s">
        <v>963</v>
      </c>
      <c r="O21" t="s">
        <v>964</v>
      </c>
      <c r="P21" t="s">
        <v>962</v>
      </c>
    </row>
    <row r="22" spans="1:16" x14ac:dyDescent="0.35">
      <c r="A22" t="s">
        <v>986</v>
      </c>
      <c r="B22" t="s">
        <v>61</v>
      </c>
      <c r="C22" t="s">
        <v>120</v>
      </c>
      <c r="D22" s="18">
        <v>45472</v>
      </c>
      <c r="E22" s="18">
        <v>45900</v>
      </c>
      <c r="F22">
        <v>1</v>
      </c>
      <c r="G22">
        <v>1</v>
      </c>
      <c r="H22">
        <v>65787.61</v>
      </c>
      <c r="I22" t="s">
        <v>963</v>
      </c>
      <c r="J22">
        <v>0</v>
      </c>
      <c r="K22">
        <v>80</v>
      </c>
      <c r="L22">
        <v>26</v>
      </c>
      <c r="M22">
        <v>3</v>
      </c>
      <c r="N22" t="s">
        <v>962</v>
      </c>
      <c r="O22" t="s">
        <v>964</v>
      </c>
      <c r="P22" t="s">
        <v>962</v>
      </c>
    </row>
    <row r="23" spans="1:16" x14ac:dyDescent="0.35">
      <c r="A23" t="s">
        <v>987</v>
      </c>
      <c r="B23" t="s">
        <v>64</v>
      </c>
      <c r="C23" t="s">
        <v>166</v>
      </c>
      <c r="D23" s="18">
        <v>44329</v>
      </c>
      <c r="E23" s="18">
        <v>45133</v>
      </c>
      <c r="F23">
        <v>6</v>
      </c>
      <c r="G23">
        <v>1</v>
      </c>
      <c r="H23">
        <v>6350.74</v>
      </c>
      <c r="I23" t="s">
        <v>962</v>
      </c>
      <c r="J23">
        <v>9</v>
      </c>
      <c r="K23">
        <v>40</v>
      </c>
      <c r="L23">
        <v>32</v>
      </c>
      <c r="M23">
        <v>3</v>
      </c>
      <c r="N23" t="s">
        <v>962</v>
      </c>
      <c r="O23" t="s">
        <v>982</v>
      </c>
      <c r="P23" t="s">
        <v>962</v>
      </c>
    </row>
    <row r="24" spans="1:16" x14ac:dyDescent="0.35">
      <c r="A24" t="s">
        <v>988</v>
      </c>
      <c r="B24" t="s">
        <v>64</v>
      </c>
      <c r="C24" t="s">
        <v>108</v>
      </c>
      <c r="D24" s="18">
        <v>44268</v>
      </c>
      <c r="E24" s="18">
        <v>44520</v>
      </c>
      <c r="F24">
        <v>8</v>
      </c>
      <c r="G24">
        <v>3</v>
      </c>
      <c r="H24">
        <v>93693.28</v>
      </c>
      <c r="I24" t="s">
        <v>962</v>
      </c>
      <c r="J24">
        <v>70</v>
      </c>
      <c r="K24">
        <v>80</v>
      </c>
      <c r="L24">
        <v>13</v>
      </c>
      <c r="M24">
        <v>2</v>
      </c>
      <c r="N24" t="s">
        <v>963</v>
      </c>
      <c r="O24" t="s">
        <v>964</v>
      </c>
      <c r="P24" t="s">
        <v>962</v>
      </c>
    </row>
    <row r="25" spans="1:16" x14ac:dyDescent="0.35">
      <c r="A25" t="s">
        <v>989</v>
      </c>
      <c r="B25" t="s">
        <v>57</v>
      </c>
      <c r="C25" t="s">
        <v>166</v>
      </c>
      <c r="D25" s="18">
        <v>45367</v>
      </c>
      <c r="E25" s="18">
        <v>45451</v>
      </c>
      <c r="F25">
        <v>5</v>
      </c>
      <c r="G25">
        <v>3</v>
      </c>
      <c r="H25">
        <v>92700.32</v>
      </c>
      <c r="I25" t="s">
        <v>963</v>
      </c>
      <c r="J25">
        <v>0</v>
      </c>
      <c r="K25">
        <v>40</v>
      </c>
      <c r="L25">
        <v>40</v>
      </c>
      <c r="M25">
        <v>3</v>
      </c>
      <c r="N25" t="s">
        <v>963</v>
      </c>
      <c r="O25" t="s">
        <v>964</v>
      </c>
      <c r="P25" t="s">
        <v>962</v>
      </c>
    </row>
    <row r="26" spans="1:16" x14ac:dyDescent="0.35">
      <c r="A26" t="s">
        <v>990</v>
      </c>
      <c r="B26" t="s">
        <v>59</v>
      </c>
      <c r="C26" t="s">
        <v>120</v>
      </c>
      <c r="D26" s="18">
        <v>43479</v>
      </c>
      <c r="E26" s="18">
        <v>45200</v>
      </c>
      <c r="F26">
        <v>5</v>
      </c>
      <c r="G26">
        <v>1</v>
      </c>
      <c r="H26">
        <v>5514.12</v>
      </c>
      <c r="I26" t="s">
        <v>962</v>
      </c>
      <c r="J26">
        <v>33</v>
      </c>
      <c r="K26">
        <v>40</v>
      </c>
      <c r="L26">
        <v>28</v>
      </c>
      <c r="M26">
        <v>5</v>
      </c>
      <c r="N26" t="s">
        <v>963</v>
      </c>
      <c r="O26" t="s">
        <v>964</v>
      </c>
      <c r="P26" t="s">
        <v>962</v>
      </c>
    </row>
    <row r="27" spans="1:16" x14ac:dyDescent="0.35">
      <c r="A27" t="s">
        <v>991</v>
      </c>
      <c r="B27" t="s">
        <v>57</v>
      </c>
      <c r="C27" t="s">
        <v>120</v>
      </c>
      <c r="D27" s="18">
        <v>43711</v>
      </c>
      <c r="E27" s="18">
        <v>45700</v>
      </c>
      <c r="F27">
        <v>1</v>
      </c>
      <c r="G27">
        <v>3</v>
      </c>
      <c r="H27">
        <v>89463.89</v>
      </c>
      <c r="I27" t="s">
        <v>962</v>
      </c>
      <c r="J27">
        <v>55</v>
      </c>
      <c r="K27">
        <v>40</v>
      </c>
      <c r="L27">
        <v>2</v>
      </c>
      <c r="M27">
        <v>3</v>
      </c>
      <c r="N27" t="s">
        <v>963</v>
      </c>
      <c r="O27" t="s">
        <v>108</v>
      </c>
      <c r="P27" t="s">
        <v>962</v>
      </c>
    </row>
    <row r="28" spans="1:16" x14ac:dyDescent="0.35">
      <c r="A28" t="s">
        <v>992</v>
      </c>
      <c r="B28" t="s">
        <v>62</v>
      </c>
      <c r="C28" t="s">
        <v>120</v>
      </c>
      <c r="D28" s="18">
        <v>44123</v>
      </c>
      <c r="E28" s="18">
        <v>44252</v>
      </c>
      <c r="F28">
        <v>6</v>
      </c>
      <c r="G28">
        <v>4</v>
      </c>
      <c r="H28">
        <v>146206.37</v>
      </c>
      <c r="I28" t="s">
        <v>962</v>
      </c>
      <c r="J28">
        <v>30</v>
      </c>
      <c r="K28">
        <v>40</v>
      </c>
      <c r="L28">
        <v>11</v>
      </c>
      <c r="M28">
        <v>4</v>
      </c>
      <c r="N28" t="s">
        <v>962</v>
      </c>
      <c r="O28" t="s">
        <v>964</v>
      </c>
      <c r="P28" t="s">
        <v>962</v>
      </c>
    </row>
    <row r="29" spans="1:16" x14ac:dyDescent="0.35">
      <c r="A29" t="s">
        <v>993</v>
      </c>
      <c r="B29" t="s">
        <v>62</v>
      </c>
      <c r="C29" t="s">
        <v>108</v>
      </c>
      <c r="D29" s="18">
        <v>44117</v>
      </c>
      <c r="E29" s="18">
        <v>44923</v>
      </c>
      <c r="F29">
        <v>3</v>
      </c>
      <c r="G29">
        <v>1</v>
      </c>
      <c r="H29">
        <v>60468.55</v>
      </c>
      <c r="I29" t="s">
        <v>962</v>
      </c>
      <c r="J29">
        <v>60</v>
      </c>
      <c r="K29">
        <v>40</v>
      </c>
      <c r="L29">
        <v>12</v>
      </c>
      <c r="M29">
        <v>4</v>
      </c>
      <c r="N29" t="s">
        <v>963</v>
      </c>
      <c r="O29" t="s">
        <v>964</v>
      </c>
      <c r="P29" t="s">
        <v>962</v>
      </c>
    </row>
    <row r="30" spans="1:16" x14ac:dyDescent="0.35">
      <c r="A30" t="s">
        <v>994</v>
      </c>
      <c r="B30" t="s">
        <v>59</v>
      </c>
      <c r="C30" t="s">
        <v>120</v>
      </c>
      <c r="D30" s="18">
        <v>44014</v>
      </c>
      <c r="E30" s="18">
        <v>43927</v>
      </c>
      <c r="F30">
        <v>4</v>
      </c>
      <c r="G30">
        <v>4</v>
      </c>
      <c r="H30">
        <v>52597.98</v>
      </c>
      <c r="I30" t="s">
        <v>962</v>
      </c>
      <c r="J30">
        <v>35</v>
      </c>
      <c r="K30">
        <v>80</v>
      </c>
      <c r="L30">
        <v>65</v>
      </c>
      <c r="M30">
        <v>4</v>
      </c>
      <c r="N30" t="s">
        <v>963</v>
      </c>
      <c r="O30" t="s">
        <v>982</v>
      </c>
      <c r="P30" t="s">
        <v>962</v>
      </c>
    </row>
    <row r="31" spans="1:16" x14ac:dyDescent="0.35">
      <c r="A31" t="s">
        <v>995</v>
      </c>
      <c r="B31" t="s">
        <v>62</v>
      </c>
      <c r="C31" t="s">
        <v>120</v>
      </c>
      <c r="D31" s="18">
        <v>45479</v>
      </c>
      <c r="E31" s="18">
        <v>45563</v>
      </c>
      <c r="F31">
        <v>1</v>
      </c>
      <c r="G31">
        <v>1</v>
      </c>
      <c r="H31">
        <v>91502.83</v>
      </c>
      <c r="I31" t="s">
        <v>963</v>
      </c>
      <c r="J31">
        <v>0</v>
      </c>
      <c r="K31">
        <v>80</v>
      </c>
      <c r="L31">
        <v>55</v>
      </c>
      <c r="M31">
        <v>5</v>
      </c>
      <c r="N31" t="s">
        <v>962</v>
      </c>
      <c r="O31" t="s">
        <v>964</v>
      </c>
      <c r="P31" t="s">
        <v>962</v>
      </c>
    </row>
    <row r="32" spans="1:16" x14ac:dyDescent="0.35">
      <c r="A32" t="s">
        <v>996</v>
      </c>
      <c r="B32" t="s">
        <v>61</v>
      </c>
      <c r="C32" t="s">
        <v>120</v>
      </c>
      <c r="D32" s="18">
        <v>44144</v>
      </c>
      <c r="E32" s="18">
        <v>44012</v>
      </c>
      <c r="F32">
        <v>7</v>
      </c>
      <c r="G32">
        <v>1</v>
      </c>
      <c r="H32">
        <v>80388.45</v>
      </c>
      <c r="I32" t="s">
        <v>962</v>
      </c>
      <c r="J32">
        <v>46</v>
      </c>
      <c r="K32">
        <v>160</v>
      </c>
      <c r="L32">
        <v>17</v>
      </c>
      <c r="M32">
        <v>3</v>
      </c>
      <c r="N32" t="s">
        <v>963</v>
      </c>
      <c r="O32" t="s">
        <v>108</v>
      </c>
      <c r="P32" t="s">
        <v>962</v>
      </c>
    </row>
    <row r="33" spans="1:16" x14ac:dyDescent="0.35">
      <c r="A33" t="s">
        <v>997</v>
      </c>
      <c r="B33" t="s">
        <v>55</v>
      </c>
      <c r="C33" t="s">
        <v>108</v>
      </c>
      <c r="D33" s="18">
        <v>45178</v>
      </c>
      <c r="E33" s="18">
        <v>45560</v>
      </c>
      <c r="F33">
        <v>7</v>
      </c>
      <c r="G33">
        <v>3</v>
      </c>
      <c r="H33">
        <v>63348.06</v>
      </c>
      <c r="I33" t="s">
        <v>963</v>
      </c>
      <c r="J33">
        <v>0</v>
      </c>
      <c r="K33">
        <v>40</v>
      </c>
      <c r="L33">
        <v>12</v>
      </c>
      <c r="M33">
        <v>4</v>
      </c>
      <c r="N33" t="s">
        <v>963</v>
      </c>
      <c r="O33" t="s">
        <v>108</v>
      </c>
      <c r="P33" t="s">
        <v>962</v>
      </c>
    </row>
    <row r="34" spans="1:16" x14ac:dyDescent="0.35">
      <c r="A34" t="s">
        <v>998</v>
      </c>
      <c r="B34" t="s">
        <v>61</v>
      </c>
      <c r="C34" t="s">
        <v>166</v>
      </c>
      <c r="D34" s="18">
        <v>44333</v>
      </c>
      <c r="E34" s="18">
        <v>45028</v>
      </c>
      <c r="F34">
        <v>1</v>
      </c>
      <c r="G34">
        <v>3</v>
      </c>
      <c r="H34">
        <v>46602.49</v>
      </c>
      <c r="I34" t="s">
        <v>963</v>
      </c>
      <c r="J34">
        <v>0</v>
      </c>
      <c r="K34">
        <v>80</v>
      </c>
      <c r="L34">
        <v>59</v>
      </c>
      <c r="M34">
        <v>4</v>
      </c>
      <c r="N34" t="s">
        <v>963</v>
      </c>
      <c r="O34" t="s">
        <v>108</v>
      </c>
      <c r="P34" t="s">
        <v>963</v>
      </c>
    </row>
    <row r="35" spans="1:16" x14ac:dyDescent="0.35">
      <c r="A35" t="s">
        <v>999</v>
      </c>
      <c r="B35" t="s">
        <v>59</v>
      </c>
      <c r="C35" t="s">
        <v>166</v>
      </c>
      <c r="D35" s="18">
        <v>43796</v>
      </c>
      <c r="E35" s="18">
        <v>43813</v>
      </c>
      <c r="F35">
        <v>5</v>
      </c>
      <c r="G35">
        <v>3</v>
      </c>
      <c r="H35">
        <v>18541.14</v>
      </c>
      <c r="I35" t="s">
        <v>962</v>
      </c>
      <c r="J35">
        <v>39</v>
      </c>
      <c r="K35">
        <v>40</v>
      </c>
      <c r="L35">
        <v>12</v>
      </c>
      <c r="M35">
        <v>2</v>
      </c>
      <c r="N35" t="s">
        <v>962</v>
      </c>
      <c r="O35" t="s">
        <v>964</v>
      </c>
      <c r="P35" t="s">
        <v>962</v>
      </c>
    </row>
    <row r="36" spans="1:16" x14ac:dyDescent="0.35">
      <c r="A36" t="s">
        <v>1000</v>
      </c>
      <c r="B36" t="s">
        <v>980</v>
      </c>
      <c r="C36" t="s">
        <v>166</v>
      </c>
      <c r="D36" s="18">
        <v>43399</v>
      </c>
      <c r="E36" s="18">
        <v>44966</v>
      </c>
      <c r="F36">
        <v>7</v>
      </c>
      <c r="G36">
        <v>2</v>
      </c>
      <c r="H36">
        <v>109160.16</v>
      </c>
      <c r="I36" t="s">
        <v>963</v>
      </c>
      <c r="J36">
        <v>0</v>
      </c>
      <c r="K36">
        <v>160</v>
      </c>
      <c r="L36">
        <v>102</v>
      </c>
      <c r="M36">
        <v>2</v>
      </c>
      <c r="N36" t="s">
        <v>962</v>
      </c>
      <c r="O36" t="s">
        <v>108</v>
      </c>
      <c r="P36" t="s">
        <v>962</v>
      </c>
    </row>
    <row r="37" spans="1:16" x14ac:dyDescent="0.35">
      <c r="A37" t="s">
        <v>1001</v>
      </c>
      <c r="B37" t="s">
        <v>59</v>
      </c>
      <c r="C37" t="s">
        <v>120</v>
      </c>
      <c r="D37" s="18">
        <v>44842</v>
      </c>
      <c r="E37" s="18">
        <v>45010</v>
      </c>
      <c r="F37">
        <v>3</v>
      </c>
      <c r="G37">
        <v>4</v>
      </c>
      <c r="H37">
        <v>12281.67</v>
      </c>
      <c r="I37" t="s">
        <v>962</v>
      </c>
      <c r="J37">
        <v>15</v>
      </c>
      <c r="K37">
        <v>160</v>
      </c>
      <c r="L37">
        <v>34</v>
      </c>
      <c r="M37">
        <v>4</v>
      </c>
      <c r="N37" t="s">
        <v>963</v>
      </c>
      <c r="O37" t="s">
        <v>982</v>
      </c>
      <c r="P37" t="s">
        <v>963</v>
      </c>
    </row>
    <row r="38" spans="1:16" x14ac:dyDescent="0.35">
      <c r="A38" t="s">
        <v>1002</v>
      </c>
      <c r="B38" t="s">
        <v>61</v>
      </c>
      <c r="C38" t="s">
        <v>166</v>
      </c>
      <c r="D38" s="18">
        <v>45168</v>
      </c>
      <c r="E38" s="18">
        <v>45800</v>
      </c>
      <c r="F38">
        <v>8</v>
      </c>
      <c r="G38">
        <v>2</v>
      </c>
      <c r="H38">
        <v>112830.04</v>
      </c>
      <c r="I38" t="s">
        <v>963</v>
      </c>
      <c r="J38">
        <v>0</v>
      </c>
      <c r="K38">
        <v>160</v>
      </c>
      <c r="L38">
        <v>66</v>
      </c>
      <c r="M38">
        <v>2</v>
      </c>
      <c r="N38" t="s">
        <v>963</v>
      </c>
      <c r="O38" t="s">
        <v>108</v>
      </c>
      <c r="P38" t="s">
        <v>963</v>
      </c>
    </row>
    <row r="39" spans="1:16" x14ac:dyDescent="0.35">
      <c r="A39" t="s">
        <v>1003</v>
      </c>
      <c r="B39" t="s">
        <v>55</v>
      </c>
      <c r="C39" t="s">
        <v>120</v>
      </c>
      <c r="D39" s="18">
        <v>44225</v>
      </c>
      <c r="E39" s="18">
        <v>45097</v>
      </c>
      <c r="F39">
        <v>2</v>
      </c>
      <c r="G39">
        <v>3</v>
      </c>
      <c r="H39">
        <v>39001.57</v>
      </c>
      <c r="I39" t="s">
        <v>963</v>
      </c>
      <c r="J39">
        <v>0</v>
      </c>
      <c r="K39">
        <v>80</v>
      </c>
      <c r="L39">
        <v>69</v>
      </c>
      <c r="M39">
        <v>1</v>
      </c>
      <c r="N39" t="s">
        <v>962</v>
      </c>
      <c r="O39" t="s">
        <v>964</v>
      </c>
      <c r="P39" t="s">
        <v>962</v>
      </c>
    </row>
    <row r="40" spans="1:16" x14ac:dyDescent="0.35">
      <c r="A40" t="s">
        <v>1004</v>
      </c>
      <c r="B40" t="s">
        <v>980</v>
      </c>
      <c r="C40" t="s">
        <v>166</v>
      </c>
      <c r="D40" s="18">
        <v>43726</v>
      </c>
      <c r="E40" s="18">
        <v>44342</v>
      </c>
      <c r="F40">
        <v>2</v>
      </c>
      <c r="G40">
        <v>4</v>
      </c>
      <c r="H40">
        <v>64101.91</v>
      </c>
      <c r="I40" t="s">
        <v>963</v>
      </c>
      <c r="J40">
        <v>0</v>
      </c>
      <c r="K40">
        <v>160</v>
      </c>
      <c r="L40">
        <v>15</v>
      </c>
      <c r="M40">
        <v>2</v>
      </c>
      <c r="N40" t="s">
        <v>963</v>
      </c>
      <c r="O40" t="s">
        <v>964</v>
      </c>
      <c r="P40" t="s">
        <v>962</v>
      </c>
    </row>
    <row r="41" spans="1:16" x14ac:dyDescent="0.35">
      <c r="A41" t="s">
        <v>1005</v>
      </c>
      <c r="B41" t="s">
        <v>59</v>
      </c>
      <c r="C41" t="s">
        <v>166</v>
      </c>
      <c r="D41" s="18">
        <v>43181</v>
      </c>
      <c r="E41" s="18">
        <v>45459</v>
      </c>
      <c r="F41">
        <v>7</v>
      </c>
      <c r="G41">
        <v>4</v>
      </c>
      <c r="H41">
        <v>5854.93</v>
      </c>
      <c r="I41" t="s">
        <v>963</v>
      </c>
      <c r="J41">
        <v>0</v>
      </c>
      <c r="K41">
        <v>80</v>
      </c>
      <c r="L41">
        <v>49</v>
      </c>
      <c r="M41">
        <v>4</v>
      </c>
      <c r="N41" t="s">
        <v>962</v>
      </c>
      <c r="O41" t="s">
        <v>964</v>
      </c>
      <c r="P41" t="s">
        <v>962</v>
      </c>
    </row>
    <row r="42" spans="1:16" x14ac:dyDescent="0.35">
      <c r="A42" t="s">
        <v>1006</v>
      </c>
      <c r="B42" t="s">
        <v>62</v>
      </c>
      <c r="C42" t="s">
        <v>108</v>
      </c>
      <c r="D42" s="18">
        <v>45090</v>
      </c>
      <c r="E42" s="18">
        <v>44986</v>
      </c>
      <c r="F42">
        <v>7</v>
      </c>
      <c r="G42">
        <v>3</v>
      </c>
      <c r="H42">
        <v>101986.67</v>
      </c>
      <c r="I42" t="s">
        <v>963</v>
      </c>
      <c r="J42">
        <v>0</v>
      </c>
      <c r="K42">
        <v>40</v>
      </c>
      <c r="L42">
        <v>29</v>
      </c>
      <c r="M42">
        <v>2</v>
      </c>
      <c r="N42" t="s">
        <v>962</v>
      </c>
      <c r="O42" t="s">
        <v>982</v>
      </c>
      <c r="P42" t="s">
        <v>962</v>
      </c>
    </row>
    <row r="43" spans="1:16" x14ac:dyDescent="0.35">
      <c r="A43" t="s">
        <v>1007</v>
      </c>
      <c r="B43" t="s">
        <v>57</v>
      </c>
      <c r="C43" t="s">
        <v>166</v>
      </c>
      <c r="D43" s="18">
        <v>44856</v>
      </c>
      <c r="E43" s="18">
        <v>44839</v>
      </c>
      <c r="F43">
        <v>8</v>
      </c>
      <c r="G43">
        <v>2</v>
      </c>
      <c r="H43">
        <v>12291.27</v>
      </c>
      <c r="I43" t="s">
        <v>963</v>
      </c>
      <c r="J43">
        <v>0</v>
      </c>
      <c r="K43">
        <v>80</v>
      </c>
      <c r="L43">
        <v>27</v>
      </c>
      <c r="M43">
        <v>4</v>
      </c>
      <c r="N43" t="s">
        <v>963</v>
      </c>
      <c r="O43" t="s">
        <v>964</v>
      </c>
      <c r="P43" t="s">
        <v>962</v>
      </c>
    </row>
    <row r="44" spans="1:16" x14ac:dyDescent="0.35">
      <c r="A44" t="s">
        <v>1008</v>
      </c>
      <c r="B44" t="s">
        <v>980</v>
      </c>
      <c r="C44" t="s">
        <v>108</v>
      </c>
      <c r="D44" s="18">
        <v>44827</v>
      </c>
      <c r="E44" s="18">
        <v>45078</v>
      </c>
      <c r="F44">
        <v>2</v>
      </c>
      <c r="G44">
        <v>4</v>
      </c>
      <c r="H44">
        <v>7810.58</v>
      </c>
      <c r="I44" t="s">
        <v>962</v>
      </c>
      <c r="J44">
        <v>44</v>
      </c>
      <c r="K44">
        <v>40</v>
      </c>
      <c r="L44">
        <v>4</v>
      </c>
      <c r="M44">
        <v>1</v>
      </c>
      <c r="N44" t="s">
        <v>962</v>
      </c>
      <c r="O44" t="s">
        <v>982</v>
      </c>
      <c r="P44" t="s">
        <v>962</v>
      </c>
    </row>
    <row r="45" spans="1:16" x14ac:dyDescent="0.35">
      <c r="A45" t="s">
        <v>1009</v>
      </c>
      <c r="B45" t="s">
        <v>59</v>
      </c>
      <c r="C45" t="s">
        <v>120</v>
      </c>
      <c r="D45" s="18">
        <v>45645</v>
      </c>
      <c r="E45" s="18">
        <v>45448</v>
      </c>
      <c r="F45">
        <v>4</v>
      </c>
      <c r="G45">
        <v>2</v>
      </c>
      <c r="H45">
        <v>73666.350000000006</v>
      </c>
      <c r="I45" t="s">
        <v>962</v>
      </c>
      <c r="J45">
        <v>72</v>
      </c>
      <c r="K45">
        <v>40</v>
      </c>
      <c r="L45">
        <v>29</v>
      </c>
      <c r="M45">
        <v>3</v>
      </c>
      <c r="N45" t="s">
        <v>963</v>
      </c>
      <c r="O45" t="s">
        <v>964</v>
      </c>
      <c r="P45" t="s">
        <v>962</v>
      </c>
    </row>
    <row r="46" spans="1:16" x14ac:dyDescent="0.35">
      <c r="A46" t="s">
        <v>1010</v>
      </c>
      <c r="B46" t="s">
        <v>61</v>
      </c>
      <c r="C46" t="s">
        <v>166</v>
      </c>
      <c r="D46" s="18">
        <v>43570</v>
      </c>
      <c r="E46" s="18">
        <v>44136</v>
      </c>
      <c r="F46">
        <v>5</v>
      </c>
      <c r="G46">
        <v>1</v>
      </c>
      <c r="H46">
        <v>88909.29</v>
      </c>
      <c r="I46" t="s">
        <v>963</v>
      </c>
      <c r="J46">
        <v>0</v>
      </c>
      <c r="K46">
        <v>160</v>
      </c>
      <c r="L46">
        <v>101</v>
      </c>
      <c r="M46">
        <v>2</v>
      </c>
      <c r="N46" t="s">
        <v>962</v>
      </c>
      <c r="O46" t="s">
        <v>964</v>
      </c>
      <c r="P46" t="s">
        <v>962</v>
      </c>
    </row>
    <row r="47" spans="1:16" x14ac:dyDescent="0.35">
      <c r="A47" t="s">
        <v>1011</v>
      </c>
      <c r="B47" t="s">
        <v>59</v>
      </c>
      <c r="C47" t="s">
        <v>166</v>
      </c>
      <c r="D47" s="18">
        <v>44095</v>
      </c>
      <c r="E47" s="18">
        <v>44248</v>
      </c>
      <c r="F47">
        <v>5</v>
      </c>
      <c r="G47">
        <v>1</v>
      </c>
      <c r="H47">
        <v>120452.95</v>
      </c>
      <c r="I47" t="s">
        <v>962</v>
      </c>
      <c r="J47">
        <v>44</v>
      </c>
      <c r="K47">
        <v>160</v>
      </c>
      <c r="L47">
        <v>94</v>
      </c>
      <c r="M47">
        <v>1</v>
      </c>
      <c r="N47" t="s">
        <v>963</v>
      </c>
      <c r="O47" t="s">
        <v>964</v>
      </c>
      <c r="P47" t="s">
        <v>962</v>
      </c>
    </row>
    <row r="48" spans="1:16" x14ac:dyDescent="0.35">
      <c r="A48" t="s">
        <v>1012</v>
      </c>
      <c r="B48" t="s">
        <v>980</v>
      </c>
      <c r="C48" t="s">
        <v>108</v>
      </c>
      <c r="D48" s="18">
        <v>43533</v>
      </c>
      <c r="E48" s="18">
        <v>45241</v>
      </c>
      <c r="F48">
        <v>6</v>
      </c>
      <c r="G48">
        <v>4</v>
      </c>
      <c r="H48">
        <v>107559.75</v>
      </c>
      <c r="I48" t="s">
        <v>963</v>
      </c>
      <c r="J48">
        <v>0</v>
      </c>
      <c r="K48">
        <v>40</v>
      </c>
      <c r="L48">
        <v>33</v>
      </c>
      <c r="M48">
        <v>3</v>
      </c>
      <c r="N48" t="s">
        <v>963</v>
      </c>
      <c r="O48" t="s">
        <v>964</v>
      </c>
      <c r="P48" t="s">
        <v>962</v>
      </c>
    </row>
    <row r="49" spans="1:16" x14ac:dyDescent="0.35">
      <c r="A49" t="s">
        <v>1013</v>
      </c>
      <c r="B49" t="s">
        <v>59</v>
      </c>
      <c r="C49" t="s">
        <v>166</v>
      </c>
      <c r="D49" s="18">
        <v>45527</v>
      </c>
      <c r="E49" s="18">
        <v>45566</v>
      </c>
      <c r="F49">
        <v>6</v>
      </c>
      <c r="G49">
        <v>2</v>
      </c>
      <c r="H49">
        <v>125456</v>
      </c>
      <c r="I49" t="s">
        <v>962</v>
      </c>
      <c r="J49">
        <v>35</v>
      </c>
      <c r="K49">
        <v>160</v>
      </c>
      <c r="L49">
        <v>62</v>
      </c>
      <c r="M49">
        <v>4</v>
      </c>
      <c r="N49" t="s">
        <v>963</v>
      </c>
      <c r="O49" t="s">
        <v>964</v>
      </c>
      <c r="P49" t="s">
        <v>962</v>
      </c>
    </row>
    <row r="50" spans="1:16" x14ac:dyDescent="0.35">
      <c r="A50" t="s">
        <v>1014</v>
      </c>
      <c r="B50" t="s">
        <v>980</v>
      </c>
      <c r="C50" t="s">
        <v>108</v>
      </c>
      <c r="D50" s="18">
        <v>43845</v>
      </c>
      <c r="E50" s="18">
        <v>45828</v>
      </c>
      <c r="F50">
        <v>4</v>
      </c>
      <c r="G50">
        <v>3</v>
      </c>
      <c r="H50">
        <v>120685.69</v>
      </c>
      <c r="I50" t="s">
        <v>963</v>
      </c>
      <c r="J50">
        <v>0</v>
      </c>
      <c r="K50">
        <v>80</v>
      </c>
      <c r="L50">
        <v>76</v>
      </c>
      <c r="M50">
        <v>3</v>
      </c>
      <c r="N50" t="s">
        <v>962</v>
      </c>
      <c r="O50" t="s">
        <v>964</v>
      </c>
      <c r="P50" t="s">
        <v>962</v>
      </c>
    </row>
    <row r="51" spans="1:16" x14ac:dyDescent="0.35">
      <c r="A51" t="s">
        <v>1015</v>
      </c>
      <c r="B51" t="s">
        <v>64</v>
      </c>
      <c r="C51" t="s">
        <v>120</v>
      </c>
      <c r="D51" s="18">
        <v>44089</v>
      </c>
      <c r="E51" s="18">
        <v>45495</v>
      </c>
      <c r="F51">
        <v>8</v>
      </c>
      <c r="G51">
        <v>2</v>
      </c>
      <c r="H51">
        <v>105138.35</v>
      </c>
      <c r="I51" t="s">
        <v>963</v>
      </c>
      <c r="J51">
        <v>0</v>
      </c>
      <c r="K51">
        <v>160</v>
      </c>
      <c r="L51">
        <v>4</v>
      </c>
      <c r="M51">
        <v>1</v>
      </c>
      <c r="N51" t="s">
        <v>963</v>
      </c>
      <c r="O51" t="s">
        <v>964</v>
      </c>
      <c r="P51" t="s">
        <v>962</v>
      </c>
    </row>
    <row r="52" spans="1:16" x14ac:dyDescent="0.35">
      <c r="A52" t="s">
        <v>1016</v>
      </c>
      <c r="B52" t="s">
        <v>55</v>
      </c>
      <c r="C52" t="s">
        <v>120</v>
      </c>
      <c r="D52" s="18">
        <v>44355</v>
      </c>
      <c r="E52" s="18">
        <v>45556</v>
      </c>
      <c r="F52">
        <v>6</v>
      </c>
      <c r="G52">
        <v>4</v>
      </c>
      <c r="H52">
        <v>85253.58</v>
      </c>
      <c r="I52" t="s">
        <v>963</v>
      </c>
      <c r="J52">
        <v>0</v>
      </c>
      <c r="K52">
        <v>160</v>
      </c>
      <c r="L52">
        <v>140</v>
      </c>
      <c r="M52">
        <v>3</v>
      </c>
      <c r="N52" t="s">
        <v>963</v>
      </c>
      <c r="O52" t="s">
        <v>108</v>
      </c>
      <c r="P52" t="s">
        <v>963</v>
      </c>
    </row>
    <row r="53" spans="1:16" x14ac:dyDescent="0.35">
      <c r="A53" t="s">
        <v>1017</v>
      </c>
      <c r="B53" t="s">
        <v>62</v>
      </c>
      <c r="C53" t="s">
        <v>108</v>
      </c>
      <c r="D53" s="18">
        <v>44045</v>
      </c>
      <c r="E53" s="18">
        <v>44325</v>
      </c>
      <c r="F53">
        <v>4</v>
      </c>
      <c r="G53">
        <v>3</v>
      </c>
      <c r="H53">
        <v>22335.439999999999</v>
      </c>
      <c r="I53" t="s">
        <v>962</v>
      </c>
      <c r="J53">
        <v>24</v>
      </c>
      <c r="K53">
        <v>40</v>
      </c>
      <c r="L53">
        <v>30</v>
      </c>
      <c r="M53">
        <v>3</v>
      </c>
      <c r="N53" t="s">
        <v>963</v>
      </c>
      <c r="O53" t="s">
        <v>982</v>
      </c>
      <c r="P53" t="s">
        <v>962</v>
      </c>
    </row>
    <row r="54" spans="1:16" x14ac:dyDescent="0.35">
      <c r="A54" t="s">
        <v>1018</v>
      </c>
      <c r="B54" t="s">
        <v>62</v>
      </c>
      <c r="C54" t="s">
        <v>120</v>
      </c>
      <c r="D54" s="18">
        <v>44579</v>
      </c>
      <c r="E54" s="18">
        <v>44929</v>
      </c>
      <c r="F54">
        <v>5</v>
      </c>
      <c r="G54">
        <v>1</v>
      </c>
      <c r="H54">
        <v>107662.68</v>
      </c>
      <c r="I54" t="s">
        <v>962</v>
      </c>
      <c r="J54">
        <v>35</v>
      </c>
      <c r="K54">
        <v>0</v>
      </c>
      <c r="L54">
        <v>0</v>
      </c>
      <c r="M54">
        <v>1</v>
      </c>
      <c r="N54" t="s">
        <v>963</v>
      </c>
      <c r="O54" t="s">
        <v>108</v>
      </c>
      <c r="P54" t="s">
        <v>962</v>
      </c>
    </row>
    <row r="55" spans="1:16" x14ac:dyDescent="0.35">
      <c r="A55" t="s">
        <v>1019</v>
      </c>
      <c r="B55" t="s">
        <v>55</v>
      </c>
      <c r="C55" t="s">
        <v>108</v>
      </c>
      <c r="D55" s="18">
        <v>43521</v>
      </c>
      <c r="E55" s="18">
        <v>43516</v>
      </c>
      <c r="F55">
        <v>5</v>
      </c>
      <c r="G55">
        <v>4</v>
      </c>
      <c r="H55">
        <v>74413.56</v>
      </c>
      <c r="I55" t="s">
        <v>963</v>
      </c>
      <c r="J55">
        <v>0</v>
      </c>
      <c r="K55">
        <v>40</v>
      </c>
      <c r="L55">
        <v>3</v>
      </c>
      <c r="M55">
        <v>3</v>
      </c>
      <c r="N55" t="s">
        <v>963</v>
      </c>
      <c r="O55" t="s">
        <v>964</v>
      </c>
      <c r="P55" t="s">
        <v>962</v>
      </c>
    </row>
    <row r="56" spans="1:16" x14ac:dyDescent="0.35">
      <c r="A56" t="s">
        <v>1020</v>
      </c>
      <c r="B56" t="s">
        <v>57</v>
      </c>
      <c r="C56" t="s">
        <v>108</v>
      </c>
      <c r="D56" s="18">
        <v>45115</v>
      </c>
      <c r="E56" s="18">
        <v>45078</v>
      </c>
      <c r="F56">
        <v>1</v>
      </c>
      <c r="G56">
        <v>2</v>
      </c>
      <c r="H56">
        <v>26633.65</v>
      </c>
      <c r="I56" t="s">
        <v>963</v>
      </c>
      <c r="J56">
        <v>0</v>
      </c>
      <c r="K56">
        <v>0</v>
      </c>
      <c r="L56">
        <v>0</v>
      </c>
      <c r="M56">
        <v>2</v>
      </c>
      <c r="N56" t="s">
        <v>962</v>
      </c>
      <c r="O56" t="s">
        <v>964</v>
      </c>
      <c r="P56" t="s">
        <v>962</v>
      </c>
    </row>
    <row r="57" spans="1:16" x14ac:dyDescent="0.35">
      <c r="A57" t="s">
        <v>1021</v>
      </c>
      <c r="B57" t="s">
        <v>980</v>
      </c>
      <c r="C57" t="s">
        <v>166</v>
      </c>
      <c r="D57" s="18">
        <v>45542</v>
      </c>
      <c r="E57" s="18">
        <v>45925</v>
      </c>
      <c r="F57">
        <v>4</v>
      </c>
      <c r="G57">
        <v>4</v>
      </c>
      <c r="H57">
        <v>70324.600000000006</v>
      </c>
      <c r="I57" t="s">
        <v>963</v>
      </c>
      <c r="J57">
        <v>0</v>
      </c>
      <c r="K57">
        <v>80</v>
      </c>
      <c r="L57">
        <v>75</v>
      </c>
      <c r="M57">
        <v>4</v>
      </c>
      <c r="N57" t="s">
        <v>963</v>
      </c>
      <c r="O57" t="s">
        <v>964</v>
      </c>
      <c r="P57" t="s">
        <v>962</v>
      </c>
    </row>
    <row r="58" spans="1:16" x14ac:dyDescent="0.35">
      <c r="A58" t="s">
        <v>1022</v>
      </c>
      <c r="B58" t="s">
        <v>57</v>
      </c>
      <c r="C58" t="s">
        <v>166</v>
      </c>
      <c r="D58" s="18">
        <v>43507</v>
      </c>
      <c r="E58" s="18">
        <v>44317</v>
      </c>
      <c r="F58">
        <v>4</v>
      </c>
      <c r="G58">
        <v>3</v>
      </c>
      <c r="H58">
        <v>100762.08</v>
      </c>
      <c r="I58" t="s">
        <v>962</v>
      </c>
      <c r="J58">
        <v>30</v>
      </c>
      <c r="K58">
        <v>40</v>
      </c>
      <c r="L58">
        <v>35</v>
      </c>
      <c r="M58">
        <v>1</v>
      </c>
      <c r="N58" t="s">
        <v>962</v>
      </c>
      <c r="O58" t="s">
        <v>964</v>
      </c>
      <c r="P58" t="s">
        <v>962</v>
      </c>
    </row>
    <row r="59" spans="1:16" x14ac:dyDescent="0.35">
      <c r="A59" t="s">
        <v>1023</v>
      </c>
      <c r="B59" t="s">
        <v>980</v>
      </c>
      <c r="C59" t="s">
        <v>166</v>
      </c>
      <c r="D59" s="18">
        <v>45533</v>
      </c>
      <c r="E59" s="18">
        <v>45773</v>
      </c>
      <c r="F59">
        <v>5</v>
      </c>
      <c r="G59">
        <v>1</v>
      </c>
      <c r="H59">
        <v>38564.050000000003</v>
      </c>
      <c r="I59" t="s">
        <v>963</v>
      </c>
      <c r="J59">
        <v>0</v>
      </c>
      <c r="K59">
        <v>160</v>
      </c>
      <c r="L59">
        <v>18</v>
      </c>
      <c r="M59">
        <v>2</v>
      </c>
      <c r="N59" t="s">
        <v>963</v>
      </c>
      <c r="O59" t="s">
        <v>108</v>
      </c>
      <c r="P59" t="s">
        <v>962</v>
      </c>
    </row>
    <row r="60" spans="1:16" x14ac:dyDescent="0.35">
      <c r="A60" t="s">
        <v>1024</v>
      </c>
      <c r="B60" t="s">
        <v>980</v>
      </c>
      <c r="C60" t="s">
        <v>120</v>
      </c>
      <c r="D60" s="18">
        <v>45331</v>
      </c>
      <c r="E60" s="18">
        <v>45522</v>
      </c>
      <c r="F60">
        <v>3</v>
      </c>
      <c r="G60">
        <v>3</v>
      </c>
      <c r="H60">
        <v>124861.52</v>
      </c>
      <c r="I60" t="s">
        <v>962</v>
      </c>
      <c r="J60">
        <v>7</v>
      </c>
      <c r="K60">
        <v>40</v>
      </c>
      <c r="L60">
        <v>19</v>
      </c>
      <c r="M60">
        <v>5</v>
      </c>
      <c r="N60" t="s">
        <v>963</v>
      </c>
      <c r="O60" t="s">
        <v>964</v>
      </c>
      <c r="P60" t="s">
        <v>962</v>
      </c>
    </row>
    <row r="61" spans="1:16" x14ac:dyDescent="0.35">
      <c r="A61" t="s">
        <v>1025</v>
      </c>
      <c r="B61" t="s">
        <v>980</v>
      </c>
      <c r="C61" t="s">
        <v>166</v>
      </c>
      <c r="D61" s="18">
        <v>44346</v>
      </c>
      <c r="E61" s="18">
        <v>45630</v>
      </c>
      <c r="F61">
        <v>7</v>
      </c>
      <c r="G61">
        <v>3</v>
      </c>
      <c r="H61">
        <v>77568.47</v>
      </c>
      <c r="I61" t="s">
        <v>963</v>
      </c>
      <c r="J61">
        <v>0</v>
      </c>
      <c r="K61">
        <v>160</v>
      </c>
      <c r="L61">
        <v>20</v>
      </c>
      <c r="M61">
        <v>5</v>
      </c>
      <c r="N61" t="s">
        <v>962</v>
      </c>
      <c r="O61" t="s">
        <v>108</v>
      </c>
      <c r="P61" t="s">
        <v>963</v>
      </c>
    </row>
    <row r="62" spans="1:16" x14ac:dyDescent="0.35">
      <c r="A62" t="s">
        <v>1026</v>
      </c>
      <c r="B62" t="s">
        <v>61</v>
      </c>
      <c r="C62" t="s">
        <v>108</v>
      </c>
      <c r="D62" s="18">
        <v>43206</v>
      </c>
      <c r="E62" s="18">
        <v>43475</v>
      </c>
      <c r="F62">
        <v>4</v>
      </c>
      <c r="G62">
        <v>1</v>
      </c>
      <c r="H62">
        <v>149938</v>
      </c>
      <c r="I62" t="s">
        <v>963</v>
      </c>
      <c r="J62">
        <v>0</v>
      </c>
      <c r="K62">
        <v>0</v>
      </c>
      <c r="L62">
        <v>0</v>
      </c>
      <c r="M62">
        <v>2</v>
      </c>
      <c r="N62" t="s">
        <v>963</v>
      </c>
      <c r="O62" t="s">
        <v>964</v>
      </c>
      <c r="P62" t="s">
        <v>962</v>
      </c>
    </row>
    <row r="63" spans="1:16" x14ac:dyDescent="0.35">
      <c r="A63" t="s">
        <v>1027</v>
      </c>
      <c r="B63" t="s">
        <v>980</v>
      </c>
      <c r="C63" t="s">
        <v>108</v>
      </c>
      <c r="D63" s="18">
        <v>43844</v>
      </c>
      <c r="E63" s="18">
        <v>45616</v>
      </c>
      <c r="F63">
        <v>8</v>
      </c>
      <c r="G63">
        <v>1</v>
      </c>
      <c r="H63">
        <v>73151.509999999995</v>
      </c>
      <c r="I63" t="s">
        <v>963</v>
      </c>
      <c r="J63">
        <v>0</v>
      </c>
      <c r="K63">
        <v>80</v>
      </c>
      <c r="L63">
        <v>41</v>
      </c>
      <c r="M63">
        <v>1</v>
      </c>
      <c r="N63" t="s">
        <v>962</v>
      </c>
      <c r="O63" t="s">
        <v>964</v>
      </c>
      <c r="P63" t="s">
        <v>962</v>
      </c>
    </row>
    <row r="64" spans="1:16" x14ac:dyDescent="0.35">
      <c r="A64" t="s">
        <v>1028</v>
      </c>
      <c r="B64" t="s">
        <v>55</v>
      </c>
      <c r="C64" t="s">
        <v>108</v>
      </c>
      <c r="D64" s="18">
        <v>44281</v>
      </c>
      <c r="E64" s="18">
        <v>45553</v>
      </c>
      <c r="F64">
        <v>7</v>
      </c>
      <c r="G64">
        <v>1</v>
      </c>
      <c r="H64">
        <v>70949.759999999995</v>
      </c>
      <c r="I64" t="s">
        <v>963</v>
      </c>
      <c r="J64">
        <v>0</v>
      </c>
      <c r="K64">
        <v>80</v>
      </c>
      <c r="L64">
        <v>41</v>
      </c>
      <c r="M64">
        <v>1</v>
      </c>
      <c r="N64" t="s">
        <v>963</v>
      </c>
      <c r="O64" t="s">
        <v>108</v>
      </c>
      <c r="P64" t="s">
        <v>962</v>
      </c>
    </row>
    <row r="65" spans="1:16" x14ac:dyDescent="0.35">
      <c r="A65" t="s">
        <v>1029</v>
      </c>
      <c r="B65" t="s">
        <v>55</v>
      </c>
      <c r="C65" t="s">
        <v>166</v>
      </c>
      <c r="D65" s="18">
        <v>44993</v>
      </c>
      <c r="E65" s="18">
        <v>45773</v>
      </c>
      <c r="F65">
        <v>1</v>
      </c>
      <c r="G65">
        <v>2</v>
      </c>
      <c r="H65">
        <v>80173.710000000006</v>
      </c>
      <c r="I65" t="s">
        <v>963</v>
      </c>
      <c r="J65">
        <v>0</v>
      </c>
      <c r="K65">
        <v>160</v>
      </c>
      <c r="L65">
        <v>13</v>
      </c>
      <c r="M65">
        <v>2</v>
      </c>
      <c r="N65" t="s">
        <v>963</v>
      </c>
      <c r="O65" t="s">
        <v>964</v>
      </c>
      <c r="P65" t="s">
        <v>962</v>
      </c>
    </row>
    <row r="66" spans="1:16" x14ac:dyDescent="0.35">
      <c r="A66" t="s">
        <v>1030</v>
      </c>
      <c r="B66" t="s">
        <v>62</v>
      </c>
      <c r="C66" t="s">
        <v>108</v>
      </c>
      <c r="D66" s="18">
        <v>45086</v>
      </c>
      <c r="E66" s="18">
        <v>45175</v>
      </c>
      <c r="F66">
        <v>1</v>
      </c>
      <c r="G66">
        <v>2</v>
      </c>
      <c r="H66">
        <v>107918.51</v>
      </c>
      <c r="I66" t="s">
        <v>963</v>
      </c>
      <c r="J66">
        <v>0</v>
      </c>
      <c r="K66">
        <v>0</v>
      </c>
      <c r="L66">
        <v>0</v>
      </c>
      <c r="M66">
        <v>5</v>
      </c>
      <c r="N66" t="s">
        <v>963</v>
      </c>
      <c r="O66" t="s">
        <v>964</v>
      </c>
      <c r="P66" t="s">
        <v>962</v>
      </c>
    </row>
    <row r="67" spans="1:16" x14ac:dyDescent="0.35">
      <c r="A67" t="s">
        <v>1031</v>
      </c>
      <c r="B67" t="s">
        <v>59</v>
      </c>
      <c r="C67" t="s">
        <v>120</v>
      </c>
      <c r="D67" s="18">
        <v>44991</v>
      </c>
      <c r="E67" s="18">
        <v>45167</v>
      </c>
      <c r="F67">
        <v>3</v>
      </c>
      <c r="G67">
        <v>4</v>
      </c>
      <c r="H67">
        <v>140234.69</v>
      </c>
      <c r="I67" t="s">
        <v>963</v>
      </c>
      <c r="J67">
        <v>0</v>
      </c>
      <c r="K67">
        <v>80</v>
      </c>
      <c r="L67">
        <v>53</v>
      </c>
      <c r="M67">
        <v>4</v>
      </c>
      <c r="N67" t="s">
        <v>963</v>
      </c>
      <c r="O67" t="s">
        <v>964</v>
      </c>
      <c r="P67" t="s">
        <v>962</v>
      </c>
    </row>
    <row r="68" spans="1:16" x14ac:dyDescent="0.35">
      <c r="A68" t="s">
        <v>1032</v>
      </c>
      <c r="B68" t="s">
        <v>61</v>
      </c>
      <c r="C68" t="s">
        <v>120</v>
      </c>
      <c r="D68" s="18">
        <v>44672</v>
      </c>
      <c r="E68" s="18">
        <v>44952</v>
      </c>
      <c r="F68">
        <v>3</v>
      </c>
      <c r="G68">
        <v>1</v>
      </c>
      <c r="H68">
        <v>45055.87</v>
      </c>
      <c r="I68" t="s">
        <v>963</v>
      </c>
      <c r="J68">
        <v>0</v>
      </c>
      <c r="K68">
        <v>80</v>
      </c>
      <c r="L68">
        <v>64</v>
      </c>
      <c r="M68">
        <v>3</v>
      </c>
      <c r="N68" t="s">
        <v>962</v>
      </c>
      <c r="O68" t="s">
        <v>964</v>
      </c>
      <c r="P68" t="s">
        <v>962</v>
      </c>
    </row>
    <row r="69" spans="1:16" x14ac:dyDescent="0.35">
      <c r="A69" t="s">
        <v>1033</v>
      </c>
      <c r="B69" t="s">
        <v>62</v>
      </c>
      <c r="C69" t="s">
        <v>166</v>
      </c>
      <c r="D69" s="18">
        <v>45476</v>
      </c>
      <c r="E69" s="18">
        <v>45967</v>
      </c>
      <c r="F69">
        <v>8</v>
      </c>
      <c r="G69">
        <v>2</v>
      </c>
      <c r="H69">
        <v>69749.37</v>
      </c>
      <c r="I69" t="s">
        <v>963</v>
      </c>
      <c r="J69">
        <v>0</v>
      </c>
      <c r="K69">
        <v>80</v>
      </c>
      <c r="L69">
        <v>42</v>
      </c>
      <c r="M69">
        <v>5</v>
      </c>
      <c r="N69" t="s">
        <v>963</v>
      </c>
      <c r="O69" t="s">
        <v>964</v>
      </c>
      <c r="P69" t="s">
        <v>962</v>
      </c>
    </row>
    <row r="70" spans="1:16" x14ac:dyDescent="0.35">
      <c r="A70" t="s">
        <v>1034</v>
      </c>
      <c r="B70" t="s">
        <v>62</v>
      </c>
      <c r="C70" t="s">
        <v>120</v>
      </c>
      <c r="D70" s="18">
        <v>44079</v>
      </c>
      <c r="E70" s="18">
        <v>45399</v>
      </c>
      <c r="F70">
        <v>4</v>
      </c>
      <c r="G70">
        <v>4</v>
      </c>
      <c r="H70">
        <v>11328.86</v>
      </c>
      <c r="I70" t="s">
        <v>963</v>
      </c>
      <c r="J70">
        <v>0</v>
      </c>
      <c r="K70">
        <v>160</v>
      </c>
      <c r="L70">
        <v>98</v>
      </c>
      <c r="M70">
        <v>2</v>
      </c>
      <c r="N70" t="s">
        <v>963</v>
      </c>
      <c r="O70" t="s">
        <v>982</v>
      </c>
      <c r="P70" t="s">
        <v>962</v>
      </c>
    </row>
    <row r="71" spans="1:16" x14ac:dyDescent="0.35">
      <c r="A71" t="s">
        <v>1035</v>
      </c>
      <c r="B71" t="s">
        <v>61</v>
      </c>
      <c r="C71" t="s">
        <v>166</v>
      </c>
      <c r="D71" s="18">
        <v>44460</v>
      </c>
      <c r="E71" s="18">
        <v>45978</v>
      </c>
      <c r="F71">
        <v>2</v>
      </c>
      <c r="G71">
        <v>4</v>
      </c>
      <c r="H71">
        <v>19458.2</v>
      </c>
      <c r="I71" t="s">
        <v>963</v>
      </c>
      <c r="J71">
        <v>0</v>
      </c>
      <c r="K71">
        <v>0</v>
      </c>
      <c r="L71">
        <v>0</v>
      </c>
      <c r="M71">
        <v>2</v>
      </c>
      <c r="N71" t="s">
        <v>963</v>
      </c>
      <c r="O71" t="s">
        <v>108</v>
      </c>
      <c r="P71" t="s">
        <v>962</v>
      </c>
    </row>
    <row r="72" spans="1:16" x14ac:dyDescent="0.35">
      <c r="A72" t="s">
        <v>1036</v>
      </c>
      <c r="B72" t="s">
        <v>57</v>
      </c>
      <c r="C72" t="s">
        <v>108</v>
      </c>
      <c r="D72" s="18">
        <v>44186</v>
      </c>
      <c r="E72" s="18">
        <v>45217</v>
      </c>
      <c r="F72">
        <v>7</v>
      </c>
      <c r="G72">
        <v>1</v>
      </c>
      <c r="H72">
        <v>128505.97</v>
      </c>
      <c r="I72" t="s">
        <v>963</v>
      </c>
      <c r="J72">
        <v>0</v>
      </c>
      <c r="K72">
        <v>80</v>
      </c>
      <c r="L72">
        <v>80</v>
      </c>
      <c r="M72">
        <v>4</v>
      </c>
      <c r="N72" t="s">
        <v>962</v>
      </c>
      <c r="O72" t="s">
        <v>108</v>
      </c>
      <c r="P72" t="s">
        <v>962</v>
      </c>
    </row>
    <row r="73" spans="1:16" x14ac:dyDescent="0.35">
      <c r="A73" t="s">
        <v>1037</v>
      </c>
      <c r="B73" t="s">
        <v>55</v>
      </c>
      <c r="C73" t="s">
        <v>166</v>
      </c>
      <c r="D73" s="18">
        <v>44278</v>
      </c>
      <c r="E73" s="18">
        <v>44662</v>
      </c>
      <c r="F73">
        <v>2</v>
      </c>
      <c r="G73">
        <v>4</v>
      </c>
      <c r="H73">
        <v>146858.97</v>
      </c>
      <c r="I73" t="s">
        <v>962</v>
      </c>
      <c r="J73">
        <v>56</v>
      </c>
      <c r="K73">
        <v>40</v>
      </c>
      <c r="L73">
        <v>19</v>
      </c>
      <c r="M73">
        <v>1</v>
      </c>
      <c r="N73" t="s">
        <v>962</v>
      </c>
      <c r="O73" t="s">
        <v>964</v>
      </c>
      <c r="P73" t="s">
        <v>962</v>
      </c>
    </row>
    <row r="74" spans="1:16" x14ac:dyDescent="0.35">
      <c r="A74" t="s">
        <v>1038</v>
      </c>
      <c r="B74" t="s">
        <v>57</v>
      </c>
      <c r="C74" t="s">
        <v>108</v>
      </c>
      <c r="D74" s="18">
        <v>44569</v>
      </c>
      <c r="E74" s="18">
        <v>45329</v>
      </c>
      <c r="F74">
        <v>7</v>
      </c>
      <c r="G74">
        <v>2</v>
      </c>
      <c r="H74">
        <v>40408.629999999997</v>
      </c>
      <c r="I74" t="s">
        <v>963</v>
      </c>
      <c r="J74">
        <v>0</v>
      </c>
      <c r="K74">
        <v>40</v>
      </c>
      <c r="L74">
        <v>10</v>
      </c>
      <c r="M74">
        <v>2</v>
      </c>
      <c r="N74" t="s">
        <v>962</v>
      </c>
      <c r="O74" t="s">
        <v>108</v>
      </c>
      <c r="P74" t="s">
        <v>963</v>
      </c>
    </row>
    <row r="75" spans="1:16" x14ac:dyDescent="0.35">
      <c r="A75" t="s">
        <v>1039</v>
      </c>
      <c r="B75" t="s">
        <v>61</v>
      </c>
      <c r="C75" t="s">
        <v>166</v>
      </c>
      <c r="D75" s="18">
        <v>44087</v>
      </c>
      <c r="E75" s="18">
        <v>45869</v>
      </c>
      <c r="F75">
        <v>3</v>
      </c>
      <c r="G75">
        <v>2</v>
      </c>
      <c r="H75">
        <v>71866.740000000005</v>
      </c>
      <c r="I75" t="s">
        <v>963</v>
      </c>
      <c r="J75">
        <v>0</v>
      </c>
      <c r="K75">
        <v>160</v>
      </c>
      <c r="L75">
        <v>65</v>
      </c>
      <c r="M75">
        <v>1</v>
      </c>
      <c r="N75" t="s">
        <v>963</v>
      </c>
      <c r="O75" t="s">
        <v>982</v>
      </c>
      <c r="P75" t="s">
        <v>962</v>
      </c>
    </row>
    <row r="76" spans="1:16" x14ac:dyDescent="0.35">
      <c r="A76" t="s">
        <v>1040</v>
      </c>
      <c r="B76" t="s">
        <v>57</v>
      </c>
      <c r="C76" t="s">
        <v>108</v>
      </c>
      <c r="D76" s="18">
        <v>44516</v>
      </c>
      <c r="E76" s="18">
        <v>45400</v>
      </c>
      <c r="F76">
        <v>5</v>
      </c>
      <c r="G76">
        <v>4</v>
      </c>
      <c r="H76">
        <v>105095.46</v>
      </c>
      <c r="I76" t="s">
        <v>963</v>
      </c>
      <c r="J76">
        <v>0</v>
      </c>
      <c r="K76">
        <v>80</v>
      </c>
      <c r="L76">
        <v>25</v>
      </c>
      <c r="M76">
        <v>4</v>
      </c>
      <c r="N76" t="s">
        <v>963</v>
      </c>
      <c r="O76" t="s">
        <v>964</v>
      </c>
      <c r="P76" t="s">
        <v>962</v>
      </c>
    </row>
    <row r="77" spans="1:16" x14ac:dyDescent="0.35">
      <c r="A77" t="s">
        <v>1041</v>
      </c>
      <c r="B77" t="s">
        <v>980</v>
      </c>
      <c r="C77" t="s">
        <v>166</v>
      </c>
      <c r="D77" s="18">
        <v>44571</v>
      </c>
      <c r="E77" s="18">
        <v>45739</v>
      </c>
      <c r="F77">
        <v>5</v>
      </c>
      <c r="G77">
        <v>3</v>
      </c>
      <c r="H77">
        <v>8181.24</v>
      </c>
      <c r="I77" t="s">
        <v>963</v>
      </c>
      <c r="J77">
        <v>0</v>
      </c>
      <c r="K77">
        <v>80</v>
      </c>
      <c r="L77">
        <v>1</v>
      </c>
      <c r="M77">
        <v>5</v>
      </c>
      <c r="N77" t="s">
        <v>962</v>
      </c>
      <c r="O77" t="s">
        <v>982</v>
      </c>
      <c r="P77" t="s">
        <v>963</v>
      </c>
    </row>
    <row r="78" spans="1:16" x14ac:dyDescent="0.35">
      <c r="A78" t="s">
        <v>1042</v>
      </c>
      <c r="B78" t="s">
        <v>59</v>
      </c>
      <c r="C78" t="s">
        <v>108</v>
      </c>
      <c r="D78" s="18">
        <v>44043</v>
      </c>
      <c r="E78" s="18">
        <v>45274</v>
      </c>
      <c r="F78">
        <v>4</v>
      </c>
      <c r="G78">
        <v>2</v>
      </c>
      <c r="H78">
        <v>95029.22</v>
      </c>
      <c r="I78" t="s">
        <v>962</v>
      </c>
      <c r="J78">
        <v>80</v>
      </c>
      <c r="K78">
        <v>0</v>
      </c>
      <c r="L78">
        <v>0</v>
      </c>
      <c r="M78">
        <v>1</v>
      </c>
      <c r="N78" t="s">
        <v>963</v>
      </c>
      <c r="O78" t="s">
        <v>108</v>
      </c>
      <c r="P78" t="s">
        <v>962</v>
      </c>
    </row>
    <row r="79" spans="1:16" x14ac:dyDescent="0.35">
      <c r="A79" t="s">
        <v>1043</v>
      </c>
      <c r="B79" t="s">
        <v>61</v>
      </c>
      <c r="C79" t="s">
        <v>108</v>
      </c>
      <c r="D79" s="18">
        <v>43639</v>
      </c>
      <c r="E79" s="18">
        <v>43835</v>
      </c>
      <c r="F79">
        <v>5</v>
      </c>
      <c r="G79">
        <v>3</v>
      </c>
      <c r="H79">
        <v>113384.73</v>
      </c>
      <c r="I79" t="s">
        <v>962</v>
      </c>
      <c r="J79">
        <v>25</v>
      </c>
      <c r="K79">
        <v>40</v>
      </c>
      <c r="L79">
        <v>34</v>
      </c>
      <c r="M79">
        <v>3</v>
      </c>
      <c r="N79" t="s">
        <v>963</v>
      </c>
      <c r="O79" t="s">
        <v>108</v>
      </c>
      <c r="P79" t="s">
        <v>963</v>
      </c>
    </row>
    <row r="80" spans="1:16" x14ac:dyDescent="0.35">
      <c r="A80" t="s">
        <v>1044</v>
      </c>
      <c r="B80" t="s">
        <v>59</v>
      </c>
      <c r="C80" t="s">
        <v>108</v>
      </c>
      <c r="D80" s="18">
        <v>44309</v>
      </c>
      <c r="E80" s="18">
        <v>45725</v>
      </c>
      <c r="F80">
        <v>6</v>
      </c>
      <c r="G80">
        <v>1</v>
      </c>
      <c r="H80">
        <v>72908.05</v>
      </c>
      <c r="I80" t="s">
        <v>962</v>
      </c>
      <c r="J80">
        <v>18</v>
      </c>
      <c r="K80">
        <v>40</v>
      </c>
      <c r="L80">
        <v>25</v>
      </c>
      <c r="M80">
        <v>5</v>
      </c>
      <c r="N80" t="s">
        <v>963</v>
      </c>
      <c r="O80" t="s">
        <v>964</v>
      </c>
      <c r="P80" t="s">
        <v>962</v>
      </c>
    </row>
    <row r="81" spans="1:16" x14ac:dyDescent="0.35">
      <c r="A81" t="s">
        <v>1045</v>
      </c>
      <c r="B81" t="s">
        <v>980</v>
      </c>
      <c r="C81" t="s">
        <v>120</v>
      </c>
      <c r="D81" s="18">
        <v>44184</v>
      </c>
      <c r="E81" s="18">
        <v>44337</v>
      </c>
      <c r="F81">
        <v>8</v>
      </c>
      <c r="G81">
        <v>3</v>
      </c>
      <c r="H81">
        <v>102560.12</v>
      </c>
      <c r="I81" t="s">
        <v>963</v>
      </c>
      <c r="J81">
        <v>0</v>
      </c>
      <c r="K81">
        <v>160</v>
      </c>
      <c r="L81">
        <v>95</v>
      </c>
      <c r="M81">
        <v>1</v>
      </c>
      <c r="N81" t="s">
        <v>962</v>
      </c>
      <c r="O81" t="s">
        <v>964</v>
      </c>
      <c r="P81" t="s">
        <v>962</v>
      </c>
    </row>
    <row r="82" spans="1:16" x14ac:dyDescent="0.35">
      <c r="A82" t="s">
        <v>1046</v>
      </c>
      <c r="B82" t="s">
        <v>61</v>
      </c>
      <c r="C82" t="s">
        <v>166</v>
      </c>
      <c r="D82" s="18">
        <v>44444</v>
      </c>
      <c r="E82" s="18">
        <v>45446</v>
      </c>
      <c r="F82">
        <v>4</v>
      </c>
      <c r="G82">
        <v>1</v>
      </c>
      <c r="H82">
        <v>97133.57</v>
      </c>
      <c r="I82" t="s">
        <v>963</v>
      </c>
      <c r="J82">
        <v>0</v>
      </c>
      <c r="K82">
        <v>80</v>
      </c>
      <c r="L82">
        <v>52</v>
      </c>
      <c r="M82">
        <v>1</v>
      </c>
      <c r="N82" t="s">
        <v>962</v>
      </c>
      <c r="O82" t="s">
        <v>964</v>
      </c>
      <c r="P82" t="s">
        <v>962</v>
      </c>
    </row>
    <row r="83" spans="1:16" x14ac:dyDescent="0.35">
      <c r="A83" t="s">
        <v>1047</v>
      </c>
      <c r="B83" t="s">
        <v>57</v>
      </c>
      <c r="C83" t="s">
        <v>108</v>
      </c>
      <c r="D83" s="18">
        <v>45118</v>
      </c>
      <c r="E83" s="18">
        <v>45164</v>
      </c>
      <c r="F83">
        <v>2</v>
      </c>
      <c r="G83">
        <v>2</v>
      </c>
      <c r="H83">
        <v>133652.6</v>
      </c>
      <c r="I83" t="s">
        <v>962</v>
      </c>
      <c r="J83">
        <v>49</v>
      </c>
      <c r="K83">
        <v>160</v>
      </c>
      <c r="L83">
        <v>94</v>
      </c>
      <c r="M83">
        <v>5</v>
      </c>
      <c r="N83" t="s">
        <v>963</v>
      </c>
      <c r="O83" t="s">
        <v>964</v>
      </c>
      <c r="P83" t="s">
        <v>962</v>
      </c>
    </row>
    <row r="84" spans="1:16" x14ac:dyDescent="0.35">
      <c r="A84" t="s">
        <v>1048</v>
      </c>
      <c r="B84" t="s">
        <v>55</v>
      </c>
      <c r="C84" t="s">
        <v>120</v>
      </c>
      <c r="D84" s="18">
        <v>44800</v>
      </c>
      <c r="E84" s="18">
        <v>45903</v>
      </c>
      <c r="F84">
        <v>2</v>
      </c>
      <c r="G84">
        <v>4</v>
      </c>
      <c r="H84">
        <v>94269.57</v>
      </c>
      <c r="I84" t="s">
        <v>963</v>
      </c>
      <c r="J84">
        <v>0</v>
      </c>
      <c r="K84">
        <v>0</v>
      </c>
      <c r="L84">
        <v>0</v>
      </c>
      <c r="M84">
        <v>3</v>
      </c>
      <c r="N84" t="s">
        <v>962</v>
      </c>
      <c r="O84" t="s">
        <v>964</v>
      </c>
      <c r="P84" t="s">
        <v>962</v>
      </c>
    </row>
    <row r="85" spans="1:16" x14ac:dyDescent="0.35">
      <c r="A85" t="s">
        <v>1049</v>
      </c>
      <c r="B85" t="s">
        <v>64</v>
      </c>
      <c r="C85" t="s">
        <v>108</v>
      </c>
      <c r="D85" s="18">
        <v>43507</v>
      </c>
      <c r="E85" s="18">
        <v>44970</v>
      </c>
      <c r="F85">
        <v>6</v>
      </c>
      <c r="G85">
        <v>1</v>
      </c>
      <c r="H85">
        <v>62730.25</v>
      </c>
      <c r="I85" t="s">
        <v>962</v>
      </c>
      <c r="J85">
        <v>15</v>
      </c>
      <c r="K85">
        <v>160</v>
      </c>
      <c r="L85">
        <v>23</v>
      </c>
      <c r="M85">
        <v>2</v>
      </c>
      <c r="N85" t="s">
        <v>962</v>
      </c>
      <c r="O85" t="s">
        <v>964</v>
      </c>
      <c r="P85" t="s">
        <v>962</v>
      </c>
    </row>
    <row r="86" spans="1:16" x14ac:dyDescent="0.35">
      <c r="A86" t="s">
        <v>1050</v>
      </c>
      <c r="B86" t="s">
        <v>62</v>
      </c>
      <c r="C86" t="s">
        <v>120</v>
      </c>
      <c r="D86" s="18">
        <v>43616</v>
      </c>
      <c r="E86" s="18">
        <v>45778</v>
      </c>
      <c r="F86">
        <v>4</v>
      </c>
      <c r="G86">
        <v>1</v>
      </c>
      <c r="H86">
        <v>125323.59</v>
      </c>
      <c r="I86" t="s">
        <v>962</v>
      </c>
      <c r="J86">
        <v>75</v>
      </c>
      <c r="K86">
        <v>40</v>
      </c>
      <c r="L86">
        <v>14</v>
      </c>
      <c r="M86">
        <v>3</v>
      </c>
      <c r="N86" t="s">
        <v>962</v>
      </c>
      <c r="O86" t="s">
        <v>108</v>
      </c>
      <c r="P86" t="s">
        <v>962</v>
      </c>
    </row>
    <row r="87" spans="1:16" x14ac:dyDescent="0.35">
      <c r="A87" t="s">
        <v>1051</v>
      </c>
      <c r="B87" t="s">
        <v>62</v>
      </c>
      <c r="C87" t="s">
        <v>120</v>
      </c>
      <c r="D87" s="18">
        <v>43633</v>
      </c>
      <c r="E87" s="18">
        <v>45678</v>
      </c>
      <c r="F87">
        <v>5</v>
      </c>
      <c r="G87">
        <v>2</v>
      </c>
      <c r="H87">
        <v>20939.32</v>
      </c>
      <c r="I87" t="s">
        <v>962</v>
      </c>
      <c r="J87">
        <v>16</v>
      </c>
      <c r="K87">
        <v>0</v>
      </c>
      <c r="L87">
        <v>0</v>
      </c>
      <c r="M87">
        <v>3</v>
      </c>
      <c r="N87" t="s">
        <v>962</v>
      </c>
      <c r="O87" t="s">
        <v>964</v>
      </c>
      <c r="P87" t="s">
        <v>962</v>
      </c>
    </row>
    <row r="88" spans="1:16" x14ac:dyDescent="0.35">
      <c r="A88" t="s">
        <v>1052</v>
      </c>
      <c r="B88" t="s">
        <v>57</v>
      </c>
      <c r="C88" t="s">
        <v>120</v>
      </c>
      <c r="D88" s="18">
        <v>44187</v>
      </c>
      <c r="E88" s="18">
        <v>44045</v>
      </c>
      <c r="F88">
        <v>3</v>
      </c>
      <c r="G88">
        <v>4</v>
      </c>
      <c r="H88">
        <v>81282.399999999994</v>
      </c>
      <c r="I88" t="s">
        <v>962</v>
      </c>
      <c r="J88">
        <v>60</v>
      </c>
      <c r="K88">
        <v>160</v>
      </c>
      <c r="L88">
        <v>92</v>
      </c>
      <c r="M88">
        <v>5</v>
      </c>
      <c r="N88" t="s">
        <v>962</v>
      </c>
      <c r="O88" t="s">
        <v>964</v>
      </c>
      <c r="P88" t="s">
        <v>962</v>
      </c>
    </row>
    <row r="89" spans="1:16" x14ac:dyDescent="0.35">
      <c r="A89" t="s">
        <v>1053</v>
      </c>
      <c r="B89" t="s">
        <v>64</v>
      </c>
      <c r="C89" t="s">
        <v>166</v>
      </c>
      <c r="D89" s="18">
        <v>43278</v>
      </c>
      <c r="E89" s="18">
        <v>45799</v>
      </c>
      <c r="F89">
        <v>5</v>
      </c>
      <c r="G89">
        <v>4</v>
      </c>
      <c r="H89">
        <v>98284.4</v>
      </c>
      <c r="I89" t="s">
        <v>962</v>
      </c>
      <c r="J89">
        <v>7</v>
      </c>
      <c r="K89">
        <v>160</v>
      </c>
      <c r="L89">
        <v>102</v>
      </c>
      <c r="M89">
        <v>4</v>
      </c>
      <c r="N89" t="s">
        <v>962</v>
      </c>
      <c r="O89" t="s">
        <v>964</v>
      </c>
      <c r="P89" t="s">
        <v>962</v>
      </c>
    </row>
    <row r="90" spans="1:16" x14ac:dyDescent="0.35">
      <c r="A90" t="s">
        <v>1054</v>
      </c>
      <c r="B90" t="s">
        <v>980</v>
      </c>
      <c r="C90" t="s">
        <v>120</v>
      </c>
      <c r="D90" s="18">
        <v>43431</v>
      </c>
      <c r="E90" s="18">
        <v>44420</v>
      </c>
      <c r="F90">
        <v>3</v>
      </c>
      <c r="G90">
        <v>1</v>
      </c>
      <c r="H90">
        <v>23297.78</v>
      </c>
      <c r="I90" t="s">
        <v>963</v>
      </c>
      <c r="J90">
        <v>0</v>
      </c>
      <c r="K90">
        <v>160</v>
      </c>
      <c r="L90">
        <v>152</v>
      </c>
      <c r="M90">
        <v>5</v>
      </c>
      <c r="N90" t="s">
        <v>963</v>
      </c>
      <c r="O90" t="s">
        <v>964</v>
      </c>
      <c r="P90" t="s">
        <v>962</v>
      </c>
    </row>
    <row r="91" spans="1:16" x14ac:dyDescent="0.35">
      <c r="A91" t="s">
        <v>1055</v>
      </c>
      <c r="B91" t="s">
        <v>61</v>
      </c>
      <c r="C91" t="s">
        <v>108</v>
      </c>
      <c r="D91" s="18">
        <v>43507</v>
      </c>
      <c r="E91" s="18">
        <v>43934</v>
      </c>
      <c r="F91">
        <v>4</v>
      </c>
      <c r="G91">
        <v>4</v>
      </c>
      <c r="H91">
        <v>70475.460000000006</v>
      </c>
      <c r="I91" t="s">
        <v>962</v>
      </c>
      <c r="J91">
        <v>52</v>
      </c>
      <c r="K91">
        <v>80</v>
      </c>
      <c r="L91">
        <v>58</v>
      </c>
      <c r="M91">
        <v>4</v>
      </c>
      <c r="N91" t="s">
        <v>963</v>
      </c>
      <c r="O91" t="s">
        <v>108</v>
      </c>
      <c r="P91" t="s">
        <v>963</v>
      </c>
    </row>
    <row r="92" spans="1:16" x14ac:dyDescent="0.35">
      <c r="A92" t="s">
        <v>1056</v>
      </c>
      <c r="B92" t="s">
        <v>980</v>
      </c>
      <c r="C92" t="s">
        <v>108</v>
      </c>
      <c r="D92" s="18">
        <v>44145</v>
      </c>
      <c r="E92" s="18">
        <v>45364</v>
      </c>
      <c r="F92">
        <v>3</v>
      </c>
      <c r="G92">
        <v>4</v>
      </c>
      <c r="H92">
        <v>14734.33</v>
      </c>
      <c r="I92" t="s">
        <v>962</v>
      </c>
      <c r="J92">
        <v>11</v>
      </c>
      <c r="K92">
        <v>160</v>
      </c>
      <c r="L92">
        <v>24</v>
      </c>
      <c r="M92">
        <v>3</v>
      </c>
      <c r="N92" t="s">
        <v>962</v>
      </c>
      <c r="O92" t="s">
        <v>964</v>
      </c>
      <c r="P92" t="s">
        <v>962</v>
      </c>
    </row>
    <row r="93" spans="1:16" x14ac:dyDescent="0.35">
      <c r="A93" t="s">
        <v>1057</v>
      </c>
      <c r="B93" t="s">
        <v>61</v>
      </c>
      <c r="C93" t="s">
        <v>166</v>
      </c>
      <c r="D93" s="18">
        <v>45401</v>
      </c>
      <c r="E93" s="18">
        <v>45629</v>
      </c>
      <c r="F93">
        <v>2</v>
      </c>
      <c r="G93">
        <v>4</v>
      </c>
      <c r="H93">
        <v>56271.72</v>
      </c>
      <c r="I93" t="s">
        <v>963</v>
      </c>
      <c r="J93">
        <v>0</v>
      </c>
      <c r="K93">
        <v>0</v>
      </c>
      <c r="L93">
        <v>0</v>
      </c>
      <c r="M93">
        <v>3</v>
      </c>
      <c r="N93" t="s">
        <v>963</v>
      </c>
      <c r="O93" t="s">
        <v>964</v>
      </c>
      <c r="P93" t="s">
        <v>962</v>
      </c>
    </row>
    <row r="94" spans="1:16" x14ac:dyDescent="0.35">
      <c r="A94" t="s">
        <v>1058</v>
      </c>
      <c r="B94" t="s">
        <v>61</v>
      </c>
      <c r="C94" t="s">
        <v>166</v>
      </c>
      <c r="D94" s="18">
        <v>43972</v>
      </c>
      <c r="E94" s="18">
        <v>44464</v>
      </c>
      <c r="F94">
        <v>8</v>
      </c>
      <c r="G94">
        <v>2</v>
      </c>
      <c r="H94">
        <v>127854.85</v>
      </c>
      <c r="I94" t="s">
        <v>963</v>
      </c>
      <c r="J94">
        <v>0</v>
      </c>
      <c r="K94">
        <v>80</v>
      </c>
      <c r="L94">
        <v>14</v>
      </c>
      <c r="M94">
        <v>3</v>
      </c>
      <c r="N94" t="s">
        <v>962</v>
      </c>
      <c r="O94" t="s">
        <v>108</v>
      </c>
      <c r="P94" t="s">
        <v>962</v>
      </c>
    </row>
    <row r="95" spans="1:16" x14ac:dyDescent="0.35">
      <c r="A95" t="s">
        <v>1059</v>
      </c>
      <c r="B95" t="s">
        <v>61</v>
      </c>
      <c r="C95" t="s">
        <v>166</v>
      </c>
      <c r="D95" s="18">
        <v>44196</v>
      </c>
      <c r="E95" s="18">
        <v>43949</v>
      </c>
      <c r="F95">
        <v>3</v>
      </c>
      <c r="G95">
        <v>3</v>
      </c>
      <c r="H95">
        <v>106891.32</v>
      </c>
      <c r="I95" t="s">
        <v>963</v>
      </c>
      <c r="J95">
        <v>0</v>
      </c>
      <c r="K95">
        <v>80</v>
      </c>
      <c r="L95">
        <v>44</v>
      </c>
      <c r="M95">
        <v>1</v>
      </c>
      <c r="N95" t="s">
        <v>962</v>
      </c>
      <c r="O95" t="s">
        <v>108</v>
      </c>
      <c r="P95" t="s">
        <v>963</v>
      </c>
    </row>
    <row r="96" spans="1:16" x14ac:dyDescent="0.35">
      <c r="A96" t="s">
        <v>1060</v>
      </c>
      <c r="B96" t="s">
        <v>57</v>
      </c>
      <c r="C96" t="s">
        <v>120</v>
      </c>
      <c r="D96" s="18">
        <v>43226</v>
      </c>
      <c r="E96" s="18">
        <v>43476</v>
      </c>
      <c r="F96">
        <v>4</v>
      </c>
      <c r="G96">
        <v>4</v>
      </c>
      <c r="H96">
        <v>65875.710000000006</v>
      </c>
      <c r="I96" t="s">
        <v>963</v>
      </c>
      <c r="J96">
        <v>0</v>
      </c>
      <c r="K96">
        <v>40</v>
      </c>
      <c r="L96">
        <v>23</v>
      </c>
      <c r="M96">
        <v>3</v>
      </c>
      <c r="N96" t="s">
        <v>963</v>
      </c>
      <c r="O96" t="s">
        <v>108</v>
      </c>
      <c r="P96" t="s">
        <v>962</v>
      </c>
    </row>
    <row r="97" spans="1:16" x14ac:dyDescent="0.35">
      <c r="A97" t="s">
        <v>1061</v>
      </c>
      <c r="B97" t="s">
        <v>57</v>
      </c>
      <c r="C97" t="s">
        <v>120</v>
      </c>
      <c r="D97" s="18">
        <v>43745</v>
      </c>
      <c r="E97" s="18">
        <v>45996</v>
      </c>
      <c r="F97">
        <v>1</v>
      </c>
      <c r="G97">
        <v>1</v>
      </c>
      <c r="H97">
        <v>44454.91</v>
      </c>
      <c r="I97" t="s">
        <v>963</v>
      </c>
      <c r="J97">
        <v>0</v>
      </c>
      <c r="K97">
        <v>160</v>
      </c>
      <c r="L97">
        <v>155</v>
      </c>
      <c r="M97">
        <v>4</v>
      </c>
      <c r="N97" t="s">
        <v>963</v>
      </c>
      <c r="O97" t="s">
        <v>964</v>
      </c>
      <c r="P97" t="s">
        <v>962</v>
      </c>
    </row>
    <row r="98" spans="1:16" x14ac:dyDescent="0.35">
      <c r="A98" t="s">
        <v>1062</v>
      </c>
      <c r="B98" t="s">
        <v>59</v>
      </c>
      <c r="C98" t="s">
        <v>166</v>
      </c>
      <c r="D98" s="18">
        <v>43567</v>
      </c>
      <c r="E98" s="18">
        <v>44879</v>
      </c>
      <c r="F98">
        <v>7</v>
      </c>
      <c r="G98">
        <v>1</v>
      </c>
      <c r="H98">
        <v>46070.74</v>
      </c>
      <c r="I98" t="s">
        <v>963</v>
      </c>
      <c r="J98">
        <v>0</v>
      </c>
      <c r="K98">
        <v>80</v>
      </c>
      <c r="L98">
        <v>5</v>
      </c>
      <c r="M98">
        <v>2</v>
      </c>
      <c r="N98" t="s">
        <v>963</v>
      </c>
      <c r="O98" t="s">
        <v>982</v>
      </c>
      <c r="P98" t="s">
        <v>962</v>
      </c>
    </row>
    <row r="99" spans="1:16" x14ac:dyDescent="0.35">
      <c r="A99" t="s">
        <v>1063</v>
      </c>
      <c r="B99" t="s">
        <v>57</v>
      </c>
      <c r="C99" t="s">
        <v>120</v>
      </c>
      <c r="D99" s="18">
        <v>44335</v>
      </c>
      <c r="E99" s="18">
        <v>44629</v>
      </c>
      <c r="F99">
        <v>3</v>
      </c>
      <c r="G99">
        <v>3</v>
      </c>
      <c r="H99">
        <v>46969.83</v>
      </c>
      <c r="I99" t="s">
        <v>962</v>
      </c>
      <c r="J99">
        <v>0</v>
      </c>
      <c r="K99">
        <v>160</v>
      </c>
      <c r="L99">
        <v>110</v>
      </c>
      <c r="M99">
        <v>2</v>
      </c>
      <c r="N99" t="s">
        <v>962</v>
      </c>
      <c r="O99" t="s">
        <v>964</v>
      </c>
      <c r="P99" t="s">
        <v>962</v>
      </c>
    </row>
    <row r="100" spans="1:16" x14ac:dyDescent="0.35">
      <c r="A100" t="s">
        <v>1064</v>
      </c>
      <c r="B100" t="s">
        <v>55</v>
      </c>
      <c r="C100" t="s">
        <v>120</v>
      </c>
      <c r="D100" s="18">
        <v>45150</v>
      </c>
      <c r="E100" s="18">
        <v>45652</v>
      </c>
      <c r="F100">
        <v>2</v>
      </c>
      <c r="G100">
        <v>4</v>
      </c>
      <c r="H100">
        <v>129955.83</v>
      </c>
      <c r="I100" t="s">
        <v>962</v>
      </c>
      <c r="J100">
        <v>55</v>
      </c>
      <c r="K100">
        <v>0</v>
      </c>
      <c r="L100">
        <v>0</v>
      </c>
      <c r="M100">
        <v>4</v>
      </c>
      <c r="N100" t="s">
        <v>962</v>
      </c>
      <c r="O100" t="s">
        <v>108</v>
      </c>
      <c r="P100" t="s">
        <v>963</v>
      </c>
    </row>
    <row r="101" spans="1:16" x14ac:dyDescent="0.35">
      <c r="A101" t="s">
        <v>1065</v>
      </c>
      <c r="B101" t="s">
        <v>61</v>
      </c>
      <c r="C101" t="s">
        <v>108</v>
      </c>
      <c r="D101" s="18">
        <v>44811</v>
      </c>
      <c r="E101" s="18">
        <v>45154</v>
      </c>
      <c r="F101">
        <v>2</v>
      </c>
      <c r="G101">
        <v>4</v>
      </c>
      <c r="H101">
        <v>8024.2</v>
      </c>
      <c r="I101" t="s">
        <v>963</v>
      </c>
      <c r="J101">
        <v>0</v>
      </c>
      <c r="K101">
        <v>40</v>
      </c>
      <c r="L101">
        <v>39</v>
      </c>
      <c r="M101">
        <v>4</v>
      </c>
      <c r="N101" t="s">
        <v>963</v>
      </c>
      <c r="O101" t="s">
        <v>964</v>
      </c>
      <c r="P101" t="s">
        <v>962</v>
      </c>
    </row>
    <row r="102" spans="1:16" x14ac:dyDescent="0.35">
      <c r="A102" t="s">
        <v>1066</v>
      </c>
      <c r="B102" t="s">
        <v>59</v>
      </c>
      <c r="C102" t="s">
        <v>120</v>
      </c>
      <c r="D102" s="18">
        <v>44097</v>
      </c>
      <c r="E102" s="18">
        <v>45615</v>
      </c>
      <c r="F102">
        <v>7</v>
      </c>
      <c r="G102">
        <v>1</v>
      </c>
      <c r="H102">
        <v>62386.17</v>
      </c>
      <c r="I102" t="s">
        <v>963</v>
      </c>
      <c r="J102">
        <v>0</v>
      </c>
      <c r="K102">
        <v>80</v>
      </c>
      <c r="L102">
        <v>28</v>
      </c>
      <c r="M102">
        <v>3</v>
      </c>
      <c r="N102" t="s">
        <v>962</v>
      </c>
      <c r="O102" t="s">
        <v>964</v>
      </c>
      <c r="P102" t="s">
        <v>962</v>
      </c>
    </row>
    <row r="103" spans="1:16" x14ac:dyDescent="0.35">
      <c r="A103" t="s">
        <v>1067</v>
      </c>
      <c r="B103" t="s">
        <v>55</v>
      </c>
      <c r="C103" t="s">
        <v>120</v>
      </c>
      <c r="D103" s="18">
        <v>45274</v>
      </c>
      <c r="E103" s="18">
        <v>45971</v>
      </c>
      <c r="F103">
        <v>4</v>
      </c>
      <c r="G103">
        <v>3</v>
      </c>
      <c r="H103">
        <v>55909.46</v>
      </c>
      <c r="I103" t="s">
        <v>962</v>
      </c>
      <c r="J103">
        <v>30</v>
      </c>
      <c r="K103">
        <v>0</v>
      </c>
      <c r="L103">
        <v>0</v>
      </c>
      <c r="M103">
        <v>2</v>
      </c>
      <c r="N103" t="s">
        <v>963</v>
      </c>
      <c r="O103" t="s">
        <v>964</v>
      </c>
      <c r="P103" t="s">
        <v>962</v>
      </c>
    </row>
    <row r="104" spans="1:16" x14ac:dyDescent="0.35">
      <c r="A104" t="s">
        <v>1068</v>
      </c>
      <c r="B104" t="s">
        <v>61</v>
      </c>
      <c r="C104" t="s">
        <v>120</v>
      </c>
      <c r="D104" s="18">
        <v>43409</v>
      </c>
      <c r="E104" s="18">
        <v>43826</v>
      </c>
      <c r="F104">
        <v>8</v>
      </c>
      <c r="G104">
        <v>4</v>
      </c>
      <c r="H104">
        <v>114394.64</v>
      </c>
      <c r="I104" t="s">
        <v>963</v>
      </c>
      <c r="J104">
        <v>0</v>
      </c>
      <c r="K104">
        <v>80</v>
      </c>
      <c r="L104">
        <v>80</v>
      </c>
      <c r="M104">
        <v>3</v>
      </c>
      <c r="N104" t="s">
        <v>962</v>
      </c>
      <c r="O104" t="s">
        <v>964</v>
      </c>
      <c r="P104" t="s">
        <v>962</v>
      </c>
    </row>
    <row r="105" spans="1:16" x14ac:dyDescent="0.35">
      <c r="A105" t="s">
        <v>1069</v>
      </c>
      <c r="B105" t="s">
        <v>980</v>
      </c>
      <c r="C105" t="s">
        <v>108</v>
      </c>
      <c r="D105" s="18">
        <v>44341</v>
      </c>
      <c r="E105" s="18">
        <v>45827</v>
      </c>
      <c r="F105">
        <v>5</v>
      </c>
      <c r="G105">
        <v>1</v>
      </c>
      <c r="H105">
        <v>56031.62</v>
      </c>
      <c r="I105" t="s">
        <v>962</v>
      </c>
      <c r="J105">
        <v>39</v>
      </c>
      <c r="K105">
        <v>160</v>
      </c>
      <c r="L105">
        <v>115</v>
      </c>
      <c r="M105">
        <v>1</v>
      </c>
      <c r="N105" t="s">
        <v>962</v>
      </c>
      <c r="O105" t="s">
        <v>964</v>
      </c>
      <c r="P105" t="s">
        <v>962</v>
      </c>
    </row>
    <row r="106" spans="1:16" x14ac:dyDescent="0.35">
      <c r="A106" t="s">
        <v>1070</v>
      </c>
      <c r="B106" t="s">
        <v>62</v>
      </c>
      <c r="C106" t="s">
        <v>120</v>
      </c>
      <c r="D106" s="18">
        <v>43470</v>
      </c>
      <c r="E106" s="18">
        <v>45985</v>
      </c>
      <c r="F106">
        <v>7</v>
      </c>
      <c r="G106">
        <v>4</v>
      </c>
      <c r="H106">
        <v>89147.76</v>
      </c>
      <c r="I106" t="s">
        <v>962</v>
      </c>
      <c r="J106">
        <v>57</v>
      </c>
      <c r="K106">
        <v>40</v>
      </c>
      <c r="L106">
        <v>20</v>
      </c>
      <c r="M106">
        <v>5</v>
      </c>
      <c r="N106" t="s">
        <v>963</v>
      </c>
      <c r="O106" t="s">
        <v>964</v>
      </c>
      <c r="P106" t="s">
        <v>962</v>
      </c>
    </row>
    <row r="107" spans="1:16" x14ac:dyDescent="0.35">
      <c r="A107" t="s">
        <v>1071</v>
      </c>
      <c r="B107" t="s">
        <v>57</v>
      </c>
      <c r="C107" t="s">
        <v>108</v>
      </c>
      <c r="D107" s="18">
        <v>43524</v>
      </c>
      <c r="E107" s="18">
        <v>44872</v>
      </c>
      <c r="F107">
        <v>2</v>
      </c>
      <c r="G107">
        <v>2</v>
      </c>
      <c r="H107">
        <v>10675.61</v>
      </c>
      <c r="I107" t="s">
        <v>963</v>
      </c>
      <c r="J107">
        <v>0</v>
      </c>
      <c r="K107">
        <v>160</v>
      </c>
      <c r="L107">
        <v>134</v>
      </c>
      <c r="M107">
        <v>5</v>
      </c>
      <c r="N107" t="s">
        <v>962</v>
      </c>
      <c r="O107" t="s">
        <v>964</v>
      </c>
      <c r="P107" t="s">
        <v>962</v>
      </c>
    </row>
    <row r="108" spans="1:16" x14ac:dyDescent="0.35">
      <c r="A108" t="s">
        <v>1072</v>
      </c>
      <c r="B108" t="s">
        <v>62</v>
      </c>
      <c r="C108" t="s">
        <v>108</v>
      </c>
      <c r="D108" s="18">
        <v>44775</v>
      </c>
      <c r="E108" s="18">
        <v>45254</v>
      </c>
      <c r="F108">
        <v>1</v>
      </c>
      <c r="G108">
        <v>3</v>
      </c>
      <c r="H108">
        <v>14557.22</v>
      </c>
      <c r="I108" t="s">
        <v>962</v>
      </c>
      <c r="J108">
        <v>71</v>
      </c>
      <c r="K108">
        <v>160</v>
      </c>
      <c r="L108">
        <v>72</v>
      </c>
      <c r="M108">
        <v>3</v>
      </c>
      <c r="N108" t="s">
        <v>962</v>
      </c>
      <c r="O108" t="s">
        <v>964</v>
      </c>
      <c r="P108" t="s">
        <v>962</v>
      </c>
    </row>
    <row r="109" spans="1:16" x14ac:dyDescent="0.35">
      <c r="A109" t="s">
        <v>1073</v>
      </c>
      <c r="B109" t="s">
        <v>61</v>
      </c>
      <c r="C109" t="s">
        <v>166</v>
      </c>
      <c r="D109" s="18">
        <v>43680</v>
      </c>
      <c r="E109" s="18">
        <v>44898</v>
      </c>
      <c r="F109">
        <v>5</v>
      </c>
      <c r="G109">
        <v>4</v>
      </c>
      <c r="H109">
        <v>23697.99</v>
      </c>
      <c r="I109" t="s">
        <v>962</v>
      </c>
      <c r="J109">
        <v>39</v>
      </c>
      <c r="K109">
        <v>160</v>
      </c>
      <c r="L109">
        <v>84</v>
      </c>
      <c r="M109">
        <v>2</v>
      </c>
      <c r="N109" t="s">
        <v>962</v>
      </c>
      <c r="O109" t="s">
        <v>108</v>
      </c>
      <c r="P109" t="s">
        <v>963</v>
      </c>
    </row>
    <row r="110" spans="1:16" x14ac:dyDescent="0.35">
      <c r="A110" t="s">
        <v>1074</v>
      </c>
      <c r="B110" t="s">
        <v>61</v>
      </c>
      <c r="C110" t="s">
        <v>108</v>
      </c>
      <c r="D110" s="18">
        <v>43175</v>
      </c>
      <c r="E110" s="18">
        <v>44586</v>
      </c>
      <c r="F110">
        <v>5</v>
      </c>
      <c r="G110">
        <v>2</v>
      </c>
      <c r="H110">
        <v>142919.54999999999</v>
      </c>
      <c r="I110" t="s">
        <v>963</v>
      </c>
      <c r="J110">
        <v>0</v>
      </c>
      <c r="K110">
        <v>160</v>
      </c>
      <c r="L110">
        <v>49</v>
      </c>
      <c r="M110">
        <v>2</v>
      </c>
      <c r="N110" t="s">
        <v>962</v>
      </c>
      <c r="O110" t="s">
        <v>964</v>
      </c>
      <c r="P110" t="s">
        <v>962</v>
      </c>
    </row>
    <row r="111" spans="1:16" x14ac:dyDescent="0.35">
      <c r="A111" t="s">
        <v>1075</v>
      </c>
      <c r="B111" t="s">
        <v>62</v>
      </c>
      <c r="C111" t="s">
        <v>120</v>
      </c>
      <c r="D111" s="18">
        <v>45180</v>
      </c>
      <c r="E111" s="18">
        <v>46005</v>
      </c>
      <c r="F111">
        <v>1</v>
      </c>
      <c r="G111">
        <v>3</v>
      </c>
      <c r="H111">
        <v>132076.95000000001</v>
      </c>
      <c r="I111" t="s">
        <v>962</v>
      </c>
      <c r="J111">
        <v>76</v>
      </c>
      <c r="K111">
        <v>160</v>
      </c>
      <c r="L111">
        <v>39</v>
      </c>
      <c r="M111">
        <v>2</v>
      </c>
      <c r="N111" t="s">
        <v>962</v>
      </c>
      <c r="O111" t="s">
        <v>108</v>
      </c>
      <c r="P111" t="s">
        <v>962</v>
      </c>
    </row>
    <row r="112" spans="1:16" x14ac:dyDescent="0.35">
      <c r="A112" t="s">
        <v>1076</v>
      </c>
      <c r="B112" t="s">
        <v>55</v>
      </c>
      <c r="C112" t="s">
        <v>108</v>
      </c>
      <c r="D112" s="18">
        <v>43279</v>
      </c>
      <c r="E112" s="18">
        <v>44783</v>
      </c>
      <c r="F112">
        <v>6</v>
      </c>
      <c r="G112">
        <v>2</v>
      </c>
      <c r="H112">
        <v>145590.35</v>
      </c>
      <c r="I112" t="s">
        <v>963</v>
      </c>
      <c r="J112">
        <v>0</v>
      </c>
      <c r="K112">
        <v>160</v>
      </c>
      <c r="L112">
        <v>59</v>
      </c>
      <c r="M112">
        <v>5</v>
      </c>
      <c r="N112" t="s">
        <v>962</v>
      </c>
      <c r="O112" t="s">
        <v>964</v>
      </c>
      <c r="P112" t="s">
        <v>962</v>
      </c>
    </row>
    <row r="113" spans="1:16" x14ac:dyDescent="0.35">
      <c r="A113" t="s">
        <v>1077</v>
      </c>
      <c r="B113" t="s">
        <v>59</v>
      </c>
      <c r="C113" t="s">
        <v>108</v>
      </c>
      <c r="D113" s="18">
        <v>43895</v>
      </c>
      <c r="E113" s="18">
        <v>45337</v>
      </c>
      <c r="F113">
        <v>8</v>
      </c>
      <c r="G113">
        <v>4</v>
      </c>
      <c r="H113">
        <v>116568.59</v>
      </c>
      <c r="I113" t="s">
        <v>963</v>
      </c>
      <c r="J113">
        <v>0</v>
      </c>
      <c r="K113">
        <v>160</v>
      </c>
      <c r="L113">
        <v>41</v>
      </c>
      <c r="M113">
        <v>2</v>
      </c>
      <c r="N113" t="s">
        <v>962</v>
      </c>
      <c r="O113" t="s">
        <v>108</v>
      </c>
      <c r="P113" t="s">
        <v>962</v>
      </c>
    </row>
    <row r="114" spans="1:16" x14ac:dyDescent="0.35">
      <c r="A114" t="s">
        <v>1078</v>
      </c>
      <c r="B114" t="s">
        <v>55</v>
      </c>
      <c r="C114" t="s">
        <v>108</v>
      </c>
      <c r="D114" s="18">
        <v>44621</v>
      </c>
      <c r="E114" s="18">
        <v>45697</v>
      </c>
      <c r="F114">
        <v>2</v>
      </c>
      <c r="G114">
        <v>1</v>
      </c>
      <c r="H114">
        <v>46334.14</v>
      </c>
      <c r="I114" t="s">
        <v>962</v>
      </c>
      <c r="J114">
        <v>34</v>
      </c>
      <c r="K114">
        <v>160</v>
      </c>
      <c r="L114">
        <v>131</v>
      </c>
      <c r="M114">
        <v>2</v>
      </c>
      <c r="N114" t="s">
        <v>963</v>
      </c>
      <c r="O114" t="s">
        <v>964</v>
      </c>
      <c r="P114" t="s">
        <v>962</v>
      </c>
    </row>
    <row r="115" spans="1:16" x14ac:dyDescent="0.35">
      <c r="A115" t="s">
        <v>1079</v>
      </c>
      <c r="B115" t="s">
        <v>64</v>
      </c>
      <c r="C115" t="s">
        <v>108</v>
      </c>
      <c r="D115" s="18">
        <v>44532</v>
      </c>
      <c r="E115" s="18">
        <v>44251</v>
      </c>
      <c r="F115">
        <v>7</v>
      </c>
      <c r="G115">
        <v>1</v>
      </c>
      <c r="H115">
        <v>62485.82</v>
      </c>
      <c r="I115" t="s">
        <v>963</v>
      </c>
      <c r="J115">
        <v>0</v>
      </c>
      <c r="K115">
        <v>40</v>
      </c>
      <c r="L115">
        <v>24</v>
      </c>
      <c r="M115">
        <v>1</v>
      </c>
      <c r="N115" t="s">
        <v>963</v>
      </c>
      <c r="O115" t="s">
        <v>964</v>
      </c>
      <c r="P115" t="s">
        <v>962</v>
      </c>
    </row>
    <row r="116" spans="1:16" x14ac:dyDescent="0.35">
      <c r="A116" t="s">
        <v>1080</v>
      </c>
      <c r="B116" t="s">
        <v>62</v>
      </c>
      <c r="C116" t="s">
        <v>120</v>
      </c>
      <c r="D116" s="18">
        <v>44474</v>
      </c>
      <c r="E116" s="18">
        <v>45817</v>
      </c>
      <c r="F116">
        <v>3</v>
      </c>
      <c r="G116">
        <v>2</v>
      </c>
      <c r="H116">
        <v>10553.96</v>
      </c>
      <c r="I116" t="s">
        <v>963</v>
      </c>
      <c r="J116">
        <v>0</v>
      </c>
      <c r="K116">
        <v>40</v>
      </c>
      <c r="L116">
        <v>30</v>
      </c>
      <c r="M116">
        <v>4</v>
      </c>
      <c r="N116" t="s">
        <v>962</v>
      </c>
      <c r="O116" t="s">
        <v>982</v>
      </c>
      <c r="P116" t="s">
        <v>962</v>
      </c>
    </row>
    <row r="117" spans="1:16" x14ac:dyDescent="0.35">
      <c r="A117" t="s">
        <v>1081</v>
      </c>
      <c r="B117" t="s">
        <v>62</v>
      </c>
      <c r="C117" t="s">
        <v>120</v>
      </c>
      <c r="D117" s="18">
        <v>43713</v>
      </c>
      <c r="E117" s="18">
        <v>45713</v>
      </c>
      <c r="F117">
        <v>7</v>
      </c>
      <c r="G117">
        <v>1</v>
      </c>
      <c r="H117">
        <v>117545.03</v>
      </c>
      <c r="I117" t="s">
        <v>962</v>
      </c>
      <c r="J117">
        <v>38</v>
      </c>
      <c r="K117">
        <v>0</v>
      </c>
      <c r="L117">
        <v>0</v>
      </c>
      <c r="M117">
        <v>1</v>
      </c>
      <c r="N117" t="s">
        <v>962</v>
      </c>
      <c r="O117" t="s">
        <v>964</v>
      </c>
      <c r="P117" t="s">
        <v>962</v>
      </c>
    </row>
    <row r="118" spans="1:16" x14ac:dyDescent="0.35">
      <c r="A118" t="s">
        <v>1082</v>
      </c>
      <c r="B118" t="s">
        <v>59</v>
      </c>
      <c r="C118" t="s">
        <v>166</v>
      </c>
      <c r="D118" s="18">
        <v>44973</v>
      </c>
      <c r="E118" s="18">
        <v>45055</v>
      </c>
      <c r="F118">
        <v>2</v>
      </c>
      <c r="G118">
        <v>4</v>
      </c>
      <c r="H118">
        <v>91527.16</v>
      </c>
      <c r="I118" t="s">
        <v>962</v>
      </c>
      <c r="J118">
        <v>80</v>
      </c>
      <c r="K118">
        <v>40</v>
      </c>
      <c r="L118">
        <v>9</v>
      </c>
      <c r="M118">
        <v>3</v>
      </c>
      <c r="N118" t="s">
        <v>963</v>
      </c>
      <c r="O118" t="s">
        <v>964</v>
      </c>
      <c r="P118" t="s">
        <v>962</v>
      </c>
    </row>
    <row r="119" spans="1:16" x14ac:dyDescent="0.35">
      <c r="A119" t="s">
        <v>1083</v>
      </c>
      <c r="B119" t="s">
        <v>62</v>
      </c>
      <c r="C119" t="s">
        <v>120</v>
      </c>
      <c r="D119" s="18">
        <v>45438</v>
      </c>
      <c r="E119" s="18">
        <v>45718</v>
      </c>
      <c r="F119">
        <v>3</v>
      </c>
      <c r="G119">
        <v>1</v>
      </c>
      <c r="H119">
        <v>80905.259999999995</v>
      </c>
      <c r="I119" t="s">
        <v>963</v>
      </c>
      <c r="J119">
        <v>0</v>
      </c>
      <c r="K119">
        <v>0</v>
      </c>
      <c r="L119">
        <v>0</v>
      </c>
      <c r="M119">
        <v>5</v>
      </c>
      <c r="N119" t="s">
        <v>962</v>
      </c>
      <c r="O119" t="s">
        <v>964</v>
      </c>
      <c r="P119" t="s">
        <v>962</v>
      </c>
    </row>
    <row r="120" spans="1:16" x14ac:dyDescent="0.35">
      <c r="A120" t="s">
        <v>1084</v>
      </c>
      <c r="B120" t="s">
        <v>980</v>
      </c>
      <c r="C120" t="s">
        <v>120</v>
      </c>
      <c r="D120" s="18">
        <v>44685</v>
      </c>
      <c r="E120" s="18">
        <v>45326</v>
      </c>
      <c r="F120">
        <v>5</v>
      </c>
      <c r="G120">
        <v>1</v>
      </c>
      <c r="H120">
        <v>56778.61</v>
      </c>
      <c r="I120" t="s">
        <v>962</v>
      </c>
      <c r="J120">
        <v>44</v>
      </c>
      <c r="K120">
        <v>40</v>
      </c>
      <c r="L120">
        <v>40</v>
      </c>
      <c r="M120">
        <v>1</v>
      </c>
      <c r="N120" t="s">
        <v>963</v>
      </c>
      <c r="O120" t="s">
        <v>964</v>
      </c>
      <c r="P120" t="s">
        <v>962</v>
      </c>
    </row>
    <row r="121" spans="1:16" x14ac:dyDescent="0.35">
      <c r="A121" t="s">
        <v>1085</v>
      </c>
      <c r="B121" t="s">
        <v>62</v>
      </c>
      <c r="C121" t="s">
        <v>166</v>
      </c>
      <c r="D121" s="18">
        <v>44487</v>
      </c>
      <c r="E121" s="18">
        <v>45863</v>
      </c>
      <c r="F121">
        <v>3</v>
      </c>
      <c r="G121">
        <v>4</v>
      </c>
      <c r="H121">
        <v>147218.78</v>
      </c>
      <c r="I121" t="s">
        <v>963</v>
      </c>
      <c r="J121">
        <v>0</v>
      </c>
      <c r="K121">
        <v>40</v>
      </c>
      <c r="L121">
        <v>8</v>
      </c>
      <c r="M121">
        <v>1</v>
      </c>
      <c r="N121" t="s">
        <v>963</v>
      </c>
      <c r="O121" t="s">
        <v>964</v>
      </c>
      <c r="P121" t="s">
        <v>962</v>
      </c>
    </row>
    <row r="122" spans="1:16" x14ac:dyDescent="0.35">
      <c r="A122" t="s">
        <v>1086</v>
      </c>
      <c r="B122" t="s">
        <v>64</v>
      </c>
      <c r="C122" t="s">
        <v>120</v>
      </c>
      <c r="D122" s="18">
        <v>43918</v>
      </c>
      <c r="E122" s="18">
        <v>44002</v>
      </c>
      <c r="F122">
        <v>6</v>
      </c>
      <c r="G122">
        <v>3</v>
      </c>
      <c r="H122">
        <v>79730.62</v>
      </c>
      <c r="I122" t="s">
        <v>963</v>
      </c>
      <c r="J122">
        <v>0</v>
      </c>
      <c r="K122">
        <v>80</v>
      </c>
      <c r="L122">
        <v>4</v>
      </c>
      <c r="M122">
        <v>2</v>
      </c>
      <c r="N122" t="s">
        <v>963</v>
      </c>
      <c r="O122" t="s">
        <v>964</v>
      </c>
      <c r="P122" t="s">
        <v>962</v>
      </c>
    </row>
    <row r="123" spans="1:16" x14ac:dyDescent="0.35">
      <c r="A123" t="s">
        <v>1087</v>
      </c>
      <c r="B123" t="s">
        <v>59</v>
      </c>
      <c r="C123" t="s">
        <v>120</v>
      </c>
      <c r="D123" s="18">
        <v>44460</v>
      </c>
      <c r="E123" s="18">
        <v>44756</v>
      </c>
      <c r="F123">
        <v>2</v>
      </c>
      <c r="G123">
        <v>3</v>
      </c>
      <c r="H123">
        <v>68357.95</v>
      </c>
      <c r="I123" t="s">
        <v>963</v>
      </c>
      <c r="J123">
        <v>0</v>
      </c>
      <c r="K123">
        <v>160</v>
      </c>
      <c r="L123">
        <v>98</v>
      </c>
      <c r="M123">
        <v>3</v>
      </c>
      <c r="N123" t="s">
        <v>962</v>
      </c>
      <c r="O123" t="s">
        <v>964</v>
      </c>
      <c r="P123" t="s">
        <v>962</v>
      </c>
    </row>
    <row r="124" spans="1:16" x14ac:dyDescent="0.35">
      <c r="A124" t="s">
        <v>1088</v>
      </c>
      <c r="B124" t="s">
        <v>980</v>
      </c>
      <c r="C124" t="s">
        <v>108</v>
      </c>
      <c r="D124" s="18">
        <v>45227</v>
      </c>
      <c r="E124" s="18">
        <v>45473</v>
      </c>
      <c r="F124">
        <v>2</v>
      </c>
      <c r="G124">
        <v>4</v>
      </c>
      <c r="H124">
        <v>16444.419999999998</v>
      </c>
      <c r="I124" t="s">
        <v>962</v>
      </c>
      <c r="J124">
        <v>69</v>
      </c>
      <c r="K124">
        <v>80</v>
      </c>
      <c r="L124">
        <v>41</v>
      </c>
      <c r="M124">
        <v>1</v>
      </c>
      <c r="N124" t="s">
        <v>962</v>
      </c>
      <c r="O124" t="s">
        <v>964</v>
      </c>
      <c r="P124" t="s">
        <v>962</v>
      </c>
    </row>
    <row r="125" spans="1:16" x14ac:dyDescent="0.35">
      <c r="A125" t="s">
        <v>1089</v>
      </c>
      <c r="B125" t="s">
        <v>62</v>
      </c>
      <c r="C125" t="s">
        <v>108</v>
      </c>
      <c r="D125" s="18">
        <v>44927</v>
      </c>
      <c r="E125" s="18">
        <v>45799</v>
      </c>
      <c r="F125">
        <v>3</v>
      </c>
      <c r="G125">
        <v>4</v>
      </c>
      <c r="H125">
        <v>55974.31</v>
      </c>
      <c r="I125" t="s">
        <v>962</v>
      </c>
      <c r="J125">
        <v>45</v>
      </c>
      <c r="K125">
        <v>160</v>
      </c>
      <c r="L125">
        <v>70</v>
      </c>
      <c r="M125">
        <v>1</v>
      </c>
      <c r="N125" t="s">
        <v>962</v>
      </c>
      <c r="O125" t="s">
        <v>108</v>
      </c>
      <c r="P125" t="s">
        <v>963</v>
      </c>
    </row>
    <row r="126" spans="1:16" x14ac:dyDescent="0.35">
      <c r="A126" t="s">
        <v>1090</v>
      </c>
      <c r="B126" t="s">
        <v>62</v>
      </c>
      <c r="C126" t="s">
        <v>166</v>
      </c>
      <c r="D126" s="18">
        <v>43756</v>
      </c>
      <c r="E126" s="18">
        <v>43593</v>
      </c>
      <c r="F126">
        <v>3</v>
      </c>
      <c r="G126">
        <v>4</v>
      </c>
      <c r="H126">
        <v>10045.85</v>
      </c>
      <c r="I126" t="s">
        <v>962</v>
      </c>
      <c r="J126">
        <v>30</v>
      </c>
      <c r="K126">
        <v>80</v>
      </c>
      <c r="L126">
        <v>46</v>
      </c>
      <c r="M126">
        <v>4</v>
      </c>
      <c r="N126" t="s">
        <v>962</v>
      </c>
      <c r="O126" t="s">
        <v>108</v>
      </c>
      <c r="P126" t="s">
        <v>963</v>
      </c>
    </row>
    <row r="127" spans="1:16" x14ac:dyDescent="0.35">
      <c r="A127" t="s">
        <v>1091</v>
      </c>
      <c r="B127" t="s">
        <v>62</v>
      </c>
      <c r="C127" t="s">
        <v>108</v>
      </c>
      <c r="D127" s="18">
        <v>44919</v>
      </c>
      <c r="E127" s="18">
        <v>44719</v>
      </c>
      <c r="F127">
        <v>3</v>
      </c>
      <c r="G127">
        <v>3</v>
      </c>
      <c r="H127">
        <v>62714.94</v>
      </c>
      <c r="I127" t="s">
        <v>963</v>
      </c>
      <c r="J127">
        <v>0</v>
      </c>
      <c r="K127">
        <v>40</v>
      </c>
      <c r="L127">
        <v>7</v>
      </c>
      <c r="M127">
        <v>1</v>
      </c>
      <c r="N127" t="s">
        <v>962</v>
      </c>
      <c r="O127" t="s">
        <v>964</v>
      </c>
      <c r="P127" t="s">
        <v>962</v>
      </c>
    </row>
    <row r="128" spans="1:16" x14ac:dyDescent="0.35">
      <c r="A128" t="s">
        <v>1092</v>
      </c>
      <c r="B128" t="s">
        <v>980</v>
      </c>
      <c r="C128" t="s">
        <v>166</v>
      </c>
      <c r="D128" s="18">
        <v>43583</v>
      </c>
      <c r="E128" s="18">
        <v>44538</v>
      </c>
      <c r="F128">
        <v>5</v>
      </c>
      <c r="G128">
        <v>4</v>
      </c>
      <c r="H128">
        <v>36112.71</v>
      </c>
      <c r="I128" t="s">
        <v>963</v>
      </c>
      <c r="J128">
        <v>0</v>
      </c>
      <c r="K128">
        <v>160</v>
      </c>
      <c r="L128">
        <v>51</v>
      </c>
      <c r="M128">
        <v>1</v>
      </c>
      <c r="N128" t="s">
        <v>962</v>
      </c>
      <c r="O128" t="s">
        <v>108</v>
      </c>
      <c r="P128" t="s">
        <v>963</v>
      </c>
    </row>
    <row r="129" spans="1:16" x14ac:dyDescent="0.35">
      <c r="A129" t="s">
        <v>1093</v>
      </c>
      <c r="B129" t="s">
        <v>64</v>
      </c>
      <c r="C129" t="s">
        <v>166</v>
      </c>
      <c r="D129" s="18">
        <v>44924</v>
      </c>
      <c r="E129" s="18">
        <v>44741</v>
      </c>
      <c r="F129">
        <v>6</v>
      </c>
      <c r="G129">
        <v>3</v>
      </c>
      <c r="H129">
        <v>107883.37</v>
      </c>
      <c r="I129" t="s">
        <v>963</v>
      </c>
      <c r="J129">
        <v>0</v>
      </c>
      <c r="K129">
        <v>80</v>
      </c>
      <c r="L129">
        <v>20</v>
      </c>
      <c r="M129">
        <v>2</v>
      </c>
      <c r="N129" t="s">
        <v>963</v>
      </c>
      <c r="O129" t="s">
        <v>964</v>
      </c>
      <c r="P129" t="s">
        <v>962</v>
      </c>
    </row>
    <row r="130" spans="1:16" x14ac:dyDescent="0.35">
      <c r="A130" t="s">
        <v>1094</v>
      </c>
      <c r="B130" t="s">
        <v>57</v>
      </c>
      <c r="C130" t="s">
        <v>120</v>
      </c>
      <c r="D130" s="18">
        <v>43669</v>
      </c>
      <c r="E130" s="18">
        <v>44435</v>
      </c>
      <c r="F130">
        <v>8</v>
      </c>
      <c r="G130">
        <v>1</v>
      </c>
      <c r="H130">
        <v>57330</v>
      </c>
      <c r="I130" t="s">
        <v>963</v>
      </c>
      <c r="J130">
        <v>0</v>
      </c>
      <c r="K130">
        <v>160</v>
      </c>
      <c r="L130">
        <v>141</v>
      </c>
      <c r="M130">
        <v>2</v>
      </c>
      <c r="N130" t="s">
        <v>962</v>
      </c>
      <c r="O130" t="s">
        <v>964</v>
      </c>
      <c r="P130" t="s">
        <v>962</v>
      </c>
    </row>
    <row r="131" spans="1:16" x14ac:dyDescent="0.35">
      <c r="A131" t="s">
        <v>1095</v>
      </c>
      <c r="B131" t="s">
        <v>980</v>
      </c>
      <c r="C131" t="s">
        <v>166</v>
      </c>
      <c r="D131" s="18">
        <v>45061</v>
      </c>
      <c r="E131" s="18">
        <v>46003</v>
      </c>
      <c r="F131">
        <v>7</v>
      </c>
      <c r="G131">
        <v>4</v>
      </c>
      <c r="H131">
        <v>124384.21</v>
      </c>
      <c r="I131" t="s">
        <v>962</v>
      </c>
      <c r="J131">
        <v>16</v>
      </c>
      <c r="K131">
        <v>80</v>
      </c>
      <c r="L131">
        <v>9</v>
      </c>
      <c r="M131">
        <v>4</v>
      </c>
      <c r="N131" t="s">
        <v>963</v>
      </c>
      <c r="O131" t="s">
        <v>108</v>
      </c>
      <c r="P131" t="s">
        <v>963</v>
      </c>
    </row>
    <row r="132" spans="1:16" x14ac:dyDescent="0.35">
      <c r="A132" t="s">
        <v>1096</v>
      </c>
      <c r="B132" t="s">
        <v>64</v>
      </c>
      <c r="C132" t="s">
        <v>166</v>
      </c>
      <c r="D132" s="18">
        <v>45508</v>
      </c>
      <c r="E132" s="18">
        <v>45478</v>
      </c>
      <c r="F132">
        <v>3</v>
      </c>
      <c r="G132">
        <v>4</v>
      </c>
      <c r="H132">
        <v>77915.25</v>
      </c>
      <c r="I132" t="s">
        <v>962</v>
      </c>
      <c r="J132">
        <v>15</v>
      </c>
      <c r="K132">
        <v>40</v>
      </c>
      <c r="L132">
        <v>19</v>
      </c>
      <c r="M132">
        <v>2</v>
      </c>
      <c r="N132" t="s">
        <v>962</v>
      </c>
      <c r="O132" t="s">
        <v>964</v>
      </c>
      <c r="P132" t="s">
        <v>962</v>
      </c>
    </row>
    <row r="133" spans="1:16" x14ac:dyDescent="0.35">
      <c r="A133" t="s">
        <v>1097</v>
      </c>
      <c r="B133" t="s">
        <v>55</v>
      </c>
      <c r="C133" t="s">
        <v>120</v>
      </c>
      <c r="D133" s="18">
        <v>44518</v>
      </c>
      <c r="E133" s="18">
        <v>45259</v>
      </c>
      <c r="F133">
        <v>5</v>
      </c>
      <c r="G133">
        <v>1</v>
      </c>
      <c r="H133">
        <v>41337.769999999997</v>
      </c>
      <c r="I133" t="s">
        <v>963</v>
      </c>
      <c r="J133">
        <v>0</v>
      </c>
      <c r="K133">
        <v>40</v>
      </c>
      <c r="L133">
        <v>40</v>
      </c>
      <c r="M133">
        <v>3</v>
      </c>
      <c r="N133" t="s">
        <v>962</v>
      </c>
      <c r="O133" t="s">
        <v>964</v>
      </c>
      <c r="P133" t="s">
        <v>962</v>
      </c>
    </row>
    <row r="134" spans="1:16" x14ac:dyDescent="0.35">
      <c r="A134" t="s">
        <v>1098</v>
      </c>
      <c r="B134" t="s">
        <v>64</v>
      </c>
      <c r="C134" t="s">
        <v>166</v>
      </c>
      <c r="D134" s="18">
        <v>45479</v>
      </c>
      <c r="E134" s="18">
        <v>45449</v>
      </c>
      <c r="F134">
        <v>3</v>
      </c>
      <c r="G134">
        <v>3</v>
      </c>
      <c r="H134">
        <v>127166.85</v>
      </c>
      <c r="I134" t="s">
        <v>962</v>
      </c>
      <c r="J134">
        <v>3</v>
      </c>
      <c r="K134">
        <v>0</v>
      </c>
      <c r="L134">
        <v>0</v>
      </c>
      <c r="M134">
        <v>1</v>
      </c>
      <c r="N134" t="s">
        <v>963</v>
      </c>
      <c r="O134" t="s">
        <v>108</v>
      </c>
      <c r="P134" t="s">
        <v>963</v>
      </c>
    </row>
    <row r="135" spans="1:16" x14ac:dyDescent="0.35">
      <c r="A135" t="s">
        <v>1099</v>
      </c>
      <c r="B135" t="s">
        <v>61</v>
      </c>
      <c r="C135" t="s">
        <v>166</v>
      </c>
      <c r="D135" s="18">
        <v>43225</v>
      </c>
      <c r="E135" s="18">
        <v>45140</v>
      </c>
      <c r="F135">
        <v>5</v>
      </c>
      <c r="G135">
        <v>3</v>
      </c>
      <c r="H135">
        <v>75027</v>
      </c>
      <c r="I135" t="s">
        <v>963</v>
      </c>
      <c r="J135">
        <v>0</v>
      </c>
      <c r="K135">
        <v>80</v>
      </c>
      <c r="L135">
        <v>58</v>
      </c>
      <c r="M135">
        <v>1</v>
      </c>
      <c r="N135" t="s">
        <v>962</v>
      </c>
      <c r="O135" t="s">
        <v>964</v>
      </c>
      <c r="P135" t="s">
        <v>962</v>
      </c>
    </row>
    <row r="136" spans="1:16" x14ac:dyDescent="0.35">
      <c r="A136" t="s">
        <v>1100</v>
      </c>
      <c r="B136" t="s">
        <v>980</v>
      </c>
      <c r="C136" t="s">
        <v>108</v>
      </c>
      <c r="D136" s="18">
        <v>45003</v>
      </c>
      <c r="E136" s="18">
        <v>45344</v>
      </c>
      <c r="F136">
        <v>6</v>
      </c>
      <c r="G136">
        <v>2</v>
      </c>
      <c r="H136">
        <v>50324.46</v>
      </c>
      <c r="I136" t="s">
        <v>963</v>
      </c>
      <c r="J136">
        <v>0</v>
      </c>
      <c r="K136">
        <v>80</v>
      </c>
      <c r="L136">
        <v>51</v>
      </c>
      <c r="M136">
        <v>2</v>
      </c>
      <c r="N136" t="s">
        <v>963</v>
      </c>
      <c r="O136" t="s">
        <v>964</v>
      </c>
      <c r="P136" t="s">
        <v>962</v>
      </c>
    </row>
    <row r="137" spans="1:16" x14ac:dyDescent="0.35">
      <c r="A137" t="s">
        <v>1101</v>
      </c>
      <c r="B137" t="s">
        <v>57</v>
      </c>
      <c r="C137" t="s">
        <v>108</v>
      </c>
      <c r="D137" s="18">
        <v>44091</v>
      </c>
      <c r="E137" s="18">
        <v>45741</v>
      </c>
      <c r="F137">
        <v>2</v>
      </c>
      <c r="G137">
        <v>3</v>
      </c>
      <c r="H137">
        <v>70191.42</v>
      </c>
      <c r="I137" t="s">
        <v>962</v>
      </c>
      <c r="J137">
        <v>12</v>
      </c>
      <c r="K137">
        <v>0</v>
      </c>
      <c r="L137">
        <v>0</v>
      </c>
      <c r="M137">
        <v>3</v>
      </c>
      <c r="N137" t="s">
        <v>963</v>
      </c>
      <c r="O137" t="s">
        <v>108</v>
      </c>
      <c r="P137" t="s">
        <v>963</v>
      </c>
    </row>
    <row r="138" spans="1:16" x14ac:dyDescent="0.35">
      <c r="A138" t="s">
        <v>1102</v>
      </c>
      <c r="B138" t="s">
        <v>64</v>
      </c>
      <c r="C138" t="s">
        <v>120</v>
      </c>
      <c r="D138" s="18">
        <v>44442</v>
      </c>
      <c r="E138" s="18">
        <v>45380</v>
      </c>
      <c r="F138">
        <v>6</v>
      </c>
      <c r="G138">
        <v>2</v>
      </c>
      <c r="H138">
        <v>115652.6</v>
      </c>
      <c r="I138" t="s">
        <v>963</v>
      </c>
      <c r="J138">
        <v>0</v>
      </c>
      <c r="K138">
        <v>160</v>
      </c>
      <c r="L138">
        <v>127</v>
      </c>
      <c r="M138">
        <v>3</v>
      </c>
      <c r="N138" t="s">
        <v>963</v>
      </c>
      <c r="O138" t="s">
        <v>964</v>
      </c>
      <c r="P138" t="s">
        <v>962</v>
      </c>
    </row>
    <row r="139" spans="1:16" x14ac:dyDescent="0.35">
      <c r="A139" t="s">
        <v>1103</v>
      </c>
      <c r="B139" t="s">
        <v>980</v>
      </c>
      <c r="C139" t="s">
        <v>166</v>
      </c>
      <c r="D139" s="18">
        <v>44973</v>
      </c>
      <c r="E139" s="18">
        <v>45420</v>
      </c>
      <c r="F139">
        <v>4</v>
      </c>
      <c r="G139">
        <v>3</v>
      </c>
      <c r="H139">
        <v>12055.43</v>
      </c>
      <c r="I139" t="s">
        <v>963</v>
      </c>
      <c r="J139">
        <v>0</v>
      </c>
      <c r="K139">
        <v>160</v>
      </c>
      <c r="L139">
        <v>152</v>
      </c>
      <c r="M139">
        <v>4</v>
      </c>
      <c r="N139" t="s">
        <v>963</v>
      </c>
      <c r="O139" t="s">
        <v>964</v>
      </c>
      <c r="P139" t="s">
        <v>962</v>
      </c>
    </row>
    <row r="140" spans="1:16" x14ac:dyDescent="0.35">
      <c r="A140" t="s">
        <v>1104</v>
      </c>
      <c r="B140" t="s">
        <v>59</v>
      </c>
      <c r="C140" t="s">
        <v>120</v>
      </c>
      <c r="D140" s="18">
        <v>44866</v>
      </c>
      <c r="E140" s="18">
        <v>44836</v>
      </c>
      <c r="F140">
        <v>5</v>
      </c>
      <c r="G140">
        <v>3</v>
      </c>
      <c r="H140">
        <v>115759.23</v>
      </c>
      <c r="I140" t="s">
        <v>963</v>
      </c>
      <c r="J140">
        <v>0</v>
      </c>
      <c r="K140">
        <v>0</v>
      </c>
      <c r="L140">
        <v>0</v>
      </c>
      <c r="M140">
        <v>4</v>
      </c>
      <c r="N140" t="s">
        <v>962</v>
      </c>
      <c r="O140" t="s">
        <v>964</v>
      </c>
      <c r="P140" t="s">
        <v>962</v>
      </c>
    </row>
    <row r="141" spans="1:16" x14ac:dyDescent="0.35">
      <c r="A141" t="s">
        <v>1105</v>
      </c>
      <c r="B141" t="s">
        <v>64</v>
      </c>
      <c r="C141" t="s">
        <v>108</v>
      </c>
      <c r="D141" s="18">
        <v>45367</v>
      </c>
      <c r="E141" s="18">
        <v>45587</v>
      </c>
      <c r="F141">
        <v>2</v>
      </c>
      <c r="G141">
        <v>4</v>
      </c>
      <c r="H141">
        <v>78117.05</v>
      </c>
      <c r="I141" t="s">
        <v>963</v>
      </c>
      <c r="J141">
        <v>0</v>
      </c>
      <c r="K141">
        <v>0</v>
      </c>
      <c r="L141">
        <v>0</v>
      </c>
      <c r="M141">
        <v>2</v>
      </c>
      <c r="N141" t="s">
        <v>962</v>
      </c>
      <c r="O141" t="s">
        <v>964</v>
      </c>
      <c r="P141" t="s">
        <v>962</v>
      </c>
    </row>
    <row r="142" spans="1:16" x14ac:dyDescent="0.35">
      <c r="A142" t="s">
        <v>1106</v>
      </c>
      <c r="B142" t="s">
        <v>59</v>
      </c>
      <c r="C142" t="s">
        <v>108</v>
      </c>
      <c r="D142" s="18">
        <v>45385</v>
      </c>
      <c r="E142" s="18">
        <v>45666</v>
      </c>
      <c r="F142">
        <v>3</v>
      </c>
      <c r="G142">
        <v>2</v>
      </c>
      <c r="H142">
        <v>92357.13</v>
      </c>
      <c r="I142" t="s">
        <v>963</v>
      </c>
      <c r="J142">
        <v>0</v>
      </c>
      <c r="K142">
        <v>0</v>
      </c>
      <c r="L142">
        <v>0</v>
      </c>
      <c r="M142">
        <v>1</v>
      </c>
      <c r="N142" t="s">
        <v>962</v>
      </c>
      <c r="O142" t="s">
        <v>964</v>
      </c>
      <c r="P142" t="s">
        <v>962</v>
      </c>
    </row>
    <row r="143" spans="1:16" x14ac:dyDescent="0.35">
      <c r="A143" t="s">
        <v>1107</v>
      </c>
      <c r="B143" t="s">
        <v>62</v>
      </c>
      <c r="C143" t="s">
        <v>108</v>
      </c>
      <c r="D143" s="18">
        <v>45228</v>
      </c>
      <c r="E143" s="18">
        <v>45862</v>
      </c>
      <c r="F143">
        <v>3</v>
      </c>
      <c r="G143">
        <v>2</v>
      </c>
      <c r="H143">
        <v>52555.05</v>
      </c>
      <c r="I143" t="s">
        <v>963</v>
      </c>
      <c r="J143">
        <v>0</v>
      </c>
      <c r="K143">
        <v>40</v>
      </c>
      <c r="L143">
        <v>25</v>
      </c>
      <c r="M143">
        <v>5</v>
      </c>
      <c r="N143" t="s">
        <v>963</v>
      </c>
      <c r="O143" t="s">
        <v>964</v>
      </c>
      <c r="P143" t="s">
        <v>962</v>
      </c>
    </row>
    <row r="144" spans="1:16" x14ac:dyDescent="0.35">
      <c r="A144" t="s">
        <v>1108</v>
      </c>
      <c r="B144" t="s">
        <v>61</v>
      </c>
      <c r="C144" t="s">
        <v>166</v>
      </c>
      <c r="D144" s="18">
        <v>45281</v>
      </c>
      <c r="E144" s="18">
        <v>45930</v>
      </c>
      <c r="F144">
        <v>5</v>
      </c>
      <c r="G144">
        <v>4</v>
      </c>
      <c r="H144">
        <v>123283.58</v>
      </c>
      <c r="I144" t="s">
        <v>963</v>
      </c>
      <c r="J144">
        <v>0</v>
      </c>
      <c r="K144">
        <v>80</v>
      </c>
      <c r="L144">
        <v>14</v>
      </c>
      <c r="M144">
        <v>4</v>
      </c>
      <c r="N144" t="s">
        <v>963</v>
      </c>
      <c r="O144" t="s">
        <v>108</v>
      </c>
      <c r="P144" t="s">
        <v>962</v>
      </c>
    </row>
    <row r="145" spans="1:16" x14ac:dyDescent="0.35">
      <c r="A145" t="s">
        <v>1109</v>
      </c>
      <c r="B145" t="s">
        <v>61</v>
      </c>
      <c r="C145" t="s">
        <v>108</v>
      </c>
      <c r="D145" s="18">
        <v>44188</v>
      </c>
      <c r="E145" s="18">
        <v>44763</v>
      </c>
      <c r="F145">
        <v>1</v>
      </c>
      <c r="G145">
        <v>4</v>
      </c>
      <c r="H145">
        <v>29724.25</v>
      </c>
      <c r="I145" t="s">
        <v>963</v>
      </c>
      <c r="J145">
        <v>0</v>
      </c>
      <c r="K145">
        <v>40</v>
      </c>
      <c r="L145">
        <v>15</v>
      </c>
      <c r="M145">
        <v>1</v>
      </c>
      <c r="N145" t="s">
        <v>962</v>
      </c>
      <c r="O145" t="s">
        <v>964</v>
      </c>
      <c r="P145" t="s">
        <v>962</v>
      </c>
    </row>
    <row r="146" spans="1:16" x14ac:dyDescent="0.35">
      <c r="A146" t="s">
        <v>1110</v>
      </c>
      <c r="B146" t="s">
        <v>980</v>
      </c>
      <c r="C146" t="s">
        <v>108</v>
      </c>
      <c r="D146" s="18">
        <v>44816</v>
      </c>
      <c r="E146" s="18">
        <v>44872</v>
      </c>
      <c r="F146">
        <v>7</v>
      </c>
      <c r="G146">
        <v>2</v>
      </c>
      <c r="H146">
        <v>64504.72</v>
      </c>
      <c r="I146" t="s">
        <v>963</v>
      </c>
      <c r="J146">
        <v>0</v>
      </c>
      <c r="K146">
        <v>0</v>
      </c>
      <c r="L146">
        <v>0</v>
      </c>
      <c r="M146">
        <v>2</v>
      </c>
      <c r="N146" t="s">
        <v>962</v>
      </c>
      <c r="O146" t="s">
        <v>964</v>
      </c>
      <c r="P146" t="s">
        <v>962</v>
      </c>
    </row>
    <row r="147" spans="1:16" x14ac:dyDescent="0.35">
      <c r="A147" t="s">
        <v>1111</v>
      </c>
      <c r="B147" t="s">
        <v>55</v>
      </c>
      <c r="C147" t="s">
        <v>108</v>
      </c>
      <c r="D147" s="18">
        <v>45253</v>
      </c>
      <c r="E147" s="18">
        <v>45698</v>
      </c>
      <c r="F147">
        <v>6</v>
      </c>
      <c r="G147">
        <v>2</v>
      </c>
      <c r="H147">
        <v>71651.210000000006</v>
      </c>
      <c r="I147" t="s">
        <v>963</v>
      </c>
      <c r="J147">
        <v>0</v>
      </c>
      <c r="K147">
        <v>80</v>
      </c>
      <c r="L147">
        <v>33</v>
      </c>
      <c r="M147">
        <v>5</v>
      </c>
      <c r="N147" t="s">
        <v>963</v>
      </c>
      <c r="O147" t="s">
        <v>964</v>
      </c>
      <c r="P147" t="s">
        <v>962</v>
      </c>
    </row>
    <row r="148" spans="1:16" x14ac:dyDescent="0.35">
      <c r="A148" t="s">
        <v>1112</v>
      </c>
      <c r="B148" t="s">
        <v>64</v>
      </c>
      <c r="C148" t="s">
        <v>108</v>
      </c>
      <c r="D148" s="18">
        <v>45386</v>
      </c>
      <c r="E148" s="18">
        <v>45597</v>
      </c>
      <c r="F148">
        <v>4</v>
      </c>
      <c r="G148">
        <v>3</v>
      </c>
      <c r="H148">
        <v>116820.27</v>
      </c>
      <c r="I148" t="s">
        <v>962</v>
      </c>
      <c r="J148">
        <v>62</v>
      </c>
      <c r="K148">
        <v>80</v>
      </c>
      <c r="L148">
        <v>61</v>
      </c>
      <c r="M148">
        <v>3</v>
      </c>
      <c r="N148" t="s">
        <v>963</v>
      </c>
      <c r="O148" t="s">
        <v>964</v>
      </c>
      <c r="P148" t="s">
        <v>962</v>
      </c>
    </row>
    <row r="149" spans="1:16" x14ac:dyDescent="0.35">
      <c r="A149" t="s">
        <v>1113</v>
      </c>
      <c r="B149" t="s">
        <v>61</v>
      </c>
      <c r="C149" t="s">
        <v>166</v>
      </c>
      <c r="D149" s="18">
        <v>45325</v>
      </c>
      <c r="E149" s="18">
        <v>45680</v>
      </c>
      <c r="F149">
        <v>7</v>
      </c>
      <c r="G149">
        <v>3</v>
      </c>
      <c r="H149">
        <v>143418.29</v>
      </c>
      <c r="I149" t="s">
        <v>962</v>
      </c>
      <c r="J149">
        <v>37</v>
      </c>
      <c r="K149">
        <v>0</v>
      </c>
      <c r="L149">
        <v>0</v>
      </c>
      <c r="M149">
        <v>3</v>
      </c>
      <c r="N149" t="s">
        <v>962</v>
      </c>
      <c r="O149" t="s">
        <v>964</v>
      </c>
      <c r="P149" t="s">
        <v>962</v>
      </c>
    </row>
    <row r="150" spans="1:16" x14ac:dyDescent="0.35">
      <c r="A150" t="s">
        <v>1114</v>
      </c>
      <c r="B150" t="s">
        <v>980</v>
      </c>
      <c r="C150" t="s">
        <v>166</v>
      </c>
      <c r="D150" s="18">
        <v>44151</v>
      </c>
      <c r="E150" s="18">
        <v>45793</v>
      </c>
      <c r="F150">
        <v>4</v>
      </c>
      <c r="G150">
        <v>2</v>
      </c>
      <c r="H150">
        <v>125053</v>
      </c>
      <c r="I150" t="s">
        <v>963</v>
      </c>
      <c r="J150">
        <v>0</v>
      </c>
      <c r="K150">
        <v>80</v>
      </c>
      <c r="L150">
        <v>17</v>
      </c>
      <c r="M150">
        <v>1</v>
      </c>
      <c r="N150" t="s">
        <v>962</v>
      </c>
      <c r="O150" t="s">
        <v>964</v>
      </c>
      <c r="P150" t="s">
        <v>962</v>
      </c>
    </row>
    <row r="151" spans="1:16" x14ac:dyDescent="0.35">
      <c r="A151" t="s">
        <v>1115</v>
      </c>
      <c r="B151" t="s">
        <v>55</v>
      </c>
      <c r="C151" t="s">
        <v>166</v>
      </c>
      <c r="D151" s="18">
        <v>44025</v>
      </c>
      <c r="E151" s="18">
        <v>44784</v>
      </c>
      <c r="F151">
        <v>1</v>
      </c>
      <c r="G151">
        <v>1</v>
      </c>
      <c r="H151">
        <v>64928.7</v>
      </c>
      <c r="I151" t="s">
        <v>963</v>
      </c>
      <c r="J151">
        <v>0</v>
      </c>
      <c r="K151">
        <v>0</v>
      </c>
      <c r="L151">
        <v>0</v>
      </c>
      <c r="M151">
        <v>2</v>
      </c>
      <c r="N151" t="s">
        <v>962</v>
      </c>
      <c r="O151" t="s">
        <v>982</v>
      </c>
      <c r="P151" t="s">
        <v>962</v>
      </c>
    </row>
    <row r="152" spans="1:16" x14ac:dyDescent="0.35">
      <c r="A152" t="s">
        <v>1116</v>
      </c>
      <c r="B152" t="s">
        <v>980</v>
      </c>
      <c r="C152" t="s">
        <v>166</v>
      </c>
      <c r="D152" s="18">
        <v>45049</v>
      </c>
      <c r="E152" s="18">
        <v>45904</v>
      </c>
      <c r="F152">
        <v>4</v>
      </c>
      <c r="G152">
        <v>3</v>
      </c>
      <c r="H152">
        <v>51569.32</v>
      </c>
      <c r="I152" t="s">
        <v>962</v>
      </c>
      <c r="J152">
        <v>11</v>
      </c>
      <c r="K152">
        <v>40</v>
      </c>
      <c r="L152">
        <v>34</v>
      </c>
      <c r="M152">
        <v>1</v>
      </c>
      <c r="N152" t="s">
        <v>962</v>
      </c>
      <c r="O152" t="s">
        <v>964</v>
      </c>
      <c r="P152" t="s">
        <v>962</v>
      </c>
    </row>
    <row r="153" spans="1:16" x14ac:dyDescent="0.35">
      <c r="A153" t="s">
        <v>1117</v>
      </c>
      <c r="B153" t="s">
        <v>59</v>
      </c>
      <c r="C153" t="s">
        <v>120</v>
      </c>
      <c r="D153" s="18">
        <v>43249</v>
      </c>
      <c r="E153" s="18">
        <v>44727</v>
      </c>
      <c r="F153">
        <v>8</v>
      </c>
      <c r="G153">
        <v>2</v>
      </c>
      <c r="H153">
        <v>140808.26999999999</v>
      </c>
      <c r="I153" t="s">
        <v>963</v>
      </c>
      <c r="J153">
        <v>0</v>
      </c>
      <c r="K153">
        <v>0</v>
      </c>
      <c r="L153">
        <v>0</v>
      </c>
      <c r="M153">
        <v>1</v>
      </c>
      <c r="N153" t="s">
        <v>963</v>
      </c>
      <c r="O153" t="s">
        <v>964</v>
      </c>
      <c r="P153" t="s">
        <v>962</v>
      </c>
    </row>
    <row r="154" spans="1:16" x14ac:dyDescent="0.35">
      <c r="A154" t="s">
        <v>1118</v>
      </c>
      <c r="B154" t="s">
        <v>57</v>
      </c>
      <c r="C154" t="s">
        <v>108</v>
      </c>
      <c r="D154" s="18">
        <v>44266</v>
      </c>
      <c r="E154" s="18">
        <v>45127</v>
      </c>
      <c r="F154">
        <v>8</v>
      </c>
      <c r="G154">
        <v>2</v>
      </c>
      <c r="H154">
        <v>128403.66</v>
      </c>
      <c r="I154" t="s">
        <v>963</v>
      </c>
      <c r="J154">
        <v>0</v>
      </c>
      <c r="K154">
        <v>80</v>
      </c>
      <c r="L154">
        <v>24</v>
      </c>
      <c r="M154">
        <v>1</v>
      </c>
      <c r="N154" t="s">
        <v>963</v>
      </c>
      <c r="O154" t="s">
        <v>964</v>
      </c>
      <c r="P154" t="s">
        <v>962</v>
      </c>
    </row>
    <row r="155" spans="1:16" x14ac:dyDescent="0.35">
      <c r="A155" t="s">
        <v>1119</v>
      </c>
      <c r="B155" t="s">
        <v>980</v>
      </c>
      <c r="C155" t="s">
        <v>166</v>
      </c>
      <c r="D155" s="18">
        <v>44154</v>
      </c>
      <c r="E155" s="18">
        <v>44593</v>
      </c>
      <c r="F155">
        <v>1</v>
      </c>
      <c r="G155">
        <v>3</v>
      </c>
      <c r="H155">
        <v>119661.31</v>
      </c>
      <c r="I155" t="s">
        <v>962</v>
      </c>
      <c r="J155">
        <v>22</v>
      </c>
      <c r="K155">
        <v>160</v>
      </c>
      <c r="L155">
        <v>109</v>
      </c>
      <c r="M155">
        <v>5</v>
      </c>
      <c r="N155" t="s">
        <v>963</v>
      </c>
      <c r="O155" t="s">
        <v>964</v>
      </c>
      <c r="P155" t="s">
        <v>962</v>
      </c>
    </row>
    <row r="156" spans="1:16" x14ac:dyDescent="0.35">
      <c r="A156" t="s">
        <v>1120</v>
      </c>
      <c r="B156" t="s">
        <v>55</v>
      </c>
      <c r="C156" t="s">
        <v>120</v>
      </c>
      <c r="D156" s="18">
        <v>43857</v>
      </c>
      <c r="E156" s="18">
        <v>44406</v>
      </c>
      <c r="F156">
        <v>8</v>
      </c>
      <c r="G156">
        <v>3</v>
      </c>
      <c r="H156">
        <v>140694.68</v>
      </c>
      <c r="I156" t="s">
        <v>962</v>
      </c>
      <c r="J156">
        <v>33</v>
      </c>
      <c r="K156">
        <v>160</v>
      </c>
      <c r="L156">
        <v>60</v>
      </c>
      <c r="M156">
        <v>4</v>
      </c>
      <c r="N156" t="s">
        <v>963</v>
      </c>
      <c r="O156" t="s">
        <v>982</v>
      </c>
      <c r="P156" t="s">
        <v>963</v>
      </c>
    </row>
    <row r="157" spans="1:16" x14ac:dyDescent="0.35">
      <c r="A157" t="s">
        <v>1121</v>
      </c>
      <c r="B157" t="s">
        <v>61</v>
      </c>
      <c r="C157" t="s">
        <v>166</v>
      </c>
      <c r="D157" s="18">
        <v>45447</v>
      </c>
      <c r="E157" s="18">
        <v>45303</v>
      </c>
      <c r="F157">
        <v>5</v>
      </c>
      <c r="G157">
        <v>3</v>
      </c>
      <c r="H157">
        <v>105451.45</v>
      </c>
      <c r="I157" t="s">
        <v>962</v>
      </c>
      <c r="J157">
        <v>15</v>
      </c>
      <c r="K157">
        <v>160</v>
      </c>
      <c r="L157">
        <v>78</v>
      </c>
      <c r="M157">
        <v>2</v>
      </c>
      <c r="N157" t="s">
        <v>963</v>
      </c>
      <c r="O157" t="s">
        <v>108</v>
      </c>
      <c r="P157" t="s">
        <v>963</v>
      </c>
    </row>
    <row r="158" spans="1:16" x14ac:dyDescent="0.35">
      <c r="A158" t="s">
        <v>1122</v>
      </c>
      <c r="B158" t="s">
        <v>55</v>
      </c>
      <c r="C158" t="s">
        <v>120</v>
      </c>
      <c r="D158" s="18">
        <v>44309</v>
      </c>
      <c r="E158" s="18">
        <v>44949</v>
      </c>
      <c r="F158">
        <v>4</v>
      </c>
      <c r="G158">
        <v>2</v>
      </c>
      <c r="H158">
        <v>143817.28</v>
      </c>
      <c r="I158" t="s">
        <v>963</v>
      </c>
      <c r="J158">
        <v>0</v>
      </c>
      <c r="K158">
        <v>40</v>
      </c>
      <c r="L158">
        <v>29</v>
      </c>
      <c r="M158">
        <v>5</v>
      </c>
      <c r="N158" t="s">
        <v>963</v>
      </c>
      <c r="O158" t="s">
        <v>964</v>
      </c>
      <c r="P158" t="s">
        <v>962</v>
      </c>
    </row>
    <row r="159" spans="1:16" x14ac:dyDescent="0.35">
      <c r="A159" t="s">
        <v>1123</v>
      </c>
      <c r="B159" t="s">
        <v>61</v>
      </c>
      <c r="C159" t="s">
        <v>108</v>
      </c>
      <c r="D159" s="18">
        <v>45302</v>
      </c>
      <c r="E159" s="18">
        <v>45972</v>
      </c>
      <c r="F159">
        <v>4</v>
      </c>
      <c r="G159">
        <v>2</v>
      </c>
      <c r="H159">
        <v>103649.58</v>
      </c>
      <c r="I159" t="s">
        <v>962</v>
      </c>
      <c r="J159">
        <v>67</v>
      </c>
      <c r="K159">
        <v>160</v>
      </c>
      <c r="L159">
        <v>135</v>
      </c>
      <c r="M159">
        <v>3</v>
      </c>
      <c r="N159" t="s">
        <v>962</v>
      </c>
      <c r="O159" t="s">
        <v>982</v>
      </c>
      <c r="P159" t="s">
        <v>962</v>
      </c>
    </row>
    <row r="160" spans="1:16" x14ac:dyDescent="0.35">
      <c r="A160" t="s">
        <v>1124</v>
      </c>
      <c r="B160" t="s">
        <v>57</v>
      </c>
      <c r="C160" t="s">
        <v>166</v>
      </c>
      <c r="D160" s="18">
        <v>45171</v>
      </c>
      <c r="E160" s="18">
        <v>45341</v>
      </c>
      <c r="F160">
        <v>3</v>
      </c>
      <c r="G160">
        <v>2</v>
      </c>
      <c r="H160">
        <v>52577.06</v>
      </c>
      <c r="I160" t="s">
        <v>963</v>
      </c>
      <c r="J160">
        <v>0</v>
      </c>
      <c r="K160">
        <v>0</v>
      </c>
      <c r="L160">
        <v>0</v>
      </c>
      <c r="M160">
        <v>2</v>
      </c>
      <c r="N160" t="s">
        <v>963</v>
      </c>
      <c r="O160" t="s">
        <v>964</v>
      </c>
      <c r="P160" t="s">
        <v>962</v>
      </c>
    </row>
    <row r="161" spans="1:16" x14ac:dyDescent="0.35">
      <c r="A161" t="s">
        <v>1125</v>
      </c>
      <c r="B161" t="s">
        <v>61</v>
      </c>
      <c r="C161" t="s">
        <v>108</v>
      </c>
      <c r="D161" s="18">
        <v>43328</v>
      </c>
      <c r="E161" s="18">
        <v>44958</v>
      </c>
      <c r="F161">
        <v>3</v>
      </c>
      <c r="G161">
        <v>4</v>
      </c>
      <c r="H161">
        <v>71235.78</v>
      </c>
      <c r="I161" t="s">
        <v>962</v>
      </c>
      <c r="J161">
        <v>71</v>
      </c>
      <c r="K161">
        <v>160</v>
      </c>
      <c r="L161">
        <v>78</v>
      </c>
      <c r="M161">
        <v>1</v>
      </c>
      <c r="N161" t="s">
        <v>963</v>
      </c>
      <c r="O161" t="s">
        <v>964</v>
      </c>
      <c r="P161" t="s">
        <v>962</v>
      </c>
    </row>
    <row r="162" spans="1:16" x14ac:dyDescent="0.35">
      <c r="A162" t="s">
        <v>1126</v>
      </c>
      <c r="B162" t="s">
        <v>57</v>
      </c>
      <c r="C162" t="s">
        <v>166</v>
      </c>
      <c r="D162" s="18">
        <v>43993</v>
      </c>
      <c r="E162" s="18">
        <v>44130</v>
      </c>
      <c r="F162">
        <v>1</v>
      </c>
      <c r="G162">
        <v>4</v>
      </c>
      <c r="H162">
        <v>54956.69</v>
      </c>
      <c r="I162" t="s">
        <v>962</v>
      </c>
      <c r="J162">
        <v>69</v>
      </c>
      <c r="K162">
        <v>0</v>
      </c>
      <c r="L162">
        <v>0</v>
      </c>
      <c r="M162">
        <v>1</v>
      </c>
      <c r="N162" t="s">
        <v>963</v>
      </c>
      <c r="O162" t="s">
        <v>964</v>
      </c>
      <c r="P162" t="s">
        <v>962</v>
      </c>
    </row>
    <row r="163" spans="1:16" x14ac:dyDescent="0.35">
      <c r="A163" t="s">
        <v>1127</v>
      </c>
      <c r="B163" t="s">
        <v>980</v>
      </c>
      <c r="C163" t="s">
        <v>120</v>
      </c>
      <c r="D163" s="18">
        <v>43655</v>
      </c>
      <c r="E163" s="18">
        <v>45187</v>
      </c>
      <c r="F163">
        <v>6</v>
      </c>
      <c r="G163">
        <v>4</v>
      </c>
      <c r="H163">
        <v>70037.88</v>
      </c>
      <c r="I163" t="s">
        <v>963</v>
      </c>
      <c r="J163">
        <v>0</v>
      </c>
      <c r="K163">
        <v>160</v>
      </c>
      <c r="L163">
        <v>20</v>
      </c>
      <c r="M163">
        <v>5</v>
      </c>
      <c r="N163" t="s">
        <v>962</v>
      </c>
      <c r="O163" t="s">
        <v>108</v>
      </c>
      <c r="P163" t="s">
        <v>963</v>
      </c>
    </row>
    <row r="164" spans="1:16" x14ac:dyDescent="0.35">
      <c r="A164" t="s">
        <v>1128</v>
      </c>
      <c r="B164" t="s">
        <v>57</v>
      </c>
      <c r="C164" t="s">
        <v>120</v>
      </c>
      <c r="D164" s="18">
        <v>45301</v>
      </c>
      <c r="E164" s="18">
        <v>45694</v>
      </c>
      <c r="F164">
        <v>3</v>
      </c>
      <c r="G164">
        <v>2</v>
      </c>
      <c r="H164">
        <v>126049.13</v>
      </c>
      <c r="I164" t="s">
        <v>962</v>
      </c>
      <c r="J164">
        <v>38</v>
      </c>
      <c r="K164">
        <v>160</v>
      </c>
      <c r="L164">
        <v>139</v>
      </c>
      <c r="M164">
        <v>4</v>
      </c>
      <c r="N164" t="s">
        <v>963</v>
      </c>
      <c r="O164" t="s">
        <v>108</v>
      </c>
      <c r="P164" t="s">
        <v>962</v>
      </c>
    </row>
    <row r="165" spans="1:16" x14ac:dyDescent="0.35">
      <c r="A165" t="s">
        <v>1129</v>
      </c>
      <c r="B165" t="s">
        <v>980</v>
      </c>
      <c r="C165" t="s">
        <v>108</v>
      </c>
      <c r="D165" s="18">
        <v>43736</v>
      </c>
      <c r="E165" s="18">
        <v>44595</v>
      </c>
      <c r="F165">
        <v>4</v>
      </c>
      <c r="G165">
        <v>1</v>
      </c>
      <c r="H165">
        <v>9671.51</v>
      </c>
      <c r="I165" t="s">
        <v>963</v>
      </c>
      <c r="J165">
        <v>0</v>
      </c>
      <c r="K165">
        <v>0</v>
      </c>
      <c r="L165">
        <v>0</v>
      </c>
      <c r="M165">
        <v>2</v>
      </c>
      <c r="N165" t="s">
        <v>962</v>
      </c>
      <c r="O165" t="s">
        <v>964</v>
      </c>
      <c r="P165" t="s">
        <v>962</v>
      </c>
    </row>
    <row r="166" spans="1:16" x14ac:dyDescent="0.35">
      <c r="A166" t="s">
        <v>1130</v>
      </c>
      <c r="B166" t="s">
        <v>61</v>
      </c>
      <c r="C166" t="s">
        <v>120</v>
      </c>
      <c r="D166" s="18">
        <v>44929</v>
      </c>
      <c r="E166" s="18">
        <v>45026</v>
      </c>
      <c r="F166">
        <v>4</v>
      </c>
      <c r="G166">
        <v>1</v>
      </c>
      <c r="H166">
        <v>63328.480000000003</v>
      </c>
      <c r="I166" t="s">
        <v>962</v>
      </c>
      <c r="J166">
        <v>69</v>
      </c>
      <c r="K166">
        <v>40</v>
      </c>
      <c r="L166">
        <v>3</v>
      </c>
      <c r="M166">
        <v>2</v>
      </c>
      <c r="N166" t="s">
        <v>963</v>
      </c>
      <c r="O166" t="s">
        <v>964</v>
      </c>
      <c r="P166" t="s">
        <v>962</v>
      </c>
    </row>
    <row r="167" spans="1:16" x14ac:dyDescent="0.35">
      <c r="A167" t="s">
        <v>1131</v>
      </c>
      <c r="B167" t="s">
        <v>55</v>
      </c>
      <c r="C167" t="s">
        <v>166</v>
      </c>
      <c r="D167" s="18">
        <v>44407</v>
      </c>
      <c r="E167" s="18">
        <v>45379</v>
      </c>
      <c r="F167">
        <v>6</v>
      </c>
      <c r="G167">
        <v>2</v>
      </c>
      <c r="H167">
        <v>48755.839999999997</v>
      </c>
      <c r="I167" t="s">
        <v>962</v>
      </c>
      <c r="J167">
        <v>66</v>
      </c>
      <c r="K167">
        <v>40</v>
      </c>
      <c r="L167">
        <v>26</v>
      </c>
      <c r="M167">
        <v>3</v>
      </c>
      <c r="N167" t="s">
        <v>963</v>
      </c>
      <c r="O167" t="s">
        <v>964</v>
      </c>
      <c r="P167" t="s">
        <v>962</v>
      </c>
    </row>
    <row r="168" spans="1:16" x14ac:dyDescent="0.35">
      <c r="A168" t="s">
        <v>1132</v>
      </c>
      <c r="B168" t="s">
        <v>61</v>
      </c>
      <c r="C168" t="s">
        <v>166</v>
      </c>
      <c r="D168" s="18">
        <v>43818</v>
      </c>
      <c r="E168" s="18">
        <v>45215</v>
      </c>
      <c r="F168">
        <v>8</v>
      </c>
      <c r="G168">
        <v>1</v>
      </c>
      <c r="H168">
        <v>145982.07999999999</v>
      </c>
      <c r="I168" t="s">
        <v>963</v>
      </c>
      <c r="J168">
        <v>0</v>
      </c>
      <c r="K168">
        <v>80</v>
      </c>
      <c r="L168">
        <v>53</v>
      </c>
      <c r="M168">
        <v>4</v>
      </c>
      <c r="N168" t="s">
        <v>962</v>
      </c>
      <c r="O168" t="s">
        <v>964</v>
      </c>
      <c r="P168" t="s">
        <v>962</v>
      </c>
    </row>
    <row r="169" spans="1:16" x14ac:dyDescent="0.35">
      <c r="A169" t="s">
        <v>1133</v>
      </c>
      <c r="B169" t="s">
        <v>64</v>
      </c>
      <c r="C169" t="s">
        <v>166</v>
      </c>
      <c r="D169" s="18">
        <v>45040</v>
      </c>
      <c r="E169" s="18">
        <v>45420</v>
      </c>
      <c r="F169">
        <v>4</v>
      </c>
      <c r="G169">
        <v>3</v>
      </c>
      <c r="H169">
        <v>129343.48</v>
      </c>
      <c r="I169" t="s">
        <v>962</v>
      </c>
      <c r="J169">
        <v>59</v>
      </c>
      <c r="K169">
        <v>0</v>
      </c>
      <c r="L169">
        <v>0</v>
      </c>
      <c r="M169">
        <v>5</v>
      </c>
      <c r="N169" t="s">
        <v>963</v>
      </c>
      <c r="O169" t="s">
        <v>982</v>
      </c>
      <c r="P169" t="s">
        <v>962</v>
      </c>
    </row>
    <row r="170" spans="1:16" x14ac:dyDescent="0.35">
      <c r="A170" t="s">
        <v>1134</v>
      </c>
      <c r="B170" t="s">
        <v>980</v>
      </c>
      <c r="C170" t="s">
        <v>120</v>
      </c>
      <c r="D170" s="18">
        <v>44145</v>
      </c>
      <c r="E170" s="18">
        <v>44663</v>
      </c>
      <c r="F170">
        <v>6</v>
      </c>
      <c r="G170">
        <v>1</v>
      </c>
      <c r="H170">
        <v>138722.79</v>
      </c>
      <c r="I170" t="s">
        <v>963</v>
      </c>
      <c r="J170">
        <v>0</v>
      </c>
      <c r="K170">
        <v>0</v>
      </c>
      <c r="L170">
        <v>0</v>
      </c>
      <c r="M170">
        <v>5</v>
      </c>
      <c r="N170" t="s">
        <v>962</v>
      </c>
      <c r="O170" t="s">
        <v>964</v>
      </c>
      <c r="P170" t="s">
        <v>962</v>
      </c>
    </row>
    <row r="171" spans="1:16" x14ac:dyDescent="0.35">
      <c r="A171" t="s">
        <v>1135</v>
      </c>
      <c r="B171" t="s">
        <v>980</v>
      </c>
      <c r="C171" t="s">
        <v>166</v>
      </c>
      <c r="D171" s="18">
        <v>45578</v>
      </c>
      <c r="E171" s="18">
        <v>45909</v>
      </c>
      <c r="F171">
        <v>1</v>
      </c>
      <c r="G171">
        <v>1</v>
      </c>
      <c r="H171">
        <v>32283.68</v>
      </c>
      <c r="I171" t="s">
        <v>962</v>
      </c>
      <c r="J171">
        <v>61</v>
      </c>
      <c r="K171">
        <v>40</v>
      </c>
      <c r="L171">
        <v>21</v>
      </c>
      <c r="M171">
        <v>3</v>
      </c>
      <c r="N171" t="s">
        <v>962</v>
      </c>
      <c r="O171" t="s">
        <v>964</v>
      </c>
      <c r="P171" t="s">
        <v>962</v>
      </c>
    </row>
    <row r="172" spans="1:16" x14ac:dyDescent="0.35">
      <c r="A172" t="s">
        <v>1136</v>
      </c>
      <c r="B172" t="s">
        <v>64</v>
      </c>
      <c r="C172" t="s">
        <v>166</v>
      </c>
      <c r="D172" s="18">
        <v>43581</v>
      </c>
      <c r="E172" s="18">
        <v>45427</v>
      </c>
      <c r="F172">
        <v>4</v>
      </c>
      <c r="G172">
        <v>2</v>
      </c>
      <c r="H172">
        <v>62511.65</v>
      </c>
      <c r="I172" t="s">
        <v>962</v>
      </c>
      <c r="J172">
        <v>70</v>
      </c>
      <c r="K172">
        <v>80</v>
      </c>
      <c r="L172">
        <v>36</v>
      </c>
      <c r="M172">
        <v>4</v>
      </c>
      <c r="N172" t="s">
        <v>963</v>
      </c>
      <c r="O172" t="s">
        <v>964</v>
      </c>
      <c r="P172" t="s">
        <v>962</v>
      </c>
    </row>
    <row r="173" spans="1:16" x14ac:dyDescent="0.35">
      <c r="A173" t="s">
        <v>1137</v>
      </c>
      <c r="B173" t="s">
        <v>62</v>
      </c>
      <c r="C173" t="s">
        <v>108</v>
      </c>
      <c r="D173" s="18">
        <v>44172</v>
      </c>
      <c r="E173" s="18">
        <v>45304</v>
      </c>
      <c r="F173">
        <v>8</v>
      </c>
      <c r="G173">
        <v>4</v>
      </c>
      <c r="H173">
        <v>19298.189999999999</v>
      </c>
      <c r="I173" t="s">
        <v>963</v>
      </c>
      <c r="J173">
        <v>0</v>
      </c>
      <c r="K173">
        <v>80</v>
      </c>
      <c r="L173">
        <v>26</v>
      </c>
      <c r="M173">
        <v>3</v>
      </c>
      <c r="N173" t="s">
        <v>963</v>
      </c>
      <c r="O173" t="s">
        <v>964</v>
      </c>
      <c r="P173" t="s">
        <v>962</v>
      </c>
    </row>
    <row r="174" spans="1:16" x14ac:dyDescent="0.35">
      <c r="A174" t="s">
        <v>1138</v>
      </c>
      <c r="B174" t="s">
        <v>61</v>
      </c>
      <c r="C174" t="s">
        <v>120</v>
      </c>
      <c r="D174" s="18">
        <v>43698</v>
      </c>
      <c r="E174" s="18">
        <v>43532</v>
      </c>
      <c r="F174">
        <v>5</v>
      </c>
      <c r="G174">
        <v>4</v>
      </c>
      <c r="H174">
        <v>47802.879999999997</v>
      </c>
      <c r="I174" t="s">
        <v>962</v>
      </c>
      <c r="J174">
        <v>42</v>
      </c>
      <c r="K174">
        <v>40</v>
      </c>
      <c r="L174">
        <v>24</v>
      </c>
      <c r="M174">
        <v>5</v>
      </c>
      <c r="N174" t="s">
        <v>962</v>
      </c>
      <c r="O174" t="s">
        <v>964</v>
      </c>
      <c r="P174" t="s">
        <v>962</v>
      </c>
    </row>
    <row r="175" spans="1:16" x14ac:dyDescent="0.35">
      <c r="A175" t="s">
        <v>1139</v>
      </c>
      <c r="B175" t="s">
        <v>55</v>
      </c>
      <c r="C175" t="s">
        <v>166</v>
      </c>
      <c r="D175" s="18">
        <v>44483</v>
      </c>
      <c r="E175" s="18">
        <v>44724</v>
      </c>
      <c r="F175">
        <v>8</v>
      </c>
      <c r="G175">
        <v>4</v>
      </c>
      <c r="H175">
        <v>71820.2</v>
      </c>
      <c r="I175" t="s">
        <v>963</v>
      </c>
      <c r="J175">
        <v>0</v>
      </c>
      <c r="K175">
        <v>40</v>
      </c>
      <c r="L175">
        <v>8</v>
      </c>
      <c r="M175">
        <v>5</v>
      </c>
      <c r="N175" t="s">
        <v>963</v>
      </c>
      <c r="O175" t="s">
        <v>964</v>
      </c>
      <c r="P175" t="s">
        <v>962</v>
      </c>
    </row>
    <row r="176" spans="1:16" x14ac:dyDescent="0.35">
      <c r="A176" t="s">
        <v>1140</v>
      </c>
      <c r="B176" t="s">
        <v>61</v>
      </c>
      <c r="C176" t="s">
        <v>166</v>
      </c>
      <c r="D176" s="18">
        <v>43341</v>
      </c>
      <c r="E176" s="18">
        <v>45247</v>
      </c>
      <c r="F176">
        <v>1</v>
      </c>
      <c r="G176">
        <v>1</v>
      </c>
      <c r="H176">
        <v>142052.28</v>
      </c>
      <c r="I176" t="s">
        <v>962</v>
      </c>
      <c r="J176">
        <v>0</v>
      </c>
      <c r="K176">
        <v>160</v>
      </c>
      <c r="L176">
        <v>35</v>
      </c>
      <c r="M176">
        <v>2</v>
      </c>
      <c r="N176" t="s">
        <v>962</v>
      </c>
      <c r="O176" t="s">
        <v>108</v>
      </c>
      <c r="P176" t="s">
        <v>962</v>
      </c>
    </row>
    <row r="177" spans="1:16" x14ac:dyDescent="0.35">
      <c r="A177" t="s">
        <v>1141</v>
      </c>
      <c r="B177" t="s">
        <v>64</v>
      </c>
      <c r="C177" t="s">
        <v>166</v>
      </c>
      <c r="D177" s="18">
        <v>44968</v>
      </c>
      <c r="E177" s="18">
        <v>45691</v>
      </c>
      <c r="F177">
        <v>1</v>
      </c>
      <c r="G177">
        <v>4</v>
      </c>
      <c r="H177">
        <v>100596.23</v>
      </c>
      <c r="I177" t="s">
        <v>962</v>
      </c>
      <c r="J177">
        <v>0</v>
      </c>
      <c r="K177">
        <v>160</v>
      </c>
      <c r="L177">
        <v>3</v>
      </c>
      <c r="M177">
        <v>1</v>
      </c>
      <c r="N177" t="s">
        <v>963</v>
      </c>
      <c r="O177" t="s">
        <v>964</v>
      </c>
      <c r="P177" t="s">
        <v>962</v>
      </c>
    </row>
    <row r="178" spans="1:16" x14ac:dyDescent="0.35">
      <c r="A178" t="s">
        <v>1142</v>
      </c>
      <c r="B178" t="s">
        <v>62</v>
      </c>
      <c r="C178" t="s">
        <v>120</v>
      </c>
      <c r="D178" s="18">
        <v>45158</v>
      </c>
      <c r="E178" s="18">
        <v>45808</v>
      </c>
      <c r="F178">
        <v>3</v>
      </c>
      <c r="G178">
        <v>1</v>
      </c>
      <c r="H178">
        <v>138117.07999999999</v>
      </c>
      <c r="I178" t="s">
        <v>962</v>
      </c>
      <c r="J178">
        <v>30</v>
      </c>
      <c r="K178">
        <v>40</v>
      </c>
      <c r="L178">
        <v>39</v>
      </c>
      <c r="M178">
        <v>5</v>
      </c>
      <c r="N178" t="s">
        <v>963</v>
      </c>
      <c r="O178" t="s">
        <v>108</v>
      </c>
      <c r="P178" t="s">
        <v>963</v>
      </c>
    </row>
    <row r="179" spans="1:16" x14ac:dyDescent="0.35">
      <c r="A179" t="s">
        <v>1143</v>
      </c>
      <c r="B179" t="s">
        <v>59</v>
      </c>
      <c r="C179" t="s">
        <v>108</v>
      </c>
      <c r="D179" s="18">
        <v>43424</v>
      </c>
      <c r="E179" s="18">
        <v>44629</v>
      </c>
      <c r="F179">
        <v>7</v>
      </c>
      <c r="G179">
        <v>4</v>
      </c>
      <c r="H179">
        <v>86925.32</v>
      </c>
      <c r="I179" t="s">
        <v>962</v>
      </c>
      <c r="J179">
        <v>38</v>
      </c>
      <c r="K179">
        <v>0</v>
      </c>
      <c r="L179">
        <v>0</v>
      </c>
      <c r="M179">
        <v>1</v>
      </c>
      <c r="N179" t="s">
        <v>962</v>
      </c>
      <c r="O179" t="s">
        <v>964</v>
      </c>
      <c r="P179" t="s">
        <v>962</v>
      </c>
    </row>
    <row r="180" spans="1:16" x14ac:dyDescent="0.35">
      <c r="A180" t="s">
        <v>1144</v>
      </c>
      <c r="B180" t="s">
        <v>980</v>
      </c>
      <c r="C180" t="s">
        <v>166</v>
      </c>
      <c r="D180" s="18">
        <v>45050</v>
      </c>
      <c r="E180" s="18">
        <v>45041</v>
      </c>
      <c r="F180">
        <v>1</v>
      </c>
      <c r="G180">
        <v>2</v>
      </c>
      <c r="H180">
        <v>16989.490000000002</v>
      </c>
      <c r="I180" t="s">
        <v>963</v>
      </c>
      <c r="J180">
        <v>0</v>
      </c>
      <c r="K180">
        <v>80</v>
      </c>
      <c r="L180">
        <v>72</v>
      </c>
      <c r="M180">
        <v>1</v>
      </c>
      <c r="N180" t="s">
        <v>962</v>
      </c>
      <c r="O180" t="s">
        <v>964</v>
      </c>
      <c r="P180" t="s">
        <v>962</v>
      </c>
    </row>
    <row r="181" spans="1:16" x14ac:dyDescent="0.35">
      <c r="A181" t="s">
        <v>1145</v>
      </c>
      <c r="B181" t="s">
        <v>59</v>
      </c>
      <c r="C181" t="s">
        <v>166</v>
      </c>
      <c r="D181" s="18">
        <v>45422</v>
      </c>
      <c r="E181" s="18">
        <v>45778</v>
      </c>
      <c r="F181">
        <v>5</v>
      </c>
      <c r="G181">
        <v>1</v>
      </c>
      <c r="H181">
        <v>139003.09</v>
      </c>
      <c r="I181" t="s">
        <v>963</v>
      </c>
      <c r="J181">
        <v>0</v>
      </c>
      <c r="K181">
        <v>0</v>
      </c>
      <c r="L181">
        <v>0</v>
      </c>
      <c r="M181">
        <v>2</v>
      </c>
      <c r="N181" t="s">
        <v>963</v>
      </c>
      <c r="O181" t="s">
        <v>964</v>
      </c>
      <c r="P181" t="s">
        <v>962</v>
      </c>
    </row>
    <row r="182" spans="1:16" x14ac:dyDescent="0.35">
      <c r="A182" t="s">
        <v>1146</v>
      </c>
      <c r="B182" t="s">
        <v>64</v>
      </c>
      <c r="C182" t="s">
        <v>166</v>
      </c>
      <c r="D182" s="18">
        <v>43691</v>
      </c>
      <c r="E182" s="18">
        <v>45097</v>
      </c>
      <c r="F182">
        <v>2</v>
      </c>
      <c r="G182">
        <v>3</v>
      </c>
      <c r="H182">
        <v>28555.29</v>
      </c>
      <c r="I182" t="s">
        <v>962</v>
      </c>
      <c r="J182">
        <v>72</v>
      </c>
      <c r="K182">
        <v>160</v>
      </c>
      <c r="L182">
        <v>138</v>
      </c>
      <c r="M182">
        <v>3</v>
      </c>
      <c r="N182" t="s">
        <v>963</v>
      </c>
      <c r="O182" t="s">
        <v>108</v>
      </c>
      <c r="P182" t="s">
        <v>962</v>
      </c>
    </row>
    <row r="183" spans="1:16" x14ac:dyDescent="0.35">
      <c r="A183" t="s">
        <v>1147</v>
      </c>
      <c r="B183" t="s">
        <v>59</v>
      </c>
      <c r="C183" t="s">
        <v>166</v>
      </c>
      <c r="D183" s="18">
        <v>43422</v>
      </c>
      <c r="E183" s="18">
        <v>45152</v>
      </c>
      <c r="F183">
        <v>6</v>
      </c>
      <c r="G183">
        <v>1</v>
      </c>
      <c r="H183">
        <v>19164.439999999999</v>
      </c>
      <c r="I183" t="s">
        <v>962</v>
      </c>
      <c r="J183">
        <v>9</v>
      </c>
      <c r="K183">
        <v>80</v>
      </c>
      <c r="L183">
        <v>77</v>
      </c>
      <c r="M183">
        <v>5</v>
      </c>
      <c r="N183" t="s">
        <v>963</v>
      </c>
      <c r="O183" t="s">
        <v>982</v>
      </c>
      <c r="P183" t="s">
        <v>963</v>
      </c>
    </row>
    <row r="184" spans="1:16" x14ac:dyDescent="0.35">
      <c r="A184" t="s">
        <v>1148</v>
      </c>
      <c r="B184" t="s">
        <v>57</v>
      </c>
      <c r="C184" t="s">
        <v>166</v>
      </c>
      <c r="D184" s="18">
        <v>44220</v>
      </c>
      <c r="E184" s="18">
        <v>45801</v>
      </c>
      <c r="F184">
        <v>8</v>
      </c>
      <c r="G184">
        <v>4</v>
      </c>
      <c r="H184">
        <v>38080.07</v>
      </c>
      <c r="I184" t="s">
        <v>963</v>
      </c>
      <c r="J184">
        <v>0</v>
      </c>
      <c r="K184">
        <v>160</v>
      </c>
      <c r="L184">
        <v>47</v>
      </c>
      <c r="M184">
        <v>5</v>
      </c>
      <c r="N184" t="s">
        <v>963</v>
      </c>
      <c r="O184" t="s">
        <v>964</v>
      </c>
      <c r="P184" t="s">
        <v>962</v>
      </c>
    </row>
    <row r="185" spans="1:16" x14ac:dyDescent="0.35">
      <c r="A185" t="s">
        <v>1149</v>
      </c>
      <c r="B185" t="s">
        <v>61</v>
      </c>
      <c r="C185" t="s">
        <v>108</v>
      </c>
      <c r="D185" s="18">
        <v>44110</v>
      </c>
      <c r="E185" s="18">
        <v>44132</v>
      </c>
      <c r="F185">
        <v>2</v>
      </c>
      <c r="G185">
        <v>3</v>
      </c>
      <c r="H185">
        <v>27362.04</v>
      </c>
      <c r="I185" t="s">
        <v>962</v>
      </c>
      <c r="J185">
        <v>49</v>
      </c>
      <c r="K185">
        <v>80</v>
      </c>
      <c r="L185">
        <v>46</v>
      </c>
      <c r="M185">
        <v>1</v>
      </c>
      <c r="N185" t="s">
        <v>962</v>
      </c>
      <c r="O185" t="s">
        <v>964</v>
      </c>
      <c r="P185" t="s">
        <v>962</v>
      </c>
    </row>
    <row r="186" spans="1:16" x14ac:dyDescent="0.35">
      <c r="A186" t="s">
        <v>1150</v>
      </c>
      <c r="B186" t="s">
        <v>62</v>
      </c>
      <c r="C186" t="s">
        <v>108</v>
      </c>
      <c r="D186" s="18">
        <v>44575</v>
      </c>
      <c r="E186" s="18">
        <v>45114</v>
      </c>
      <c r="F186">
        <v>2</v>
      </c>
      <c r="G186">
        <v>2</v>
      </c>
      <c r="H186">
        <v>17658.099999999999</v>
      </c>
      <c r="I186" t="s">
        <v>963</v>
      </c>
      <c r="J186">
        <v>0</v>
      </c>
      <c r="K186">
        <v>160</v>
      </c>
      <c r="L186">
        <v>142</v>
      </c>
      <c r="M186">
        <v>5</v>
      </c>
      <c r="N186" t="s">
        <v>963</v>
      </c>
      <c r="O186" t="s">
        <v>964</v>
      </c>
      <c r="P186" t="s">
        <v>962</v>
      </c>
    </row>
    <row r="187" spans="1:16" x14ac:dyDescent="0.35">
      <c r="A187" t="s">
        <v>1151</v>
      </c>
      <c r="B187" t="s">
        <v>57</v>
      </c>
      <c r="C187" t="s">
        <v>108</v>
      </c>
      <c r="D187" s="18">
        <v>45371</v>
      </c>
      <c r="E187" s="18">
        <v>45387</v>
      </c>
      <c r="F187">
        <v>6</v>
      </c>
      <c r="G187">
        <v>4</v>
      </c>
      <c r="H187">
        <v>6789.39</v>
      </c>
      <c r="I187" t="s">
        <v>963</v>
      </c>
      <c r="J187">
        <v>0</v>
      </c>
      <c r="K187">
        <v>160</v>
      </c>
      <c r="L187">
        <v>21</v>
      </c>
      <c r="M187">
        <v>5</v>
      </c>
      <c r="N187" t="s">
        <v>962</v>
      </c>
      <c r="O187" t="s">
        <v>964</v>
      </c>
      <c r="P187" t="s">
        <v>962</v>
      </c>
    </row>
    <row r="188" spans="1:16" x14ac:dyDescent="0.35">
      <c r="A188" t="s">
        <v>1152</v>
      </c>
      <c r="B188" t="s">
        <v>64</v>
      </c>
      <c r="C188" t="s">
        <v>166</v>
      </c>
      <c r="D188" s="18">
        <v>44660</v>
      </c>
      <c r="E188" s="18">
        <v>44909</v>
      </c>
      <c r="F188">
        <v>3</v>
      </c>
      <c r="G188">
        <v>3</v>
      </c>
      <c r="H188">
        <v>48664.03</v>
      </c>
      <c r="I188" t="s">
        <v>963</v>
      </c>
      <c r="J188">
        <v>0</v>
      </c>
      <c r="K188">
        <v>40</v>
      </c>
      <c r="L188">
        <v>4</v>
      </c>
      <c r="M188">
        <v>2</v>
      </c>
      <c r="N188" t="s">
        <v>963</v>
      </c>
      <c r="O188" t="s">
        <v>964</v>
      </c>
      <c r="P188" t="s">
        <v>962</v>
      </c>
    </row>
    <row r="189" spans="1:16" x14ac:dyDescent="0.35">
      <c r="A189" t="s">
        <v>1153</v>
      </c>
      <c r="B189" t="s">
        <v>62</v>
      </c>
      <c r="C189" t="s">
        <v>108</v>
      </c>
      <c r="D189" s="18">
        <v>43416</v>
      </c>
      <c r="E189" s="18">
        <v>44580</v>
      </c>
      <c r="F189">
        <v>5</v>
      </c>
      <c r="G189">
        <v>2</v>
      </c>
      <c r="H189">
        <v>109530.42</v>
      </c>
      <c r="I189" t="s">
        <v>963</v>
      </c>
      <c r="J189">
        <v>0</v>
      </c>
      <c r="K189">
        <v>40</v>
      </c>
      <c r="L189">
        <v>29</v>
      </c>
      <c r="M189">
        <v>1</v>
      </c>
      <c r="N189" t="s">
        <v>962</v>
      </c>
      <c r="O189" t="s">
        <v>964</v>
      </c>
      <c r="P189" t="s">
        <v>962</v>
      </c>
    </row>
    <row r="190" spans="1:16" x14ac:dyDescent="0.35">
      <c r="A190" t="s">
        <v>1154</v>
      </c>
      <c r="B190" t="s">
        <v>980</v>
      </c>
      <c r="C190" t="s">
        <v>108</v>
      </c>
      <c r="D190" s="18">
        <v>45641</v>
      </c>
      <c r="E190" s="18">
        <v>45681</v>
      </c>
      <c r="F190">
        <v>6</v>
      </c>
      <c r="G190">
        <v>4</v>
      </c>
      <c r="H190">
        <v>53536.75</v>
      </c>
      <c r="I190" t="s">
        <v>962</v>
      </c>
      <c r="J190">
        <v>38</v>
      </c>
      <c r="K190">
        <v>80</v>
      </c>
      <c r="L190">
        <v>77</v>
      </c>
      <c r="M190">
        <v>2</v>
      </c>
      <c r="N190" t="s">
        <v>963</v>
      </c>
      <c r="O190" t="s">
        <v>964</v>
      </c>
      <c r="P190" t="s">
        <v>962</v>
      </c>
    </row>
    <row r="191" spans="1:16" x14ac:dyDescent="0.35">
      <c r="A191" t="s">
        <v>1155</v>
      </c>
      <c r="B191" t="s">
        <v>980</v>
      </c>
      <c r="C191" t="s">
        <v>108</v>
      </c>
      <c r="D191" s="18">
        <v>44294</v>
      </c>
      <c r="E191" s="18">
        <v>45702</v>
      </c>
      <c r="F191">
        <v>8</v>
      </c>
      <c r="G191">
        <v>2</v>
      </c>
      <c r="H191">
        <v>52253.5</v>
      </c>
      <c r="I191" t="s">
        <v>963</v>
      </c>
      <c r="J191">
        <v>0</v>
      </c>
      <c r="K191">
        <v>160</v>
      </c>
      <c r="L191">
        <v>93</v>
      </c>
      <c r="M191">
        <v>1</v>
      </c>
      <c r="N191" t="s">
        <v>962</v>
      </c>
      <c r="O191" t="s">
        <v>964</v>
      </c>
      <c r="P191" t="s">
        <v>962</v>
      </c>
    </row>
    <row r="192" spans="1:16" x14ac:dyDescent="0.35">
      <c r="A192" t="s">
        <v>1156</v>
      </c>
      <c r="B192" t="s">
        <v>61</v>
      </c>
      <c r="C192" t="s">
        <v>120</v>
      </c>
      <c r="D192" s="18">
        <v>45354</v>
      </c>
      <c r="E192" s="18">
        <v>45319</v>
      </c>
      <c r="F192">
        <v>8</v>
      </c>
      <c r="G192">
        <v>2</v>
      </c>
      <c r="H192">
        <v>68575.97</v>
      </c>
      <c r="I192" t="s">
        <v>963</v>
      </c>
      <c r="J192">
        <v>0</v>
      </c>
      <c r="K192">
        <v>0</v>
      </c>
      <c r="L192">
        <v>0</v>
      </c>
      <c r="M192">
        <v>4</v>
      </c>
      <c r="N192" t="s">
        <v>963</v>
      </c>
      <c r="O192" t="s">
        <v>964</v>
      </c>
      <c r="P192" t="s">
        <v>962</v>
      </c>
    </row>
    <row r="193" spans="1:16" x14ac:dyDescent="0.35">
      <c r="A193" t="s">
        <v>1157</v>
      </c>
      <c r="B193" t="s">
        <v>62</v>
      </c>
      <c r="C193" t="s">
        <v>120</v>
      </c>
      <c r="D193" s="18">
        <v>44135</v>
      </c>
      <c r="E193" s="18">
        <v>44462</v>
      </c>
      <c r="F193">
        <v>7</v>
      </c>
      <c r="G193">
        <v>4</v>
      </c>
      <c r="H193">
        <v>15724.94</v>
      </c>
      <c r="I193" t="s">
        <v>963</v>
      </c>
      <c r="J193">
        <v>0</v>
      </c>
      <c r="K193">
        <v>160</v>
      </c>
      <c r="L193">
        <v>136</v>
      </c>
      <c r="M193">
        <v>5</v>
      </c>
      <c r="N193" t="s">
        <v>963</v>
      </c>
      <c r="O193" t="s">
        <v>964</v>
      </c>
      <c r="P193" t="s">
        <v>962</v>
      </c>
    </row>
    <row r="194" spans="1:16" x14ac:dyDescent="0.35">
      <c r="A194" t="s">
        <v>1158</v>
      </c>
      <c r="B194" t="s">
        <v>59</v>
      </c>
      <c r="C194" t="s">
        <v>108</v>
      </c>
      <c r="D194" s="18">
        <v>45300</v>
      </c>
      <c r="E194" s="18">
        <v>45900</v>
      </c>
      <c r="F194">
        <v>2</v>
      </c>
      <c r="G194">
        <v>1</v>
      </c>
      <c r="H194">
        <v>116498.34</v>
      </c>
      <c r="I194" t="s">
        <v>963</v>
      </c>
      <c r="J194">
        <v>0</v>
      </c>
      <c r="K194">
        <v>40</v>
      </c>
      <c r="L194">
        <v>39</v>
      </c>
      <c r="M194">
        <v>1</v>
      </c>
      <c r="N194" t="s">
        <v>963</v>
      </c>
      <c r="O194" t="s">
        <v>982</v>
      </c>
      <c r="P194" t="s">
        <v>963</v>
      </c>
    </row>
    <row r="195" spans="1:16" x14ac:dyDescent="0.35">
      <c r="A195" t="s">
        <v>1159</v>
      </c>
      <c r="B195" t="s">
        <v>59</v>
      </c>
      <c r="C195" t="s">
        <v>108</v>
      </c>
      <c r="D195" s="18">
        <v>43534</v>
      </c>
      <c r="E195" s="18">
        <v>43509</v>
      </c>
      <c r="F195">
        <v>2</v>
      </c>
      <c r="G195">
        <v>3</v>
      </c>
      <c r="H195">
        <v>37190.160000000003</v>
      </c>
      <c r="I195" t="s">
        <v>962</v>
      </c>
      <c r="J195">
        <v>57</v>
      </c>
      <c r="K195">
        <v>80</v>
      </c>
      <c r="L195">
        <v>50</v>
      </c>
      <c r="M195">
        <v>4</v>
      </c>
      <c r="N195" t="s">
        <v>962</v>
      </c>
      <c r="O195" t="s">
        <v>964</v>
      </c>
      <c r="P195" t="s">
        <v>962</v>
      </c>
    </row>
    <row r="196" spans="1:16" x14ac:dyDescent="0.35">
      <c r="A196" t="s">
        <v>1160</v>
      </c>
      <c r="B196" t="s">
        <v>57</v>
      </c>
      <c r="C196" t="s">
        <v>108</v>
      </c>
      <c r="D196" s="18">
        <v>43529</v>
      </c>
      <c r="E196" s="18">
        <v>44676</v>
      </c>
      <c r="F196">
        <v>7</v>
      </c>
      <c r="G196">
        <v>1</v>
      </c>
      <c r="H196">
        <v>21830.05</v>
      </c>
      <c r="I196" t="s">
        <v>962</v>
      </c>
      <c r="J196">
        <v>44</v>
      </c>
      <c r="K196">
        <v>80</v>
      </c>
      <c r="L196">
        <v>43</v>
      </c>
      <c r="M196">
        <v>4</v>
      </c>
      <c r="N196" t="s">
        <v>962</v>
      </c>
      <c r="O196" t="s">
        <v>964</v>
      </c>
      <c r="P196" t="s">
        <v>962</v>
      </c>
    </row>
    <row r="197" spans="1:16" x14ac:dyDescent="0.35">
      <c r="A197" t="s">
        <v>1161</v>
      </c>
      <c r="B197" t="s">
        <v>62</v>
      </c>
      <c r="C197" t="s">
        <v>108</v>
      </c>
      <c r="D197" s="18">
        <v>43500</v>
      </c>
      <c r="E197" s="18">
        <v>45260</v>
      </c>
      <c r="F197">
        <v>8</v>
      </c>
      <c r="G197">
        <v>3</v>
      </c>
      <c r="H197">
        <v>14740.28</v>
      </c>
      <c r="I197" t="s">
        <v>962</v>
      </c>
      <c r="J197">
        <v>14</v>
      </c>
      <c r="K197">
        <v>0</v>
      </c>
      <c r="L197">
        <v>0</v>
      </c>
      <c r="M197">
        <v>3</v>
      </c>
      <c r="N197" t="s">
        <v>962</v>
      </c>
      <c r="O197" t="s">
        <v>108</v>
      </c>
      <c r="P197" t="s">
        <v>962</v>
      </c>
    </row>
    <row r="198" spans="1:16" x14ac:dyDescent="0.35">
      <c r="A198" t="s">
        <v>1162</v>
      </c>
      <c r="B198" t="s">
        <v>55</v>
      </c>
      <c r="C198" t="s">
        <v>120</v>
      </c>
      <c r="D198" s="18">
        <v>45214</v>
      </c>
      <c r="E198" s="18">
        <v>45284</v>
      </c>
      <c r="F198">
        <v>3</v>
      </c>
      <c r="G198">
        <v>3</v>
      </c>
      <c r="H198">
        <v>86178.1</v>
      </c>
      <c r="I198" t="s">
        <v>963</v>
      </c>
      <c r="J198">
        <v>0</v>
      </c>
      <c r="K198">
        <v>40</v>
      </c>
      <c r="L198">
        <v>25</v>
      </c>
      <c r="M198">
        <v>2</v>
      </c>
      <c r="N198" t="s">
        <v>962</v>
      </c>
      <c r="O198" t="s">
        <v>108</v>
      </c>
      <c r="P198" t="s">
        <v>963</v>
      </c>
    </row>
    <row r="199" spans="1:16" x14ac:dyDescent="0.35">
      <c r="A199" t="s">
        <v>1163</v>
      </c>
      <c r="B199" t="s">
        <v>980</v>
      </c>
      <c r="C199" t="s">
        <v>120</v>
      </c>
      <c r="D199" s="18">
        <v>45616</v>
      </c>
      <c r="E199" s="18">
        <v>45494</v>
      </c>
      <c r="F199">
        <v>8</v>
      </c>
      <c r="G199">
        <v>4</v>
      </c>
      <c r="H199">
        <v>61381.19</v>
      </c>
      <c r="I199" t="s">
        <v>962</v>
      </c>
      <c r="J199">
        <v>26</v>
      </c>
      <c r="K199">
        <v>80</v>
      </c>
      <c r="L199">
        <v>8</v>
      </c>
      <c r="M199">
        <v>5</v>
      </c>
      <c r="N199" t="s">
        <v>962</v>
      </c>
      <c r="O199" t="s">
        <v>108</v>
      </c>
      <c r="P199" t="s">
        <v>962</v>
      </c>
    </row>
    <row r="200" spans="1:16" x14ac:dyDescent="0.35">
      <c r="A200" t="s">
        <v>1164</v>
      </c>
      <c r="B200" t="s">
        <v>62</v>
      </c>
      <c r="C200" t="s">
        <v>108</v>
      </c>
      <c r="D200" s="18">
        <v>43908</v>
      </c>
      <c r="E200" s="18">
        <v>45705</v>
      </c>
      <c r="F200">
        <v>2</v>
      </c>
      <c r="G200">
        <v>3</v>
      </c>
      <c r="H200">
        <v>102251.71</v>
      </c>
      <c r="I200" t="s">
        <v>963</v>
      </c>
      <c r="J200">
        <v>0</v>
      </c>
      <c r="K200">
        <v>80</v>
      </c>
      <c r="L200">
        <v>76</v>
      </c>
      <c r="M200">
        <v>4</v>
      </c>
      <c r="N200" t="s">
        <v>963</v>
      </c>
      <c r="O200" t="s">
        <v>964</v>
      </c>
      <c r="P200" t="s">
        <v>962</v>
      </c>
    </row>
    <row r="201" spans="1:16" x14ac:dyDescent="0.35">
      <c r="A201" t="s">
        <v>1165</v>
      </c>
      <c r="B201" t="s">
        <v>62</v>
      </c>
      <c r="C201" t="s">
        <v>108</v>
      </c>
      <c r="D201" s="18">
        <v>44976</v>
      </c>
      <c r="E201" s="18">
        <v>45280</v>
      </c>
      <c r="F201">
        <v>5</v>
      </c>
      <c r="G201">
        <v>1</v>
      </c>
      <c r="H201">
        <v>102455.96</v>
      </c>
      <c r="I201" t="s">
        <v>963</v>
      </c>
      <c r="J201">
        <v>0</v>
      </c>
      <c r="K201">
        <v>0</v>
      </c>
      <c r="L201">
        <v>0</v>
      </c>
      <c r="M201">
        <v>2</v>
      </c>
      <c r="N201" t="s">
        <v>963</v>
      </c>
      <c r="O201" t="s">
        <v>964</v>
      </c>
      <c r="P201" t="s">
        <v>962</v>
      </c>
    </row>
    <row r="202" spans="1:16" x14ac:dyDescent="0.35">
      <c r="A202" t="s">
        <v>1166</v>
      </c>
      <c r="B202" t="s">
        <v>62</v>
      </c>
      <c r="C202" t="s">
        <v>166</v>
      </c>
      <c r="D202" s="18">
        <v>43680</v>
      </c>
      <c r="E202" s="18">
        <v>45558</v>
      </c>
      <c r="F202">
        <v>7</v>
      </c>
      <c r="G202">
        <v>4</v>
      </c>
      <c r="H202">
        <v>91481.74</v>
      </c>
      <c r="I202" t="s">
        <v>963</v>
      </c>
      <c r="J202">
        <v>0</v>
      </c>
      <c r="K202">
        <v>160</v>
      </c>
      <c r="L202">
        <v>47</v>
      </c>
      <c r="M202">
        <v>4</v>
      </c>
      <c r="N202" t="s">
        <v>962</v>
      </c>
      <c r="O202" t="s">
        <v>964</v>
      </c>
      <c r="P202" t="s">
        <v>962</v>
      </c>
    </row>
    <row r="203" spans="1:16" x14ac:dyDescent="0.35">
      <c r="A203" t="s">
        <v>1167</v>
      </c>
      <c r="B203" t="s">
        <v>980</v>
      </c>
      <c r="C203" t="s">
        <v>108</v>
      </c>
      <c r="D203" s="18">
        <v>43675</v>
      </c>
      <c r="E203" s="18">
        <v>44232</v>
      </c>
      <c r="F203">
        <v>6</v>
      </c>
      <c r="G203">
        <v>4</v>
      </c>
      <c r="H203">
        <v>94814.45</v>
      </c>
      <c r="I203" t="s">
        <v>963</v>
      </c>
      <c r="J203">
        <v>0</v>
      </c>
      <c r="K203">
        <v>0</v>
      </c>
      <c r="L203">
        <v>0</v>
      </c>
      <c r="M203">
        <v>4</v>
      </c>
      <c r="N203" t="s">
        <v>962</v>
      </c>
      <c r="O203" t="s">
        <v>964</v>
      </c>
      <c r="P203" t="s">
        <v>962</v>
      </c>
    </row>
    <row r="204" spans="1:16" x14ac:dyDescent="0.35">
      <c r="A204" t="s">
        <v>1168</v>
      </c>
      <c r="B204" t="s">
        <v>980</v>
      </c>
      <c r="C204" t="s">
        <v>166</v>
      </c>
      <c r="D204" s="18">
        <v>45171</v>
      </c>
      <c r="E204" s="18">
        <v>45940</v>
      </c>
      <c r="F204">
        <v>7</v>
      </c>
      <c r="G204">
        <v>4</v>
      </c>
      <c r="H204">
        <v>65266.41</v>
      </c>
      <c r="I204" t="s">
        <v>963</v>
      </c>
      <c r="J204">
        <v>0</v>
      </c>
      <c r="K204">
        <v>160</v>
      </c>
      <c r="L204">
        <v>42</v>
      </c>
      <c r="M204">
        <v>1</v>
      </c>
      <c r="N204" t="s">
        <v>962</v>
      </c>
      <c r="O204" t="s">
        <v>108</v>
      </c>
      <c r="P204" t="s">
        <v>962</v>
      </c>
    </row>
    <row r="205" spans="1:16" x14ac:dyDescent="0.35">
      <c r="A205" t="s">
        <v>1169</v>
      </c>
      <c r="B205" t="s">
        <v>62</v>
      </c>
      <c r="C205" t="s">
        <v>120</v>
      </c>
      <c r="D205" s="18">
        <v>44226</v>
      </c>
      <c r="E205" s="18">
        <v>44657</v>
      </c>
      <c r="F205">
        <v>5</v>
      </c>
      <c r="G205">
        <v>2</v>
      </c>
      <c r="H205">
        <v>118207.33</v>
      </c>
      <c r="I205" t="s">
        <v>963</v>
      </c>
      <c r="J205">
        <v>0</v>
      </c>
      <c r="K205">
        <v>0</v>
      </c>
      <c r="L205">
        <v>0</v>
      </c>
      <c r="M205">
        <v>5</v>
      </c>
      <c r="N205" t="s">
        <v>962</v>
      </c>
      <c r="O205" t="s">
        <v>964</v>
      </c>
      <c r="P205" t="s">
        <v>962</v>
      </c>
    </row>
    <row r="206" spans="1:16" x14ac:dyDescent="0.35">
      <c r="A206" t="s">
        <v>1170</v>
      </c>
      <c r="B206" t="s">
        <v>61</v>
      </c>
      <c r="C206" t="s">
        <v>108</v>
      </c>
      <c r="D206" s="18">
        <v>45321</v>
      </c>
      <c r="E206" s="18">
        <v>45334</v>
      </c>
      <c r="F206">
        <v>8</v>
      </c>
      <c r="G206">
        <v>2</v>
      </c>
      <c r="H206">
        <v>148517.48000000001</v>
      </c>
      <c r="I206" t="s">
        <v>962</v>
      </c>
      <c r="J206">
        <v>31</v>
      </c>
      <c r="K206">
        <v>80</v>
      </c>
      <c r="L206">
        <v>4</v>
      </c>
      <c r="M206">
        <v>4</v>
      </c>
      <c r="N206" t="s">
        <v>963</v>
      </c>
      <c r="O206" t="s">
        <v>964</v>
      </c>
      <c r="P206" t="s">
        <v>962</v>
      </c>
    </row>
    <row r="207" spans="1:16" x14ac:dyDescent="0.35">
      <c r="A207" t="s">
        <v>1171</v>
      </c>
      <c r="B207" t="s">
        <v>59</v>
      </c>
      <c r="C207" t="s">
        <v>120</v>
      </c>
      <c r="D207" s="18">
        <v>44899</v>
      </c>
      <c r="E207" s="18">
        <v>44802</v>
      </c>
      <c r="F207">
        <v>4</v>
      </c>
      <c r="G207">
        <v>2</v>
      </c>
      <c r="H207">
        <v>122551.89</v>
      </c>
      <c r="I207" t="s">
        <v>963</v>
      </c>
      <c r="J207">
        <v>0</v>
      </c>
      <c r="K207">
        <v>160</v>
      </c>
      <c r="L207">
        <v>42</v>
      </c>
      <c r="M207">
        <v>5</v>
      </c>
      <c r="N207" t="s">
        <v>962</v>
      </c>
      <c r="O207" t="s">
        <v>108</v>
      </c>
      <c r="P207" t="s">
        <v>962</v>
      </c>
    </row>
    <row r="208" spans="1:16" x14ac:dyDescent="0.35">
      <c r="A208" t="s">
        <v>1172</v>
      </c>
      <c r="B208" t="s">
        <v>59</v>
      </c>
      <c r="C208" t="s">
        <v>120</v>
      </c>
      <c r="D208" s="18">
        <v>45436</v>
      </c>
      <c r="E208" s="18">
        <v>45651</v>
      </c>
      <c r="F208">
        <v>5</v>
      </c>
      <c r="G208">
        <v>2</v>
      </c>
      <c r="H208">
        <v>51929.77</v>
      </c>
      <c r="I208" t="s">
        <v>963</v>
      </c>
      <c r="J208">
        <v>0</v>
      </c>
      <c r="K208">
        <v>80</v>
      </c>
      <c r="L208">
        <v>73</v>
      </c>
      <c r="M208">
        <v>3</v>
      </c>
      <c r="N208" t="s">
        <v>962</v>
      </c>
      <c r="O208" t="s">
        <v>964</v>
      </c>
      <c r="P208" t="s">
        <v>962</v>
      </c>
    </row>
    <row r="209" spans="1:16" x14ac:dyDescent="0.35">
      <c r="A209" t="s">
        <v>1173</v>
      </c>
      <c r="B209" t="s">
        <v>59</v>
      </c>
      <c r="C209" t="s">
        <v>108</v>
      </c>
      <c r="D209" s="18">
        <v>43343</v>
      </c>
      <c r="E209" s="18">
        <v>44236</v>
      </c>
      <c r="F209">
        <v>3</v>
      </c>
      <c r="G209">
        <v>2</v>
      </c>
      <c r="H209">
        <v>41203.199999999997</v>
      </c>
      <c r="I209" t="s">
        <v>963</v>
      </c>
      <c r="J209">
        <v>0</v>
      </c>
      <c r="K209">
        <v>40</v>
      </c>
      <c r="L209">
        <v>25</v>
      </c>
      <c r="M209">
        <v>4</v>
      </c>
      <c r="N209" t="s">
        <v>962</v>
      </c>
      <c r="O209" t="s">
        <v>964</v>
      </c>
      <c r="P209" t="s">
        <v>962</v>
      </c>
    </row>
    <row r="210" spans="1:16" x14ac:dyDescent="0.35">
      <c r="A210" t="s">
        <v>1174</v>
      </c>
      <c r="B210" t="s">
        <v>62</v>
      </c>
      <c r="C210" t="s">
        <v>166</v>
      </c>
      <c r="D210" s="18">
        <v>44797</v>
      </c>
      <c r="E210" s="18">
        <v>45330</v>
      </c>
      <c r="F210">
        <v>8</v>
      </c>
      <c r="G210">
        <v>1</v>
      </c>
      <c r="H210">
        <v>96876.03</v>
      </c>
      <c r="I210" t="s">
        <v>962</v>
      </c>
      <c r="J210">
        <v>51</v>
      </c>
      <c r="K210">
        <v>80</v>
      </c>
      <c r="L210">
        <v>47</v>
      </c>
      <c r="M210">
        <v>4</v>
      </c>
      <c r="N210" t="s">
        <v>963</v>
      </c>
      <c r="O210" t="s">
        <v>964</v>
      </c>
      <c r="P210" t="s">
        <v>962</v>
      </c>
    </row>
    <row r="211" spans="1:16" x14ac:dyDescent="0.35">
      <c r="A211" t="s">
        <v>1175</v>
      </c>
      <c r="B211" t="s">
        <v>57</v>
      </c>
      <c r="C211" t="s">
        <v>166</v>
      </c>
      <c r="D211" s="18">
        <v>43482</v>
      </c>
      <c r="E211" s="18">
        <v>45343</v>
      </c>
      <c r="F211">
        <v>6</v>
      </c>
      <c r="G211">
        <v>1</v>
      </c>
      <c r="H211">
        <v>120373.3</v>
      </c>
      <c r="I211" t="s">
        <v>963</v>
      </c>
      <c r="J211">
        <v>0</v>
      </c>
      <c r="K211">
        <v>40</v>
      </c>
      <c r="L211">
        <v>27</v>
      </c>
      <c r="M211">
        <v>2</v>
      </c>
      <c r="N211" t="s">
        <v>963</v>
      </c>
      <c r="O211" t="s">
        <v>964</v>
      </c>
      <c r="P211" t="s">
        <v>962</v>
      </c>
    </row>
    <row r="212" spans="1:16" x14ac:dyDescent="0.35">
      <c r="A212" t="s">
        <v>1176</v>
      </c>
      <c r="B212" t="s">
        <v>59</v>
      </c>
      <c r="C212" t="s">
        <v>108</v>
      </c>
      <c r="D212" s="18">
        <v>44484</v>
      </c>
      <c r="E212" s="18">
        <v>45317</v>
      </c>
      <c r="F212">
        <v>3</v>
      </c>
      <c r="G212">
        <v>4</v>
      </c>
      <c r="H212">
        <v>119304.03</v>
      </c>
      <c r="I212" t="s">
        <v>962</v>
      </c>
      <c r="J212">
        <v>5</v>
      </c>
      <c r="K212">
        <v>0</v>
      </c>
      <c r="L212">
        <v>0</v>
      </c>
      <c r="M212">
        <v>4</v>
      </c>
      <c r="N212" t="s">
        <v>962</v>
      </c>
      <c r="O212" t="s">
        <v>964</v>
      </c>
      <c r="P212" t="s">
        <v>962</v>
      </c>
    </row>
    <row r="213" spans="1:16" x14ac:dyDescent="0.35">
      <c r="A213" t="s">
        <v>1177</v>
      </c>
      <c r="B213" t="s">
        <v>59</v>
      </c>
      <c r="C213" t="s">
        <v>120</v>
      </c>
      <c r="D213" s="18">
        <v>44908</v>
      </c>
      <c r="E213" s="18">
        <v>45496</v>
      </c>
      <c r="F213">
        <v>1</v>
      </c>
      <c r="G213">
        <v>4</v>
      </c>
      <c r="H213">
        <v>34336.14</v>
      </c>
      <c r="I213" t="s">
        <v>962</v>
      </c>
      <c r="J213">
        <v>38</v>
      </c>
      <c r="K213">
        <v>40</v>
      </c>
      <c r="L213">
        <v>17</v>
      </c>
      <c r="M213">
        <v>1</v>
      </c>
      <c r="N213" t="s">
        <v>963</v>
      </c>
      <c r="O213" t="s">
        <v>964</v>
      </c>
      <c r="P213" t="s">
        <v>962</v>
      </c>
    </row>
    <row r="214" spans="1:16" x14ac:dyDescent="0.35">
      <c r="A214" t="s">
        <v>1178</v>
      </c>
      <c r="B214" t="s">
        <v>62</v>
      </c>
      <c r="C214" t="s">
        <v>166</v>
      </c>
      <c r="D214" s="18">
        <v>43778</v>
      </c>
      <c r="E214" s="18">
        <v>43678</v>
      </c>
      <c r="F214">
        <v>7</v>
      </c>
      <c r="G214">
        <v>3</v>
      </c>
      <c r="H214">
        <v>110268.31</v>
      </c>
      <c r="I214" t="s">
        <v>962</v>
      </c>
      <c r="J214">
        <v>54</v>
      </c>
      <c r="K214">
        <v>0</v>
      </c>
      <c r="L214">
        <v>0</v>
      </c>
      <c r="M214">
        <v>1</v>
      </c>
      <c r="N214" t="s">
        <v>962</v>
      </c>
      <c r="O214" t="s">
        <v>964</v>
      </c>
      <c r="P214" t="s">
        <v>962</v>
      </c>
    </row>
    <row r="215" spans="1:16" x14ac:dyDescent="0.35">
      <c r="A215" t="s">
        <v>1179</v>
      </c>
      <c r="B215" t="s">
        <v>57</v>
      </c>
      <c r="C215" t="s">
        <v>120</v>
      </c>
      <c r="D215" s="18">
        <v>45532</v>
      </c>
      <c r="E215" s="18">
        <v>45523</v>
      </c>
      <c r="F215">
        <v>8</v>
      </c>
      <c r="G215">
        <v>1</v>
      </c>
      <c r="H215">
        <v>6169.07</v>
      </c>
      <c r="I215" t="s">
        <v>963</v>
      </c>
      <c r="J215">
        <v>0</v>
      </c>
      <c r="K215">
        <v>0</v>
      </c>
      <c r="L215">
        <v>0</v>
      </c>
      <c r="M215">
        <v>4</v>
      </c>
      <c r="N215" t="s">
        <v>962</v>
      </c>
      <c r="O215" t="s">
        <v>964</v>
      </c>
      <c r="P215" t="s">
        <v>962</v>
      </c>
    </row>
    <row r="216" spans="1:16" x14ac:dyDescent="0.35">
      <c r="A216" t="s">
        <v>1180</v>
      </c>
      <c r="B216" t="s">
        <v>64</v>
      </c>
      <c r="C216" t="s">
        <v>108</v>
      </c>
      <c r="D216" s="18">
        <v>43466</v>
      </c>
      <c r="E216" s="18">
        <v>43885</v>
      </c>
      <c r="F216">
        <v>2</v>
      </c>
      <c r="G216">
        <v>3</v>
      </c>
      <c r="H216">
        <v>58296.44</v>
      </c>
      <c r="I216" t="s">
        <v>963</v>
      </c>
      <c r="J216">
        <v>0</v>
      </c>
      <c r="K216">
        <v>40</v>
      </c>
      <c r="L216">
        <v>24</v>
      </c>
      <c r="M216">
        <v>2</v>
      </c>
      <c r="N216" t="s">
        <v>962</v>
      </c>
      <c r="O216" t="s">
        <v>964</v>
      </c>
      <c r="P216" t="s">
        <v>962</v>
      </c>
    </row>
    <row r="217" spans="1:16" x14ac:dyDescent="0.35">
      <c r="A217" t="s">
        <v>1181</v>
      </c>
      <c r="B217" t="s">
        <v>61</v>
      </c>
      <c r="C217" t="s">
        <v>120</v>
      </c>
      <c r="D217" s="18">
        <v>45600</v>
      </c>
      <c r="E217" s="18">
        <v>45957</v>
      </c>
      <c r="F217">
        <v>3</v>
      </c>
      <c r="G217">
        <v>4</v>
      </c>
      <c r="H217">
        <v>55922.22</v>
      </c>
      <c r="I217" t="s">
        <v>962</v>
      </c>
      <c r="J217">
        <v>80</v>
      </c>
      <c r="K217">
        <v>40</v>
      </c>
      <c r="L217">
        <v>26</v>
      </c>
      <c r="M217">
        <v>5</v>
      </c>
      <c r="N217" t="s">
        <v>963</v>
      </c>
      <c r="O217" t="s">
        <v>108</v>
      </c>
      <c r="P217" t="s">
        <v>962</v>
      </c>
    </row>
    <row r="218" spans="1:16" x14ac:dyDescent="0.35">
      <c r="A218" t="s">
        <v>1182</v>
      </c>
      <c r="B218" t="s">
        <v>57</v>
      </c>
      <c r="C218" t="s">
        <v>120</v>
      </c>
      <c r="D218" s="18">
        <v>43605</v>
      </c>
      <c r="E218" s="18">
        <v>45880</v>
      </c>
      <c r="F218">
        <v>7</v>
      </c>
      <c r="G218">
        <v>3</v>
      </c>
      <c r="H218">
        <v>144671.06</v>
      </c>
      <c r="I218" t="s">
        <v>963</v>
      </c>
      <c r="J218">
        <v>0</v>
      </c>
      <c r="K218">
        <v>40</v>
      </c>
      <c r="L218">
        <v>15</v>
      </c>
      <c r="M218">
        <v>3</v>
      </c>
      <c r="N218" t="s">
        <v>962</v>
      </c>
      <c r="O218" t="s">
        <v>964</v>
      </c>
      <c r="P218" t="s">
        <v>962</v>
      </c>
    </row>
    <row r="219" spans="1:16" x14ac:dyDescent="0.35">
      <c r="A219" t="s">
        <v>1183</v>
      </c>
      <c r="B219" t="s">
        <v>61</v>
      </c>
      <c r="C219" t="s">
        <v>166</v>
      </c>
      <c r="D219" s="18">
        <v>45589</v>
      </c>
      <c r="E219" s="18">
        <v>45583</v>
      </c>
      <c r="F219">
        <v>1</v>
      </c>
      <c r="G219">
        <v>3</v>
      </c>
      <c r="H219">
        <v>34789.629999999997</v>
      </c>
      <c r="I219" t="s">
        <v>962</v>
      </c>
      <c r="J219">
        <v>50</v>
      </c>
      <c r="K219">
        <v>80</v>
      </c>
      <c r="L219">
        <v>6</v>
      </c>
      <c r="M219">
        <v>2</v>
      </c>
      <c r="N219" t="s">
        <v>963</v>
      </c>
      <c r="O219" t="s">
        <v>964</v>
      </c>
      <c r="P219" t="s">
        <v>962</v>
      </c>
    </row>
    <row r="220" spans="1:16" x14ac:dyDescent="0.35">
      <c r="A220" t="s">
        <v>1184</v>
      </c>
      <c r="B220" t="s">
        <v>64</v>
      </c>
      <c r="C220" t="s">
        <v>108</v>
      </c>
      <c r="D220" s="18">
        <v>45533</v>
      </c>
      <c r="E220" s="18">
        <v>45364</v>
      </c>
      <c r="F220">
        <v>1</v>
      </c>
      <c r="G220">
        <v>3</v>
      </c>
      <c r="H220">
        <v>140419.04</v>
      </c>
      <c r="I220" t="s">
        <v>962</v>
      </c>
      <c r="J220">
        <v>49</v>
      </c>
      <c r="K220">
        <v>160</v>
      </c>
      <c r="L220">
        <v>93</v>
      </c>
      <c r="M220">
        <v>5</v>
      </c>
      <c r="N220" t="s">
        <v>962</v>
      </c>
      <c r="O220" t="s">
        <v>108</v>
      </c>
      <c r="P220" t="s">
        <v>962</v>
      </c>
    </row>
    <row r="221" spans="1:16" x14ac:dyDescent="0.35">
      <c r="A221" t="s">
        <v>1185</v>
      </c>
      <c r="B221" t="s">
        <v>57</v>
      </c>
      <c r="C221" t="s">
        <v>166</v>
      </c>
      <c r="D221" s="18">
        <v>43377</v>
      </c>
      <c r="E221" s="18">
        <v>43157</v>
      </c>
      <c r="F221">
        <v>5</v>
      </c>
      <c r="G221">
        <v>2</v>
      </c>
      <c r="H221">
        <v>10774.89</v>
      </c>
      <c r="I221" t="s">
        <v>962</v>
      </c>
      <c r="J221">
        <v>50</v>
      </c>
      <c r="K221">
        <v>80</v>
      </c>
      <c r="L221">
        <v>80</v>
      </c>
      <c r="M221">
        <v>5</v>
      </c>
      <c r="N221" t="s">
        <v>963</v>
      </c>
      <c r="O221" t="s">
        <v>964</v>
      </c>
      <c r="P221" t="s">
        <v>962</v>
      </c>
    </row>
    <row r="222" spans="1:16" x14ac:dyDescent="0.35">
      <c r="A222" t="s">
        <v>1186</v>
      </c>
      <c r="B222" t="s">
        <v>980</v>
      </c>
      <c r="C222" t="s">
        <v>120</v>
      </c>
      <c r="D222" s="18">
        <v>45298</v>
      </c>
      <c r="E222" s="18">
        <v>45842</v>
      </c>
      <c r="F222">
        <v>3</v>
      </c>
      <c r="G222">
        <v>3</v>
      </c>
      <c r="H222">
        <v>17121.580000000002</v>
      </c>
      <c r="I222" t="s">
        <v>962</v>
      </c>
      <c r="J222">
        <v>65</v>
      </c>
      <c r="K222">
        <v>40</v>
      </c>
      <c r="L222">
        <v>9</v>
      </c>
      <c r="M222">
        <v>5</v>
      </c>
      <c r="N222" t="s">
        <v>963</v>
      </c>
      <c r="O222" t="s">
        <v>964</v>
      </c>
      <c r="P222" t="s">
        <v>962</v>
      </c>
    </row>
    <row r="223" spans="1:16" x14ac:dyDescent="0.35">
      <c r="A223" t="s">
        <v>1187</v>
      </c>
      <c r="B223" t="s">
        <v>55</v>
      </c>
      <c r="C223" t="s">
        <v>166</v>
      </c>
      <c r="D223" s="18">
        <v>43371</v>
      </c>
      <c r="E223" s="18">
        <v>44371</v>
      </c>
      <c r="F223">
        <v>7</v>
      </c>
      <c r="G223">
        <v>2</v>
      </c>
      <c r="H223">
        <v>13396.36</v>
      </c>
      <c r="I223" t="s">
        <v>962</v>
      </c>
      <c r="J223">
        <v>55</v>
      </c>
      <c r="K223">
        <v>0</v>
      </c>
      <c r="L223">
        <v>0</v>
      </c>
      <c r="M223">
        <v>4</v>
      </c>
      <c r="N223" t="s">
        <v>962</v>
      </c>
      <c r="O223" t="s">
        <v>964</v>
      </c>
      <c r="P223" t="s">
        <v>962</v>
      </c>
    </row>
    <row r="224" spans="1:16" x14ac:dyDescent="0.35">
      <c r="A224" t="s">
        <v>1188</v>
      </c>
      <c r="B224" t="s">
        <v>55</v>
      </c>
      <c r="C224" t="s">
        <v>166</v>
      </c>
      <c r="D224" s="18">
        <v>43820</v>
      </c>
      <c r="E224" s="18">
        <v>43955</v>
      </c>
      <c r="F224">
        <v>1</v>
      </c>
      <c r="G224">
        <v>2</v>
      </c>
      <c r="H224">
        <v>106717.44</v>
      </c>
      <c r="I224" t="s">
        <v>962</v>
      </c>
      <c r="J224">
        <v>63</v>
      </c>
      <c r="K224">
        <v>80</v>
      </c>
      <c r="L224">
        <v>66</v>
      </c>
      <c r="M224">
        <v>5</v>
      </c>
      <c r="N224" t="s">
        <v>963</v>
      </c>
      <c r="O224" t="s">
        <v>964</v>
      </c>
      <c r="P224" t="s">
        <v>962</v>
      </c>
    </row>
    <row r="225" spans="1:16" x14ac:dyDescent="0.35">
      <c r="A225" t="s">
        <v>1189</v>
      </c>
      <c r="B225" t="s">
        <v>64</v>
      </c>
      <c r="C225" t="s">
        <v>166</v>
      </c>
      <c r="D225" s="18">
        <v>44201</v>
      </c>
      <c r="E225" s="18">
        <v>45698</v>
      </c>
      <c r="F225">
        <v>2</v>
      </c>
      <c r="G225">
        <v>1</v>
      </c>
      <c r="H225">
        <v>53576.6</v>
      </c>
      <c r="I225" t="s">
        <v>963</v>
      </c>
      <c r="J225">
        <v>0</v>
      </c>
      <c r="K225">
        <v>80</v>
      </c>
      <c r="L225">
        <v>67</v>
      </c>
      <c r="M225">
        <v>1</v>
      </c>
      <c r="N225" t="s">
        <v>963</v>
      </c>
      <c r="O225" t="s">
        <v>108</v>
      </c>
      <c r="P225" t="s">
        <v>962</v>
      </c>
    </row>
    <row r="226" spans="1:16" x14ac:dyDescent="0.35">
      <c r="A226" t="s">
        <v>1190</v>
      </c>
      <c r="B226" t="s">
        <v>980</v>
      </c>
      <c r="C226" t="s">
        <v>108</v>
      </c>
      <c r="D226" s="18">
        <v>45193</v>
      </c>
      <c r="E226" s="18">
        <v>45664</v>
      </c>
      <c r="F226">
        <v>1</v>
      </c>
      <c r="G226">
        <v>4</v>
      </c>
      <c r="H226">
        <v>129607.17</v>
      </c>
      <c r="I226" t="s">
        <v>962</v>
      </c>
      <c r="J226">
        <v>47</v>
      </c>
      <c r="K226">
        <v>40</v>
      </c>
      <c r="L226">
        <v>16</v>
      </c>
      <c r="M226">
        <v>1</v>
      </c>
      <c r="N226" t="s">
        <v>962</v>
      </c>
      <c r="O226" t="s">
        <v>964</v>
      </c>
      <c r="P226" t="s">
        <v>962</v>
      </c>
    </row>
    <row r="227" spans="1:16" x14ac:dyDescent="0.35">
      <c r="A227" t="s">
        <v>1191</v>
      </c>
      <c r="B227" t="s">
        <v>61</v>
      </c>
      <c r="C227" t="s">
        <v>120</v>
      </c>
      <c r="D227" s="18">
        <v>43281</v>
      </c>
      <c r="E227" s="18">
        <v>43151</v>
      </c>
      <c r="F227">
        <v>4</v>
      </c>
      <c r="G227">
        <v>1</v>
      </c>
      <c r="H227">
        <v>73405.87</v>
      </c>
      <c r="I227" t="s">
        <v>963</v>
      </c>
      <c r="J227">
        <v>0</v>
      </c>
      <c r="K227">
        <v>40</v>
      </c>
      <c r="L227">
        <v>11</v>
      </c>
      <c r="M227">
        <v>1</v>
      </c>
      <c r="N227" t="s">
        <v>963</v>
      </c>
      <c r="O227" t="s">
        <v>964</v>
      </c>
      <c r="P227" t="s">
        <v>962</v>
      </c>
    </row>
    <row r="228" spans="1:16" x14ac:dyDescent="0.35">
      <c r="A228" t="s">
        <v>1192</v>
      </c>
      <c r="B228" t="s">
        <v>64</v>
      </c>
      <c r="C228" t="s">
        <v>108</v>
      </c>
      <c r="D228" s="18">
        <v>44411</v>
      </c>
      <c r="E228" s="18">
        <v>44752</v>
      </c>
      <c r="F228">
        <v>2</v>
      </c>
      <c r="G228">
        <v>3</v>
      </c>
      <c r="H228">
        <v>22313.13</v>
      </c>
      <c r="I228" t="s">
        <v>962</v>
      </c>
      <c r="J228">
        <v>22</v>
      </c>
      <c r="K228">
        <v>40</v>
      </c>
      <c r="L228">
        <v>33</v>
      </c>
      <c r="M228">
        <v>1</v>
      </c>
      <c r="N228" t="s">
        <v>963</v>
      </c>
      <c r="O228" t="s">
        <v>964</v>
      </c>
      <c r="P228" t="s">
        <v>962</v>
      </c>
    </row>
    <row r="229" spans="1:16" x14ac:dyDescent="0.35">
      <c r="A229" t="s">
        <v>1193</v>
      </c>
      <c r="B229" t="s">
        <v>980</v>
      </c>
      <c r="C229" t="s">
        <v>108</v>
      </c>
      <c r="D229" s="18">
        <v>44373</v>
      </c>
      <c r="E229" s="18">
        <v>44867</v>
      </c>
      <c r="F229">
        <v>2</v>
      </c>
      <c r="G229">
        <v>4</v>
      </c>
      <c r="H229">
        <v>6155.53</v>
      </c>
      <c r="I229" t="s">
        <v>962</v>
      </c>
      <c r="J229">
        <v>37</v>
      </c>
      <c r="K229">
        <v>80</v>
      </c>
      <c r="L229">
        <v>79</v>
      </c>
      <c r="M229">
        <v>2</v>
      </c>
      <c r="N229" t="s">
        <v>963</v>
      </c>
      <c r="O229" t="s">
        <v>964</v>
      </c>
      <c r="P229" t="s">
        <v>962</v>
      </c>
    </row>
    <row r="230" spans="1:16" x14ac:dyDescent="0.35">
      <c r="A230" t="s">
        <v>1194</v>
      </c>
      <c r="B230" t="s">
        <v>980</v>
      </c>
      <c r="C230" t="s">
        <v>120</v>
      </c>
      <c r="D230" s="18">
        <v>45339</v>
      </c>
      <c r="E230" s="18">
        <v>45543</v>
      </c>
      <c r="F230">
        <v>3</v>
      </c>
      <c r="G230">
        <v>1</v>
      </c>
      <c r="H230">
        <v>140197.64000000001</v>
      </c>
      <c r="I230" t="s">
        <v>962</v>
      </c>
      <c r="J230">
        <v>29</v>
      </c>
      <c r="K230">
        <v>80</v>
      </c>
      <c r="L230">
        <v>1</v>
      </c>
      <c r="M230">
        <v>3</v>
      </c>
      <c r="N230" t="s">
        <v>962</v>
      </c>
      <c r="O230" t="s">
        <v>108</v>
      </c>
      <c r="P230" t="s">
        <v>963</v>
      </c>
    </row>
    <row r="231" spans="1:16" x14ac:dyDescent="0.35">
      <c r="A231" t="s">
        <v>1195</v>
      </c>
      <c r="B231" t="s">
        <v>59</v>
      </c>
      <c r="C231" t="s">
        <v>166</v>
      </c>
      <c r="D231" s="18">
        <v>44360</v>
      </c>
      <c r="E231" s="18">
        <v>44409</v>
      </c>
      <c r="F231">
        <v>4</v>
      </c>
      <c r="G231">
        <v>2</v>
      </c>
      <c r="H231">
        <v>65873.3</v>
      </c>
      <c r="I231" t="s">
        <v>962</v>
      </c>
      <c r="J231">
        <v>18</v>
      </c>
      <c r="K231">
        <v>80</v>
      </c>
      <c r="L231">
        <v>11</v>
      </c>
      <c r="M231">
        <v>1</v>
      </c>
      <c r="N231" t="s">
        <v>962</v>
      </c>
      <c r="O231" t="s">
        <v>108</v>
      </c>
      <c r="P231" t="s">
        <v>963</v>
      </c>
    </row>
    <row r="232" spans="1:16" x14ac:dyDescent="0.35">
      <c r="A232" t="s">
        <v>1196</v>
      </c>
      <c r="B232" t="s">
        <v>55</v>
      </c>
      <c r="C232" t="s">
        <v>108</v>
      </c>
      <c r="D232" s="18">
        <v>44978</v>
      </c>
      <c r="E232" s="18">
        <v>45100</v>
      </c>
      <c r="F232">
        <v>2</v>
      </c>
      <c r="G232">
        <v>2</v>
      </c>
      <c r="H232">
        <v>97396.27</v>
      </c>
      <c r="I232" t="s">
        <v>963</v>
      </c>
      <c r="J232">
        <v>0</v>
      </c>
      <c r="K232">
        <v>0</v>
      </c>
      <c r="L232">
        <v>0</v>
      </c>
      <c r="M232">
        <v>5</v>
      </c>
      <c r="N232" t="s">
        <v>962</v>
      </c>
      <c r="O232" t="s">
        <v>964</v>
      </c>
      <c r="P232" t="s">
        <v>962</v>
      </c>
    </row>
    <row r="233" spans="1:16" x14ac:dyDescent="0.35">
      <c r="A233" t="s">
        <v>1197</v>
      </c>
      <c r="B233" t="s">
        <v>64</v>
      </c>
      <c r="C233" t="s">
        <v>120</v>
      </c>
      <c r="D233" s="18">
        <v>44295</v>
      </c>
      <c r="E233" s="18">
        <v>44731</v>
      </c>
      <c r="F233">
        <v>6</v>
      </c>
      <c r="G233">
        <v>4</v>
      </c>
      <c r="H233">
        <v>106605.21</v>
      </c>
      <c r="I233" t="s">
        <v>963</v>
      </c>
      <c r="J233">
        <v>0</v>
      </c>
      <c r="K233">
        <v>80</v>
      </c>
      <c r="L233">
        <v>57</v>
      </c>
      <c r="M233">
        <v>3</v>
      </c>
      <c r="N233" t="s">
        <v>962</v>
      </c>
      <c r="O233" t="s">
        <v>964</v>
      </c>
      <c r="P233" t="s">
        <v>962</v>
      </c>
    </row>
    <row r="234" spans="1:16" x14ac:dyDescent="0.35">
      <c r="A234" t="s">
        <v>1198</v>
      </c>
      <c r="B234" t="s">
        <v>64</v>
      </c>
      <c r="C234" t="s">
        <v>120</v>
      </c>
      <c r="D234" s="18">
        <v>45495</v>
      </c>
      <c r="E234" s="18">
        <v>45403</v>
      </c>
      <c r="F234">
        <v>3</v>
      </c>
      <c r="G234">
        <v>1</v>
      </c>
      <c r="H234">
        <v>28834.37</v>
      </c>
      <c r="I234" t="s">
        <v>963</v>
      </c>
      <c r="J234">
        <v>0</v>
      </c>
      <c r="K234">
        <v>80</v>
      </c>
      <c r="L234">
        <v>52</v>
      </c>
      <c r="M234">
        <v>1</v>
      </c>
      <c r="N234" t="s">
        <v>963</v>
      </c>
      <c r="O234" t="s">
        <v>982</v>
      </c>
      <c r="P234" t="s">
        <v>962</v>
      </c>
    </row>
    <row r="235" spans="1:16" x14ac:dyDescent="0.35">
      <c r="A235" t="s">
        <v>1199</v>
      </c>
      <c r="B235" t="s">
        <v>980</v>
      </c>
      <c r="C235" t="s">
        <v>108</v>
      </c>
      <c r="D235" s="18">
        <v>44998</v>
      </c>
      <c r="E235" s="18">
        <v>45469</v>
      </c>
      <c r="F235">
        <v>2</v>
      </c>
      <c r="G235">
        <v>1</v>
      </c>
      <c r="H235">
        <v>27854.23</v>
      </c>
      <c r="I235" t="s">
        <v>963</v>
      </c>
      <c r="J235">
        <v>0</v>
      </c>
      <c r="K235">
        <v>0</v>
      </c>
      <c r="L235">
        <v>0</v>
      </c>
      <c r="M235">
        <v>2</v>
      </c>
      <c r="N235" t="s">
        <v>963</v>
      </c>
      <c r="O235" t="s">
        <v>964</v>
      </c>
      <c r="P235" t="s">
        <v>962</v>
      </c>
    </row>
    <row r="236" spans="1:16" x14ac:dyDescent="0.35">
      <c r="A236" t="s">
        <v>1200</v>
      </c>
      <c r="B236" t="s">
        <v>55</v>
      </c>
      <c r="C236" t="s">
        <v>120</v>
      </c>
      <c r="D236" s="18">
        <v>44558</v>
      </c>
      <c r="E236" s="18">
        <v>45008</v>
      </c>
      <c r="F236">
        <v>1</v>
      </c>
      <c r="G236">
        <v>3</v>
      </c>
      <c r="H236">
        <v>42724.18</v>
      </c>
      <c r="I236" t="s">
        <v>962</v>
      </c>
      <c r="J236">
        <v>3</v>
      </c>
      <c r="K236">
        <v>160</v>
      </c>
      <c r="L236">
        <v>115</v>
      </c>
      <c r="M236">
        <v>5</v>
      </c>
      <c r="N236" t="s">
        <v>962</v>
      </c>
      <c r="O236" t="s">
        <v>964</v>
      </c>
      <c r="P236" t="s">
        <v>962</v>
      </c>
    </row>
    <row r="237" spans="1:16" x14ac:dyDescent="0.35">
      <c r="A237" t="s">
        <v>1201</v>
      </c>
      <c r="B237" t="s">
        <v>57</v>
      </c>
      <c r="C237" t="s">
        <v>120</v>
      </c>
      <c r="D237" s="18">
        <v>43598</v>
      </c>
      <c r="E237" s="18">
        <v>43514</v>
      </c>
      <c r="F237">
        <v>1</v>
      </c>
      <c r="G237">
        <v>2</v>
      </c>
      <c r="H237">
        <v>23953.71</v>
      </c>
      <c r="I237" t="s">
        <v>963</v>
      </c>
      <c r="J237">
        <v>0</v>
      </c>
      <c r="K237">
        <v>80</v>
      </c>
      <c r="L237">
        <v>80</v>
      </c>
      <c r="M237">
        <v>1</v>
      </c>
      <c r="N237" t="s">
        <v>963</v>
      </c>
      <c r="O237" t="s">
        <v>982</v>
      </c>
      <c r="P237" t="s">
        <v>962</v>
      </c>
    </row>
    <row r="238" spans="1:16" x14ac:dyDescent="0.35">
      <c r="A238" t="s">
        <v>1202</v>
      </c>
      <c r="B238" t="s">
        <v>57</v>
      </c>
      <c r="C238" t="s">
        <v>120</v>
      </c>
      <c r="D238" s="18">
        <v>43910</v>
      </c>
      <c r="E238" s="18">
        <v>45647</v>
      </c>
      <c r="F238">
        <v>3</v>
      </c>
      <c r="G238">
        <v>1</v>
      </c>
      <c r="H238">
        <v>136236.31</v>
      </c>
      <c r="I238" t="s">
        <v>963</v>
      </c>
      <c r="J238">
        <v>0</v>
      </c>
      <c r="K238">
        <v>0</v>
      </c>
      <c r="L238">
        <v>0</v>
      </c>
      <c r="M238">
        <v>1</v>
      </c>
      <c r="N238" t="s">
        <v>963</v>
      </c>
      <c r="O238" t="s">
        <v>964</v>
      </c>
      <c r="P238" t="s">
        <v>962</v>
      </c>
    </row>
    <row r="239" spans="1:16" x14ac:dyDescent="0.35">
      <c r="A239" t="s">
        <v>1203</v>
      </c>
      <c r="B239" t="s">
        <v>61</v>
      </c>
      <c r="C239" t="s">
        <v>108</v>
      </c>
      <c r="D239" s="18">
        <v>44718</v>
      </c>
      <c r="E239" s="18">
        <v>45578</v>
      </c>
      <c r="F239">
        <v>1</v>
      </c>
      <c r="G239">
        <v>4</v>
      </c>
      <c r="H239">
        <v>104065.87</v>
      </c>
      <c r="I239" t="s">
        <v>962</v>
      </c>
      <c r="J239">
        <v>45</v>
      </c>
      <c r="K239">
        <v>40</v>
      </c>
      <c r="L239">
        <v>11</v>
      </c>
      <c r="M239">
        <v>3</v>
      </c>
      <c r="N239" t="s">
        <v>963</v>
      </c>
      <c r="O239" t="s">
        <v>964</v>
      </c>
      <c r="P239" t="s">
        <v>962</v>
      </c>
    </row>
    <row r="240" spans="1:16" x14ac:dyDescent="0.35">
      <c r="A240" t="s">
        <v>1204</v>
      </c>
      <c r="B240" t="s">
        <v>64</v>
      </c>
      <c r="C240" t="s">
        <v>120</v>
      </c>
      <c r="D240" s="18">
        <v>45616</v>
      </c>
      <c r="E240" s="18">
        <v>45926</v>
      </c>
      <c r="F240">
        <v>4</v>
      </c>
      <c r="G240">
        <v>3</v>
      </c>
      <c r="H240">
        <v>77339.28</v>
      </c>
      <c r="I240" t="s">
        <v>963</v>
      </c>
      <c r="J240">
        <v>0</v>
      </c>
      <c r="K240">
        <v>0</v>
      </c>
      <c r="L240">
        <v>0</v>
      </c>
      <c r="M240">
        <v>1</v>
      </c>
      <c r="N240" t="s">
        <v>963</v>
      </c>
      <c r="O240" t="s">
        <v>964</v>
      </c>
      <c r="P240" t="s">
        <v>962</v>
      </c>
    </row>
    <row r="241" spans="1:16" x14ac:dyDescent="0.35">
      <c r="A241" t="s">
        <v>1205</v>
      </c>
      <c r="B241" t="s">
        <v>980</v>
      </c>
      <c r="C241" t="s">
        <v>120</v>
      </c>
      <c r="D241" s="18">
        <v>45254</v>
      </c>
      <c r="E241" s="18">
        <v>45437</v>
      </c>
      <c r="F241">
        <v>1</v>
      </c>
      <c r="G241">
        <v>4</v>
      </c>
      <c r="H241">
        <v>118377.79</v>
      </c>
      <c r="I241" t="s">
        <v>963</v>
      </c>
      <c r="J241">
        <v>0</v>
      </c>
      <c r="K241">
        <v>160</v>
      </c>
      <c r="L241">
        <v>139</v>
      </c>
      <c r="M241">
        <v>4</v>
      </c>
      <c r="N241" t="s">
        <v>963</v>
      </c>
      <c r="O241" t="s">
        <v>982</v>
      </c>
      <c r="P241" t="s">
        <v>963</v>
      </c>
    </row>
    <row r="242" spans="1:16" x14ac:dyDescent="0.35">
      <c r="A242" t="s">
        <v>1206</v>
      </c>
      <c r="B242" t="s">
        <v>980</v>
      </c>
      <c r="C242" t="s">
        <v>108</v>
      </c>
      <c r="D242" s="18">
        <v>43837</v>
      </c>
      <c r="E242" s="18">
        <v>43937</v>
      </c>
      <c r="F242">
        <v>6</v>
      </c>
      <c r="G242">
        <v>2</v>
      </c>
      <c r="H242">
        <v>9249</v>
      </c>
      <c r="I242" t="s">
        <v>963</v>
      </c>
      <c r="J242">
        <v>0</v>
      </c>
      <c r="K242">
        <v>0</v>
      </c>
      <c r="L242">
        <v>0</v>
      </c>
      <c r="M242">
        <v>4</v>
      </c>
      <c r="N242" t="s">
        <v>963</v>
      </c>
      <c r="O242" t="s">
        <v>108</v>
      </c>
      <c r="P242" t="s">
        <v>962</v>
      </c>
    </row>
    <row r="243" spans="1:16" x14ac:dyDescent="0.35">
      <c r="A243" t="s">
        <v>1207</v>
      </c>
      <c r="B243" t="s">
        <v>64</v>
      </c>
      <c r="C243" t="s">
        <v>120</v>
      </c>
      <c r="D243" s="18">
        <v>44116</v>
      </c>
      <c r="E243" s="18">
        <v>44818</v>
      </c>
      <c r="F243">
        <v>5</v>
      </c>
      <c r="G243">
        <v>1</v>
      </c>
      <c r="H243">
        <v>115787.21</v>
      </c>
      <c r="I243" t="s">
        <v>962</v>
      </c>
      <c r="J243">
        <v>73</v>
      </c>
      <c r="K243">
        <v>160</v>
      </c>
      <c r="L243">
        <v>90</v>
      </c>
      <c r="M243">
        <v>2</v>
      </c>
      <c r="N243" t="s">
        <v>962</v>
      </c>
      <c r="O243" t="s">
        <v>964</v>
      </c>
      <c r="P243" t="s">
        <v>962</v>
      </c>
    </row>
    <row r="244" spans="1:16" x14ac:dyDescent="0.35">
      <c r="A244" t="s">
        <v>1208</v>
      </c>
      <c r="B244" t="s">
        <v>62</v>
      </c>
      <c r="C244" t="s">
        <v>166</v>
      </c>
      <c r="D244" s="18">
        <v>44570</v>
      </c>
      <c r="E244" s="18">
        <v>45773</v>
      </c>
      <c r="F244">
        <v>1</v>
      </c>
      <c r="G244">
        <v>3</v>
      </c>
      <c r="H244">
        <v>142396.01999999999</v>
      </c>
      <c r="I244" t="s">
        <v>962</v>
      </c>
      <c r="J244">
        <v>72</v>
      </c>
      <c r="K244">
        <v>40</v>
      </c>
      <c r="L244">
        <v>31</v>
      </c>
      <c r="M244">
        <v>5</v>
      </c>
      <c r="N244" t="s">
        <v>963</v>
      </c>
      <c r="O244" t="s">
        <v>964</v>
      </c>
      <c r="P244" t="s">
        <v>962</v>
      </c>
    </row>
    <row r="245" spans="1:16" x14ac:dyDescent="0.35">
      <c r="A245" t="s">
        <v>1209</v>
      </c>
      <c r="B245" t="s">
        <v>57</v>
      </c>
      <c r="C245" t="s">
        <v>120</v>
      </c>
      <c r="D245" s="18">
        <v>43331</v>
      </c>
      <c r="E245" s="18">
        <v>44053</v>
      </c>
      <c r="F245">
        <v>4</v>
      </c>
      <c r="G245">
        <v>1</v>
      </c>
      <c r="H245">
        <v>81335.03</v>
      </c>
      <c r="I245" t="s">
        <v>962</v>
      </c>
      <c r="J245">
        <v>42</v>
      </c>
      <c r="K245">
        <v>40</v>
      </c>
      <c r="L245">
        <v>8</v>
      </c>
      <c r="M245">
        <v>3</v>
      </c>
      <c r="N245" t="s">
        <v>962</v>
      </c>
      <c r="O245" t="s">
        <v>982</v>
      </c>
      <c r="P245" t="s">
        <v>963</v>
      </c>
    </row>
    <row r="246" spans="1:16" x14ac:dyDescent="0.35">
      <c r="A246" t="s">
        <v>1210</v>
      </c>
      <c r="B246" t="s">
        <v>57</v>
      </c>
      <c r="C246" t="s">
        <v>120</v>
      </c>
      <c r="D246" s="18">
        <v>43706</v>
      </c>
      <c r="E246" s="18">
        <v>45868</v>
      </c>
      <c r="F246">
        <v>3</v>
      </c>
      <c r="G246">
        <v>1</v>
      </c>
      <c r="H246">
        <v>127739.73</v>
      </c>
      <c r="I246" t="s">
        <v>963</v>
      </c>
      <c r="J246">
        <v>0</v>
      </c>
      <c r="K246">
        <v>0</v>
      </c>
      <c r="L246">
        <v>0</v>
      </c>
      <c r="M246">
        <v>3</v>
      </c>
      <c r="N246" t="s">
        <v>963</v>
      </c>
      <c r="O246" t="s">
        <v>964</v>
      </c>
      <c r="P246" t="s">
        <v>962</v>
      </c>
    </row>
    <row r="247" spans="1:16" x14ac:dyDescent="0.35">
      <c r="A247" t="s">
        <v>1211</v>
      </c>
      <c r="B247" t="s">
        <v>62</v>
      </c>
      <c r="C247" t="s">
        <v>108</v>
      </c>
      <c r="D247" s="18">
        <v>44422</v>
      </c>
      <c r="E247" s="18">
        <v>44476</v>
      </c>
      <c r="F247">
        <v>3</v>
      </c>
      <c r="G247">
        <v>4</v>
      </c>
      <c r="H247">
        <v>119817.17</v>
      </c>
      <c r="I247" t="s">
        <v>963</v>
      </c>
      <c r="J247">
        <v>0</v>
      </c>
      <c r="K247">
        <v>80</v>
      </c>
      <c r="L247">
        <v>22</v>
      </c>
      <c r="M247">
        <v>5</v>
      </c>
      <c r="N247" t="s">
        <v>963</v>
      </c>
      <c r="O247" t="s">
        <v>964</v>
      </c>
      <c r="P247" t="s">
        <v>962</v>
      </c>
    </row>
    <row r="248" spans="1:16" x14ac:dyDescent="0.35">
      <c r="A248" t="s">
        <v>1212</v>
      </c>
      <c r="B248" t="s">
        <v>61</v>
      </c>
      <c r="C248" t="s">
        <v>120</v>
      </c>
      <c r="D248" s="18">
        <v>44650</v>
      </c>
      <c r="E248" s="18">
        <v>45190</v>
      </c>
      <c r="F248">
        <v>5</v>
      </c>
      <c r="G248">
        <v>2</v>
      </c>
      <c r="H248">
        <v>30767.7</v>
      </c>
      <c r="I248" t="s">
        <v>962</v>
      </c>
      <c r="J248">
        <v>73</v>
      </c>
      <c r="K248">
        <v>160</v>
      </c>
      <c r="L248">
        <v>145</v>
      </c>
      <c r="M248">
        <v>1</v>
      </c>
      <c r="N248" t="s">
        <v>962</v>
      </c>
      <c r="O248" t="s">
        <v>108</v>
      </c>
      <c r="P248" t="s">
        <v>962</v>
      </c>
    </row>
    <row r="249" spans="1:16" x14ac:dyDescent="0.35">
      <c r="A249" t="s">
        <v>1213</v>
      </c>
      <c r="B249" t="s">
        <v>55</v>
      </c>
      <c r="C249" t="s">
        <v>166</v>
      </c>
      <c r="D249" s="18">
        <v>43527</v>
      </c>
      <c r="E249" s="18">
        <v>45498</v>
      </c>
      <c r="F249">
        <v>3</v>
      </c>
      <c r="G249">
        <v>3</v>
      </c>
      <c r="H249">
        <v>113074.78</v>
      </c>
      <c r="I249" t="s">
        <v>962</v>
      </c>
      <c r="J249">
        <v>44</v>
      </c>
      <c r="K249">
        <v>80</v>
      </c>
      <c r="L249">
        <v>21</v>
      </c>
      <c r="M249">
        <v>1</v>
      </c>
      <c r="N249" t="s">
        <v>963</v>
      </c>
      <c r="O249" t="s">
        <v>964</v>
      </c>
      <c r="P249" t="s">
        <v>962</v>
      </c>
    </row>
    <row r="250" spans="1:16" x14ac:dyDescent="0.35">
      <c r="A250" t="s">
        <v>1214</v>
      </c>
      <c r="B250" t="s">
        <v>62</v>
      </c>
      <c r="C250" t="s">
        <v>120</v>
      </c>
      <c r="D250" s="18">
        <v>44123</v>
      </c>
      <c r="E250" s="18">
        <v>44108</v>
      </c>
      <c r="F250">
        <v>6</v>
      </c>
      <c r="G250">
        <v>3</v>
      </c>
      <c r="H250">
        <v>119117.9</v>
      </c>
      <c r="I250" t="s">
        <v>962</v>
      </c>
      <c r="J250">
        <v>6</v>
      </c>
      <c r="K250">
        <v>160</v>
      </c>
      <c r="L250">
        <v>112</v>
      </c>
      <c r="M250">
        <v>4</v>
      </c>
      <c r="N250" t="s">
        <v>962</v>
      </c>
      <c r="O250" t="s">
        <v>108</v>
      </c>
      <c r="P250" t="s">
        <v>963</v>
      </c>
    </row>
    <row r="251" spans="1:16" x14ac:dyDescent="0.35">
      <c r="A251" t="s">
        <v>1215</v>
      </c>
      <c r="B251" t="s">
        <v>980</v>
      </c>
      <c r="C251" t="s">
        <v>108</v>
      </c>
      <c r="D251" s="18">
        <v>45337</v>
      </c>
      <c r="E251" s="18">
        <v>45676</v>
      </c>
      <c r="F251">
        <v>2</v>
      </c>
      <c r="G251">
        <v>4</v>
      </c>
      <c r="H251">
        <v>119365.85</v>
      </c>
      <c r="I251" t="s">
        <v>962</v>
      </c>
      <c r="J251">
        <v>20</v>
      </c>
      <c r="K251">
        <v>160</v>
      </c>
      <c r="L251">
        <v>18</v>
      </c>
      <c r="M251">
        <v>1</v>
      </c>
      <c r="N251" t="s">
        <v>963</v>
      </c>
      <c r="O251" t="s">
        <v>964</v>
      </c>
      <c r="P251" t="s">
        <v>962</v>
      </c>
    </row>
    <row r="252" spans="1:16" x14ac:dyDescent="0.35">
      <c r="A252" t="s">
        <v>1216</v>
      </c>
      <c r="B252" t="s">
        <v>62</v>
      </c>
      <c r="C252" t="s">
        <v>120</v>
      </c>
      <c r="D252" s="18">
        <v>43404</v>
      </c>
      <c r="E252" s="18">
        <v>44501</v>
      </c>
      <c r="F252">
        <v>3</v>
      </c>
      <c r="G252">
        <v>4</v>
      </c>
      <c r="H252">
        <v>28331.15</v>
      </c>
      <c r="I252" t="s">
        <v>962</v>
      </c>
      <c r="J252">
        <v>70</v>
      </c>
      <c r="K252">
        <v>0</v>
      </c>
      <c r="L252">
        <v>0</v>
      </c>
      <c r="M252">
        <v>3</v>
      </c>
      <c r="N252" t="s">
        <v>963</v>
      </c>
      <c r="O252" t="s">
        <v>108</v>
      </c>
      <c r="P252" t="s">
        <v>963</v>
      </c>
    </row>
    <row r="253" spans="1:16" x14ac:dyDescent="0.35">
      <c r="A253" t="s">
        <v>1217</v>
      </c>
      <c r="B253" t="s">
        <v>55</v>
      </c>
      <c r="C253" t="s">
        <v>120</v>
      </c>
      <c r="D253" s="18">
        <v>45588</v>
      </c>
      <c r="E253" s="18">
        <v>45736</v>
      </c>
      <c r="F253">
        <v>3</v>
      </c>
      <c r="G253">
        <v>1</v>
      </c>
      <c r="H253">
        <v>19682.38</v>
      </c>
      <c r="I253" t="s">
        <v>962</v>
      </c>
      <c r="J253">
        <v>24</v>
      </c>
      <c r="K253">
        <v>160</v>
      </c>
      <c r="L253">
        <v>141</v>
      </c>
      <c r="M253">
        <v>5</v>
      </c>
      <c r="N253" t="s">
        <v>963</v>
      </c>
      <c r="O253" t="s">
        <v>108</v>
      </c>
      <c r="P253" t="s">
        <v>963</v>
      </c>
    </row>
    <row r="254" spans="1:16" x14ac:dyDescent="0.35">
      <c r="A254" t="s">
        <v>1218</v>
      </c>
      <c r="B254" t="s">
        <v>64</v>
      </c>
      <c r="C254" t="s">
        <v>120</v>
      </c>
      <c r="D254" s="18">
        <v>43304</v>
      </c>
      <c r="E254" s="18">
        <v>44710</v>
      </c>
      <c r="F254">
        <v>8</v>
      </c>
      <c r="G254">
        <v>2</v>
      </c>
      <c r="H254">
        <v>12903.2</v>
      </c>
      <c r="I254" t="s">
        <v>962</v>
      </c>
      <c r="J254">
        <v>54</v>
      </c>
      <c r="K254">
        <v>0</v>
      </c>
      <c r="L254">
        <v>0</v>
      </c>
      <c r="M254">
        <v>3</v>
      </c>
      <c r="N254" t="s">
        <v>963</v>
      </c>
      <c r="O254" t="s">
        <v>964</v>
      </c>
      <c r="P254" t="s">
        <v>962</v>
      </c>
    </row>
    <row r="255" spans="1:16" x14ac:dyDescent="0.35">
      <c r="A255" t="s">
        <v>1219</v>
      </c>
      <c r="B255" t="s">
        <v>57</v>
      </c>
      <c r="C255" t="s">
        <v>120</v>
      </c>
      <c r="D255" s="18">
        <v>43800</v>
      </c>
      <c r="E255" s="18">
        <v>44661</v>
      </c>
      <c r="F255">
        <v>2</v>
      </c>
      <c r="G255">
        <v>4</v>
      </c>
      <c r="H255">
        <v>127346.52</v>
      </c>
      <c r="I255" t="s">
        <v>963</v>
      </c>
      <c r="J255">
        <v>0</v>
      </c>
      <c r="K255">
        <v>160</v>
      </c>
      <c r="L255">
        <v>120</v>
      </c>
      <c r="M255">
        <v>4</v>
      </c>
      <c r="N255" t="s">
        <v>963</v>
      </c>
      <c r="O255" t="s">
        <v>964</v>
      </c>
      <c r="P255" t="s">
        <v>962</v>
      </c>
    </row>
    <row r="256" spans="1:16" x14ac:dyDescent="0.35">
      <c r="A256" t="s">
        <v>1220</v>
      </c>
      <c r="B256" t="s">
        <v>61</v>
      </c>
      <c r="C256" t="s">
        <v>108</v>
      </c>
      <c r="D256" s="18">
        <v>43858</v>
      </c>
      <c r="E256" s="18">
        <v>45350</v>
      </c>
      <c r="F256">
        <v>7</v>
      </c>
      <c r="G256">
        <v>3</v>
      </c>
      <c r="H256">
        <v>32054.53</v>
      </c>
      <c r="I256" t="s">
        <v>962</v>
      </c>
      <c r="J256">
        <v>33</v>
      </c>
      <c r="K256">
        <v>160</v>
      </c>
      <c r="L256">
        <v>119</v>
      </c>
      <c r="M256">
        <v>3</v>
      </c>
      <c r="N256" t="s">
        <v>962</v>
      </c>
      <c r="O256" t="s">
        <v>108</v>
      </c>
      <c r="P256" t="s">
        <v>962</v>
      </c>
    </row>
    <row r="257" spans="1:16" x14ac:dyDescent="0.35">
      <c r="A257" t="s">
        <v>1221</v>
      </c>
      <c r="B257" t="s">
        <v>64</v>
      </c>
      <c r="C257" t="s">
        <v>166</v>
      </c>
      <c r="D257" s="18">
        <v>43497</v>
      </c>
      <c r="E257" s="18">
        <v>43817</v>
      </c>
      <c r="F257">
        <v>6</v>
      </c>
      <c r="G257">
        <v>4</v>
      </c>
      <c r="H257">
        <v>145752.29999999999</v>
      </c>
      <c r="I257" t="s">
        <v>962</v>
      </c>
      <c r="J257">
        <v>70</v>
      </c>
      <c r="K257">
        <v>0</v>
      </c>
      <c r="L257">
        <v>0</v>
      </c>
      <c r="M257">
        <v>4</v>
      </c>
      <c r="N257" t="s">
        <v>963</v>
      </c>
      <c r="O257" t="s">
        <v>982</v>
      </c>
      <c r="P257" t="s">
        <v>963</v>
      </c>
    </row>
    <row r="258" spans="1:16" x14ac:dyDescent="0.35">
      <c r="A258" t="s">
        <v>1222</v>
      </c>
      <c r="B258" t="s">
        <v>61</v>
      </c>
      <c r="C258" t="s">
        <v>120</v>
      </c>
      <c r="D258" s="18">
        <v>45051</v>
      </c>
      <c r="E258" s="18">
        <v>45539</v>
      </c>
      <c r="F258">
        <v>2</v>
      </c>
      <c r="G258">
        <v>4</v>
      </c>
      <c r="H258">
        <v>135902.69</v>
      </c>
      <c r="I258" t="s">
        <v>962</v>
      </c>
      <c r="J258">
        <v>64</v>
      </c>
      <c r="K258">
        <v>40</v>
      </c>
      <c r="L258">
        <v>7</v>
      </c>
      <c r="M258">
        <v>4</v>
      </c>
      <c r="N258" t="s">
        <v>962</v>
      </c>
      <c r="O258" t="s">
        <v>982</v>
      </c>
      <c r="P258" t="s">
        <v>962</v>
      </c>
    </row>
    <row r="259" spans="1:16" x14ac:dyDescent="0.35">
      <c r="A259" t="s">
        <v>1223</v>
      </c>
      <c r="B259" t="s">
        <v>64</v>
      </c>
      <c r="C259" t="s">
        <v>120</v>
      </c>
      <c r="D259" s="18">
        <v>43617</v>
      </c>
      <c r="E259" s="18">
        <v>43640</v>
      </c>
      <c r="F259">
        <v>7</v>
      </c>
      <c r="G259">
        <v>1</v>
      </c>
      <c r="H259">
        <v>148300.59</v>
      </c>
      <c r="I259" t="s">
        <v>963</v>
      </c>
      <c r="J259">
        <v>0</v>
      </c>
      <c r="K259">
        <v>40</v>
      </c>
      <c r="L259">
        <v>40</v>
      </c>
      <c r="M259">
        <v>2</v>
      </c>
      <c r="N259" t="s">
        <v>963</v>
      </c>
      <c r="O259" t="s">
        <v>964</v>
      </c>
      <c r="P259" t="s">
        <v>962</v>
      </c>
    </row>
    <row r="260" spans="1:16" x14ac:dyDescent="0.35">
      <c r="A260" t="s">
        <v>1224</v>
      </c>
      <c r="B260" t="s">
        <v>55</v>
      </c>
      <c r="C260" t="s">
        <v>120</v>
      </c>
      <c r="D260" s="18">
        <v>43457</v>
      </c>
      <c r="E260" s="18">
        <v>44690</v>
      </c>
      <c r="F260">
        <v>7</v>
      </c>
      <c r="G260">
        <v>3</v>
      </c>
      <c r="H260">
        <v>129210.51</v>
      </c>
      <c r="I260" t="s">
        <v>963</v>
      </c>
      <c r="J260">
        <v>0</v>
      </c>
      <c r="K260">
        <v>0</v>
      </c>
      <c r="L260">
        <v>0</v>
      </c>
      <c r="M260">
        <v>5</v>
      </c>
      <c r="N260" t="s">
        <v>963</v>
      </c>
      <c r="O260" t="s">
        <v>964</v>
      </c>
      <c r="P260" t="s">
        <v>962</v>
      </c>
    </row>
    <row r="261" spans="1:16" x14ac:dyDescent="0.35">
      <c r="A261" t="s">
        <v>1225</v>
      </c>
      <c r="B261" t="s">
        <v>64</v>
      </c>
      <c r="C261" t="s">
        <v>120</v>
      </c>
      <c r="D261" s="18">
        <v>45421</v>
      </c>
      <c r="E261" s="18">
        <v>45894</v>
      </c>
      <c r="F261">
        <v>2</v>
      </c>
      <c r="G261">
        <v>1</v>
      </c>
      <c r="H261">
        <v>86589.15</v>
      </c>
      <c r="I261" t="s">
        <v>962</v>
      </c>
      <c r="J261">
        <v>36</v>
      </c>
      <c r="K261">
        <v>80</v>
      </c>
      <c r="L261">
        <v>52</v>
      </c>
      <c r="M261">
        <v>3</v>
      </c>
      <c r="N261" t="s">
        <v>963</v>
      </c>
      <c r="O261" t="s">
        <v>108</v>
      </c>
      <c r="P261" t="s">
        <v>963</v>
      </c>
    </row>
    <row r="262" spans="1:16" x14ac:dyDescent="0.35">
      <c r="A262" t="s">
        <v>1226</v>
      </c>
      <c r="B262" t="s">
        <v>57</v>
      </c>
      <c r="C262" t="s">
        <v>120</v>
      </c>
      <c r="D262" s="18">
        <v>44229</v>
      </c>
      <c r="E262" s="18">
        <v>45022</v>
      </c>
      <c r="F262">
        <v>3</v>
      </c>
      <c r="G262">
        <v>4</v>
      </c>
      <c r="H262">
        <v>10623.47</v>
      </c>
      <c r="I262" t="s">
        <v>963</v>
      </c>
      <c r="J262">
        <v>0</v>
      </c>
      <c r="K262">
        <v>40</v>
      </c>
      <c r="L262">
        <v>3</v>
      </c>
      <c r="M262">
        <v>4</v>
      </c>
      <c r="N262" t="s">
        <v>963</v>
      </c>
      <c r="O262" t="s">
        <v>108</v>
      </c>
      <c r="P262" t="s">
        <v>962</v>
      </c>
    </row>
    <row r="263" spans="1:16" x14ac:dyDescent="0.35">
      <c r="A263" t="s">
        <v>1227</v>
      </c>
      <c r="B263" t="s">
        <v>62</v>
      </c>
      <c r="C263" t="s">
        <v>108</v>
      </c>
      <c r="D263" s="18">
        <v>44374</v>
      </c>
      <c r="E263" s="18">
        <v>44771</v>
      </c>
      <c r="F263">
        <v>8</v>
      </c>
      <c r="G263">
        <v>1</v>
      </c>
      <c r="H263">
        <v>146012.01</v>
      </c>
      <c r="I263" t="s">
        <v>962</v>
      </c>
      <c r="J263">
        <v>17</v>
      </c>
      <c r="K263">
        <v>80</v>
      </c>
      <c r="L263">
        <v>56</v>
      </c>
      <c r="M263">
        <v>3</v>
      </c>
      <c r="N263" t="s">
        <v>963</v>
      </c>
      <c r="O263" t="s">
        <v>108</v>
      </c>
      <c r="P263" t="s">
        <v>962</v>
      </c>
    </row>
    <row r="264" spans="1:16" x14ac:dyDescent="0.35">
      <c r="A264" t="s">
        <v>1228</v>
      </c>
      <c r="B264" t="s">
        <v>64</v>
      </c>
      <c r="C264" t="s">
        <v>108</v>
      </c>
      <c r="D264" s="18">
        <v>43966</v>
      </c>
      <c r="E264" s="18">
        <v>45498</v>
      </c>
      <c r="F264">
        <v>8</v>
      </c>
      <c r="G264">
        <v>3</v>
      </c>
      <c r="H264">
        <v>124047.52</v>
      </c>
      <c r="I264" t="s">
        <v>962</v>
      </c>
      <c r="J264">
        <v>8</v>
      </c>
      <c r="K264">
        <v>80</v>
      </c>
      <c r="L264">
        <v>64</v>
      </c>
      <c r="M264">
        <v>4</v>
      </c>
      <c r="N264" t="s">
        <v>962</v>
      </c>
      <c r="O264" t="s">
        <v>108</v>
      </c>
      <c r="P264" t="s">
        <v>962</v>
      </c>
    </row>
    <row r="265" spans="1:16" x14ac:dyDescent="0.35">
      <c r="A265" t="s">
        <v>1229</v>
      </c>
      <c r="B265" t="s">
        <v>64</v>
      </c>
      <c r="C265" t="s">
        <v>120</v>
      </c>
      <c r="D265" s="18">
        <v>43923</v>
      </c>
      <c r="E265" s="18">
        <v>44067</v>
      </c>
      <c r="F265">
        <v>4</v>
      </c>
      <c r="G265">
        <v>1</v>
      </c>
      <c r="H265">
        <v>71185.06</v>
      </c>
      <c r="I265" t="s">
        <v>963</v>
      </c>
      <c r="J265">
        <v>0</v>
      </c>
      <c r="K265">
        <v>40</v>
      </c>
      <c r="L265">
        <v>17</v>
      </c>
      <c r="M265">
        <v>3</v>
      </c>
      <c r="N265" t="s">
        <v>963</v>
      </c>
      <c r="O265" t="s">
        <v>964</v>
      </c>
      <c r="P265" t="s">
        <v>962</v>
      </c>
    </row>
    <row r="266" spans="1:16" x14ac:dyDescent="0.35">
      <c r="A266" t="s">
        <v>1230</v>
      </c>
      <c r="B266" t="s">
        <v>55</v>
      </c>
      <c r="C266" t="s">
        <v>120</v>
      </c>
      <c r="D266" s="18">
        <v>43226</v>
      </c>
      <c r="E266" s="18">
        <v>44091</v>
      </c>
      <c r="F266">
        <v>6</v>
      </c>
      <c r="G266">
        <v>4</v>
      </c>
      <c r="H266">
        <v>91136.320000000007</v>
      </c>
      <c r="I266" t="s">
        <v>962</v>
      </c>
      <c r="J266">
        <v>60</v>
      </c>
      <c r="K266">
        <v>80</v>
      </c>
      <c r="L266">
        <v>44</v>
      </c>
      <c r="M266">
        <v>2</v>
      </c>
      <c r="N266" t="s">
        <v>963</v>
      </c>
      <c r="O266" t="s">
        <v>108</v>
      </c>
      <c r="P266" t="s">
        <v>962</v>
      </c>
    </row>
    <row r="267" spans="1:16" x14ac:dyDescent="0.35">
      <c r="A267" t="s">
        <v>1231</v>
      </c>
      <c r="B267" t="s">
        <v>62</v>
      </c>
      <c r="C267" t="s">
        <v>120</v>
      </c>
      <c r="D267" s="18">
        <v>44684</v>
      </c>
      <c r="E267" s="18">
        <v>44663</v>
      </c>
      <c r="F267">
        <v>3</v>
      </c>
      <c r="G267">
        <v>2</v>
      </c>
      <c r="H267">
        <v>129281.12</v>
      </c>
      <c r="I267" t="s">
        <v>962</v>
      </c>
      <c r="J267">
        <v>26</v>
      </c>
      <c r="K267">
        <v>80</v>
      </c>
      <c r="L267">
        <v>52</v>
      </c>
      <c r="M267">
        <v>5</v>
      </c>
      <c r="N267" t="s">
        <v>962</v>
      </c>
      <c r="O267" t="s">
        <v>108</v>
      </c>
      <c r="P267" t="s">
        <v>962</v>
      </c>
    </row>
    <row r="268" spans="1:16" x14ac:dyDescent="0.35">
      <c r="A268" t="s">
        <v>1232</v>
      </c>
      <c r="B268" t="s">
        <v>980</v>
      </c>
      <c r="C268" t="s">
        <v>120</v>
      </c>
      <c r="D268" s="18">
        <v>43810</v>
      </c>
      <c r="E268" s="18">
        <v>45928</v>
      </c>
      <c r="F268">
        <v>1</v>
      </c>
      <c r="G268">
        <v>2</v>
      </c>
      <c r="H268">
        <v>41596.61</v>
      </c>
      <c r="I268" t="s">
        <v>963</v>
      </c>
      <c r="J268">
        <v>0</v>
      </c>
      <c r="K268">
        <v>80</v>
      </c>
      <c r="L268">
        <v>54</v>
      </c>
      <c r="M268">
        <v>4</v>
      </c>
      <c r="N268" t="s">
        <v>963</v>
      </c>
      <c r="O268" t="s">
        <v>964</v>
      </c>
      <c r="P268" t="s">
        <v>962</v>
      </c>
    </row>
    <row r="269" spans="1:16" x14ac:dyDescent="0.35">
      <c r="A269" t="s">
        <v>1233</v>
      </c>
      <c r="B269" t="s">
        <v>64</v>
      </c>
      <c r="C269" t="s">
        <v>108</v>
      </c>
      <c r="D269" s="18">
        <v>44338</v>
      </c>
      <c r="E269" s="18">
        <v>45583</v>
      </c>
      <c r="F269">
        <v>7</v>
      </c>
      <c r="G269">
        <v>1</v>
      </c>
      <c r="H269">
        <v>6065.4</v>
      </c>
      <c r="I269" t="s">
        <v>963</v>
      </c>
      <c r="J269">
        <v>0</v>
      </c>
      <c r="K269">
        <v>80</v>
      </c>
      <c r="L269">
        <v>38</v>
      </c>
      <c r="M269">
        <v>1</v>
      </c>
      <c r="N269" t="s">
        <v>963</v>
      </c>
      <c r="O269" t="s">
        <v>964</v>
      </c>
      <c r="P269" t="s">
        <v>962</v>
      </c>
    </row>
    <row r="270" spans="1:16" x14ac:dyDescent="0.35">
      <c r="A270" t="s">
        <v>1234</v>
      </c>
      <c r="B270" t="s">
        <v>62</v>
      </c>
      <c r="C270" t="s">
        <v>166</v>
      </c>
      <c r="D270" s="18">
        <v>44432</v>
      </c>
      <c r="E270" s="18">
        <v>45961</v>
      </c>
      <c r="F270">
        <v>5</v>
      </c>
      <c r="G270">
        <v>3</v>
      </c>
      <c r="H270">
        <v>100137.34</v>
      </c>
      <c r="I270" t="s">
        <v>963</v>
      </c>
      <c r="J270">
        <v>0</v>
      </c>
      <c r="K270">
        <v>40</v>
      </c>
      <c r="L270">
        <v>9</v>
      </c>
      <c r="M270">
        <v>5</v>
      </c>
      <c r="N270" t="s">
        <v>962</v>
      </c>
      <c r="O270" t="s">
        <v>108</v>
      </c>
      <c r="P270" t="s">
        <v>963</v>
      </c>
    </row>
    <row r="271" spans="1:16" x14ac:dyDescent="0.35">
      <c r="A271" t="s">
        <v>1235</v>
      </c>
      <c r="B271" t="s">
        <v>55</v>
      </c>
      <c r="C271" t="s">
        <v>108</v>
      </c>
      <c r="D271" s="18">
        <v>43674</v>
      </c>
      <c r="E271" s="18">
        <v>43570</v>
      </c>
      <c r="F271">
        <v>8</v>
      </c>
      <c r="G271">
        <v>3</v>
      </c>
      <c r="H271">
        <v>42616.81</v>
      </c>
      <c r="I271" t="s">
        <v>963</v>
      </c>
      <c r="J271">
        <v>0</v>
      </c>
      <c r="K271">
        <v>160</v>
      </c>
      <c r="L271">
        <v>99</v>
      </c>
      <c r="M271">
        <v>1</v>
      </c>
      <c r="N271" t="s">
        <v>962</v>
      </c>
      <c r="O271" t="s">
        <v>964</v>
      </c>
      <c r="P271" t="s">
        <v>962</v>
      </c>
    </row>
    <row r="272" spans="1:16" x14ac:dyDescent="0.35">
      <c r="A272" t="s">
        <v>1236</v>
      </c>
      <c r="B272" t="s">
        <v>55</v>
      </c>
      <c r="C272" t="s">
        <v>120</v>
      </c>
      <c r="D272" s="18">
        <v>45290</v>
      </c>
      <c r="E272" s="18">
        <v>45901</v>
      </c>
      <c r="F272">
        <v>6</v>
      </c>
      <c r="G272">
        <v>3</v>
      </c>
      <c r="H272">
        <v>127585.79</v>
      </c>
      <c r="I272" t="s">
        <v>962</v>
      </c>
      <c r="J272">
        <v>37</v>
      </c>
      <c r="K272">
        <v>0</v>
      </c>
      <c r="L272">
        <v>0</v>
      </c>
      <c r="M272">
        <v>4</v>
      </c>
      <c r="N272" t="s">
        <v>962</v>
      </c>
      <c r="O272" t="s">
        <v>108</v>
      </c>
      <c r="P272" t="s">
        <v>962</v>
      </c>
    </row>
    <row r="273" spans="1:16" x14ac:dyDescent="0.35">
      <c r="A273" t="s">
        <v>1237</v>
      </c>
      <c r="B273" t="s">
        <v>55</v>
      </c>
      <c r="C273" t="s">
        <v>108</v>
      </c>
      <c r="D273" s="18">
        <v>43466</v>
      </c>
      <c r="E273" s="18">
        <v>44376</v>
      </c>
      <c r="F273">
        <v>6</v>
      </c>
      <c r="G273">
        <v>2</v>
      </c>
      <c r="H273">
        <v>112910.44</v>
      </c>
      <c r="I273" t="s">
        <v>963</v>
      </c>
      <c r="J273">
        <v>0</v>
      </c>
      <c r="K273">
        <v>160</v>
      </c>
      <c r="L273">
        <v>84</v>
      </c>
      <c r="M273">
        <v>3</v>
      </c>
      <c r="N273" t="s">
        <v>963</v>
      </c>
      <c r="O273" t="s">
        <v>964</v>
      </c>
      <c r="P273" t="s">
        <v>962</v>
      </c>
    </row>
    <row r="274" spans="1:16" x14ac:dyDescent="0.35">
      <c r="A274" t="s">
        <v>1238</v>
      </c>
      <c r="B274" t="s">
        <v>980</v>
      </c>
      <c r="C274" t="s">
        <v>120</v>
      </c>
      <c r="D274" s="18">
        <v>45028</v>
      </c>
      <c r="E274" s="18">
        <v>45036</v>
      </c>
      <c r="F274">
        <v>2</v>
      </c>
      <c r="G274">
        <v>4</v>
      </c>
      <c r="H274">
        <v>133966.78</v>
      </c>
      <c r="I274" t="s">
        <v>962</v>
      </c>
      <c r="J274">
        <v>48</v>
      </c>
      <c r="K274">
        <v>80</v>
      </c>
      <c r="L274">
        <v>52</v>
      </c>
      <c r="M274">
        <v>1</v>
      </c>
      <c r="N274" t="s">
        <v>962</v>
      </c>
      <c r="O274" t="s">
        <v>964</v>
      </c>
      <c r="P274" t="s">
        <v>962</v>
      </c>
    </row>
    <row r="275" spans="1:16" x14ac:dyDescent="0.35">
      <c r="A275" t="s">
        <v>1239</v>
      </c>
      <c r="B275" t="s">
        <v>64</v>
      </c>
      <c r="C275" t="s">
        <v>108</v>
      </c>
      <c r="D275" s="18">
        <v>44777</v>
      </c>
      <c r="E275" s="18">
        <v>45728</v>
      </c>
      <c r="F275">
        <v>8</v>
      </c>
      <c r="G275">
        <v>2</v>
      </c>
      <c r="H275">
        <v>50875.6</v>
      </c>
      <c r="I275" t="s">
        <v>962</v>
      </c>
      <c r="J275">
        <v>10</v>
      </c>
      <c r="K275">
        <v>160</v>
      </c>
      <c r="L275">
        <v>85</v>
      </c>
      <c r="M275">
        <v>2</v>
      </c>
      <c r="N275" t="s">
        <v>963</v>
      </c>
      <c r="O275" t="s">
        <v>108</v>
      </c>
      <c r="P275" t="s">
        <v>962</v>
      </c>
    </row>
    <row r="276" spans="1:16" x14ac:dyDescent="0.35">
      <c r="A276" t="s">
        <v>1240</v>
      </c>
      <c r="B276" t="s">
        <v>980</v>
      </c>
      <c r="C276" t="s">
        <v>108</v>
      </c>
      <c r="D276" s="18">
        <v>43958</v>
      </c>
      <c r="E276" s="18">
        <v>44521</v>
      </c>
      <c r="F276">
        <v>3</v>
      </c>
      <c r="G276">
        <v>4</v>
      </c>
      <c r="H276">
        <v>118855.58</v>
      </c>
      <c r="I276" t="s">
        <v>962</v>
      </c>
      <c r="J276">
        <v>16</v>
      </c>
      <c r="K276">
        <v>160</v>
      </c>
      <c r="L276">
        <v>109</v>
      </c>
      <c r="M276">
        <v>4</v>
      </c>
      <c r="N276" t="s">
        <v>963</v>
      </c>
      <c r="O276" t="s">
        <v>982</v>
      </c>
      <c r="P276" t="s">
        <v>963</v>
      </c>
    </row>
    <row r="277" spans="1:16" x14ac:dyDescent="0.35">
      <c r="A277" t="s">
        <v>1241</v>
      </c>
      <c r="B277" t="s">
        <v>57</v>
      </c>
      <c r="C277" t="s">
        <v>120</v>
      </c>
      <c r="D277" s="18">
        <v>45287</v>
      </c>
      <c r="E277" s="18">
        <v>45335</v>
      </c>
      <c r="F277">
        <v>6</v>
      </c>
      <c r="G277">
        <v>1</v>
      </c>
      <c r="H277">
        <v>134340.93</v>
      </c>
      <c r="I277" t="s">
        <v>962</v>
      </c>
      <c r="J277">
        <v>2</v>
      </c>
      <c r="K277">
        <v>0</v>
      </c>
      <c r="L277">
        <v>0</v>
      </c>
      <c r="M277">
        <v>2</v>
      </c>
      <c r="N277" t="s">
        <v>962</v>
      </c>
      <c r="O277" t="s">
        <v>108</v>
      </c>
      <c r="P277" t="s">
        <v>963</v>
      </c>
    </row>
    <row r="278" spans="1:16" x14ac:dyDescent="0.35">
      <c r="A278" t="s">
        <v>1242</v>
      </c>
      <c r="B278" t="s">
        <v>62</v>
      </c>
      <c r="C278" t="s">
        <v>120</v>
      </c>
      <c r="D278" s="18">
        <v>43521</v>
      </c>
      <c r="E278" s="18">
        <v>45037</v>
      </c>
      <c r="F278">
        <v>5</v>
      </c>
      <c r="G278">
        <v>2</v>
      </c>
      <c r="H278">
        <v>14466.62</v>
      </c>
      <c r="I278" t="s">
        <v>962</v>
      </c>
      <c r="J278">
        <v>38</v>
      </c>
      <c r="K278">
        <v>80</v>
      </c>
      <c r="L278">
        <v>58</v>
      </c>
      <c r="M278">
        <v>5</v>
      </c>
      <c r="N278" t="s">
        <v>963</v>
      </c>
      <c r="O278" t="s">
        <v>964</v>
      </c>
      <c r="P278" t="s">
        <v>962</v>
      </c>
    </row>
    <row r="279" spans="1:16" x14ac:dyDescent="0.35">
      <c r="A279" t="s">
        <v>1243</v>
      </c>
      <c r="B279" t="s">
        <v>55</v>
      </c>
      <c r="C279" t="s">
        <v>120</v>
      </c>
      <c r="D279" s="18">
        <v>44504</v>
      </c>
      <c r="E279" s="18">
        <v>45200</v>
      </c>
      <c r="F279">
        <v>6</v>
      </c>
      <c r="G279">
        <v>2</v>
      </c>
      <c r="H279">
        <v>28908.11</v>
      </c>
      <c r="I279" t="s">
        <v>963</v>
      </c>
      <c r="J279">
        <v>0</v>
      </c>
      <c r="K279">
        <v>0</v>
      </c>
      <c r="L279">
        <v>0</v>
      </c>
      <c r="M279">
        <v>2</v>
      </c>
      <c r="N279" t="s">
        <v>962</v>
      </c>
      <c r="O279" t="s">
        <v>108</v>
      </c>
      <c r="P279" t="s">
        <v>962</v>
      </c>
    </row>
    <row r="280" spans="1:16" x14ac:dyDescent="0.35">
      <c r="A280" t="s">
        <v>1244</v>
      </c>
      <c r="B280" t="s">
        <v>64</v>
      </c>
      <c r="C280" t="s">
        <v>166</v>
      </c>
      <c r="D280" s="18">
        <v>43190</v>
      </c>
      <c r="E280" s="18">
        <v>45516</v>
      </c>
      <c r="F280">
        <v>3</v>
      </c>
      <c r="G280">
        <v>1</v>
      </c>
      <c r="H280">
        <v>58155.76</v>
      </c>
      <c r="I280" t="s">
        <v>962</v>
      </c>
      <c r="J280">
        <v>48</v>
      </c>
      <c r="K280">
        <v>80</v>
      </c>
      <c r="L280">
        <v>68</v>
      </c>
      <c r="M280">
        <v>5</v>
      </c>
      <c r="N280" t="s">
        <v>962</v>
      </c>
      <c r="O280" t="s">
        <v>964</v>
      </c>
      <c r="P280" t="s">
        <v>962</v>
      </c>
    </row>
    <row r="281" spans="1:16" x14ac:dyDescent="0.35">
      <c r="A281" t="s">
        <v>1245</v>
      </c>
      <c r="B281" t="s">
        <v>57</v>
      </c>
      <c r="C281" t="s">
        <v>166</v>
      </c>
      <c r="D281" s="18">
        <v>43543</v>
      </c>
      <c r="E281" s="18">
        <v>43546</v>
      </c>
      <c r="F281">
        <v>1</v>
      </c>
      <c r="G281">
        <v>1</v>
      </c>
      <c r="H281">
        <v>65432.46</v>
      </c>
      <c r="I281" t="s">
        <v>963</v>
      </c>
      <c r="J281">
        <v>0</v>
      </c>
      <c r="K281">
        <v>0</v>
      </c>
      <c r="L281">
        <v>0</v>
      </c>
      <c r="M281">
        <v>5</v>
      </c>
      <c r="N281" t="s">
        <v>963</v>
      </c>
      <c r="O281" t="s">
        <v>964</v>
      </c>
      <c r="P281" t="s">
        <v>962</v>
      </c>
    </row>
    <row r="282" spans="1:16" x14ac:dyDescent="0.35">
      <c r="A282" t="s">
        <v>1246</v>
      </c>
      <c r="B282" t="s">
        <v>64</v>
      </c>
      <c r="C282" t="s">
        <v>120</v>
      </c>
      <c r="D282" s="18">
        <v>43139</v>
      </c>
      <c r="E282" s="18">
        <v>44334</v>
      </c>
      <c r="F282">
        <v>7</v>
      </c>
      <c r="G282">
        <v>1</v>
      </c>
      <c r="H282">
        <v>101060.03</v>
      </c>
      <c r="I282" t="s">
        <v>963</v>
      </c>
      <c r="J282">
        <v>0</v>
      </c>
      <c r="K282">
        <v>40</v>
      </c>
      <c r="L282">
        <v>26</v>
      </c>
      <c r="M282">
        <v>1</v>
      </c>
      <c r="N282" t="s">
        <v>962</v>
      </c>
      <c r="O282" t="s">
        <v>964</v>
      </c>
      <c r="P282" t="s">
        <v>962</v>
      </c>
    </row>
    <row r="283" spans="1:16" x14ac:dyDescent="0.35">
      <c r="A283" t="s">
        <v>1247</v>
      </c>
      <c r="B283" t="s">
        <v>59</v>
      </c>
      <c r="C283" t="s">
        <v>120</v>
      </c>
      <c r="D283" s="18">
        <v>45139</v>
      </c>
      <c r="E283" s="18">
        <v>45333</v>
      </c>
      <c r="F283">
        <v>4</v>
      </c>
      <c r="G283">
        <v>3</v>
      </c>
      <c r="H283">
        <v>125567.33</v>
      </c>
      <c r="I283" t="s">
        <v>962</v>
      </c>
      <c r="J283">
        <v>45</v>
      </c>
      <c r="K283">
        <v>160</v>
      </c>
      <c r="L283">
        <v>75</v>
      </c>
      <c r="M283">
        <v>2</v>
      </c>
      <c r="N283" t="s">
        <v>962</v>
      </c>
      <c r="O283" t="s">
        <v>964</v>
      </c>
      <c r="P283" t="s">
        <v>962</v>
      </c>
    </row>
    <row r="284" spans="1:16" x14ac:dyDescent="0.35">
      <c r="A284" t="s">
        <v>1248</v>
      </c>
      <c r="B284" t="s">
        <v>64</v>
      </c>
      <c r="C284" t="s">
        <v>166</v>
      </c>
      <c r="D284" s="18">
        <v>45069</v>
      </c>
      <c r="E284" s="18">
        <v>45604</v>
      </c>
      <c r="F284">
        <v>4</v>
      </c>
      <c r="G284">
        <v>1</v>
      </c>
      <c r="H284">
        <v>6848.66</v>
      </c>
      <c r="I284" t="s">
        <v>962</v>
      </c>
      <c r="J284">
        <v>14</v>
      </c>
      <c r="K284">
        <v>160</v>
      </c>
      <c r="L284">
        <v>38</v>
      </c>
      <c r="M284">
        <v>1</v>
      </c>
      <c r="N284" t="s">
        <v>962</v>
      </c>
      <c r="O284" t="s">
        <v>108</v>
      </c>
      <c r="P284" t="s">
        <v>962</v>
      </c>
    </row>
    <row r="285" spans="1:16" x14ac:dyDescent="0.35">
      <c r="A285" t="s">
        <v>1249</v>
      </c>
      <c r="B285" t="s">
        <v>62</v>
      </c>
      <c r="C285" t="s">
        <v>166</v>
      </c>
      <c r="D285" s="18">
        <v>44047</v>
      </c>
      <c r="E285" s="18">
        <v>45701</v>
      </c>
      <c r="F285">
        <v>5</v>
      </c>
      <c r="G285">
        <v>3</v>
      </c>
      <c r="H285">
        <v>72320.22</v>
      </c>
      <c r="I285" t="s">
        <v>962</v>
      </c>
      <c r="J285">
        <v>22</v>
      </c>
      <c r="K285">
        <v>0</v>
      </c>
      <c r="L285">
        <v>0</v>
      </c>
      <c r="M285">
        <v>3</v>
      </c>
      <c r="N285" t="s">
        <v>963</v>
      </c>
      <c r="O285" t="s">
        <v>108</v>
      </c>
      <c r="P285" t="s">
        <v>963</v>
      </c>
    </row>
    <row r="286" spans="1:16" x14ac:dyDescent="0.35">
      <c r="A286" t="s">
        <v>1250</v>
      </c>
      <c r="B286" t="s">
        <v>980</v>
      </c>
      <c r="C286" t="s">
        <v>166</v>
      </c>
      <c r="D286" s="18">
        <v>43575</v>
      </c>
      <c r="E286" s="18">
        <v>43855</v>
      </c>
      <c r="F286">
        <v>1</v>
      </c>
      <c r="G286">
        <v>1</v>
      </c>
      <c r="H286">
        <v>128539.82</v>
      </c>
      <c r="I286" t="s">
        <v>962</v>
      </c>
      <c r="J286">
        <v>42</v>
      </c>
      <c r="K286">
        <v>80</v>
      </c>
      <c r="L286">
        <v>56</v>
      </c>
      <c r="M286">
        <v>5</v>
      </c>
      <c r="N286" t="s">
        <v>963</v>
      </c>
      <c r="O286" t="s">
        <v>108</v>
      </c>
      <c r="P286" t="s">
        <v>962</v>
      </c>
    </row>
    <row r="287" spans="1:16" x14ac:dyDescent="0.35">
      <c r="A287" t="s">
        <v>1251</v>
      </c>
      <c r="B287" t="s">
        <v>62</v>
      </c>
      <c r="C287" t="s">
        <v>108</v>
      </c>
      <c r="D287" s="18">
        <v>43850</v>
      </c>
      <c r="E287" s="18">
        <v>44297</v>
      </c>
      <c r="F287">
        <v>7</v>
      </c>
      <c r="G287">
        <v>4</v>
      </c>
      <c r="H287">
        <v>144534.94</v>
      </c>
      <c r="I287" t="s">
        <v>963</v>
      </c>
      <c r="J287">
        <v>0</v>
      </c>
      <c r="K287">
        <v>160</v>
      </c>
      <c r="L287">
        <v>122</v>
      </c>
      <c r="M287">
        <v>4</v>
      </c>
      <c r="N287" t="s">
        <v>962</v>
      </c>
      <c r="O287" t="s">
        <v>964</v>
      </c>
      <c r="P287" t="s">
        <v>962</v>
      </c>
    </row>
    <row r="288" spans="1:16" x14ac:dyDescent="0.35">
      <c r="A288" t="s">
        <v>1252</v>
      </c>
      <c r="B288" t="s">
        <v>55</v>
      </c>
      <c r="C288" t="s">
        <v>166</v>
      </c>
      <c r="D288" s="18">
        <v>43341</v>
      </c>
      <c r="E288" s="18">
        <v>43753</v>
      </c>
      <c r="F288">
        <v>2</v>
      </c>
      <c r="G288">
        <v>4</v>
      </c>
      <c r="H288">
        <v>137127.88</v>
      </c>
      <c r="I288" t="s">
        <v>963</v>
      </c>
      <c r="J288">
        <v>0</v>
      </c>
      <c r="K288">
        <v>160</v>
      </c>
      <c r="L288">
        <v>46</v>
      </c>
      <c r="M288">
        <v>5</v>
      </c>
      <c r="N288" t="s">
        <v>963</v>
      </c>
      <c r="O288" t="s">
        <v>108</v>
      </c>
      <c r="P288" t="s">
        <v>962</v>
      </c>
    </row>
    <row r="289" spans="1:16" x14ac:dyDescent="0.35">
      <c r="A289" t="s">
        <v>1253</v>
      </c>
      <c r="B289" t="s">
        <v>59</v>
      </c>
      <c r="C289" t="s">
        <v>166</v>
      </c>
      <c r="D289" s="18">
        <v>43636</v>
      </c>
      <c r="E289" s="18">
        <v>45444</v>
      </c>
      <c r="F289">
        <v>8</v>
      </c>
      <c r="G289">
        <v>1</v>
      </c>
      <c r="H289">
        <v>133701.12</v>
      </c>
      <c r="I289" t="s">
        <v>963</v>
      </c>
      <c r="J289">
        <v>0</v>
      </c>
      <c r="K289">
        <v>0</v>
      </c>
      <c r="L289">
        <v>0</v>
      </c>
      <c r="M289">
        <v>1</v>
      </c>
      <c r="N289" t="s">
        <v>963</v>
      </c>
      <c r="O289" t="s">
        <v>108</v>
      </c>
      <c r="P289" t="s">
        <v>962</v>
      </c>
    </row>
    <row r="290" spans="1:16" x14ac:dyDescent="0.35">
      <c r="A290" t="s">
        <v>1254</v>
      </c>
      <c r="B290" t="s">
        <v>55</v>
      </c>
      <c r="C290" t="s">
        <v>166</v>
      </c>
      <c r="D290" s="18">
        <v>45250</v>
      </c>
      <c r="E290" s="18">
        <v>45385</v>
      </c>
      <c r="F290">
        <v>6</v>
      </c>
      <c r="G290">
        <v>1</v>
      </c>
      <c r="H290">
        <v>67762.95</v>
      </c>
      <c r="I290" t="s">
        <v>962</v>
      </c>
      <c r="J290">
        <v>61</v>
      </c>
      <c r="K290">
        <v>80</v>
      </c>
      <c r="L290">
        <v>49</v>
      </c>
      <c r="M290">
        <v>2</v>
      </c>
      <c r="N290" t="s">
        <v>962</v>
      </c>
      <c r="O290" t="s">
        <v>964</v>
      </c>
      <c r="P290" t="s">
        <v>962</v>
      </c>
    </row>
    <row r="291" spans="1:16" x14ac:dyDescent="0.35">
      <c r="A291" t="s">
        <v>1255</v>
      </c>
      <c r="B291" t="s">
        <v>64</v>
      </c>
      <c r="C291" t="s">
        <v>166</v>
      </c>
      <c r="D291" s="18">
        <v>45023</v>
      </c>
      <c r="E291" s="18">
        <v>45942</v>
      </c>
      <c r="F291">
        <v>3</v>
      </c>
      <c r="G291">
        <v>1</v>
      </c>
      <c r="H291">
        <v>113957.35</v>
      </c>
      <c r="I291" t="s">
        <v>963</v>
      </c>
      <c r="J291">
        <v>0</v>
      </c>
      <c r="K291">
        <v>40</v>
      </c>
      <c r="L291">
        <v>21</v>
      </c>
      <c r="M291">
        <v>3</v>
      </c>
      <c r="N291" t="s">
        <v>962</v>
      </c>
      <c r="O291" t="s">
        <v>964</v>
      </c>
      <c r="P291" t="s">
        <v>962</v>
      </c>
    </row>
    <row r="292" spans="1:16" x14ac:dyDescent="0.35">
      <c r="A292" t="s">
        <v>1256</v>
      </c>
      <c r="B292" t="s">
        <v>61</v>
      </c>
      <c r="C292" t="s">
        <v>166</v>
      </c>
      <c r="D292" s="18">
        <v>44651</v>
      </c>
      <c r="E292" s="18">
        <v>45387</v>
      </c>
      <c r="F292">
        <v>4</v>
      </c>
      <c r="G292">
        <v>1</v>
      </c>
      <c r="H292">
        <v>71568.72</v>
      </c>
      <c r="I292" t="s">
        <v>963</v>
      </c>
      <c r="J292">
        <v>0</v>
      </c>
      <c r="K292">
        <v>0</v>
      </c>
      <c r="L292">
        <v>0</v>
      </c>
      <c r="M292">
        <v>4</v>
      </c>
      <c r="N292" t="s">
        <v>963</v>
      </c>
      <c r="O292" t="s">
        <v>964</v>
      </c>
      <c r="P292" t="s">
        <v>962</v>
      </c>
    </row>
    <row r="293" spans="1:16" x14ac:dyDescent="0.35">
      <c r="A293" t="s">
        <v>1257</v>
      </c>
      <c r="B293" t="s">
        <v>980</v>
      </c>
      <c r="C293" t="s">
        <v>166</v>
      </c>
      <c r="D293" s="18">
        <v>43173</v>
      </c>
      <c r="E293" s="18">
        <v>43521</v>
      </c>
      <c r="F293">
        <v>7</v>
      </c>
      <c r="G293">
        <v>4</v>
      </c>
      <c r="H293">
        <v>10195.629999999999</v>
      </c>
      <c r="I293" t="s">
        <v>962</v>
      </c>
      <c r="J293">
        <v>11</v>
      </c>
      <c r="K293">
        <v>80</v>
      </c>
      <c r="L293">
        <v>65</v>
      </c>
      <c r="M293">
        <v>5</v>
      </c>
      <c r="N293" t="s">
        <v>962</v>
      </c>
      <c r="O293" t="s">
        <v>108</v>
      </c>
      <c r="P293" t="s">
        <v>963</v>
      </c>
    </row>
    <row r="294" spans="1:16" x14ac:dyDescent="0.35">
      <c r="A294" t="s">
        <v>1258</v>
      </c>
      <c r="B294" t="s">
        <v>62</v>
      </c>
      <c r="C294" t="s">
        <v>108</v>
      </c>
      <c r="D294" s="18">
        <v>43323</v>
      </c>
      <c r="E294" s="18">
        <v>44014</v>
      </c>
      <c r="F294">
        <v>8</v>
      </c>
      <c r="G294">
        <v>3</v>
      </c>
      <c r="H294">
        <v>86221.87</v>
      </c>
      <c r="I294" t="s">
        <v>963</v>
      </c>
      <c r="J294">
        <v>0</v>
      </c>
      <c r="K294">
        <v>80</v>
      </c>
      <c r="L294">
        <v>57</v>
      </c>
      <c r="M294">
        <v>1</v>
      </c>
      <c r="N294" t="s">
        <v>962</v>
      </c>
      <c r="O294" t="s">
        <v>108</v>
      </c>
      <c r="P294" t="s">
        <v>962</v>
      </c>
    </row>
    <row r="295" spans="1:16" x14ac:dyDescent="0.35">
      <c r="A295" t="s">
        <v>1259</v>
      </c>
      <c r="B295" t="s">
        <v>57</v>
      </c>
      <c r="C295" t="s">
        <v>108</v>
      </c>
      <c r="D295" s="18">
        <v>44555</v>
      </c>
      <c r="E295" s="18">
        <v>45896</v>
      </c>
      <c r="F295">
        <v>5</v>
      </c>
      <c r="G295">
        <v>3</v>
      </c>
      <c r="H295">
        <v>106803.93</v>
      </c>
      <c r="I295" t="s">
        <v>962</v>
      </c>
      <c r="J295">
        <v>21</v>
      </c>
      <c r="K295">
        <v>160</v>
      </c>
      <c r="L295">
        <v>35</v>
      </c>
      <c r="M295">
        <v>4</v>
      </c>
      <c r="N295" t="s">
        <v>962</v>
      </c>
      <c r="O295" t="s">
        <v>964</v>
      </c>
      <c r="P295" t="s">
        <v>962</v>
      </c>
    </row>
    <row r="296" spans="1:16" x14ac:dyDescent="0.35">
      <c r="A296" t="s">
        <v>1260</v>
      </c>
      <c r="B296" t="s">
        <v>64</v>
      </c>
      <c r="C296" t="s">
        <v>120</v>
      </c>
      <c r="D296" s="18">
        <v>43595</v>
      </c>
      <c r="E296" s="18">
        <v>45075</v>
      </c>
      <c r="F296">
        <v>4</v>
      </c>
      <c r="G296">
        <v>4</v>
      </c>
      <c r="H296">
        <v>124560.35</v>
      </c>
      <c r="I296" t="s">
        <v>962</v>
      </c>
      <c r="J296">
        <v>43</v>
      </c>
      <c r="K296">
        <v>0</v>
      </c>
      <c r="L296">
        <v>0</v>
      </c>
      <c r="M296">
        <v>4</v>
      </c>
      <c r="N296" t="s">
        <v>962</v>
      </c>
      <c r="O296" t="s">
        <v>982</v>
      </c>
      <c r="P296" t="s">
        <v>962</v>
      </c>
    </row>
    <row r="297" spans="1:16" x14ac:dyDescent="0.35">
      <c r="A297" t="s">
        <v>1261</v>
      </c>
      <c r="B297" t="s">
        <v>59</v>
      </c>
      <c r="C297" t="s">
        <v>108</v>
      </c>
      <c r="D297" s="18">
        <v>44974</v>
      </c>
      <c r="E297" s="18">
        <v>45959</v>
      </c>
      <c r="F297">
        <v>3</v>
      </c>
      <c r="G297">
        <v>4</v>
      </c>
      <c r="H297">
        <v>5628.96</v>
      </c>
      <c r="I297" t="s">
        <v>962</v>
      </c>
      <c r="J297">
        <v>70</v>
      </c>
      <c r="K297">
        <v>160</v>
      </c>
      <c r="L297">
        <v>149</v>
      </c>
      <c r="M297">
        <v>4</v>
      </c>
      <c r="N297" t="s">
        <v>962</v>
      </c>
      <c r="O297" t="s">
        <v>108</v>
      </c>
      <c r="P297" t="s">
        <v>962</v>
      </c>
    </row>
    <row r="298" spans="1:16" x14ac:dyDescent="0.35">
      <c r="A298" t="s">
        <v>1262</v>
      </c>
      <c r="B298" t="s">
        <v>55</v>
      </c>
      <c r="C298" t="s">
        <v>120</v>
      </c>
      <c r="D298" s="18">
        <v>43525</v>
      </c>
      <c r="E298" s="18">
        <v>45052</v>
      </c>
      <c r="F298">
        <v>6</v>
      </c>
      <c r="G298">
        <v>4</v>
      </c>
      <c r="H298">
        <v>65706.39</v>
      </c>
      <c r="I298" t="s">
        <v>962</v>
      </c>
      <c r="J298">
        <v>35</v>
      </c>
      <c r="K298">
        <v>160</v>
      </c>
      <c r="L298">
        <v>87</v>
      </c>
      <c r="M298">
        <v>3</v>
      </c>
      <c r="N298" t="s">
        <v>963</v>
      </c>
      <c r="O298" t="s">
        <v>108</v>
      </c>
      <c r="P298" t="s">
        <v>962</v>
      </c>
    </row>
    <row r="299" spans="1:16" x14ac:dyDescent="0.35">
      <c r="A299" t="s">
        <v>1263</v>
      </c>
      <c r="B299" t="s">
        <v>980</v>
      </c>
      <c r="C299" t="s">
        <v>166</v>
      </c>
      <c r="D299" s="18">
        <v>45199</v>
      </c>
      <c r="E299" s="18">
        <v>45539</v>
      </c>
      <c r="F299">
        <v>6</v>
      </c>
      <c r="G299">
        <v>2</v>
      </c>
      <c r="H299">
        <v>34128.92</v>
      </c>
      <c r="I299" t="s">
        <v>963</v>
      </c>
      <c r="J299">
        <v>0</v>
      </c>
      <c r="K299">
        <v>80</v>
      </c>
      <c r="L299">
        <v>16</v>
      </c>
      <c r="M299">
        <v>2</v>
      </c>
      <c r="N299" t="s">
        <v>963</v>
      </c>
      <c r="O299" t="s">
        <v>108</v>
      </c>
      <c r="P299" t="s">
        <v>963</v>
      </c>
    </row>
    <row r="300" spans="1:16" x14ac:dyDescent="0.35">
      <c r="A300" t="s">
        <v>1264</v>
      </c>
      <c r="B300" t="s">
        <v>61</v>
      </c>
      <c r="C300" t="s">
        <v>108</v>
      </c>
      <c r="D300" s="18">
        <v>45488</v>
      </c>
      <c r="E300" s="18">
        <v>45876</v>
      </c>
      <c r="F300">
        <v>7</v>
      </c>
      <c r="G300">
        <v>3</v>
      </c>
      <c r="H300">
        <v>132234.20000000001</v>
      </c>
      <c r="I300" t="s">
        <v>963</v>
      </c>
      <c r="J300">
        <v>0</v>
      </c>
      <c r="K300">
        <v>0</v>
      </c>
      <c r="L300">
        <v>0</v>
      </c>
      <c r="M300">
        <v>5</v>
      </c>
      <c r="N300" t="s">
        <v>962</v>
      </c>
      <c r="O300" t="s">
        <v>964</v>
      </c>
      <c r="P300" t="s">
        <v>962</v>
      </c>
    </row>
    <row r="301" spans="1:16" x14ac:dyDescent="0.35">
      <c r="A301" t="s">
        <v>1265</v>
      </c>
      <c r="B301" t="s">
        <v>64</v>
      </c>
      <c r="C301" t="s">
        <v>120</v>
      </c>
      <c r="D301" s="18">
        <v>43332</v>
      </c>
      <c r="E301" s="18">
        <v>43919</v>
      </c>
      <c r="F301">
        <v>5</v>
      </c>
      <c r="G301">
        <v>2</v>
      </c>
      <c r="H301">
        <v>147612.20000000001</v>
      </c>
      <c r="I301" t="s">
        <v>963</v>
      </c>
      <c r="J301">
        <v>0</v>
      </c>
      <c r="K301">
        <v>40</v>
      </c>
      <c r="L301">
        <v>3</v>
      </c>
      <c r="M301">
        <v>3</v>
      </c>
      <c r="N301" t="s">
        <v>962</v>
      </c>
      <c r="O301" t="s">
        <v>108</v>
      </c>
      <c r="P301" t="s">
        <v>962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9FF23-B134-463C-BEC6-B61F0B83BAF5}">
  <dimension ref="D1:AC300"/>
  <sheetViews>
    <sheetView topLeftCell="S1" zoomScale="96" workbookViewId="0">
      <selection activeCell="AE8" sqref="AE8"/>
    </sheetView>
  </sheetViews>
  <sheetFormatPr defaultRowHeight="14.5" x14ac:dyDescent="0.35"/>
  <cols>
    <col min="4" max="4" width="15.36328125" bestFit="1" customWidth="1"/>
    <col min="28" max="28" width="19.7265625" bestFit="1" customWidth="1"/>
  </cols>
  <sheetData>
    <row r="1" spans="4:29" x14ac:dyDescent="0.35">
      <c r="D1" s="24" t="s">
        <v>93</v>
      </c>
      <c r="F1" t="s">
        <v>1350</v>
      </c>
      <c r="V1" t="s">
        <v>1348</v>
      </c>
      <c r="W1" s="16" t="s">
        <v>74</v>
      </c>
      <c r="X1" s="16" t="s">
        <v>76</v>
      </c>
      <c r="Y1" s="16" t="s">
        <v>1328</v>
      </c>
      <c r="Z1" s="16" t="s">
        <v>1349</v>
      </c>
    </row>
    <row r="2" spans="4:29" x14ac:dyDescent="0.35">
      <c r="D2" s="25">
        <v>12</v>
      </c>
      <c r="F2" cm="1">
        <f t="array" aca="1" ref="F2" ca="1">INDEX($D$2:$D$15,RANDBETWEEN(1,ROWS($D$2:$D$15)),1)</f>
        <v>12</v>
      </c>
      <c r="G2" cm="1">
        <f t="array" aca="1" ref="G2" ca="1">INDEX($D$2:$D$15,RANDBETWEEN(1,ROWS($D$2:$D$15)),1)</f>
        <v>10</v>
      </c>
      <c r="H2" cm="1">
        <f t="array" aca="1" ref="H2" ca="1">INDEX($D$2:$D$15,RANDBETWEEN(1,ROWS($D$2:$D$15)),1)</f>
        <v>10</v>
      </c>
      <c r="I2" cm="1">
        <f t="array" aca="1" ref="I2" ca="1">INDEX($D$2:$D$15,RANDBETWEEN(1,ROWS($D$2:$D$15)),1)</f>
        <v>8</v>
      </c>
      <c r="J2" cm="1">
        <f t="array" aca="1" ref="J2" ca="1">INDEX($D$2:$D$15,RANDBETWEEN(1,ROWS($D$2:$D$15)),1)</f>
        <v>4</v>
      </c>
      <c r="K2" cm="1">
        <f t="array" aca="1" ref="K2" ca="1">INDEX($D$2:$D$15,RANDBETWEEN(1,ROWS($D$2:$D$15)),1)</f>
        <v>11</v>
      </c>
      <c r="L2" cm="1">
        <f t="array" aca="1" ref="L2" ca="1">INDEX($D$2:$D$15,RANDBETWEEN(1,ROWS($D$2:$D$15)),1)</f>
        <v>9</v>
      </c>
      <c r="M2" cm="1">
        <f t="array" aca="1" ref="M2" ca="1">INDEX($D$2:$D$15,RANDBETWEEN(1,ROWS($D$2:$D$15)),1)</f>
        <v>9</v>
      </c>
      <c r="N2" cm="1">
        <f t="array" aca="1" ref="N2" ca="1">INDEX($D$2:$D$15,RANDBETWEEN(1,ROWS($D$2:$D$15)),1)</f>
        <v>9</v>
      </c>
      <c r="O2" cm="1">
        <f t="array" aca="1" ref="O2" ca="1">INDEX($D$2:$D$15,RANDBETWEEN(1,ROWS($D$2:$D$15)),1)</f>
        <v>3</v>
      </c>
      <c r="P2" cm="1">
        <f t="array" aca="1" ref="P2" ca="1">INDEX($D$2:$D$15,RANDBETWEEN(1,ROWS($D$2:$D$15)),1)</f>
        <v>12</v>
      </c>
      <c r="Q2" cm="1">
        <f t="array" aca="1" ref="Q2" ca="1">INDEX($D$2:$D$15,RANDBETWEEN(1,ROWS($D$2:$D$15)),1)</f>
        <v>12</v>
      </c>
      <c r="R2" cm="1">
        <f t="array" aca="1" ref="R2" ca="1">INDEX($D$2:$D$15,RANDBETWEEN(1,ROWS($D$2:$D$15)),1)</f>
        <v>10</v>
      </c>
      <c r="S2" cm="1">
        <f t="array" aca="1" ref="S2" ca="1">INDEX($D$2:$D$15,RANDBETWEEN(1,ROWS($D$2:$D$15)),1)</f>
        <v>9</v>
      </c>
      <c r="T2" cm="1">
        <f t="array" aca="1" ref="T2" ca="1">INDEX($D$2:$D$15,RANDBETWEEN(1,ROWS($D$2:$D$15)),1)</f>
        <v>3</v>
      </c>
      <c r="W2">
        <f ca="1">AVERAGE(F2:T2)</f>
        <v>8.7333333333333325</v>
      </c>
      <c r="X2">
        <f ca="1">MEDIAN(F2:T2)</f>
        <v>9</v>
      </c>
      <c r="Y2">
        <f ca="1">_xlfn.QUARTILE.INC(F2:T2, 3)-_xlfn.QUARTILE.INC(F2:T2,1)</f>
        <v>2</v>
      </c>
      <c r="Z2">
        <f ca="1">_xlfn.STDEV.S(F2:T2)</f>
        <v>3.0581662728473344</v>
      </c>
    </row>
    <row r="3" spans="4:29" x14ac:dyDescent="0.35">
      <c r="D3" s="26">
        <v>4</v>
      </c>
      <c r="F3" cm="1">
        <f t="array" aca="1" ref="F3" ca="1">INDEX($D$2:$D$15,RANDBETWEEN(1,ROWS($D$2:$D$15)),1)</f>
        <v>10</v>
      </c>
      <c r="G3" cm="1">
        <f t="array" aca="1" ref="G3" ca="1">INDEX($D$2:$D$15,RANDBETWEEN(1,ROWS($D$2:$D$15)),1)</f>
        <v>4</v>
      </c>
      <c r="H3" cm="1">
        <f t="array" aca="1" ref="H3" ca="1">INDEX($D$2:$D$15,RANDBETWEEN(1,ROWS($D$2:$D$15)),1)</f>
        <v>9</v>
      </c>
      <c r="I3" cm="1">
        <f t="array" aca="1" ref="I3" ca="1">INDEX($D$2:$D$15,RANDBETWEEN(1,ROWS($D$2:$D$15)),1)</f>
        <v>4</v>
      </c>
      <c r="J3" cm="1">
        <f t="array" aca="1" ref="J3" ca="1">INDEX($D$2:$D$15,RANDBETWEEN(1,ROWS($D$2:$D$15)),1)</f>
        <v>12</v>
      </c>
      <c r="K3" cm="1">
        <f t="array" aca="1" ref="K3" ca="1">INDEX($D$2:$D$15,RANDBETWEEN(1,ROWS($D$2:$D$15)),1)</f>
        <v>9</v>
      </c>
      <c r="L3" cm="1">
        <f t="array" aca="1" ref="L3" ca="1">INDEX($D$2:$D$15,RANDBETWEEN(1,ROWS($D$2:$D$15)),1)</f>
        <v>4</v>
      </c>
      <c r="M3" cm="1">
        <f t="array" aca="1" ref="M3" ca="1">INDEX($D$2:$D$15,RANDBETWEEN(1,ROWS($D$2:$D$15)),1)</f>
        <v>4</v>
      </c>
      <c r="N3" cm="1">
        <f t="array" aca="1" ref="N3" ca="1">INDEX($D$2:$D$15,RANDBETWEEN(1,ROWS($D$2:$D$15)),1)</f>
        <v>4</v>
      </c>
      <c r="O3" cm="1">
        <f t="array" aca="1" ref="O3" ca="1">INDEX($D$2:$D$15,RANDBETWEEN(1,ROWS($D$2:$D$15)),1)</f>
        <v>12</v>
      </c>
      <c r="P3" cm="1">
        <f t="array" aca="1" ref="P3" ca="1">INDEX($D$2:$D$15,RANDBETWEEN(1,ROWS($D$2:$D$15)),1)</f>
        <v>12</v>
      </c>
      <c r="Q3" cm="1">
        <f t="array" aca="1" ref="Q3" ca="1">INDEX($D$2:$D$15,RANDBETWEEN(1,ROWS($D$2:$D$15)),1)</f>
        <v>2</v>
      </c>
      <c r="R3" cm="1">
        <f t="array" aca="1" ref="R3" ca="1">INDEX($D$2:$D$15,RANDBETWEEN(1,ROWS($D$2:$D$15)),1)</f>
        <v>12</v>
      </c>
      <c r="S3" cm="1">
        <f t="array" aca="1" ref="S3" ca="1">INDEX($D$2:$D$15,RANDBETWEEN(1,ROWS($D$2:$D$15)),1)</f>
        <v>12</v>
      </c>
      <c r="T3" cm="1">
        <f t="array" aca="1" ref="T3" ca="1">INDEX($D$2:$D$15,RANDBETWEEN(1,ROWS($D$2:$D$15)),1)</f>
        <v>10</v>
      </c>
      <c r="W3">
        <f t="shared" ref="W3:W66" ca="1" si="0">AVERAGE(F3:T3)</f>
        <v>8</v>
      </c>
      <c r="X3">
        <f t="shared" ref="X3:X66" ca="1" si="1">MEDIAN(F3:T3)</f>
        <v>9</v>
      </c>
      <c r="Y3">
        <f t="shared" ref="Y3:Y66" ca="1" si="2">_xlfn.QUARTILE.INC(F3:T3, 3)-_xlfn.QUARTILE.INC(F3:T3,1)</f>
        <v>8</v>
      </c>
      <c r="Z3">
        <f t="shared" ref="Z3:Z66" ca="1" si="3">_xlfn.STDEV.S(F3:T3)</f>
        <v>3.8359204520278718</v>
      </c>
    </row>
    <row r="4" spans="4:29" x14ac:dyDescent="0.35">
      <c r="D4" s="25">
        <v>9</v>
      </c>
      <c r="F4" cm="1">
        <f t="array" aca="1" ref="F4" ca="1">INDEX($D$2:$D$15,RANDBETWEEN(1,ROWS($D$2:$D$15)),1)</f>
        <v>10</v>
      </c>
      <c r="G4" cm="1">
        <f t="array" aca="1" ref="G4" ca="1">INDEX($D$2:$D$15,RANDBETWEEN(1,ROWS($D$2:$D$15)),1)</f>
        <v>13</v>
      </c>
      <c r="H4" cm="1">
        <f t="array" aca="1" ref="H4" ca="1">INDEX($D$2:$D$15,RANDBETWEEN(1,ROWS($D$2:$D$15)),1)</f>
        <v>2</v>
      </c>
      <c r="I4" cm="1">
        <f t="array" aca="1" ref="I4" ca="1">INDEX($D$2:$D$15,RANDBETWEEN(1,ROWS($D$2:$D$15)),1)</f>
        <v>11</v>
      </c>
      <c r="J4" cm="1">
        <f t="array" aca="1" ref="J4" ca="1">INDEX($D$2:$D$15,RANDBETWEEN(1,ROWS($D$2:$D$15)),1)</f>
        <v>9</v>
      </c>
      <c r="K4" cm="1">
        <f t="array" aca="1" ref="K4" ca="1">INDEX($D$2:$D$15,RANDBETWEEN(1,ROWS($D$2:$D$15)),1)</f>
        <v>8</v>
      </c>
      <c r="L4" cm="1">
        <f t="array" aca="1" ref="L4" ca="1">INDEX($D$2:$D$15,RANDBETWEEN(1,ROWS($D$2:$D$15)),1)</f>
        <v>9</v>
      </c>
      <c r="M4" cm="1">
        <f t="array" aca="1" ref="M4" ca="1">INDEX($D$2:$D$15,RANDBETWEEN(1,ROWS($D$2:$D$15)),1)</f>
        <v>9</v>
      </c>
      <c r="N4" cm="1">
        <f t="array" aca="1" ref="N4" ca="1">INDEX($D$2:$D$15,RANDBETWEEN(1,ROWS($D$2:$D$15)),1)</f>
        <v>4</v>
      </c>
      <c r="O4" cm="1">
        <f t="array" aca="1" ref="O4" ca="1">INDEX($D$2:$D$15,RANDBETWEEN(1,ROWS($D$2:$D$15)),1)</f>
        <v>9</v>
      </c>
      <c r="P4" cm="1">
        <f t="array" aca="1" ref="P4" ca="1">INDEX($D$2:$D$15,RANDBETWEEN(1,ROWS($D$2:$D$15)),1)</f>
        <v>11</v>
      </c>
      <c r="Q4" cm="1">
        <f t="array" aca="1" ref="Q4" ca="1">INDEX($D$2:$D$15,RANDBETWEEN(1,ROWS($D$2:$D$15)),1)</f>
        <v>4</v>
      </c>
      <c r="R4" cm="1">
        <f t="array" aca="1" ref="R4" ca="1">INDEX($D$2:$D$15,RANDBETWEEN(1,ROWS($D$2:$D$15)),1)</f>
        <v>10</v>
      </c>
      <c r="S4" cm="1">
        <f t="array" aca="1" ref="S4" ca="1">INDEX($D$2:$D$15,RANDBETWEEN(1,ROWS($D$2:$D$15)),1)</f>
        <v>12</v>
      </c>
      <c r="T4" cm="1">
        <f t="array" aca="1" ref="T4" ca="1">INDEX($D$2:$D$15,RANDBETWEEN(1,ROWS($D$2:$D$15)),1)</f>
        <v>9</v>
      </c>
      <c r="W4">
        <f t="shared" ca="1" si="0"/>
        <v>8.6666666666666661</v>
      </c>
      <c r="X4">
        <f t="shared" ca="1" si="1"/>
        <v>9</v>
      </c>
      <c r="Y4">
        <f t="shared" ca="1" si="2"/>
        <v>2</v>
      </c>
      <c r="Z4">
        <f t="shared" ca="1" si="3"/>
        <v>3.0860669992418375</v>
      </c>
    </row>
    <row r="5" spans="4:29" x14ac:dyDescent="0.35">
      <c r="D5" s="26">
        <v>9</v>
      </c>
      <c r="F5" cm="1">
        <f t="array" aca="1" ref="F5" ca="1">INDEX($D$2:$D$15,RANDBETWEEN(1,ROWS($D$2:$D$15)),1)</f>
        <v>3</v>
      </c>
      <c r="G5" cm="1">
        <f t="array" aca="1" ref="G5" ca="1">INDEX($D$2:$D$15,RANDBETWEEN(1,ROWS($D$2:$D$15)),1)</f>
        <v>13</v>
      </c>
      <c r="H5" cm="1">
        <f t="array" aca="1" ref="H5" ca="1">INDEX($D$2:$D$15,RANDBETWEEN(1,ROWS($D$2:$D$15)),1)</f>
        <v>3</v>
      </c>
      <c r="I5" cm="1">
        <f t="array" aca="1" ref="I5" ca="1">INDEX($D$2:$D$15,RANDBETWEEN(1,ROWS($D$2:$D$15)),1)</f>
        <v>8</v>
      </c>
      <c r="J5" cm="1">
        <f t="array" aca="1" ref="J5" ca="1">INDEX($D$2:$D$15,RANDBETWEEN(1,ROWS($D$2:$D$15)),1)</f>
        <v>2</v>
      </c>
      <c r="K5" cm="1">
        <f t="array" aca="1" ref="K5" ca="1">INDEX($D$2:$D$15,RANDBETWEEN(1,ROWS($D$2:$D$15)),1)</f>
        <v>4</v>
      </c>
      <c r="L5" cm="1">
        <f t="array" aca="1" ref="L5" ca="1">INDEX($D$2:$D$15,RANDBETWEEN(1,ROWS($D$2:$D$15)),1)</f>
        <v>10</v>
      </c>
      <c r="M5" cm="1">
        <f t="array" aca="1" ref="M5" ca="1">INDEX($D$2:$D$15,RANDBETWEEN(1,ROWS($D$2:$D$15)),1)</f>
        <v>10</v>
      </c>
      <c r="N5" cm="1">
        <f t="array" aca="1" ref="N5" ca="1">INDEX($D$2:$D$15,RANDBETWEEN(1,ROWS($D$2:$D$15)),1)</f>
        <v>12</v>
      </c>
      <c r="O5" cm="1">
        <f t="array" aca="1" ref="O5" ca="1">INDEX($D$2:$D$15,RANDBETWEEN(1,ROWS($D$2:$D$15)),1)</f>
        <v>9</v>
      </c>
      <c r="P5" cm="1">
        <f t="array" aca="1" ref="P5" ca="1">INDEX($D$2:$D$15,RANDBETWEEN(1,ROWS($D$2:$D$15)),1)</f>
        <v>8</v>
      </c>
      <c r="Q5" cm="1">
        <f t="array" aca="1" ref="Q5" ca="1">INDEX($D$2:$D$15,RANDBETWEEN(1,ROWS($D$2:$D$15)),1)</f>
        <v>12</v>
      </c>
      <c r="R5" cm="1">
        <f t="array" aca="1" ref="R5" ca="1">INDEX($D$2:$D$15,RANDBETWEEN(1,ROWS($D$2:$D$15)),1)</f>
        <v>9</v>
      </c>
      <c r="S5" cm="1">
        <f t="array" aca="1" ref="S5" ca="1">INDEX($D$2:$D$15,RANDBETWEEN(1,ROWS($D$2:$D$15)),1)</f>
        <v>9</v>
      </c>
      <c r="T5" cm="1">
        <f t="array" aca="1" ref="T5" ca="1">INDEX($D$2:$D$15,RANDBETWEEN(1,ROWS($D$2:$D$15)),1)</f>
        <v>12</v>
      </c>
      <c r="W5">
        <f t="shared" ca="1" si="0"/>
        <v>8.2666666666666675</v>
      </c>
      <c r="X5">
        <f t="shared" ca="1" si="1"/>
        <v>9</v>
      </c>
      <c r="Y5">
        <f t="shared" ca="1" si="2"/>
        <v>5</v>
      </c>
      <c r="Z5">
        <f t="shared" ca="1" si="3"/>
        <v>3.6344908597386532</v>
      </c>
      <c r="AB5" s="29" t="s">
        <v>1351</v>
      </c>
      <c r="AC5" s="29"/>
    </row>
    <row r="6" spans="4:29" x14ac:dyDescent="0.35">
      <c r="D6" s="25">
        <v>11</v>
      </c>
      <c r="F6" cm="1">
        <f t="array" aca="1" ref="F6" ca="1">INDEX($D$2:$D$15,RANDBETWEEN(1,ROWS($D$2:$D$15)),1)</f>
        <v>8</v>
      </c>
      <c r="G6" cm="1">
        <f t="array" aca="1" ref="G6" ca="1">INDEX($D$2:$D$15,RANDBETWEEN(1,ROWS($D$2:$D$15)),1)</f>
        <v>2</v>
      </c>
      <c r="H6" cm="1">
        <f t="array" aca="1" ref="H6" ca="1">INDEX($D$2:$D$15,RANDBETWEEN(1,ROWS($D$2:$D$15)),1)</f>
        <v>4</v>
      </c>
      <c r="I6" cm="1">
        <f t="array" aca="1" ref="I6" ca="1">INDEX($D$2:$D$15,RANDBETWEEN(1,ROWS($D$2:$D$15)),1)</f>
        <v>13</v>
      </c>
      <c r="J6" cm="1">
        <f t="array" aca="1" ref="J6" ca="1">INDEX($D$2:$D$15,RANDBETWEEN(1,ROWS($D$2:$D$15)),1)</f>
        <v>3</v>
      </c>
      <c r="K6" cm="1">
        <f t="array" aca="1" ref="K6" ca="1">INDEX($D$2:$D$15,RANDBETWEEN(1,ROWS($D$2:$D$15)),1)</f>
        <v>4</v>
      </c>
      <c r="L6" cm="1">
        <f t="array" aca="1" ref="L6" ca="1">INDEX($D$2:$D$15,RANDBETWEEN(1,ROWS($D$2:$D$15)),1)</f>
        <v>12</v>
      </c>
      <c r="M6" cm="1">
        <f t="array" aca="1" ref="M6" ca="1">INDEX($D$2:$D$15,RANDBETWEEN(1,ROWS($D$2:$D$15)),1)</f>
        <v>3</v>
      </c>
      <c r="N6" cm="1">
        <f t="array" aca="1" ref="N6" ca="1">INDEX($D$2:$D$15,RANDBETWEEN(1,ROWS($D$2:$D$15)),1)</f>
        <v>12</v>
      </c>
      <c r="O6" cm="1">
        <f t="array" aca="1" ref="O6" ca="1">INDEX($D$2:$D$15,RANDBETWEEN(1,ROWS($D$2:$D$15)),1)</f>
        <v>12</v>
      </c>
      <c r="P6" cm="1">
        <f t="array" aca="1" ref="P6" ca="1">INDEX($D$2:$D$15,RANDBETWEEN(1,ROWS($D$2:$D$15)),1)</f>
        <v>9</v>
      </c>
      <c r="Q6" cm="1">
        <f t="array" aca="1" ref="Q6" ca="1">INDEX($D$2:$D$15,RANDBETWEEN(1,ROWS($D$2:$D$15)),1)</f>
        <v>9</v>
      </c>
      <c r="R6" cm="1">
        <f t="array" aca="1" ref="R6" ca="1">INDEX($D$2:$D$15,RANDBETWEEN(1,ROWS($D$2:$D$15)),1)</f>
        <v>4</v>
      </c>
      <c r="S6" cm="1">
        <f t="array" aca="1" ref="S6" ca="1">INDEX($D$2:$D$15,RANDBETWEEN(1,ROWS($D$2:$D$15)),1)</f>
        <v>13</v>
      </c>
      <c r="T6" cm="1">
        <f t="array" aca="1" ref="T6" ca="1">INDEX($D$2:$D$15,RANDBETWEEN(1,ROWS($D$2:$D$15)),1)</f>
        <v>4</v>
      </c>
      <c r="W6">
        <f t="shared" ca="1" si="0"/>
        <v>7.4666666666666668</v>
      </c>
      <c r="X6">
        <f t="shared" ca="1" si="1"/>
        <v>8</v>
      </c>
      <c r="Y6">
        <f t="shared" ca="1" si="2"/>
        <v>8</v>
      </c>
      <c r="Z6">
        <f t="shared" ca="1" si="3"/>
        <v>4.1895561760622035</v>
      </c>
      <c r="AB6" s="20"/>
      <c r="AC6" s="20"/>
    </row>
    <row r="7" spans="4:29" x14ac:dyDescent="0.35">
      <c r="D7" s="26">
        <v>8</v>
      </c>
      <c r="F7" cm="1">
        <f t="array" aca="1" ref="F7" ca="1">INDEX($D$2:$D$15,RANDBETWEEN(1,ROWS($D$2:$D$15)),1)</f>
        <v>9</v>
      </c>
      <c r="G7" cm="1">
        <f t="array" aca="1" ref="G7" ca="1">INDEX($D$2:$D$15,RANDBETWEEN(1,ROWS($D$2:$D$15)),1)</f>
        <v>4</v>
      </c>
      <c r="H7" cm="1">
        <f t="array" aca="1" ref="H7" ca="1">INDEX($D$2:$D$15,RANDBETWEEN(1,ROWS($D$2:$D$15)),1)</f>
        <v>10</v>
      </c>
      <c r="I7" cm="1">
        <f t="array" aca="1" ref="I7" ca="1">INDEX($D$2:$D$15,RANDBETWEEN(1,ROWS($D$2:$D$15)),1)</f>
        <v>12</v>
      </c>
      <c r="J7" cm="1">
        <f t="array" aca="1" ref="J7" ca="1">INDEX($D$2:$D$15,RANDBETWEEN(1,ROWS($D$2:$D$15)),1)</f>
        <v>3</v>
      </c>
      <c r="K7" cm="1">
        <f t="array" aca="1" ref="K7" ca="1">INDEX($D$2:$D$15,RANDBETWEEN(1,ROWS($D$2:$D$15)),1)</f>
        <v>8</v>
      </c>
      <c r="L7" cm="1">
        <f t="array" aca="1" ref="L7" ca="1">INDEX($D$2:$D$15,RANDBETWEEN(1,ROWS($D$2:$D$15)),1)</f>
        <v>12</v>
      </c>
      <c r="M7" cm="1">
        <f t="array" aca="1" ref="M7" ca="1">INDEX($D$2:$D$15,RANDBETWEEN(1,ROWS($D$2:$D$15)),1)</f>
        <v>11</v>
      </c>
      <c r="N7" cm="1">
        <f t="array" aca="1" ref="N7" ca="1">INDEX($D$2:$D$15,RANDBETWEEN(1,ROWS($D$2:$D$15)),1)</f>
        <v>11</v>
      </c>
      <c r="O7" cm="1">
        <f t="array" aca="1" ref="O7" ca="1">INDEX($D$2:$D$15,RANDBETWEEN(1,ROWS($D$2:$D$15)),1)</f>
        <v>12</v>
      </c>
      <c r="P7" cm="1">
        <f t="array" aca="1" ref="P7" ca="1">INDEX($D$2:$D$15,RANDBETWEEN(1,ROWS($D$2:$D$15)),1)</f>
        <v>12</v>
      </c>
      <c r="Q7" cm="1">
        <f t="array" aca="1" ref="Q7" ca="1">INDEX($D$2:$D$15,RANDBETWEEN(1,ROWS($D$2:$D$15)),1)</f>
        <v>11</v>
      </c>
      <c r="R7" cm="1">
        <f t="array" aca="1" ref="R7" ca="1">INDEX($D$2:$D$15,RANDBETWEEN(1,ROWS($D$2:$D$15)),1)</f>
        <v>12</v>
      </c>
      <c r="S7" cm="1">
        <f t="array" aca="1" ref="S7" ca="1">INDEX($D$2:$D$15,RANDBETWEEN(1,ROWS($D$2:$D$15)),1)</f>
        <v>9</v>
      </c>
      <c r="T7" cm="1">
        <f t="array" aca="1" ref="T7" ca="1">INDEX($D$2:$D$15,RANDBETWEEN(1,ROWS($D$2:$D$15)),1)</f>
        <v>3</v>
      </c>
      <c r="W7">
        <f t="shared" ca="1" si="0"/>
        <v>9.2666666666666675</v>
      </c>
      <c r="X7">
        <f t="shared" ca="1" si="1"/>
        <v>11</v>
      </c>
      <c r="Y7">
        <f t="shared" ca="1" si="2"/>
        <v>3.5</v>
      </c>
      <c r="Z7">
        <f t="shared" ca="1" si="3"/>
        <v>3.3266599866332407</v>
      </c>
      <c r="AB7" s="20">
        <v>1</v>
      </c>
      <c r="AC7" s="20" cm="1">
        <f t="array" aca="1" ref="AC7:AC22" ca="1">FREQUENCY(W2:W300,AB7:AB21)</f>
        <v>0</v>
      </c>
    </row>
    <row r="8" spans="4:29" x14ac:dyDescent="0.35">
      <c r="D8" s="25">
        <v>4</v>
      </c>
      <c r="F8" cm="1">
        <f t="array" aca="1" ref="F8" ca="1">INDEX($D$2:$D$15,RANDBETWEEN(1,ROWS($D$2:$D$15)),1)</f>
        <v>12</v>
      </c>
      <c r="G8" cm="1">
        <f t="array" aca="1" ref="G8" ca="1">INDEX($D$2:$D$15,RANDBETWEEN(1,ROWS($D$2:$D$15)),1)</f>
        <v>12</v>
      </c>
      <c r="H8" cm="1">
        <f t="array" aca="1" ref="H8" ca="1">INDEX($D$2:$D$15,RANDBETWEEN(1,ROWS($D$2:$D$15)),1)</f>
        <v>9</v>
      </c>
      <c r="I8" cm="1">
        <f t="array" aca="1" ref="I8" ca="1">INDEX($D$2:$D$15,RANDBETWEEN(1,ROWS($D$2:$D$15)),1)</f>
        <v>4</v>
      </c>
      <c r="J8" cm="1">
        <f t="array" aca="1" ref="J8" ca="1">INDEX($D$2:$D$15,RANDBETWEEN(1,ROWS($D$2:$D$15)),1)</f>
        <v>13</v>
      </c>
      <c r="K8" cm="1">
        <f t="array" aca="1" ref="K8" ca="1">INDEX($D$2:$D$15,RANDBETWEEN(1,ROWS($D$2:$D$15)),1)</f>
        <v>12</v>
      </c>
      <c r="L8" cm="1">
        <f t="array" aca="1" ref="L8" ca="1">INDEX($D$2:$D$15,RANDBETWEEN(1,ROWS($D$2:$D$15)),1)</f>
        <v>12</v>
      </c>
      <c r="M8" cm="1">
        <f t="array" aca="1" ref="M8" ca="1">INDEX($D$2:$D$15,RANDBETWEEN(1,ROWS($D$2:$D$15)),1)</f>
        <v>3</v>
      </c>
      <c r="N8" cm="1">
        <f t="array" aca="1" ref="N8" ca="1">INDEX($D$2:$D$15,RANDBETWEEN(1,ROWS($D$2:$D$15)),1)</f>
        <v>8</v>
      </c>
      <c r="O8" cm="1">
        <f t="array" aca="1" ref="O8" ca="1">INDEX($D$2:$D$15,RANDBETWEEN(1,ROWS($D$2:$D$15)),1)</f>
        <v>12</v>
      </c>
      <c r="P8" cm="1">
        <f t="array" aca="1" ref="P8" ca="1">INDEX($D$2:$D$15,RANDBETWEEN(1,ROWS($D$2:$D$15)),1)</f>
        <v>9</v>
      </c>
      <c r="Q8" cm="1">
        <f t="array" aca="1" ref="Q8" ca="1">INDEX($D$2:$D$15,RANDBETWEEN(1,ROWS($D$2:$D$15)),1)</f>
        <v>8</v>
      </c>
      <c r="R8" cm="1">
        <f t="array" aca="1" ref="R8" ca="1">INDEX($D$2:$D$15,RANDBETWEEN(1,ROWS($D$2:$D$15)),1)</f>
        <v>9</v>
      </c>
      <c r="S8" cm="1">
        <f t="array" aca="1" ref="S8" ca="1">INDEX($D$2:$D$15,RANDBETWEEN(1,ROWS($D$2:$D$15)),1)</f>
        <v>3</v>
      </c>
      <c r="T8" cm="1">
        <f t="array" aca="1" ref="T8" ca="1">INDEX($D$2:$D$15,RANDBETWEEN(1,ROWS($D$2:$D$15)),1)</f>
        <v>9</v>
      </c>
      <c r="W8">
        <f t="shared" ca="1" si="0"/>
        <v>9</v>
      </c>
      <c r="X8">
        <f t="shared" ca="1" si="1"/>
        <v>9</v>
      </c>
      <c r="Y8">
        <f t="shared" ca="1" si="2"/>
        <v>4</v>
      </c>
      <c r="Z8">
        <f t="shared" ca="1" si="3"/>
        <v>3.3806170189140663</v>
      </c>
      <c r="AB8" s="20">
        <v>2</v>
      </c>
      <c r="AC8" s="20">
        <f ca="1"/>
        <v>0</v>
      </c>
    </row>
    <row r="9" spans="4:29" x14ac:dyDescent="0.35">
      <c r="D9" s="26">
        <v>2</v>
      </c>
      <c r="F9" cm="1">
        <f t="array" aca="1" ref="F9" ca="1">INDEX($D$2:$D$15,RANDBETWEEN(1,ROWS($D$2:$D$15)),1)</f>
        <v>11</v>
      </c>
      <c r="G9" cm="1">
        <f t="array" aca="1" ref="G9" ca="1">INDEX($D$2:$D$15,RANDBETWEEN(1,ROWS($D$2:$D$15)),1)</f>
        <v>3</v>
      </c>
      <c r="H9" cm="1">
        <f t="array" aca="1" ref="H9" ca="1">INDEX($D$2:$D$15,RANDBETWEEN(1,ROWS($D$2:$D$15)),1)</f>
        <v>8</v>
      </c>
      <c r="I9" cm="1">
        <f t="array" aca="1" ref="I9" ca="1">INDEX($D$2:$D$15,RANDBETWEEN(1,ROWS($D$2:$D$15)),1)</f>
        <v>4</v>
      </c>
      <c r="J9" cm="1">
        <f t="array" aca="1" ref="J9" ca="1">INDEX($D$2:$D$15,RANDBETWEEN(1,ROWS($D$2:$D$15)),1)</f>
        <v>9</v>
      </c>
      <c r="K9" cm="1">
        <f t="array" aca="1" ref="K9" ca="1">INDEX($D$2:$D$15,RANDBETWEEN(1,ROWS($D$2:$D$15)),1)</f>
        <v>9</v>
      </c>
      <c r="L9" cm="1">
        <f t="array" aca="1" ref="L9" ca="1">INDEX($D$2:$D$15,RANDBETWEEN(1,ROWS($D$2:$D$15)),1)</f>
        <v>3</v>
      </c>
      <c r="M9" cm="1">
        <f t="array" aca="1" ref="M9" ca="1">INDEX($D$2:$D$15,RANDBETWEEN(1,ROWS($D$2:$D$15)),1)</f>
        <v>8</v>
      </c>
      <c r="N9" cm="1">
        <f t="array" aca="1" ref="N9" ca="1">INDEX($D$2:$D$15,RANDBETWEEN(1,ROWS($D$2:$D$15)),1)</f>
        <v>12</v>
      </c>
      <c r="O9" cm="1">
        <f t="array" aca="1" ref="O9" ca="1">INDEX($D$2:$D$15,RANDBETWEEN(1,ROWS($D$2:$D$15)),1)</f>
        <v>4</v>
      </c>
      <c r="P9" cm="1">
        <f t="array" aca="1" ref="P9" ca="1">INDEX($D$2:$D$15,RANDBETWEEN(1,ROWS($D$2:$D$15)),1)</f>
        <v>4</v>
      </c>
      <c r="Q9" cm="1">
        <f t="array" aca="1" ref="Q9" ca="1">INDEX($D$2:$D$15,RANDBETWEEN(1,ROWS($D$2:$D$15)),1)</f>
        <v>9</v>
      </c>
      <c r="R9" cm="1">
        <f t="array" aca="1" ref="R9" ca="1">INDEX($D$2:$D$15,RANDBETWEEN(1,ROWS($D$2:$D$15)),1)</f>
        <v>13</v>
      </c>
      <c r="S9" cm="1">
        <f t="array" aca="1" ref="S9" ca="1">INDEX($D$2:$D$15,RANDBETWEEN(1,ROWS($D$2:$D$15)),1)</f>
        <v>9</v>
      </c>
      <c r="T9" cm="1">
        <f t="array" aca="1" ref="T9" ca="1">INDEX($D$2:$D$15,RANDBETWEEN(1,ROWS($D$2:$D$15)),1)</f>
        <v>11</v>
      </c>
      <c r="W9">
        <f t="shared" ca="1" si="0"/>
        <v>7.8</v>
      </c>
      <c r="X9">
        <f t="shared" ca="1" si="1"/>
        <v>9</v>
      </c>
      <c r="Y9">
        <f t="shared" ca="1" si="2"/>
        <v>6</v>
      </c>
      <c r="Z9">
        <f t="shared" ca="1" si="3"/>
        <v>3.3848401523768969</v>
      </c>
      <c r="AB9" s="20">
        <v>3</v>
      </c>
      <c r="AC9" s="20">
        <f ca="1"/>
        <v>0</v>
      </c>
    </row>
    <row r="10" spans="4:29" x14ac:dyDescent="0.35">
      <c r="D10" s="25">
        <v>12</v>
      </c>
      <c r="F10" cm="1">
        <f t="array" aca="1" ref="F10" ca="1">INDEX($D$2:$D$15,RANDBETWEEN(1,ROWS($D$2:$D$15)),1)</f>
        <v>4</v>
      </c>
      <c r="G10" cm="1">
        <f t="array" aca="1" ref="G10" ca="1">INDEX($D$2:$D$15,RANDBETWEEN(1,ROWS($D$2:$D$15)),1)</f>
        <v>12</v>
      </c>
      <c r="H10" cm="1">
        <f t="array" aca="1" ref="H10" ca="1">INDEX($D$2:$D$15,RANDBETWEEN(1,ROWS($D$2:$D$15)),1)</f>
        <v>12</v>
      </c>
      <c r="I10" cm="1">
        <f t="array" aca="1" ref="I10" ca="1">INDEX($D$2:$D$15,RANDBETWEEN(1,ROWS($D$2:$D$15)),1)</f>
        <v>8</v>
      </c>
      <c r="J10" cm="1">
        <f t="array" aca="1" ref="J10" ca="1">INDEX($D$2:$D$15,RANDBETWEEN(1,ROWS($D$2:$D$15)),1)</f>
        <v>12</v>
      </c>
      <c r="K10" cm="1">
        <f t="array" aca="1" ref="K10" ca="1">INDEX($D$2:$D$15,RANDBETWEEN(1,ROWS($D$2:$D$15)),1)</f>
        <v>9</v>
      </c>
      <c r="L10" cm="1">
        <f t="array" aca="1" ref="L10" ca="1">INDEX($D$2:$D$15,RANDBETWEEN(1,ROWS($D$2:$D$15)),1)</f>
        <v>3</v>
      </c>
      <c r="M10" cm="1">
        <f t="array" aca="1" ref="M10" ca="1">INDEX($D$2:$D$15,RANDBETWEEN(1,ROWS($D$2:$D$15)),1)</f>
        <v>4</v>
      </c>
      <c r="N10" cm="1">
        <f t="array" aca="1" ref="N10" ca="1">INDEX($D$2:$D$15,RANDBETWEEN(1,ROWS($D$2:$D$15)),1)</f>
        <v>12</v>
      </c>
      <c r="O10" cm="1">
        <f t="array" aca="1" ref="O10" ca="1">INDEX($D$2:$D$15,RANDBETWEEN(1,ROWS($D$2:$D$15)),1)</f>
        <v>8</v>
      </c>
      <c r="P10" cm="1">
        <f t="array" aca="1" ref="P10" ca="1">INDEX($D$2:$D$15,RANDBETWEEN(1,ROWS($D$2:$D$15)),1)</f>
        <v>13</v>
      </c>
      <c r="Q10" cm="1">
        <f t="array" aca="1" ref="Q10" ca="1">INDEX($D$2:$D$15,RANDBETWEEN(1,ROWS($D$2:$D$15)),1)</f>
        <v>4</v>
      </c>
      <c r="R10" cm="1">
        <f t="array" aca="1" ref="R10" ca="1">INDEX($D$2:$D$15,RANDBETWEEN(1,ROWS($D$2:$D$15)),1)</f>
        <v>4</v>
      </c>
      <c r="S10" cm="1">
        <f t="array" aca="1" ref="S10" ca="1">INDEX($D$2:$D$15,RANDBETWEEN(1,ROWS($D$2:$D$15)),1)</f>
        <v>12</v>
      </c>
      <c r="T10" cm="1">
        <f t="array" aca="1" ref="T10" ca="1">INDEX($D$2:$D$15,RANDBETWEEN(1,ROWS($D$2:$D$15)),1)</f>
        <v>12</v>
      </c>
      <c r="W10">
        <f t="shared" ca="1" si="0"/>
        <v>8.6</v>
      </c>
      <c r="X10">
        <f t="shared" ca="1" si="1"/>
        <v>9</v>
      </c>
      <c r="Y10">
        <f t="shared" ca="1" si="2"/>
        <v>8</v>
      </c>
      <c r="Z10">
        <f t="shared" ca="1" si="3"/>
        <v>3.8321944477954508</v>
      </c>
      <c r="AB10" s="20">
        <v>4</v>
      </c>
      <c r="AC10" s="20">
        <f ca="1"/>
        <v>0</v>
      </c>
    </row>
    <row r="11" spans="4:29" x14ac:dyDescent="0.35">
      <c r="D11" s="26">
        <v>3</v>
      </c>
      <c r="F11" cm="1">
        <f t="array" aca="1" ref="F11" ca="1">INDEX($D$2:$D$15,RANDBETWEEN(1,ROWS($D$2:$D$15)),1)</f>
        <v>10</v>
      </c>
      <c r="G11" cm="1">
        <f t="array" aca="1" ref="G11" ca="1">INDEX($D$2:$D$15,RANDBETWEEN(1,ROWS($D$2:$D$15)),1)</f>
        <v>4</v>
      </c>
      <c r="H11" cm="1">
        <f t="array" aca="1" ref="H11" ca="1">INDEX($D$2:$D$15,RANDBETWEEN(1,ROWS($D$2:$D$15)),1)</f>
        <v>9</v>
      </c>
      <c r="I11" cm="1">
        <f t="array" aca="1" ref="I11" ca="1">INDEX($D$2:$D$15,RANDBETWEEN(1,ROWS($D$2:$D$15)),1)</f>
        <v>11</v>
      </c>
      <c r="J11" cm="1">
        <f t="array" aca="1" ref="J11" ca="1">INDEX($D$2:$D$15,RANDBETWEEN(1,ROWS($D$2:$D$15)),1)</f>
        <v>9</v>
      </c>
      <c r="K11" cm="1">
        <f t="array" aca="1" ref="K11" ca="1">INDEX($D$2:$D$15,RANDBETWEEN(1,ROWS($D$2:$D$15)),1)</f>
        <v>11</v>
      </c>
      <c r="L11" cm="1">
        <f t="array" aca="1" ref="L11" ca="1">INDEX($D$2:$D$15,RANDBETWEEN(1,ROWS($D$2:$D$15)),1)</f>
        <v>2</v>
      </c>
      <c r="M11" cm="1">
        <f t="array" aca="1" ref="M11" ca="1">INDEX($D$2:$D$15,RANDBETWEEN(1,ROWS($D$2:$D$15)),1)</f>
        <v>11</v>
      </c>
      <c r="N11" cm="1">
        <f t="array" aca="1" ref="N11" ca="1">INDEX($D$2:$D$15,RANDBETWEEN(1,ROWS($D$2:$D$15)),1)</f>
        <v>12</v>
      </c>
      <c r="O11" cm="1">
        <f t="array" aca="1" ref="O11" ca="1">INDEX($D$2:$D$15,RANDBETWEEN(1,ROWS($D$2:$D$15)),1)</f>
        <v>3</v>
      </c>
      <c r="P11" cm="1">
        <f t="array" aca="1" ref="P11" ca="1">INDEX($D$2:$D$15,RANDBETWEEN(1,ROWS($D$2:$D$15)),1)</f>
        <v>9</v>
      </c>
      <c r="Q11" cm="1">
        <f t="array" aca="1" ref="Q11" ca="1">INDEX($D$2:$D$15,RANDBETWEEN(1,ROWS($D$2:$D$15)),1)</f>
        <v>12</v>
      </c>
      <c r="R11" cm="1">
        <f t="array" aca="1" ref="R11" ca="1">INDEX($D$2:$D$15,RANDBETWEEN(1,ROWS($D$2:$D$15)),1)</f>
        <v>12</v>
      </c>
      <c r="S11" cm="1">
        <f t="array" aca="1" ref="S11" ca="1">INDEX($D$2:$D$15,RANDBETWEEN(1,ROWS($D$2:$D$15)),1)</f>
        <v>12</v>
      </c>
      <c r="T11" cm="1">
        <f t="array" aca="1" ref="T11" ca="1">INDEX($D$2:$D$15,RANDBETWEEN(1,ROWS($D$2:$D$15)),1)</f>
        <v>9</v>
      </c>
      <c r="W11">
        <f t="shared" ca="1" si="0"/>
        <v>9.0666666666666664</v>
      </c>
      <c r="X11">
        <f t="shared" ca="1" si="1"/>
        <v>10</v>
      </c>
      <c r="Y11">
        <f t="shared" ca="1" si="2"/>
        <v>2.5</v>
      </c>
      <c r="Z11">
        <f t="shared" ca="1" si="3"/>
        <v>3.3693294514459335</v>
      </c>
      <c r="AB11" s="20">
        <v>5</v>
      </c>
      <c r="AC11" s="20">
        <f ca="1"/>
        <v>0</v>
      </c>
    </row>
    <row r="12" spans="4:29" x14ac:dyDescent="0.35">
      <c r="D12" s="25">
        <v>9</v>
      </c>
      <c r="F12" cm="1">
        <f t="array" aca="1" ref="F12" ca="1">INDEX($D$2:$D$15,RANDBETWEEN(1,ROWS($D$2:$D$15)),1)</f>
        <v>9</v>
      </c>
      <c r="G12" cm="1">
        <f t="array" aca="1" ref="G12" ca="1">INDEX($D$2:$D$15,RANDBETWEEN(1,ROWS($D$2:$D$15)),1)</f>
        <v>4</v>
      </c>
      <c r="H12" cm="1">
        <f t="array" aca="1" ref="H12" ca="1">INDEX($D$2:$D$15,RANDBETWEEN(1,ROWS($D$2:$D$15)),1)</f>
        <v>8</v>
      </c>
      <c r="I12" cm="1">
        <f t="array" aca="1" ref="I12" ca="1">INDEX($D$2:$D$15,RANDBETWEEN(1,ROWS($D$2:$D$15)),1)</f>
        <v>12</v>
      </c>
      <c r="J12" cm="1">
        <f t="array" aca="1" ref="J12" ca="1">INDEX($D$2:$D$15,RANDBETWEEN(1,ROWS($D$2:$D$15)),1)</f>
        <v>9</v>
      </c>
      <c r="K12" cm="1">
        <f t="array" aca="1" ref="K12" ca="1">INDEX($D$2:$D$15,RANDBETWEEN(1,ROWS($D$2:$D$15)),1)</f>
        <v>9</v>
      </c>
      <c r="L12" cm="1">
        <f t="array" aca="1" ref="L12" ca="1">INDEX($D$2:$D$15,RANDBETWEEN(1,ROWS($D$2:$D$15)),1)</f>
        <v>9</v>
      </c>
      <c r="M12" cm="1">
        <f t="array" aca="1" ref="M12" ca="1">INDEX($D$2:$D$15,RANDBETWEEN(1,ROWS($D$2:$D$15)),1)</f>
        <v>12</v>
      </c>
      <c r="N12" cm="1">
        <f t="array" aca="1" ref="N12" ca="1">INDEX($D$2:$D$15,RANDBETWEEN(1,ROWS($D$2:$D$15)),1)</f>
        <v>4</v>
      </c>
      <c r="O12" cm="1">
        <f t="array" aca="1" ref="O12" ca="1">INDEX($D$2:$D$15,RANDBETWEEN(1,ROWS($D$2:$D$15)),1)</f>
        <v>9</v>
      </c>
      <c r="P12" cm="1">
        <f t="array" aca="1" ref="P12" ca="1">INDEX($D$2:$D$15,RANDBETWEEN(1,ROWS($D$2:$D$15)),1)</f>
        <v>12</v>
      </c>
      <c r="Q12" cm="1">
        <f t="array" aca="1" ref="Q12" ca="1">INDEX($D$2:$D$15,RANDBETWEEN(1,ROWS($D$2:$D$15)),1)</f>
        <v>4</v>
      </c>
      <c r="R12" cm="1">
        <f t="array" aca="1" ref="R12" ca="1">INDEX($D$2:$D$15,RANDBETWEEN(1,ROWS($D$2:$D$15)),1)</f>
        <v>4</v>
      </c>
      <c r="S12" cm="1">
        <f t="array" aca="1" ref="S12" ca="1">INDEX($D$2:$D$15,RANDBETWEEN(1,ROWS($D$2:$D$15)),1)</f>
        <v>9</v>
      </c>
      <c r="T12" cm="1">
        <f t="array" aca="1" ref="T12" ca="1">INDEX($D$2:$D$15,RANDBETWEEN(1,ROWS($D$2:$D$15)),1)</f>
        <v>12</v>
      </c>
      <c r="W12">
        <f t="shared" ca="1" si="0"/>
        <v>8.4</v>
      </c>
      <c r="X12">
        <f t="shared" ca="1" si="1"/>
        <v>9</v>
      </c>
      <c r="Y12">
        <f t="shared" ca="1" si="2"/>
        <v>4.5</v>
      </c>
      <c r="Z12">
        <f t="shared" ca="1" si="3"/>
        <v>3.0659419433511772</v>
      </c>
      <c r="AB12" s="20">
        <v>6</v>
      </c>
      <c r="AC12" s="20">
        <f ca="1"/>
        <v>6</v>
      </c>
    </row>
    <row r="13" spans="4:29" x14ac:dyDescent="0.35">
      <c r="D13" s="26">
        <v>4</v>
      </c>
      <c r="F13" cm="1">
        <f t="array" aca="1" ref="F13" ca="1">INDEX($D$2:$D$15,RANDBETWEEN(1,ROWS($D$2:$D$15)),1)</f>
        <v>13</v>
      </c>
      <c r="G13" cm="1">
        <f t="array" aca="1" ref="G13" ca="1">INDEX($D$2:$D$15,RANDBETWEEN(1,ROWS($D$2:$D$15)),1)</f>
        <v>8</v>
      </c>
      <c r="H13" cm="1">
        <f t="array" aca="1" ref="H13" ca="1">INDEX($D$2:$D$15,RANDBETWEEN(1,ROWS($D$2:$D$15)),1)</f>
        <v>4</v>
      </c>
      <c r="I13" cm="1">
        <f t="array" aca="1" ref="I13" ca="1">INDEX($D$2:$D$15,RANDBETWEEN(1,ROWS($D$2:$D$15)),1)</f>
        <v>11</v>
      </c>
      <c r="J13" cm="1">
        <f t="array" aca="1" ref="J13" ca="1">INDEX($D$2:$D$15,RANDBETWEEN(1,ROWS($D$2:$D$15)),1)</f>
        <v>12</v>
      </c>
      <c r="K13" cm="1">
        <f t="array" aca="1" ref="K13" ca="1">INDEX($D$2:$D$15,RANDBETWEEN(1,ROWS($D$2:$D$15)),1)</f>
        <v>9</v>
      </c>
      <c r="L13" cm="1">
        <f t="array" aca="1" ref="L13" ca="1">INDEX($D$2:$D$15,RANDBETWEEN(1,ROWS($D$2:$D$15)),1)</f>
        <v>9</v>
      </c>
      <c r="M13" cm="1">
        <f t="array" aca="1" ref="M13" ca="1">INDEX($D$2:$D$15,RANDBETWEEN(1,ROWS($D$2:$D$15)),1)</f>
        <v>12</v>
      </c>
      <c r="N13" cm="1">
        <f t="array" aca="1" ref="N13" ca="1">INDEX($D$2:$D$15,RANDBETWEEN(1,ROWS($D$2:$D$15)),1)</f>
        <v>2</v>
      </c>
      <c r="O13" cm="1">
        <f t="array" aca="1" ref="O13" ca="1">INDEX($D$2:$D$15,RANDBETWEEN(1,ROWS($D$2:$D$15)),1)</f>
        <v>4</v>
      </c>
      <c r="P13" cm="1">
        <f t="array" aca="1" ref="P13" ca="1">INDEX($D$2:$D$15,RANDBETWEEN(1,ROWS($D$2:$D$15)),1)</f>
        <v>9</v>
      </c>
      <c r="Q13" cm="1">
        <f t="array" aca="1" ref="Q13" ca="1">INDEX($D$2:$D$15,RANDBETWEEN(1,ROWS($D$2:$D$15)),1)</f>
        <v>9</v>
      </c>
      <c r="R13" cm="1">
        <f t="array" aca="1" ref="R13" ca="1">INDEX($D$2:$D$15,RANDBETWEEN(1,ROWS($D$2:$D$15)),1)</f>
        <v>3</v>
      </c>
      <c r="S13" cm="1">
        <f t="array" aca="1" ref="S13" ca="1">INDEX($D$2:$D$15,RANDBETWEEN(1,ROWS($D$2:$D$15)),1)</f>
        <v>4</v>
      </c>
      <c r="T13" cm="1">
        <f t="array" aca="1" ref="T13" ca="1">INDEX($D$2:$D$15,RANDBETWEEN(1,ROWS($D$2:$D$15)),1)</f>
        <v>12</v>
      </c>
      <c r="W13">
        <f t="shared" ca="1" si="0"/>
        <v>8.0666666666666664</v>
      </c>
      <c r="X13">
        <f t="shared" ca="1" si="1"/>
        <v>9</v>
      </c>
      <c r="Y13">
        <f t="shared" ca="1" si="2"/>
        <v>7.5</v>
      </c>
      <c r="Z13">
        <f t="shared" ca="1" si="3"/>
        <v>3.7314621160892845</v>
      </c>
      <c r="AB13" s="20">
        <v>7</v>
      </c>
      <c r="AC13" s="20">
        <f ca="1"/>
        <v>47</v>
      </c>
    </row>
    <row r="14" spans="4:29" x14ac:dyDescent="0.35">
      <c r="D14" s="25">
        <v>10</v>
      </c>
      <c r="F14" cm="1">
        <f t="array" aca="1" ref="F14" ca="1">INDEX($D$2:$D$15,RANDBETWEEN(1,ROWS($D$2:$D$15)),1)</f>
        <v>13</v>
      </c>
      <c r="G14" cm="1">
        <f t="array" aca="1" ref="G14" ca="1">INDEX($D$2:$D$15,RANDBETWEEN(1,ROWS($D$2:$D$15)),1)</f>
        <v>2</v>
      </c>
      <c r="H14" cm="1">
        <f t="array" aca="1" ref="H14" ca="1">INDEX($D$2:$D$15,RANDBETWEEN(1,ROWS($D$2:$D$15)),1)</f>
        <v>12</v>
      </c>
      <c r="I14" cm="1">
        <f t="array" aca="1" ref="I14" ca="1">INDEX($D$2:$D$15,RANDBETWEEN(1,ROWS($D$2:$D$15)),1)</f>
        <v>2</v>
      </c>
      <c r="J14" cm="1">
        <f t="array" aca="1" ref="J14" ca="1">INDEX($D$2:$D$15,RANDBETWEEN(1,ROWS($D$2:$D$15)),1)</f>
        <v>13</v>
      </c>
      <c r="K14" cm="1">
        <f t="array" aca="1" ref="K14" ca="1">INDEX($D$2:$D$15,RANDBETWEEN(1,ROWS($D$2:$D$15)),1)</f>
        <v>8</v>
      </c>
      <c r="L14" cm="1">
        <f t="array" aca="1" ref="L14" ca="1">INDEX($D$2:$D$15,RANDBETWEEN(1,ROWS($D$2:$D$15)),1)</f>
        <v>2</v>
      </c>
      <c r="M14" cm="1">
        <f t="array" aca="1" ref="M14" ca="1">INDEX($D$2:$D$15,RANDBETWEEN(1,ROWS($D$2:$D$15)),1)</f>
        <v>3</v>
      </c>
      <c r="N14" cm="1">
        <f t="array" aca="1" ref="N14" ca="1">INDEX($D$2:$D$15,RANDBETWEEN(1,ROWS($D$2:$D$15)),1)</f>
        <v>9</v>
      </c>
      <c r="O14" cm="1">
        <f t="array" aca="1" ref="O14" ca="1">INDEX($D$2:$D$15,RANDBETWEEN(1,ROWS($D$2:$D$15)),1)</f>
        <v>4</v>
      </c>
      <c r="P14" cm="1">
        <f t="array" aca="1" ref="P14" ca="1">INDEX($D$2:$D$15,RANDBETWEEN(1,ROWS($D$2:$D$15)),1)</f>
        <v>12</v>
      </c>
      <c r="Q14" cm="1">
        <f t="array" aca="1" ref="Q14" ca="1">INDEX($D$2:$D$15,RANDBETWEEN(1,ROWS($D$2:$D$15)),1)</f>
        <v>9</v>
      </c>
      <c r="R14" cm="1">
        <f t="array" aca="1" ref="R14" ca="1">INDEX($D$2:$D$15,RANDBETWEEN(1,ROWS($D$2:$D$15)),1)</f>
        <v>12</v>
      </c>
      <c r="S14" cm="1">
        <f t="array" aca="1" ref="S14" ca="1">INDEX($D$2:$D$15,RANDBETWEEN(1,ROWS($D$2:$D$15)),1)</f>
        <v>9</v>
      </c>
      <c r="T14" cm="1">
        <f t="array" aca="1" ref="T14" ca="1">INDEX($D$2:$D$15,RANDBETWEEN(1,ROWS($D$2:$D$15)),1)</f>
        <v>4</v>
      </c>
      <c r="W14">
        <f t="shared" ca="1" si="0"/>
        <v>7.6</v>
      </c>
      <c r="X14">
        <f t="shared" ca="1" si="1"/>
        <v>9</v>
      </c>
      <c r="Y14">
        <f t="shared" ca="1" si="2"/>
        <v>8.5</v>
      </c>
      <c r="Z14">
        <f t="shared" ca="1" si="3"/>
        <v>4.339190181194116</v>
      </c>
      <c r="AB14" s="20">
        <v>8</v>
      </c>
      <c r="AC14" s="20">
        <f ca="1"/>
        <v>119</v>
      </c>
    </row>
    <row r="15" spans="4:29" x14ac:dyDescent="0.35">
      <c r="D15" s="26">
        <v>13</v>
      </c>
      <c r="F15" cm="1">
        <f t="array" aca="1" ref="F15" ca="1">INDEX($D$2:$D$15,RANDBETWEEN(1,ROWS($D$2:$D$15)),1)</f>
        <v>13</v>
      </c>
      <c r="G15" cm="1">
        <f t="array" aca="1" ref="G15" ca="1">INDEX($D$2:$D$15,RANDBETWEEN(1,ROWS($D$2:$D$15)),1)</f>
        <v>13</v>
      </c>
      <c r="H15" cm="1">
        <f t="array" aca="1" ref="H15" ca="1">INDEX($D$2:$D$15,RANDBETWEEN(1,ROWS($D$2:$D$15)),1)</f>
        <v>2</v>
      </c>
      <c r="I15" cm="1">
        <f t="array" aca="1" ref="I15" ca="1">INDEX($D$2:$D$15,RANDBETWEEN(1,ROWS($D$2:$D$15)),1)</f>
        <v>11</v>
      </c>
      <c r="J15" cm="1">
        <f t="array" aca="1" ref="J15" ca="1">INDEX($D$2:$D$15,RANDBETWEEN(1,ROWS($D$2:$D$15)),1)</f>
        <v>11</v>
      </c>
      <c r="K15" cm="1">
        <f t="array" aca="1" ref="K15" ca="1">INDEX($D$2:$D$15,RANDBETWEEN(1,ROWS($D$2:$D$15)),1)</f>
        <v>11</v>
      </c>
      <c r="L15" cm="1">
        <f t="array" aca="1" ref="L15" ca="1">INDEX($D$2:$D$15,RANDBETWEEN(1,ROWS($D$2:$D$15)),1)</f>
        <v>9</v>
      </c>
      <c r="M15" cm="1">
        <f t="array" aca="1" ref="M15" ca="1">INDEX($D$2:$D$15,RANDBETWEEN(1,ROWS($D$2:$D$15)),1)</f>
        <v>4</v>
      </c>
      <c r="N15" cm="1">
        <f t="array" aca="1" ref="N15" ca="1">INDEX($D$2:$D$15,RANDBETWEEN(1,ROWS($D$2:$D$15)),1)</f>
        <v>12</v>
      </c>
      <c r="O15" cm="1">
        <f t="array" aca="1" ref="O15" ca="1">INDEX($D$2:$D$15,RANDBETWEEN(1,ROWS($D$2:$D$15)),1)</f>
        <v>2</v>
      </c>
      <c r="P15" cm="1">
        <f t="array" aca="1" ref="P15" ca="1">INDEX($D$2:$D$15,RANDBETWEEN(1,ROWS($D$2:$D$15)),1)</f>
        <v>4</v>
      </c>
      <c r="Q15" cm="1">
        <f t="array" aca="1" ref="Q15" ca="1">INDEX($D$2:$D$15,RANDBETWEEN(1,ROWS($D$2:$D$15)),1)</f>
        <v>13</v>
      </c>
      <c r="R15" cm="1">
        <f t="array" aca="1" ref="R15" ca="1">INDEX($D$2:$D$15,RANDBETWEEN(1,ROWS($D$2:$D$15)),1)</f>
        <v>4</v>
      </c>
      <c r="S15" cm="1">
        <f t="array" aca="1" ref="S15" ca="1">INDEX($D$2:$D$15,RANDBETWEEN(1,ROWS($D$2:$D$15)),1)</f>
        <v>3</v>
      </c>
      <c r="T15" cm="1">
        <f t="array" aca="1" ref="T15" ca="1">INDEX($D$2:$D$15,RANDBETWEEN(1,ROWS($D$2:$D$15)),1)</f>
        <v>4</v>
      </c>
      <c r="W15">
        <f t="shared" ca="1" si="0"/>
        <v>7.7333333333333334</v>
      </c>
      <c r="X15">
        <f t="shared" ca="1" si="1"/>
        <v>9</v>
      </c>
      <c r="Y15">
        <f t="shared" ca="1" si="2"/>
        <v>7.5</v>
      </c>
      <c r="Z15">
        <f t="shared" ca="1" si="3"/>
        <v>4.4636094725916067</v>
      </c>
      <c r="AB15" s="20">
        <v>9</v>
      </c>
      <c r="AC15" s="20">
        <f ca="1"/>
        <v>94</v>
      </c>
    </row>
    <row r="16" spans="4:29" x14ac:dyDescent="0.35">
      <c r="F16" cm="1">
        <f t="array" aca="1" ref="F16" ca="1">INDEX($D$2:$D$15,RANDBETWEEN(1,ROWS($D$2:$D$15)),1)</f>
        <v>4</v>
      </c>
      <c r="G16" cm="1">
        <f t="array" aca="1" ref="G16" ca="1">INDEX($D$2:$D$15,RANDBETWEEN(1,ROWS($D$2:$D$15)),1)</f>
        <v>8</v>
      </c>
      <c r="H16" cm="1">
        <f t="array" aca="1" ref="H16" ca="1">INDEX($D$2:$D$15,RANDBETWEEN(1,ROWS($D$2:$D$15)),1)</f>
        <v>2</v>
      </c>
      <c r="I16" cm="1">
        <f t="array" aca="1" ref="I16" ca="1">INDEX($D$2:$D$15,RANDBETWEEN(1,ROWS($D$2:$D$15)),1)</f>
        <v>4</v>
      </c>
      <c r="J16" cm="1">
        <f t="array" aca="1" ref="J16" ca="1">INDEX($D$2:$D$15,RANDBETWEEN(1,ROWS($D$2:$D$15)),1)</f>
        <v>9</v>
      </c>
      <c r="K16" cm="1">
        <f t="array" aca="1" ref="K16" ca="1">INDEX($D$2:$D$15,RANDBETWEEN(1,ROWS($D$2:$D$15)),1)</f>
        <v>12</v>
      </c>
      <c r="L16" cm="1">
        <f t="array" aca="1" ref="L16" ca="1">INDEX($D$2:$D$15,RANDBETWEEN(1,ROWS($D$2:$D$15)),1)</f>
        <v>4</v>
      </c>
      <c r="M16" cm="1">
        <f t="array" aca="1" ref="M16" ca="1">INDEX($D$2:$D$15,RANDBETWEEN(1,ROWS($D$2:$D$15)),1)</f>
        <v>13</v>
      </c>
      <c r="N16" cm="1">
        <f t="array" aca="1" ref="N16" ca="1">INDEX($D$2:$D$15,RANDBETWEEN(1,ROWS($D$2:$D$15)),1)</f>
        <v>9</v>
      </c>
      <c r="O16" cm="1">
        <f t="array" aca="1" ref="O16" ca="1">INDEX($D$2:$D$15,RANDBETWEEN(1,ROWS($D$2:$D$15)),1)</f>
        <v>12</v>
      </c>
      <c r="P16" cm="1">
        <f t="array" aca="1" ref="P16" ca="1">INDEX($D$2:$D$15,RANDBETWEEN(1,ROWS($D$2:$D$15)),1)</f>
        <v>4</v>
      </c>
      <c r="Q16" cm="1">
        <f t="array" aca="1" ref="Q16" ca="1">INDEX($D$2:$D$15,RANDBETWEEN(1,ROWS($D$2:$D$15)),1)</f>
        <v>8</v>
      </c>
      <c r="R16" cm="1">
        <f t="array" aca="1" ref="R16" ca="1">INDEX($D$2:$D$15,RANDBETWEEN(1,ROWS($D$2:$D$15)),1)</f>
        <v>3</v>
      </c>
      <c r="S16" cm="1">
        <f t="array" aca="1" ref="S16" ca="1">INDEX($D$2:$D$15,RANDBETWEEN(1,ROWS($D$2:$D$15)),1)</f>
        <v>12</v>
      </c>
      <c r="T16" cm="1">
        <f t="array" aca="1" ref="T16" ca="1">INDEX($D$2:$D$15,RANDBETWEEN(1,ROWS($D$2:$D$15)),1)</f>
        <v>10</v>
      </c>
      <c r="W16">
        <f t="shared" ca="1" si="0"/>
        <v>7.6</v>
      </c>
      <c r="X16">
        <f t="shared" ca="1" si="1"/>
        <v>8</v>
      </c>
      <c r="Y16">
        <f t="shared" ca="1" si="2"/>
        <v>7</v>
      </c>
      <c r="Z16">
        <f t="shared" ca="1" si="3"/>
        <v>3.7947331922020555</v>
      </c>
      <c r="AB16" s="20">
        <v>10</v>
      </c>
      <c r="AC16" s="20">
        <f ca="1"/>
        <v>32</v>
      </c>
    </row>
    <row r="17" spans="6:29" x14ac:dyDescent="0.35">
      <c r="F17" cm="1">
        <f t="array" aca="1" ref="F17" ca="1">INDEX($D$2:$D$15,RANDBETWEEN(1,ROWS($D$2:$D$15)),1)</f>
        <v>9</v>
      </c>
      <c r="G17" cm="1">
        <f t="array" aca="1" ref="G17" ca="1">INDEX($D$2:$D$15,RANDBETWEEN(1,ROWS($D$2:$D$15)),1)</f>
        <v>12</v>
      </c>
      <c r="H17" cm="1">
        <f t="array" aca="1" ref="H17" ca="1">INDEX($D$2:$D$15,RANDBETWEEN(1,ROWS($D$2:$D$15)),1)</f>
        <v>12</v>
      </c>
      <c r="I17" cm="1">
        <f t="array" aca="1" ref="I17" ca="1">INDEX($D$2:$D$15,RANDBETWEEN(1,ROWS($D$2:$D$15)),1)</f>
        <v>9</v>
      </c>
      <c r="J17" cm="1">
        <f t="array" aca="1" ref="J17" ca="1">INDEX($D$2:$D$15,RANDBETWEEN(1,ROWS($D$2:$D$15)),1)</f>
        <v>9</v>
      </c>
      <c r="K17" cm="1">
        <f t="array" aca="1" ref="K17" ca="1">INDEX($D$2:$D$15,RANDBETWEEN(1,ROWS($D$2:$D$15)),1)</f>
        <v>10</v>
      </c>
      <c r="L17" cm="1">
        <f t="array" aca="1" ref="L17" ca="1">INDEX($D$2:$D$15,RANDBETWEEN(1,ROWS($D$2:$D$15)),1)</f>
        <v>3</v>
      </c>
      <c r="M17" cm="1">
        <f t="array" aca="1" ref="M17" ca="1">INDEX($D$2:$D$15,RANDBETWEEN(1,ROWS($D$2:$D$15)),1)</f>
        <v>8</v>
      </c>
      <c r="N17" cm="1">
        <f t="array" aca="1" ref="N17" ca="1">INDEX($D$2:$D$15,RANDBETWEEN(1,ROWS($D$2:$D$15)),1)</f>
        <v>2</v>
      </c>
      <c r="O17" cm="1">
        <f t="array" aca="1" ref="O17" ca="1">INDEX($D$2:$D$15,RANDBETWEEN(1,ROWS($D$2:$D$15)),1)</f>
        <v>9</v>
      </c>
      <c r="P17" cm="1">
        <f t="array" aca="1" ref="P17" ca="1">INDEX($D$2:$D$15,RANDBETWEEN(1,ROWS($D$2:$D$15)),1)</f>
        <v>9</v>
      </c>
      <c r="Q17" cm="1">
        <f t="array" aca="1" ref="Q17" ca="1">INDEX($D$2:$D$15,RANDBETWEEN(1,ROWS($D$2:$D$15)),1)</f>
        <v>3</v>
      </c>
      <c r="R17" cm="1">
        <f t="array" aca="1" ref="R17" ca="1">INDEX($D$2:$D$15,RANDBETWEEN(1,ROWS($D$2:$D$15)),1)</f>
        <v>9</v>
      </c>
      <c r="S17" cm="1">
        <f t="array" aca="1" ref="S17" ca="1">INDEX($D$2:$D$15,RANDBETWEEN(1,ROWS($D$2:$D$15)),1)</f>
        <v>3</v>
      </c>
      <c r="T17" cm="1">
        <f t="array" aca="1" ref="T17" ca="1">INDEX($D$2:$D$15,RANDBETWEEN(1,ROWS($D$2:$D$15)),1)</f>
        <v>4</v>
      </c>
      <c r="W17">
        <f t="shared" ca="1" si="0"/>
        <v>7.4</v>
      </c>
      <c r="X17">
        <f t="shared" ca="1" si="1"/>
        <v>9</v>
      </c>
      <c r="Y17">
        <f t="shared" ca="1" si="2"/>
        <v>5.5</v>
      </c>
      <c r="Z17">
        <f t="shared" ca="1" si="3"/>
        <v>3.4184374040947842</v>
      </c>
      <c r="AB17" s="20">
        <v>11</v>
      </c>
      <c r="AC17" s="20">
        <f ca="1"/>
        <v>1</v>
      </c>
    </row>
    <row r="18" spans="6:29" x14ac:dyDescent="0.35">
      <c r="F18" cm="1">
        <f t="array" aca="1" ref="F18" ca="1">INDEX($D$2:$D$15,RANDBETWEEN(1,ROWS($D$2:$D$15)),1)</f>
        <v>4</v>
      </c>
      <c r="G18" cm="1">
        <f t="array" aca="1" ref="G18" ca="1">INDEX($D$2:$D$15,RANDBETWEEN(1,ROWS($D$2:$D$15)),1)</f>
        <v>4</v>
      </c>
      <c r="H18" cm="1">
        <f t="array" aca="1" ref="H18" ca="1">INDEX($D$2:$D$15,RANDBETWEEN(1,ROWS($D$2:$D$15)),1)</f>
        <v>11</v>
      </c>
      <c r="I18" cm="1">
        <f t="array" aca="1" ref="I18" ca="1">INDEX($D$2:$D$15,RANDBETWEEN(1,ROWS($D$2:$D$15)),1)</f>
        <v>9</v>
      </c>
      <c r="J18" cm="1">
        <f t="array" aca="1" ref="J18" ca="1">INDEX($D$2:$D$15,RANDBETWEEN(1,ROWS($D$2:$D$15)),1)</f>
        <v>9</v>
      </c>
      <c r="K18" cm="1">
        <f t="array" aca="1" ref="K18" ca="1">INDEX($D$2:$D$15,RANDBETWEEN(1,ROWS($D$2:$D$15)),1)</f>
        <v>9</v>
      </c>
      <c r="L18" cm="1">
        <f t="array" aca="1" ref="L18" ca="1">INDEX($D$2:$D$15,RANDBETWEEN(1,ROWS($D$2:$D$15)),1)</f>
        <v>2</v>
      </c>
      <c r="M18" cm="1">
        <f t="array" aca="1" ref="M18" ca="1">INDEX($D$2:$D$15,RANDBETWEEN(1,ROWS($D$2:$D$15)),1)</f>
        <v>4</v>
      </c>
      <c r="N18" cm="1">
        <f t="array" aca="1" ref="N18" ca="1">INDEX($D$2:$D$15,RANDBETWEEN(1,ROWS($D$2:$D$15)),1)</f>
        <v>12</v>
      </c>
      <c r="O18" cm="1">
        <f t="array" aca="1" ref="O18" ca="1">INDEX($D$2:$D$15,RANDBETWEEN(1,ROWS($D$2:$D$15)),1)</f>
        <v>4</v>
      </c>
      <c r="P18" cm="1">
        <f t="array" aca="1" ref="P18" ca="1">INDEX($D$2:$D$15,RANDBETWEEN(1,ROWS($D$2:$D$15)),1)</f>
        <v>9</v>
      </c>
      <c r="Q18" cm="1">
        <f t="array" aca="1" ref="Q18" ca="1">INDEX($D$2:$D$15,RANDBETWEEN(1,ROWS($D$2:$D$15)),1)</f>
        <v>8</v>
      </c>
      <c r="R18" cm="1">
        <f t="array" aca="1" ref="R18" ca="1">INDEX($D$2:$D$15,RANDBETWEEN(1,ROWS($D$2:$D$15)),1)</f>
        <v>4</v>
      </c>
      <c r="S18" cm="1">
        <f t="array" aca="1" ref="S18" ca="1">INDEX($D$2:$D$15,RANDBETWEEN(1,ROWS($D$2:$D$15)),1)</f>
        <v>9</v>
      </c>
      <c r="T18" cm="1">
        <f t="array" aca="1" ref="T18" ca="1">INDEX($D$2:$D$15,RANDBETWEEN(1,ROWS($D$2:$D$15)),1)</f>
        <v>8</v>
      </c>
      <c r="W18">
        <f t="shared" ca="1" si="0"/>
        <v>7.0666666666666664</v>
      </c>
      <c r="X18">
        <f t="shared" ca="1" si="1"/>
        <v>8</v>
      </c>
      <c r="Y18">
        <f t="shared" ca="1" si="2"/>
        <v>5</v>
      </c>
      <c r="Z18">
        <f t="shared" ca="1" si="3"/>
        <v>3.0814344217000778</v>
      </c>
      <c r="AB18" s="20">
        <v>12</v>
      </c>
      <c r="AC18" s="20">
        <f ca="1"/>
        <v>0</v>
      </c>
    </row>
    <row r="19" spans="6:29" x14ac:dyDescent="0.35">
      <c r="F19" cm="1">
        <f t="array" aca="1" ref="F19" ca="1">INDEX($D$2:$D$15,RANDBETWEEN(1,ROWS($D$2:$D$15)),1)</f>
        <v>4</v>
      </c>
      <c r="G19" cm="1">
        <f t="array" aca="1" ref="G19" ca="1">INDEX($D$2:$D$15,RANDBETWEEN(1,ROWS($D$2:$D$15)),1)</f>
        <v>8</v>
      </c>
      <c r="H19" cm="1">
        <f t="array" aca="1" ref="H19" ca="1">INDEX($D$2:$D$15,RANDBETWEEN(1,ROWS($D$2:$D$15)),1)</f>
        <v>3</v>
      </c>
      <c r="I19" cm="1">
        <f t="array" aca="1" ref="I19" ca="1">INDEX($D$2:$D$15,RANDBETWEEN(1,ROWS($D$2:$D$15)),1)</f>
        <v>8</v>
      </c>
      <c r="J19" cm="1">
        <f t="array" aca="1" ref="J19" ca="1">INDEX($D$2:$D$15,RANDBETWEEN(1,ROWS($D$2:$D$15)),1)</f>
        <v>12</v>
      </c>
      <c r="K19" cm="1">
        <f t="array" aca="1" ref="K19" ca="1">INDEX($D$2:$D$15,RANDBETWEEN(1,ROWS($D$2:$D$15)),1)</f>
        <v>9</v>
      </c>
      <c r="L19" cm="1">
        <f t="array" aca="1" ref="L19" ca="1">INDEX($D$2:$D$15,RANDBETWEEN(1,ROWS($D$2:$D$15)),1)</f>
        <v>13</v>
      </c>
      <c r="M19" cm="1">
        <f t="array" aca="1" ref="M19" ca="1">INDEX($D$2:$D$15,RANDBETWEEN(1,ROWS($D$2:$D$15)),1)</f>
        <v>11</v>
      </c>
      <c r="N19" cm="1">
        <f t="array" aca="1" ref="N19" ca="1">INDEX($D$2:$D$15,RANDBETWEEN(1,ROWS($D$2:$D$15)),1)</f>
        <v>9</v>
      </c>
      <c r="O19" cm="1">
        <f t="array" aca="1" ref="O19" ca="1">INDEX($D$2:$D$15,RANDBETWEEN(1,ROWS($D$2:$D$15)),1)</f>
        <v>10</v>
      </c>
      <c r="P19" cm="1">
        <f t="array" aca="1" ref="P19" ca="1">INDEX($D$2:$D$15,RANDBETWEEN(1,ROWS($D$2:$D$15)),1)</f>
        <v>3</v>
      </c>
      <c r="Q19" cm="1">
        <f t="array" aca="1" ref="Q19" ca="1">INDEX($D$2:$D$15,RANDBETWEEN(1,ROWS($D$2:$D$15)),1)</f>
        <v>13</v>
      </c>
      <c r="R19" cm="1">
        <f t="array" aca="1" ref="R19" ca="1">INDEX($D$2:$D$15,RANDBETWEEN(1,ROWS($D$2:$D$15)),1)</f>
        <v>12</v>
      </c>
      <c r="S19" cm="1">
        <f t="array" aca="1" ref="S19" ca="1">INDEX($D$2:$D$15,RANDBETWEEN(1,ROWS($D$2:$D$15)),1)</f>
        <v>4</v>
      </c>
      <c r="T19" cm="1">
        <f t="array" aca="1" ref="T19" ca="1">INDEX($D$2:$D$15,RANDBETWEEN(1,ROWS($D$2:$D$15)),1)</f>
        <v>2</v>
      </c>
      <c r="W19">
        <f t="shared" ca="1" si="0"/>
        <v>8.0666666666666664</v>
      </c>
      <c r="X19">
        <f t="shared" ca="1" si="1"/>
        <v>9</v>
      </c>
      <c r="Y19">
        <f t="shared" ca="1" si="2"/>
        <v>7.5</v>
      </c>
      <c r="Z19">
        <f t="shared" ca="1" si="3"/>
        <v>3.9182114481458181</v>
      </c>
      <c r="AB19" s="20">
        <v>13</v>
      </c>
      <c r="AC19" s="20">
        <f ca="1"/>
        <v>0</v>
      </c>
    </row>
    <row r="20" spans="6:29" x14ac:dyDescent="0.35">
      <c r="F20" cm="1">
        <f t="array" aca="1" ref="F20" ca="1">INDEX($D$2:$D$15,RANDBETWEEN(1,ROWS($D$2:$D$15)),1)</f>
        <v>4</v>
      </c>
      <c r="G20" cm="1">
        <f t="array" aca="1" ref="G20" ca="1">INDEX($D$2:$D$15,RANDBETWEEN(1,ROWS($D$2:$D$15)),1)</f>
        <v>9</v>
      </c>
      <c r="H20" cm="1">
        <f t="array" aca="1" ref="H20" ca="1">INDEX($D$2:$D$15,RANDBETWEEN(1,ROWS($D$2:$D$15)),1)</f>
        <v>2</v>
      </c>
      <c r="I20" cm="1">
        <f t="array" aca="1" ref="I20" ca="1">INDEX($D$2:$D$15,RANDBETWEEN(1,ROWS($D$2:$D$15)),1)</f>
        <v>13</v>
      </c>
      <c r="J20" cm="1">
        <f t="array" aca="1" ref="J20" ca="1">INDEX($D$2:$D$15,RANDBETWEEN(1,ROWS($D$2:$D$15)),1)</f>
        <v>4</v>
      </c>
      <c r="K20" cm="1">
        <f t="array" aca="1" ref="K20" ca="1">INDEX($D$2:$D$15,RANDBETWEEN(1,ROWS($D$2:$D$15)),1)</f>
        <v>12</v>
      </c>
      <c r="L20" cm="1">
        <f t="array" aca="1" ref="L20" ca="1">INDEX($D$2:$D$15,RANDBETWEEN(1,ROWS($D$2:$D$15)),1)</f>
        <v>9</v>
      </c>
      <c r="M20" cm="1">
        <f t="array" aca="1" ref="M20" ca="1">INDEX($D$2:$D$15,RANDBETWEEN(1,ROWS($D$2:$D$15)),1)</f>
        <v>12</v>
      </c>
      <c r="N20" cm="1">
        <f t="array" aca="1" ref="N20" ca="1">INDEX($D$2:$D$15,RANDBETWEEN(1,ROWS($D$2:$D$15)),1)</f>
        <v>12</v>
      </c>
      <c r="O20" cm="1">
        <f t="array" aca="1" ref="O20" ca="1">INDEX($D$2:$D$15,RANDBETWEEN(1,ROWS($D$2:$D$15)),1)</f>
        <v>10</v>
      </c>
      <c r="P20" cm="1">
        <f t="array" aca="1" ref="P20" ca="1">INDEX($D$2:$D$15,RANDBETWEEN(1,ROWS($D$2:$D$15)),1)</f>
        <v>9</v>
      </c>
      <c r="Q20" cm="1">
        <f t="array" aca="1" ref="Q20" ca="1">INDEX($D$2:$D$15,RANDBETWEEN(1,ROWS($D$2:$D$15)),1)</f>
        <v>4</v>
      </c>
      <c r="R20" cm="1">
        <f t="array" aca="1" ref="R20" ca="1">INDEX($D$2:$D$15,RANDBETWEEN(1,ROWS($D$2:$D$15)),1)</f>
        <v>9</v>
      </c>
      <c r="S20" cm="1">
        <f t="array" aca="1" ref="S20" ca="1">INDEX($D$2:$D$15,RANDBETWEEN(1,ROWS($D$2:$D$15)),1)</f>
        <v>10</v>
      </c>
      <c r="T20" cm="1">
        <f t="array" aca="1" ref="T20" ca="1">INDEX($D$2:$D$15,RANDBETWEEN(1,ROWS($D$2:$D$15)),1)</f>
        <v>8</v>
      </c>
      <c r="W20">
        <f t="shared" ca="1" si="0"/>
        <v>8.4666666666666668</v>
      </c>
      <c r="X20">
        <f t="shared" ca="1" si="1"/>
        <v>9</v>
      </c>
      <c r="Y20">
        <f t="shared" ca="1" si="2"/>
        <v>5</v>
      </c>
      <c r="Z20">
        <f t="shared" ca="1" si="3"/>
        <v>3.4406533155921477</v>
      </c>
      <c r="AB20" s="20">
        <v>14</v>
      </c>
      <c r="AC20" s="20">
        <f ca="1"/>
        <v>0</v>
      </c>
    </row>
    <row r="21" spans="6:29" x14ac:dyDescent="0.35">
      <c r="F21" cm="1">
        <f t="array" aca="1" ref="F21" ca="1">INDEX($D$2:$D$15,RANDBETWEEN(1,ROWS($D$2:$D$15)),1)</f>
        <v>8</v>
      </c>
      <c r="G21" cm="1">
        <f t="array" aca="1" ref="G21" ca="1">INDEX($D$2:$D$15,RANDBETWEEN(1,ROWS($D$2:$D$15)),1)</f>
        <v>12</v>
      </c>
      <c r="H21" cm="1">
        <f t="array" aca="1" ref="H21" ca="1">INDEX($D$2:$D$15,RANDBETWEEN(1,ROWS($D$2:$D$15)),1)</f>
        <v>4</v>
      </c>
      <c r="I21" cm="1">
        <f t="array" aca="1" ref="I21" ca="1">INDEX($D$2:$D$15,RANDBETWEEN(1,ROWS($D$2:$D$15)),1)</f>
        <v>2</v>
      </c>
      <c r="J21" cm="1">
        <f t="array" aca="1" ref="J21" ca="1">INDEX($D$2:$D$15,RANDBETWEEN(1,ROWS($D$2:$D$15)),1)</f>
        <v>12</v>
      </c>
      <c r="K21" cm="1">
        <f t="array" aca="1" ref="K21" ca="1">INDEX($D$2:$D$15,RANDBETWEEN(1,ROWS($D$2:$D$15)),1)</f>
        <v>13</v>
      </c>
      <c r="L21" cm="1">
        <f t="array" aca="1" ref="L21" ca="1">INDEX($D$2:$D$15,RANDBETWEEN(1,ROWS($D$2:$D$15)),1)</f>
        <v>4</v>
      </c>
      <c r="M21" cm="1">
        <f t="array" aca="1" ref="M21" ca="1">INDEX($D$2:$D$15,RANDBETWEEN(1,ROWS($D$2:$D$15)),1)</f>
        <v>9</v>
      </c>
      <c r="N21" cm="1">
        <f t="array" aca="1" ref="N21" ca="1">INDEX($D$2:$D$15,RANDBETWEEN(1,ROWS($D$2:$D$15)),1)</f>
        <v>4</v>
      </c>
      <c r="O21" cm="1">
        <f t="array" aca="1" ref="O21" ca="1">INDEX($D$2:$D$15,RANDBETWEEN(1,ROWS($D$2:$D$15)),1)</f>
        <v>2</v>
      </c>
      <c r="P21" cm="1">
        <f t="array" aca="1" ref="P21" ca="1">INDEX($D$2:$D$15,RANDBETWEEN(1,ROWS($D$2:$D$15)),1)</f>
        <v>4</v>
      </c>
      <c r="Q21" cm="1">
        <f t="array" aca="1" ref="Q21" ca="1">INDEX($D$2:$D$15,RANDBETWEEN(1,ROWS($D$2:$D$15)),1)</f>
        <v>11</v>
      </c>
      <c r="R21" cm="1">
        <f t="array" aca="1" ref="R21" ca="1">INDEX($D$2:$D$15,RANDBETWEEN(1,ROWS($D$2:$D$15)),1)</f>
        <v>9</v>
      </c>
      <c r="S21" cm="1">
        <f t="array" aca="1" ref="S21" ca="1">INDEX($D$2:$D$15,RANDBETWEEN(1,ROWS($D$2:$D$15)),1)</f>
        <v>10</v>
      </c>
      <c r="T21" cm="1">
        <f t="array" aca="1" ref="T21" ca="1">INDEX($D$2:$D$15,RANDBETWEEN(1,ROWS($D$2:$D$15)),1)</f>
        <v>9</v>
      </c>
      <c r="W21">
        <f t="shared" ca="1" si="0"/>
        <v>7.5333333333333332</v>
      </c>
      <c r="X21">
        <f t="shared" ca="1" si="1"/>
        <v>9</v>
      </c>
      <c r="Y21">
        <f t="shared" ca="1" si="2"/>
        <v>6.5</v>
      </c>
      <c r="Z21">
        <f t="shared" ca="1" si="3"/>
        <v>3.8334368516043273</v>
      </c>
      <c r="AB21" s="20">
        <v>15</v>
      </c>
      <c r="AC21" s="20">
        <f ca="1"/>
        <v>0</v>
      </c>
    </row>
    <row r="22" spans="6:29" x14ac:dyDescent="0.35">
      <c r="F22" cm="1">
        <f t="array" aca="1" ref="F22" ca="1">INDEX($D$2:$D$15,RANDBETWEEN(1,ROWS($D$2:$D$15)),1)</f>
        <v>4</v>
      </c>
      <c r="G22" cm="1">
        <f t="array" aca="1" ref="G22" ca="1">INDEX($D$2:$D$15,RANDBETWEEN(1,ROWS($D$2:$D$15)),1)</f>
        <v>10</v>
      </c>
      <c r="H22" cm="1">
        <f t="array" aca="1" ref="H22" ca="1">INDEX($D$2:$D$15,RANDBETWEEN(1,ROWS($D$2:$D$15)),1)</f>
        <v>3</v>
      </c>
      <c r="I22" cm="1">
        <f t="array" aca="1" ref="I22" ca="1">INDEX($D$2:$D$15,RANDBETWEEN(1,ROWS($D$2:$D$15)),1)</f>
        <v>9</v>
      </c>
      <c r="J22" cm="1">
        <f t="array" aca="1" ref="J22" ca="1">INDEX($D$2:$D$15,RANDBETWEEN(1,ROWS($D$2:$D$15)),1)</f>
        <v>10</v>
      </c>
      <c r="K22" cm="1">
        <f t="array" aca="1" ref="K22" ca="1">INDEX($D$2:$D$15,RANDBETWEEN(1,ROWS($D$2:$D$15)),1)</f>
        <v>12</v>
      </c>
      <c r="L22" cm="1">
        <f t="array" aca="1" ref="L22" ca="1">INDEX($D$2:$D$15,RANDBETWEEN(1,ROWS($D$2:$D$15)),1)</f>
        <v>2</v>
      </c>
      <c r="M22" cm="1">
        <f t="array" aca="1" ref="M22" ca="1">INDEX($D$2:$D$15,RANDBETWEEN(1,ROWS($D$2:$D$15)),1)</f>
        <v>10</v>
      </c>
      <c r="N22" cm="1">
        <f t="array" aca="1" ref="N22" ca="1">INDEX($D$2:$D$15,RANDBETWEEN(1,ROWS($D$2:$D$15)),1)</f>
        <v>12</v>
      </c>
      <c r="O22" cm="1">
        <f t="array" aca="1" ref="O22" ca="1">INDEX($D$2:$D$15,RANDBETWEEN(1,ROWS($D$2:$D$15)),1)</f>
        <v>8</v>
      </c>
      <c r="P22" cm="1">
        <f t="array" aca="1" ref="P22" ca="1">INDEX($D$2:$D$15,RANDBETWEEN(1,ROWS($D$2:$D$15)),1)</f>
        <v>8</v>
      </c>
      <c r="Q22" cm="1">
        <f t="array" aca="1" ref="Q22" ca="1">INDEX($D$2:$D$15,RANDBETWEEN(1,ROWS($D$2:$D$15)),1)</f>
        <v>12</v>
      </c>
      <c r="R22" cm="1">
        <f t="array" aca="1" ref="R22" ca="1">INDEX($D$2:$D$15,RANDBETWEEN(1,ROWS($D$2:$D$15)),1)</f>
        <v>13</v>
      </c>
      <c r="S22" cm="1">
        <f t="array" aca="1" ref="S22" ca="1">INDEX($D$2:$D$15,RANDBETWEEN(1,ROWS($D$2:$D$15)),1)</f>
        <v>11</v>
      </c>
      <c r="T22" cm="1">
        <f t="array" aca="1" ref="T22" ca="1">INDEX($D$2:$D$15,RANDBETWEEN(1,ROWS($D$2:$D$15)),1)</f>
        <v>2</v>
      </c>
      <c r="W22">
        <f t="shared" ca="1" si="0"/>
        <v>8.4</v>
      </c>
      <c r="X22">
        <f t="shared" ca="1" si="1"/>
        <v>10</v>
      </c>
      <c r="Y22">
        <f t="shared" ca="1" si="2"/>
        <v>5.5</v>
      </c>
      <c r="Z22">
        <f t="shared" ca="1" si="3"/>
        <v>3.8321944477954508</v>
      </c>
      <c r="AB22" s="20"/>
      <c r="AC22" s="20">
        <f ca="1"/>
        <v>0</v>
      </c>
    </row>
    <row r="23" spans="6:29" x14ac:dyDescent="0.35">
      <c r="F23" cm="1">
        <f t="array" aca="1" ref="F23" ca="1">INDEX($D$2:$D$15,RANDBETWEEN(1,ROWS($D$2:$D$15)),1)</f>
        <v>4</v>
      </c>
      <c r="G23" cm="1">
        <f t="array" aca="1" ref="G23" ca="1">INDEX($D$2:$D$15,RANDBETWEEN(1,ROWS($D$2:$D$15)),1)</f>
        <v>9</v>
      </c>
      <c r="H23" cm="1">
        <f t="array" aca="1" ref="H23" ca="1">INDEX($D$2:$D$15,RANDBETWEEN(1,ROWS($D$2:$D$15)),1)</f>
        <v>4</v>
      </c>
      <c r="I23" cm="1">
        <f t="array" aca="1" ref="I23" ca="1">INDEX($D$2:$D$15,RANDBETWEEN(1,ROWS($D$2:$D$15)),1)</f>
        <v>4</v>
      </c>
      <c r="J23" cm="1">
        <f t="array" aca="1" ref="J23" ca="1">INDEX($D$2:$D$15,RANDBETWEEN(1,ROWS($D$2:$D$15)),1)</f>
        <v>8</v>
      </c>
      <c r="K23" cm="1">
        <f t="array" aca="1" ref="K23" ca="1">INDEX($D$2:$D$15,RANDBETWEEN(1,ROWS($D$2:$D$15)),1)</f>
        <v>9</v>
      </c>
      <c r="L23" cm="1">
        <f t="array" aca="1" ref="L23" ca="1">INDEX($D$2:$D$15,RANDBETWEEN(1,ROWS($D$2:$D$15)),1)</f>
        <v>9</v>
      </c>
      <c r="M23" cm="1">
        <f t="array" aca="1" ref="M23" ca="1">INDEX($D$2:$D$15,RANDBETWEEN(1,ROWS($D$2:$D$15)),1)</f>
        <v>10</v>
      </c>
      <c r="N23" cm="1">
        <f t="array" aca="1" ref="N23" ca="1">INDEX($D$2:$D$15,RANDBETWEEN(1,ROWS($D$2:$D$15)),1)</f>
        <v>11</v>
      </c>
      <c r="O23" cm="1">
        <f t="array" aca="1" ref="O23" ca="1">INDEX($D$2:$D$15,RANDBETWEEN(1,ROWS($D$2:$D$15)),1)</f>
        <v>9</v>
      </c>
      <c r="P23" cm="1">
        <f t="array" aca="1" ref="P23" ca="1">INDEX($D$2:$D$15,RANDBETWEEN(1,ROWS($D$2:$D$15)),1)</f>
        <v>3</v>
      </c>
      <c r="Q23" cm="1">
        <f t="array" aca="1" ref="Q23" ca="1">INDEX($D$2:$D$15,RANDBETWEEN(1,ROWS($D$2:$D$15)),1)</f>
        <v>4</v>
      </c>
      <c r="R23" cm="1">
        <f t="array" aca="1" ref="R23" ca="1">INDEX($D$2:$D$15,RANDBETWEEN(1,ROWS($D$2:$D$15)),1)</f>
        <v>8</v>
      </c>
      <c r="S23" cm="1">
        <f t="array" aca="1" ref="S23" ca="1">INDEX($D$2:$D$15,RANDBETWEEN(1,ROWS($D$2:$D$15)),1)</f>
        <v>9</v>
      </c>
      <c r="T23" cm="1">
        <f t="array" aca="1" ref="T23" ca="1">INDEX($D$2:$D$15,RANDBETWEEN(1,ROWS($D$2:$D$15)),1)</f>
        <v>13</v>
      </c>
      <c r="W23">
        <f t="shared" ca="1" si="0"/>
        <v>7.6</v>
      </c>
      <c r="X23">
        <f t="shared" ca="1" si="1"/>
        <v>9</v>
      </c>
      <c r="Y23">
        <f t="shared" ca="1" si="2"/>
        <v>5</v>
      </c>
      <c r="Z23">
        <f t="shared" ca="1" si="3"/>
        <v>3.0425553170226598</v>
      </c>
      <c r="AB23" s="20"/>
      <c r="AC23" s="20"/>
    </row>
    <row r="24" spans="6:29" x14ac:dyDescent="0.35">
      <c r="F24" cm="1">
        <f t="array" aca="1" ref="F24" ca="1">INDEX($D$2:$D$15,RANDBETWEEN(1,ROWS($D$2:$D$15)),1)</f>
        <v>12</v>
      </c>
      <c r="G24" cm="1">
        <f t="array" aca="1" ref="G24" ca="1">INDEX($D$2:$D$15,RANDBETWEEN(1,ROWS($D$2:$D$15)),1)</f>
        <v>2</v>
      </c>
      <c r="H24" cm="1">
        <f t="array" aca="1" ref="H24" ca="1">INDEX($D$2:$D$15,RANDBETWEEN(1,ROWS($D$2:$D$15)),1)</f>
        <v>11</v>
      </c>
      <c r="I24" cm="1">
        <f t="array" aca="1" ref="I24" ca="1">INDEX($D$2:$D$15,RANDBETWEEN(1,ROWS($D$2:$D$15)),1)</f>
        <v>12</v>
      </c>
      <c r="J24" cm="1">
        <f t="array" aca="1" ref="J24" ca="1">INDEX($D$2:$D$15,RANDBETWEEN(1,ROWS($D$2:$D$15)),1)</f>
        <v>3</v>
      </c>
      <c r="K24" cm="1">
        <f t="array" aca="1" ref="K24" ca="1">INDEX($D$2:$D$15,RANDBETWEEN(1,ROWS($D$2:$D$15)),1)</f>
        <v>3</v>
      </c>
      <c r="L24" cm="1">
        <f t="array" aca="1" ref="L24" ca="1">INDEX($D$2:$D$15,RANDBETWEEN(1,ROWS($D$2:$D$15)),1)</f>
        <v>4</v>
      </c>
      <c r="M24" cm="1">
        <f t="array" aca="1" ref="M24" ca="1">INDEX($D$2:$D$15,RANDBETWEEN(1,ROWS($D$2:$D$15)),1)</f>
        <v>12</v>
      </c>
      <c r="N24" cm="1">
        <f t="array" aca="1" ref="N24" ca="1">INDEX($D$2:$D$15,RANDBETWEEN(1,ROWS($D$2:$D$15)),1)</f>
        <v>2</v>
      </c>
      <c r="O24" cm="1">
        <f t="array" aca="1" ref="O24" ca="1">INDEX($D$2:$D$15,RANDBETWEEN(1,ROWS($D$2:$D$15)),1)</f>
        <v>12</v>
      </c>
      <c r="P24" cm="1">
        <f t="array" aca="1" ref="P24" ca="1">INDEX($D$2:$D$15,RANDBETWEEN(1,ROWS($D$2:$D$15)),1)</f>
        <v>12</v>
      </c>
      <c r="Q24" cm="1">
        <f t="array" aca="1" ref="Q24" ca="1">INDEX($D$2:$D$15,RANDBETWEEN(1,ROWS($D$2:$D$15)),1)</f>
        <v>2</v>
      </c>
      <c r="R24" cm="1">
        <f t="array" aca="1" ref="R24" ca="1">INDEX($D$2:$D$15,RANDBETWEEN(1,ROWS($D$2:$D$15)),1)</f>
        <v>9</v>
      </c>
      <c r="S24" cm="1">
        <f t="array" aca="1" ref="S24" ca="1">INDEX($D$2:$D$15,RANDBETWEEN(1,ROWS($D$2:$D$15)),1)</f>
        <v>9</v>
      </c>
      <c r="T24" cm="1">
        <f t="array" aca="1" ref="T24" ca="1">INDEX($D$2:$D$15,RANDBETWEEN(1,ROWS($D$2:$D$15)),1)</f>
        <v>9</v>
      </c>
      <c r="W24">
        <f t="shared" ca="1" si="0"/>
        <v>7.6</v>
      </c>
      <c r="X24">
        <f t="shared" ca="1" si="1"/>
        <v>9</v>
      </c>
      <c r="Y24">
        <f t="shared" ca="1" si="2"/>
        <v>9</v>
      </c>
      <c r="Z24">
        <f t="shared" ca="1" si="3"/>
        <v>4.339190181194116</v>
      </c>
    </row>
    <row r="25" spans="6:29" x14ac:dyDescent="0.35">
      <c r="F25" cm="1">
        <f t="array" aca="1" ref="F25" ca="1">INDEX($D$2:$D$15,RANDBETWEEN(1,ROWS($D$2:$D$15)),1)</f>
        <v>4</v>
      </c>
      <c r="G25" cm="1">
        <f t="array" aca="1" ref="G25" ca="1">INDEX($D$2:$D$15,RANDBETWEEN(1,ROWS($D$2:$D$15)),1)</f>
        <v>4</v>
      </c>
      <c r="H25" cm="1">
        <f t="array" aca="1" ref="H25" ca="1">INDEX($D$2:$D$15,RANDBETWEEN(1,ROWS($D$2:$D$15)),1)</f>
        <v>9</v>
      </c>
      <c r="I25" cm="1">
        <f t="array" aca="1" ref="I25" ca="1">INDEX($D$2:$D$15,RANDBETWEEN(1,ROWS($D$2:$D$15)),1)</f>
        <v>9</v>
      </c>
      <c r="J25" cm="1">
        <f t="array" aca="1" ref="J25" ca="1">INDEX($D$2:$D$15,RANDBETWEEN(1,ROWS($D$2:$D$15)),1)</f>
        <v>13</v>
      </c>
      <c r="K25" cm="1">
        <f t="array" aca="1" ref="K25" ca="1">INDEX($D$2:$D$15,RANDBETWEEN(1,ROWS($D$2:$D$15)),1)</f>
        <v>4</v>
      </c>
      <c r="L25" cm="1">
        <f t="array" aca="1" ref="L25" ca="1">INDEX($D$2:$D$15,RANDBETWEEN(1,ROWS($D$2:$D$15)),1)</f>
        <v>11</v>
      </c>
      <c r="M25" cm="1">
        <f t="array" aca="1" ref="M25" ca="1">INDEX($D$2:$D$15,RANDBETWEEN(1,ROWS($D$2:$D$15)),1)</f>
        <v>11</v>
      </c>
      <c r="N25" cm="1">
        <f t="array" aca="1" ref="N25" ca="1">INDEX($D$2:$D$15,RANDBETWEEN(1,ROWS($D$2:$D$15)),1)</f>
        <v>11</v>
      </c>
      <c r="O25" cm="1">
        <f t="array" aca="1" ref="O25" ca="1">INDEX($D$2:$D$15,RANDBETWEEN(1,ROWS($D$2:$D$15)),1)</f>
        <v>4</v>
      </c>
      <c r="P25" cm="1">
        <f t="array" aca="1" ref="P25" ca="1">INDEX($D$2:$D$15,RANDBETWEEN(1,ROWS($D$2:$D$15)),1)</f>
        <v>4</v>
      </c>
      <c r="Q25" cm="1">
        <f t="array" aca="1" ref="Q25" ca="1">INDEX($D$2:$D$15,RANDBETWEEN(1,ROWS($D$2:$D$15)),1)</f>
        <v>9</v>
      </c>
      <c r="R25" cm="1">
        <f t="array" aca="1" ref="R25" ca="1">INDEX($D$2:$D$15,RANDBETWEEN(1,ROWS($D$2:$D$15)),1)</f>
        <v>12</v>
      </c>
      <c r="S25" cm="1">
        <f t="array" aca="1" ref="S25" ca="1">INDEX($D$2:$D$15,RANDBETWEEN(1,ROWS($D$2:$D$15)),1)</f>
        <v>8</v>
      </c>
      <c r="T25" cm="1">
        <f t="array" aca="1" ref="T25" ca="1">INDEX($D$2:$D$15,RANDBETWEEN(1,ROWS($D$2:$D$15)),1)</f>
        <v>4</v>
      </c>
      <c r="W25">
        <f t="shared" ca="1" si="0"/>
        <v>7.8</v>
      </c>
      <c r="X25">
        <f t="shared" ca="1" si="1"/>
        <v>9</v>
      </c>
      <c r="Y25">
        <f t="shared" ca="1" si="2"/>
        <v>7</v>
      </c>
      <c r="Z25">
        <f t="shared" ca="1" si="3"/>
        <v>3.4475664294853385</v>
      </c>
    </row>
    <row r="26" spans="6:29" x14ac:dyDescent="0.35">
      <c r="F26" cm="1">
        <f t="array" aca="1" ref="F26" ca="1">INDEX($D$2:$D$15,RANDBETWEEN(1,ROWS($D$2:$D$15)),1)</f>
        <v>4</v>
      </c>
      <c r="G26" cm="1">
        <f t="array" aca="1" ref="G26" ca="1">INDEX($D$2:$D$15,RANDBETWEEN(1,ROWS($D$2:$D$15)),1)</f>
        <v>10</v>
      </c>
      <c r="H26" cm="1">
        <f t="array" aca="1" ref="H26" ca="1">INDEX($D$2:$D$15,RANDBETWEEN(1,ROWS($D$2:$D$15)),1)</f>
        <v>4</v>
      </c>
      <c r="I26" cm="1">
        <f t="array" aca="1" ref="I26" ca="1">INDEX($D$2:$D$15,RANDBETWEEN(1,ROWS($D$2:$D$15)),1)</f>
        <v>9</v>
      </c>
      <c r="J26" cm="1">
        <f t="array" aca="1" ref="J26" ca="1">INDEX($D$2:$D$15,RANDBETWEEN(1,ROWS($D$2:$D$15)),1)</f>
        <v>12</v>
      </c>
      <c r="K26" cm="1">
        <f t="array" aca="1" ref="K26" ca="1">INDEX($D$2:$D$15,RANDBETWEEN(1,ROWS($D$2:$D$15)),1)</f>
        <v>2</v>
      </c>
      <c r="L26" cm="1">
        <f t="array" aca="1" ref="L26" ca="1">INDEX($D$2:$D$15,RANDBETWEEN(1,ROWS($D$2:$D$15)),1)</f>
        <v>10</v>
      </c>
      <c r="M26" cm="1">
        <f t="array" aca="1" ref="M26" ca="1">INDEX($D$2:$D$15,RANDBETWEEN(1,ROWS($D$2:$D$15)),1)</f>
        <v>9</v>
      </c>
      <c r="N26" cm="1">
        <f t="array" aca="1" ref="N26" ca="1">INDEX($D$2:$D$15,RANDBETWEEN(1,ROWS($D$2:$D$15)),1)</f>
        <v>12</v>
      </c>
      <c r="O26" cm="1">
        <f t="array" aca="1" ref="O26" ca="1">INDEX($D$2:$D$15,RANDBETWEEN(1,ROWS($D$2:$D$15)),1)</f>
        <v>9</v>
      </c>
      <c r="P26" cm="1">
        <f t="array" aca="1" ref="P26" ca="1">INDEX($D$2:$D$15,RANDBETWEEN(1,ROWS($D$2:$D$15)),1)</f>
        <v>12</v>
      </c>
      <c r="Q26" cm="1">
        <f t="array" aca="1" ref="Q26" ca="1">INDEX($D$2:$D$15,RANDBETWEEN(1,ROWS($D$2:$D$15)),1)</f>
        <v>12</v>
      </c>
      <c r="R26" cm="1">
        <f t="array" aca="1" ref="R26" ca="1">INDEX($D$2:$D$15,RANDBETWEEN(1,ROWS($D$2:$D$15)),1)</f>
        <v>12</v>
      </c>
      <c r="S26" cm="1">
        <f t="array" aca="1" ref="S26" ca="1">INDEX($D$2:$D$15,RANDBETWEEN(1,ROWS($D$2:$D$15)),1)</f>
        <v>4</v>
      </c>
      <c r="T26" cm="1">
        <f t="array" aca="1" ref="T26" ca="1">INDEX($D$2:$D$15,RANDBETWEEN(1,ROWS($D$2:$D$15)),1)</f>
        <v>11</v>
      </c>
      <c r="W26">
        <f t="shared" ca="1" si="0"/>
        <v>8.8000000000000007</v>
      </c>
      <c r="X26">
        <f t="shared" ca="1" si="1"/>
        <v>10</v>
      </c>
      <c r="Y26">
        <f t="shared" ca="1" si="2"/>
        <v>5.5</v>
      </c>
      <c r="Z26">
        <f t="shared" ca="1" si="3"/>
        <v>3.5294677866702315</v>
      </c>
    </row>
    <row r="27" spans="6:29" x14ac:dyDescent="0.35">
      <c r="F27" cm="1">
        <f t="array" aca="1" ref="F27" ca="1">INDEX($D$2:$D$15,RANDBETWEEN(1,ROWS($D$2:$D$15)),1)</f>
        <v>9</v>
      </c>
      <c r="G27" cm="1">
        <f t="array" aca="1" ref="G27" ca="1">INDEX($D$2:$D$15,RANDBETWEEN(1,ROWS($D$2:$D$15)),1)</f>
        <v>12</v>
      </c>
      <c r="H27" cm="1">
        <f t="array" aca="1" ref="H27" ca="1">INDEX($D$2:$D$15,RANDBETWEEN(1,ROWS($D$2:$D$15)),1)</f>
        <v>4</v>
      </c>
      <c r="I27" cm="1">
        <f t="array" aca="1" ref="I27" ca="1">INDEX($D$2:$D$15,RANDBETWEEN(1,ROWS($D$2:$D$15)),1)</f>
        <v>4</v>
      </c>
      <c r="J27" cm="1">
        <f t="array" aca="1" ref="J27" ca="1">INDEX($D$2:$D$15,RANDBETWEEN(1,ROWS($D$2:$D$15)),1)</f>
        <v>12</v>
      </c>
      <c r="K27" cm="1">
        <f t="array" aca="1" ref="K27" ca="1">INDEX($D$2:$D$15,RANDBETWEEN(1,ROWS($D$2:$D$15)),1)</f>
        <v>4</v>
      </c>
      <c r="L27" cm="1">
        <f t="array" aca="1" ref="L27" ca="1">INDEX($D$2:$D$15,RANDBETWEEN(1,ROWS($D$2:$D$15)),1)</f>
        <v>12</v>
      </c>
      <c r="M27" cm="1">
        <f t="array" aca="1" ref="M27" ca="1">INDEX($D$2:$D$15,RANDBETWEEN(1,ROWS($D$2:$D$15)),1)</f>
        <v>9</v>
      </c>
      <c r="N27" cm="1">
        <f t="array" aca="1" ref="N27" ca="1">INDEX($D$2:$D$15,RANDBETWEEN(1,ROWS($D$2:$D$15)),1)</f>
        <v>4</v>
      </c>
      <c r="O27" cm="1">
        <f t="array" aca="1" ref="O27" ca="1">INDEX($D$2:$D$15,RANDBETWEEN(1,ROWS($D$2:$D$15)),1)</f>
        <v>12</v>
      </c>
      <c r="P27" cm="1">
        <f t="array" aca="1" ref="P27" ca="1">INDEX($D$2:$D$15,RANDBETWEEN(1,ROWS($D$2:$D$15)),1)</f>
        <v>4</v>
      </c>
      <c r="Q27" cm="1">
        <f t="array" aca="1" ref="Q27" ca="1">INDEX($D$2:$D$15,RANDBETWEEN(1,ROWS($D$2:$D$15)),1)</f>
        <v>12</v>
      </c>
      <c r="R27" cm="1">
        <f t="array" aca="1" ref="R27" ca="1">INDEX($D$2:$D$15,RANDBETWEEN(1,ROWS($D$2:$D$15)),1)</f>
        <v>3</v>
      </c>
      <c r="S27" cm="1">
        <f t="array" aca="1" ref="S27" ca="1">INDEX($D$2:$D$15,RANDBETWEEN(1,ROWS($D$2:$D$15)),1)</f>
        <v>12</v>
      </c>
      <c r="T27" cm="1">
        <f t="array" aca="1" ref="T27" ca="1">INDEX($D$2:$D$15,RANDBETWEEN(1,ROWS($D$2:$D$15)),1)</f>
        <v>12</v>
      </c>
      <c r="W27">
        <f t="shared" ca="1" si="0"/>
        <v>8.3333333333333339</v>
      </c>
      <c r="X27">
        <f t="shared" ca="1" si="1"/>
        <v>9</v>
      </c>
      <c r="Y27">
        <f t="shared" ca="1" si="2"/>
        <v>8</v>
      </c>
      <c r="Z27">
        <f t="shared" ca="1" si="3"/>
        <v>3.9400265892262096</v>
      </c>
    </row>
    <row r="28" spans="6:29" x14ac:dyDescent="0.35">
      <c r="F28" cm="1">
        <f t="array" aca="1" ref="F28" ca="1">INDEX($D$2:$D$15,RANDBETWEEN(1,ROWS($D$2:$D$15)),1)</f>
        <v>9</v>
      </c>
      <c r="G28" cm="1">
        <f t="array" aca="1" ref="G28" ca="1">INDEX($D$2:$D$15,RANDBETWEEN(1,ROWS($D$2:$D$15)),1)</f>
        <v>10</v>
      </c>
      <c r="H28" cm="1">
        <f t="array" aca="1" ref="H28" ca="1">INDEX($D$2:$D$15,RANDBETWEEN(1,ROWS($D$2:$D$15)),1)</f>
        <v>12</v>
      </c>
      <c r="I28" cm="1">
        <f t="array" aca="1" ref="I28" ca="1">INDEX($D$2:$D$15,RANDBETWEEN(1,ROWS($D$2:$D$15)),1)</f>
        <v>2</v>
      </c>
      <c r="J28" cm="1">
        <f t="array" aca="1" ref="J28" ca="1">INDEX($D$2:$D$15,RANDBETWEEN(1,ROWS($D$2:$D$15)),1)</f>
        <v>4</v>
      </c>
      <c r="K28" cm="1">
        <f t="array" aca="1" ref="K28" ca="1">INDEX($D$2:$D$15,RANDBETWEEN(1,ROWS($D$2:$D$15)),1)</f>
        <v>9</v>
      </c>
      <c r="L28" cm="1">
        <f t="array" aca="1" ref="L28" ca="1">INDEX($D$2:$D$15,RANDBETWEEN(1,ROWS($D$2:$D$15)),1)</f>
        <v>12</v>
      </c>
      <c r="M28" cm="1">
        <f t="array" aca="1" ref="M28" ca="1">INDEX($D$2:$D$15,RANDBETWEEN(1,ROWS($D$2:$D$15)),1)</f>
        <v>12</v>
      </c>
      <c r="N28" cm="1">
        <f t="array" aca="1" ref="N28" ca="1">INDEX($D$2:$D$15,RANDBETWEEN(1,ROWS($D$2:$D$15)),1)</f>
        <v>12</v>
      </c>
      <c r="O28" cm="1">
        <f t="array" aca="1" ref="O28" ca="1">INDEX($D$2:$D$15,RANDBETWEEN(1,ROWS($D$2:$D$15)),1)</f>
        <v>11</v>
      </c>
      <c r="P28" cm="1">
        <f t="array" aca="1" ref="P28" ca="1">INDEX($D$2:$D$15,RANDBETWEEN(1,ROWS($D$2:$D$15)),1)</f>
        <v>12</v>
      </c>
      <c r="Q28" cm="1">
        <f t="array" aca="1" ref="Q28" ca="1">INDEX($D$2:$D$15,RANDBETWEEN(1,ROWS($D$2:$D$15)),1)</f>
        <v>4</v>
      </c>
      <c r="R28" cm="1">
        <f t="array" aca="1" ref="R28" ca="1">INDEX($D$2:$D$15,RANDBETWEEN(1,ROWS($D$2:$D$15)),1)</f>
        <v>4</v>
      </c>
      <c r="S28" cm="1">
        <f t="array" aca="1" ref="S28" ca="1">INDEX($D$2:$D$15,RANDBETWEEN(1,ROWS($D$2:$D$15)),1)</f>
        <v>4</v>
      </c>
      <c r="T28" cm="1">
        <f t="array" aca="1" ref="T28" ca="1">INDEX($D$2:$D$15,RANDBETWEEN(1,ROWS($D$2:$D$15)),1)</f>
        <v>13</v>
      </c>
      <c r="W28">
        <f t="shared" ca="1" si="0"/>
        <v>8.6666666666666661</v>
      </c>
      <c r="X28">
        <f t="shared" ca="1" si="1"/>
        <v>10</v>
      </c>
      <c r="Y28">
        <f t="shared" ca="1" si="2"/>
        <v>8</v>
      </c>
      <c r="Z28">
        <f t="shared" ca="1" si="3"/>
        <v>3.9036002917941319</v>
      </c>
    </row>
    <row r="29" spans="6:29" x14ac:dyDescent="0.35">
      <c r="F29" cm="1">
        <f t="array" aca="1" ref="F29" ca="1">INDEX($D$2:$D$15,RANDBETWEEN(1,ROWS($D$2:$D$15)),1)</f>
        <v>4</v>
      </c>
      <c r="G29" cm="1">
        <f t="array" aca="1" ref="G29" ca="1">INDEX($D$2:$D$15,RANDBETWEEN(1,ROWS($D$2:$D$15)),1)</f>
        <v>9</v>
      </c>
      <c r="H29" cm="1">
        <f t="array" aca="1" ref="H29" ca="1">INDEX($D$2:$D$15,RANDBETWEEN(1,ROWS($D$2:$D$15)),1)</f>
        <v>4</v>
      </c>
      <c r="I29" cm="1">
        <f t="array" aca="1" ref="I29" ca="1">INDEX($D$2:$D$15,RANDBETWEEN(1,ROWS($D$2:$D$15)),1)</f>
        <v>12</v>
      </c>
      <c r="J29" cm="1">
        <f t="array" aca="1" ref="J29" ca="1">INDEX($D$2:$D$15,RANDBETWEEN(1,ROWS($D$2:$D$15)),1)</f>
        <v>2</v>
      </c>
      <c r="K29" cm="1">
        <f t="array" aca="1" ref="K29" ca="1">INDEX($D$2:$D$15,RANDBETWEEN(1,ROWS($D$2:$D$15)),1)</f>
        <v>2</v>
      </c>
      <c r="L29" cm="1">
        <f t="array" aca="1" ref="L29" ca="1">INDEX($D$2:$D$15,RANDBETWEEN(1,ROWS($D$2:$D$15)),1)</f>
        <v>4</v>
      </c>
      <c r="M29" cm="1">
        <f t="array" aca="1" ref="M29" ca="1">INDEX($D$2:$D$15,RANDBETWEEN(1,ROWS($D$2:$D$15)),1)</f>
        <v>9</v>
      </c>
      <c r="N29" cm="1">
        <f t="array" aca="1" ref="N29" ca="1">INDEX($D$2:$D$15,RANDBETWEEN(1,ROWS($D$2:$D$15)),1)</f>
        <v>4</v>
      </c>
      <c r="O29" cm="1">
        <f t="array" aca="1" ref="O29" ca="1">INDEX($D$2:$D$15,RANDBETWEEN(1,ROWS($D$2:$D$15)),1)</f>
        <v>13</v>
      </c>
      <c r="P29" cm="1">
        <f t="array" aca="1" ref="P29" ca="1">INDEX($D$2:$D$15,RANDBETWEEN(1,ROWS($D$2:$D$15)),1)</f>
        <v>8</v>
      </c>
      <c r="Q29" cm="1">
        <f t="array" aca="1" ref="Q29" ca="1">INDEX($D$2:$D$15,RANDBETWEEN(1,ROWS($D$2:$D$15)),1)</f>
        <v>8</v>
      </c>
      <c r="R29" cm="1">
        <f t="array" aca="1" ref="R29" ca="1">INDEX($D$2:$D$15,RANDBETWEEN(1,ROWS($D$2:$D$15)),1)</f>
        <v>9</v>
      </c>
      <c r="S29" cm="1">
        <f t="array" aca="1" ref="S29" ca="1">INDEX($D$2:$D$15,RANDBETWEEN(1,ROWS($D$2:$D$15)),1)</f>
        <v>2</v>
      </c>
      <c r="T29" cm="1">
        <f t="array" aca="1" ref="T29" ca="1">INDEX($D$2:$D$15,RANDBETWEEN(1,ROWS($D$2:$D$15)),1)</f>
        <v>13</v>
      </c>
      <c r="W29">
        <f t="shared" ca="1" si="0"/>
        <v>6.8666666666666663</v>
      </c>
      <c r="X29">
        <f t="shared" ca="1" si="1"/>
        <v>8</v>
      </c>
      <c r="Y29">
        <f t="shared" ca="1" si="2"/>
        <v>5</v>
      </c>
      <c r="Z29">
        <f t="shared" ca="1" si="3"/>
        <v>3.979710446514324</v>
      </c>
    </row>
    <row r="30" spans="6:29" x14ac:dyDescent="0.35">
      <c r="F30" cm="1">
        <f t="array" aca="1" ref="F30" ca="1">INDEX($D$2:$D$15,RANDBETWEEN(1,ROWS($D$2:$D$15)),1)</f>
        <v>4</v>
      </c>
      <c r="G30" cm="1">
        <f t="array" aca="1" ref="G30" ca="1">INDEX($D$2:$D$15,RANDBETWEEN(1,ROWS($D$2:$D$15)),1)</f>
        <v>11</v>
      </c>
      <c r="H30" cm="1">
        <f t="array" aca="1" ref="H30" ca="1">INDEX($D$2:$D$15,RANDBETWEEN(1,ROWS($D$2:$D$15)),1)</f>
        <v>4</v>
      </c>
      <c r="I30" cm="1">
        <f t="array" aca="1" ref="I30" ca="1">INDEX($D$2:$D$15,RANDBETWEEN(1,ROWS($D$2:$D$15)),1)</f>
        <v>3</v>
      </c>
      <c r="J30" cm="1">
        <f t="array" aca="1" ref="J30" ca="1">INDEX($D$2:$D$15,RANDBETWEEN(1,ROWS($D$2:$D$15)),1)</f>
        <v>2</v>
      </c>
      <c r="K30" cm="1">
        <f t="array" aca="1" ref="K30" ca="1">INDEX($D$2:$D$15,RANDBETWEEN(1,ROWS($D$2:$D$15)),1)</f>
        <v>9</v>
      </c>
      <c r="L30" cm="1">
        <f t="array" aca="1" ref="L30" ca="1">INDEX($D$2:$D$15,RANDBETWEEN(1,ROWS($D$2:$D$15)),1)</f>
        <v>12</v>
      </c>
      <c r="M30" cm="1">
        <f t="array" aca="1" ref="M30" ca="1">INDEX($D$2:$D$15,RANDBETWEEN(1,ROWS($D$2:$D$15)),1)</f>
        <v>2</v>
      </c>
      <c r="N30" cm="1">
        <f t="array" aca="1" ref="N30" ca="1">INDEX($D$2:$D$15,RANDBETWEEN(1,ROWS($D$2:$D$15)),1)</f>
        <v>4</v>
      </c>
      <c r="O30" cm="1">
        <f t="array" aca="1" ref="O30" ca="1">INDEX($D$2:$D$15,RANDBETWEEN(1,ROWS($D$2:$D$15)),1)</f>
        <v>8</v>
      </c>
      <c r="P30" cm="1">
        <f t="array" aca="1" ref="P30" ca="1">INDEX($D$2:$D$15,RANDBETWEEN(1,ROWS($D$2:$D$15)),1)</f>
        <v>12</v>
      </c>
      <c r="Q30" cm="1">
        <f t="array" aca="1" ref="Q30" ca="1">INDEX($D$2:$D$15,RANDBETWEEN(1,ROWS($D$2:$D$15)),1)</f>
        <v>11</v>
      </c>
      <c r="R30" cm="1">
        <f t="array" aca="1" ref="R30" ca="1">INDEX($D$2:$D$15,RANDBETWEEN(1,ROWS($D$2:$D$15)),1)</f>
        <v>11</v>
      </c>
      <c r="S30" cm="1">
        <f t="array" aca="1" ref="S30" ca="1">INDEX($D$2:$D$15,RANDBETWEEN(1,ROWS($D$2:$D$15)),1)</f>
        <v>4</v>
      </c>
      <c r="T30" cm="1">
        <f t="array" aca="1" ref="T30" ca="1">INDEX($D$2:$D$15,RANDBETWEEN(1,ROWS($D$2:$D$15)),1)</f>
        <v>2</v>
      </c>
      <c r="W30">
        <f t="shared" ca="1" si="0"/>
        <v>6.6</v>
      </c>
      <c r="X30">
        <f t="shared" ca="1" si="1"/>
        <v>4</v>
      </c>
      <c r="Y30">
        <f t="shared" ca="1" si="2"/>
        <v>7.5</v>
      </c>
      <c r="Z30">
        <f t="shared" ca="1" si="3"/>
        <v>4.0320147392020855</v>
      </c>
    </row>
    <row r="31" spans="6:29" x14ac:dyDescent="0.35">
      <c r="F31" cm="1">
        <f t="array" aca="1" ref="F31" ca="1">INDEX($D$2:$D$15,RANDBETWEEN(1,ROWS($D$2:$D$15)),1)</f>
        <v>8</v>
      </c>
      <c r="G31" cm="1">
        <f t="array" aca="1" ref="G31" ca="1">INDEX($D$2:$D$15,RANDBETWEEN(1,ROWS($D$2:$D$15)),1)</f>
        <v>10</v>
      </c>
      <c r="H31" cm="1">
        <f t="array" aca="1" ref="H31" ca="1">INDEX($D$2:$D$15,RANDBETWEEN(1,ROWS($D$2:$D$15)),1)</f>
        <v>4</v>
      </c>
      <c r="I31" cm="1">
        <f t="array" aca="1" ref="I31" ca="1">INDEX($D$2:$D$15,RANDBETWEEN(1,ROWS($D$2:$D$15)),1)</f>
        <v>11</v>
      </c>
      <c r="J31" cm="1">
        <f t="array" aca="1" ref="J31" ca="1">INDEX($D$2:$D$15,RANDBETWEEN(1,ROWS($D$2:$D$15)),1)</f>
        <v>9</v>
      </c>
      <c r="K31" cm="1">
        <f t="array" aca="1" ref="K31" ca="1">INDEX($D$2:$D$15,RANDBETWEEN(1,ROWS($D$2:$D$15)),1)</f>
        <v>11</v>
      </c>
      <c r="L31" cm="1">
        <f t="array" aca="1" ref="L31" ca="1">INDEX($D$2:$D$15,RANDBETWEEN(1,ROWS($D$2:$D$15)),1)</f>
        <v>13</v>
      </c>
      <c r="M31" cm="1">
        <f t="array" aca="1" ref="M31" ca="1">INDEX($D$2:$D$15,RANDBETWEEN(1,ROWS($D$2:$D$15)),1)</f>
        <v>12</v>
      </c>
      <c r="N31" cm="1">
        <f t="array" aca="1" ref="N31" ca="1">INDEX($D$2:$D$15,RANDBETWEEN(1,ROWS($D$2:$D$15)),1)</f>
        <v>12</v>
      </c>
      <c r="O31" cm="1">
        <f t="array" aca="1" ref="O31" ca="1">INDEX($D$2:$D$15,RANDBETWEEN(1,ROWS($D$2:$D$15)),1)</f>
        <v>4</v>
      </c>
      <c r="P31" cm="1">
        <f t="array" aca="1" ref="P31" ca="1">INDEX($D$2:$D$15,RANDBETWEEN(1,ROWS($D$2:$D$15)),1)</f>
        <v>9</v>
      </c>
      <c r="Q31" cm="1">
        <f t="array" aca="1" ref="Q31" ca="1">INDEX($D$2:$D$15,RANDBETWEEN(1,ROWS($D$2:$D$15)),1)</f>
        <v>4</v>
      </c>
      <c r="R31" cm="1">
        <f t="array" aca="1" ref="R31" ca="1">INDEX($D$2:$D$15,RANDBETWEEN(1,ROWS($D$2:$D$15)),1)</f>
        <v>2</v>
      </c>
      <c r="S31" cm="1">
        <f t="array" aca="1" ref="S31" ca="1">INDEX($D$2:$D$15,RANDBETWEEN(1,ROWS($D$2:$D$15)),1)</f>
        <v>4</v>
      </c>
      <c r="T31" cm="1">
        <f t="array" aca="1" ref="T31" ca="1">INDEX($D$2:$D$15,RANDBETWEEN(1,ROWS($D$2:$D$15)),1)</f>
        <v>9</v>
      </c>
      <c r="W31">
        <f t="shared" ca="1" si="0"/>
        <v>8.1333333333333329</v>
      </c>
      <c r="X31">
        <f t="shared" ca="1" si="1"/>
        <v>9</v>
      </c>
      <c r="Y31">
        <f t="shared" ca="1" si="2"/>
        <v>7</v>
      </c>
      <c r="Z31">
        <f t="shared" ca="1" si="3"/>
        <v>3.602908877692077</v>
      </c>
    </row>
    <row r="32" spans="6:29" x14ac:dyDescent="0.35">
      <c r="F32" cm="1">
        <f t="array" aca="1" ref="F32" ca="1">INDEX($D$2:$D$15,RANDBETWEEN(1,ROWS($D$2:$D$15)),1)</f>
        <v>8</v>
      </c>
      <c r="G32" cm="1">
        <f t="array" aca="1" ref="G32" ca="1">INDEX($D$2:$D$15,RANDBETWEEN(1,ROWS($D$2:$D$15)),1)</f>
        <v>4</v>
      </c>
      <c r="H32" cm="1">
        <f t="array" aca="1" ref="H32" ca="1">INDEX($D$2:$D$15,RANDBETWEEN(1,ROWS($D$2:$D$15)),1)</f>
        <v>4</v>
      </c>
      <c r="I32" cm="1">
        <f t="array" aca="1" ref="I32" ca="1">INDEX($D$2:$D$15,RANDBETWEEN(1,ROWS($D$2:$D$15)),1)</f>
        <v>12</v>
      </c>
      <c r="J32" cm="1">
        <f t="array" aca="1" ref="J32" ca="1">INDEX($D$2:$D$15,RANDBETWEEN(1,ROWS($D$2:$D$15)),1)</f>
        <v>11</v>
      </c>
      <c r="K32" cm="1">
        <f t="array" aca="1" ref="K32" ca="1">INDEX($D$2:$D$15,RANDBETWEEN(1,ROWS($D$2:$D$15)),1)</f>
        <v>12</v>
      </c>
      <c r="L32" cm="1">
        <f t="array" aca="1" ref="L32" ca="1">INDEX($D$2:$D$15,RANDBETWEEN(1,ROWS($D$2:$D$15)),1)</f>
        <v>13</v>
      </c>
      <c r="M32" cm="1">
        <f t="array" aca="1" ref="M32" ca="1">INDEX($D$2:$D$15,RANDBETWEEN(1,ROWS($D$2:$D$15)),1)</f>
        <v>8</v>
      </c>
      <c r="N32" cm="1">
        <f t="array" aca="1" ref="N32" ca="1">INDEX($D$2:$D$15,RANDBETWEEN(1,ROWS($D$2:$D$15)),1)</f>
        <v>4</v>
      </c>
      <c r="O32" cm="1">
        <f t="array" aca="1" ref="O32" ca="1">INDEX($D$2:$D$15,RANDBETWEEN(1,ROWS($D$2:$D$15)),1)</f>
        <v>9</v>
      </c>
      <c r="P32" cm="1">
        <f t="array" aca="1" ref="P32" ca="1">INDEX($D$2:$D$15,RANDBETWEEN(1,ROWS($D$2:$D$15)),1)</f>
        <v>9</v>
      </c>
      <c r="Q32" cm="1">
        <f t="array" aca="1" ref="Q32" ca="1">INDEX($D$2:$D$15,RANDBETWEEN(1,ROWS($D$2:$D$15)),1)</f>
        <v>4</v>
      </c>
      <c r="R32" cm="1">
        <f t="array" aca="1" ref="R32" ca="1">INDEX($D$2:$D$15,RANDBETWEEN(1,ROWS($D$2:$D$15)),1)</f>
        <v>11</v>
      </c>
      <c r="S32" cm="1">
        <f t="array" aca="1" ref="S32" ca="1">INDEX($D$2:$D$15,RANDBETWEEN(1,ROWS($D$2:$D$15)),1)</f>
        <v>8</v>
      </c>
      <c r="T32" cm="1">
        <f t="array" aca="1" ref="T32" ca="1">INDEX($D$2:$D$15,RANDBETWEEN(1,ROWS($D$2:$D$15)),1)</f>
        <v>9</v>
      </c>
      <c r="W32">
        <f t="shared" ca="1" si="0"/>
        <v>8.4</v>
      </c>
      <c r="X32">
        <f t="shared" ca="1" si="1"/>
        <v>9</v>
      </c>
      <c r="Y32">
        <f t="shared" ca="1" si="2"/>
        <v>5</v>
      </c>
      <c r="Z32">
        <f t="shared" ca="1" si="3"/>
        <v>3.1577568892219308</v>
      </c>
    </row>
    <row r="33" spans="6:26" x14ac:dyDescent="0.35">
      <c r="F33" cm="1">
        <f t="array" aca="1" ref="F33" ca="1">INDEX($D$2:$D$15,RANDBETWEEN(1,ROWS($D$2:$D$15)),1)</f>
        <v>10</v>
      </c>
      <c r="G33" cm="1">
        <f t="array" aca="1" ref="G33" ca="1">INDEX($D$2:$D$15,RANDBETWEEN(1,ROWS($D$2:$D$15)),1)</f>
        <v>4</v>
      </c>
      <c r="H33" cm="1">
        <f t="array" aca="1" ref="H33" ca="1">INDEX($D$2:$D$15,RANDBETWEEN(1,ROWS($D$2:$D$15)),1)</f>
        <v>12</v>
      </c>
      <c r="I33" cm="1">
        <f t="array" aca="1" ref="I33" ca="1">INDEX($D$2:$D$15,RANDBETWEEN(1,ROWS($D$2:$D$15)),1)</f>
        <v>9</v>
      </c>
      <c r="J33" cm="1">
        <f t="array" aca="1" ref="J33" ca="1">INDEX($D$2:$D$15,RANDBETWEEN(1,ROWS($D$2:$D$15)),1)</f>
        <v>3</v>
      </c>
      <c r="K33" cm="1">
        <f t="array" aca="1" ref="K33" ca="1">INDEX($D$2:$D$15,RANDBETWEEN(1,ROWS($D$2:$D$15)),1)</f>
        <v>3</v>
      </c>
      <c r="L33" cm="1">
        <f t="array" aca="1" ref="L33" ca="1">INDEX($D$2:$D$15,RANDBETWEEN(1,ROWS($D$2:$D$15)),1)</f>
        <v>4</v>
      </c>
      <c r="M33" cm="1">
        <f t="array" aca="1" ref="M33" ca="1">INDEX($D$2:$D$15,RANDBETWEEN(1,ROWS($D$2:$D$15)),1)</f>
        <v>9</v>
      </c>
      <c r="N33" cm="1">
        <f t="array" aca="1" ref="N33" ca="1">INDEX($D$2:$D$15,RANDBETWEEN(1,ROWS($D$2:$D$15)),1)</f>
        <v>4</v>
      </c>
      <c r="O33" cm="1">
        <f t="array" aca="1" ref="O33" ca="1">INDEX($D$2:$D$15,RANDBETWEEN(1,ROWS($D$2:$D$15)),1)</f>
        <v>2</v>
      </c>
      <c r="P33" cm="1">
        <f t="array" aca="1" ref="P33" ca="1">INDEX($D$2:$D$15,RANDBETWEEN(1,ROWS($D$2:$D$15)),1)</f>
        <v>4</v>
      </c>
      <c r="Q33" cm="1">
        <f t="array" aca="1" ref="Q33" ca="1">INDEX($D$2:$D$15,RANDBETWEEN(1,ROWS($D$2:$D$15)),1)</f>
        <v>2</v>
      </c>
      <c r="R33" cm="1">
        <f t="array" aca="1" ref="R33" ca="1">INDEX($D$2:$D$15,RANDBETWEEN(1,ROWS($D$2:$D$15)),1)</f>
        <v>2</v>
      </c>
      <c r="S33" cm="1">
        <f t="array" aca="1" ref="S33" ca="1">INDEX($D$2:$D$15,RANDBETWEEN(1,ROWS($D$2:$D$15)),1)</f>
        <v>12</v>
      </c>
      <c r="T33" cm="1">
        <f t="array" aca="1" ref="T33" ca="1">INDEX($D$2:$D$15,RANDBETWEEN(1,ROWS($D$2:$D$15)),1)</f>
        <v>12</v>
      </c>
      <c r="W33">
        <f t="shared" ca="1" si="0"/>
        <v>6.1333333333333337</v>
      </c>
      <c r="X33">
        <f t="shared" ca="1" si="1"/>
        <v>4</v>
      </c>
      <c r="Y33">
        <f t="shared" ca="1" si="2"/>
        <v>6.5</v>
      </c>
      <c r="Z33">
        <f t="shared" ca="1" si="3"/>
        <v>3.9976183385801578</v>
      </c>
    </row>
    <row r="34" spans="6:26" x14ac:dyDescent="0.35">
      <c r="F34" cm="1">
        <f t="array" aca="1" ref="F34" ca="1">INDEX($D$2:$D$15,RANDBETWEEN(1,ROWS($D$2:$D$15)),1)</f>
        <v>2</v>
      </c>
      <c r="G34" cm="1">
        <f t="array" aca="1" ref="G34" ca="1">INDEX($D$2:$D$15,RANDBETWEEN(1,ROWS($D$2:$D$15)),1)</f>
        <v>11</v>
      </c>
      <c r="H34" cm="1">
        <f t="array" aca="1" ref="H34" ca="1">INDEX($D$2:$D$15,RANDBETWEEN(1,ROWS($D$2:$D$15)),1)</f>
        <v>9</v>
      </c>
      <c r="I34" cm="1">
        <f t="array" aca="1" ref="I34" ca="1">INDEX($D$2:$D$15,RANDBETWEEN(1,ROWS($D$2:$D$15)),1)</f>
        <v>9</v>
      </c>
      <c r="J34" cm="1">
        <f t="array" aca="1" ref="J34" ca="1">INDEX($D$2:$D$15,RANDBETWEEN(1,ROWS($D$2:$D$15)),1)</f>
        <v>10</v>
      </c>
      <c r="K34" cm="1">
        <f t="array" aca="1" ref="K34" ca="1">INDEX($D$2:$D$15,RANDBETWEEN(1,ROWS($D$2:$D$15)),1)</f>
        <v>11</v>
      </c>
      <c r="L34" cm="1">
        <f t="array" aca="1" ref="L34" ca="1">INDEX($D$2:$D$15,RANDBETWEEN(1,ROWS($D$2:$D$15)),1)</f>
        <v>10</v>
      </c>
      <c r="M34" cm="1">
        <f t="array" aca="1" ref="M34" ca="1">INDEX($D$2:$D$15,RANDBETWEEN(1,ROWS($D$2:$D$15)),1)</f>
        <v>4</v>
      </c>
      <c r="N34" cm="1">
        <f t="array" aca="1" ref="N34" ca="1">INDEX($D$2:$D$15,RANDBETWEEN(1,ROWS($D$2:$D$15)),1)</f>
        <v>9</v>
      </c>
      <c r="O34" cm="1">
        <f t="array" aca="1" ref="O34" ca="1">INDEX($D$2:$D$15,RANDBETWEEN(1,ROWS($D$2:$D$15)),1)</f>
        <v>9</v>
      </c>
      <c r="P34" cm="1">
        <f t="array" aca="1" ref="P34" ca="1">INDEX($D$2:$D$15,RANDBETWEEN(1,ROWS($D$2:$D$15)),1)</f>
        <v>4</v>
      </c>
      <c r="Q34" cm="1">
        <f t="array" aca="1" ref="Q34" ca="1">INDEX($D$2:$D$15,RANDBETWEEN(1,ROWS($D$2:$D$15)),1)</f>
        <v>3</v>
      </c>
      <c r="R34" cm="1">
        <f t="array" aca="1" ref="R34" ca="1">INDEX($D$2:$D$15,RANDBETWEEN(1,ROWS($D$2:$D$15)),1)</f>
        <v>9</v>
      </c>
      <c r="S34" cm="1">
        <f t="array" aca="1" ref="S34" ca="1">INDEX($D$2:$D$15,RANDBETWEEN(1,ROWS($D$2:$D$15)),1)</f>
        <v>4</v>
      </c>
      <c r="T34" cm="1">
        <f t="array" aca="1" ref="T34" ca="1">INDEX($D$2:$D$15,RANDBETWEEN(1,ROWS($D$2:$D$15)),1)</f>
        <v>8</v>
      </c>
      <c r="W34">
        <f t="shared" ca="1" si="0"/>
        <v>7.4666666666666668</v>
      </c>
      <c r="X34">
        <f t="shared" ca="1" si="1"/>
        <v>9</v>
      </c>
      <c r="Y34">
        <f t="shared" ca="1" si="2"/>
        <v>5.5</v>
      </c>
      <c r="Z34">
        <f t="shared" ca="1" si="3"/>
        <v>3.1137177288954914</v>
      </c>
    </row>
    <row r="35" spans="6:26" x14ac:dyDescent="0.35">
      <c r="F35" cm="1">
        <f t="array" aca="1" ref="F35" ca="1">INDEX($D$2:$D$15,RANDBETWEEN(1,ROWS($D$2:$D$15)),1)</f>
        <v>4</v>
      </c>
      <c r="G35" cm="1">
        <f t="array" aca="1" ref="G35" ca="1">INDEX($D$2:$D$15,RANDBETWEEN(1,ROWS($D$2:$D$15)),1)</f>
        <v>12</v>
      </c>
      <c r="H35" cm="1">
        <f t="array" aca="1" ref="H35" ca="1">INDEX($D$2:$D$15,RANDBETWEEN(1,ROWS($D$2:$D$15)),1)</f>
        <v>4</v>
      </c>
      <c r="I35" cm="1">
        <f t="array" aca="1" ref="I35" ca="1">INDEX($D$2:$D$15,RANDBETWEEN(1,ROWS($D$2:$D$15)),1)</f>
        <v>3</v>
      </c>
      <c r="J35" cm="1">
        <f t="array" aca="1" ref="J35" ca="1">INDEX($D$2:$D$15,RANDBETWEEN(1,ROWS($D$2:$D$15)),1)</f>
        <v>4</v>
      </c>
      <c r="K35" cm="1">
        <f t="array" aca="1" ref="K35" ca="1">INDEX($D$2:$D$15,RANDBETWEEN(1,ROWS($D$2:$D$15)),1)</f>
        <v>9</v>
      </c>
      <c r="L35" cm="1">
        <f t="array" aca="1" ref="L35" ca="1">INDEX($D$2:$D$15,RANDBETWEEN(1,ROWS($D$2:$D$15)),1)</f>
        <v>4</v>
      </c>
      <c r="M35" cm="1">
        <f t="array" aca="1" ref="M35" ca="1">INDEX($D$2:$D$15,RANDBETWEEN(1,ROWS($D$2:$D$15)),1)</f>
        <v>3</v>
      </c>
      <c r="N35" cm="1">
        <f t="array" aca="1" ref="N35" ca="1">INDEX($D$2:$D$15,RANDBETWEEN(1,ROWS($D$2:$D$15)),1)</f>
        <v>12</v>
      </c>
      <c r="O35" cm="1">
        <f t="array" aca="1" ref="O35" ca="1">INDEX($D$2:$D$15,RANDBETWEEN(1,ROWS($D$2:$D$15)),1)</f>
        <v>10</v>
      </c>
      <c r="P35" cm="1">
        <f t="array" aca="1" ref="P35" ca="1">INDEX($D$2:$D$15,RANDBETWEEN(1,ROWS($D$2:$D$15)),1)</f>
        <v>2</v>
      </c>
      <c r="Q35" cm="1">
        <f t="array" aca="1" ref="Q35" ca="1">INDEX($D$2:$D$15,RANDBETWEEN(1,ROWS($D$2:$D$15)),1)</f>
        <v>4</v>
      </c>
      <c r="R35" cm="1">
        <f t="array" aca="1" ref="R35" ca="1">INDEX($D$2:$D$15,RANDBETWEEN(1,ROWS($D$2:$D$15)),1)</f>
        <v>12</v>
      </c>
      <c r="S35" cm="1">
        <f t="array" aca="1" ref="S35" ca="1">INDEX($D$2:$D$15,RANDBETWEEN(1,ROWS($D$2:$D$15)),1)</f>
        <v>4</v>
      </c>
      <c r="T35" cm="1">
        <f t="array" aca="1" ref="T35" ca="1">INDEX($D$2:$D$15,RANDBETWEEN(1,ROWS($D$2:$D$15)),1)</f>
        <v>4</v>
      </c>
      <c r="W35">
        <f t="shared" ca="1" si="0"/>
        <v>6.0666666666666664</v>
      </c>
      <c r="X35">
        <f t="shared" ca="1" si="1"/>
        <v>4</v>
      </c>
      <c r="Y35">
        <f t="shared" ca="1" si="2"/>
        <v>5.5</v>
      </c>
      <c r="Z35">
        <f t="shared" ca="1" si="3"/>
        <v>3.7314621160892845</v>
      </c>
    </row>
    <row r="36" spans="6:26" x14ac:dyDescent="0.35">
      <c r="F36" cm="1">
        <f t="array" aca="1" ref="F36" ca="1">INDEX($D$2:$D$15,RANDBETWEEN(1,ROWS($D$2:$D$15)),1)</f>
        <v>4</v>
      </c>
      <c r="G36" cm="1">
        <f t="array" aca="1" ref="G36" ca="1">INDEX($D$2:$D$15,RANDBETWEEN(1,ROWS($D$2:$D$15)),1)</f>
        <v>12</v>
      </c>
      <c r="H36" cm="1">
        <f t="array" aca="1" ref="H36" ca="1">INDEX($D$2:$D$15,RANDBETWEEN(1,ROWS($D$2:$D$15)),1)</f>
        <v>4</v>
      </c>
      <c r="I36" cm="1">
        <f t="array" aca="1" ref="I36" ca="1">INDEX($D$2:$D$15,RANDBETWEEN(1,ROWS($D$2:$D$15)),1)</f>
        <v>2</v>
      </c>
      <c r="J36" cm="1">
        <f t="array" aca="1" ref="J36" ca="1">INDEX($D$2:$D$15,RANDBETWEEN(1,ROWS($D$2:$D$15)),1)</f>
        <v>12</v>
      </c>
      <c r="K36" cm="1">
        <f t="array" aca="1" ref="K36" ca="1">INDEX($D$2:$D$15,RANDBETWEEN(1,ROWS($D$2:$D$15)),1)</f>
        <v>11</v>
      </c>
      <c r="L36" cm="1">
        <f t="array" aca="1" ref="L36" ca="1">INDEX($D$2:$D$15,RANDBETWEEN(1,ROWS($D$2:$D$15)),1)</f>
        <v>12</v>
      </c>
      <c r="M36" cm="1">
        <f t="array" aca="1" ref="M36" ca="1">INDEX($D$2:$D$15,RANDBETWEEN(1,ROWS($D$2:$D$15)),1)</f>
        <v>4</v>
      </c>
      <c r="N36" cm="1">
        <f t="array" aca="1" ref="N36" ca="1">INDEX($D$2:$D$15,RANDBETWEEN(1,ROWS($D$2:$D$15)),1)</f>
        <v>9</v>
      </c>
      <c r="O36" cm="1">
        <f t="array" aca="1" ref="O36" ca="1">INDEX($D$2:$D$15,RANDBETWEEN(1,ROWS($D$2:$D$15)),1)</f>
        <v>12</v>
      </c>
      <c r="P36" cm="1">
        <f t="array" aca="1" ref="P36" ca="1">INDEX($D$2:$D$15,RANDBETWEEN(1,ROWS($D$2:$D$15)),1)</f>
        <v>4</v>
      </c>
      <c r="Q36" cm="1">
        <f t="array" aca="1" ref="Q36" ca="1">INDEX($D$2:$D$15,RANDBETWEEN(1,ROWS($D$2:$D$15)),1)</f>
        <v>12</v>
      </c>
      <c r="R36" cm="1">
        <f t="array" aca="1" ref="R36" ca="1">INDEX($D$2:$D$15,RANDBETWEEN(1,ROWS($D$2:$D$15)),1)</f>
        <v>4</v>
      </c>
      <c r="S36" cm="1">
        <f t="array" aca="1" ref="S36" ca="1">INDEX($D$2:$D$15,RANDBETWEEN(1,ROWS($D$2:$D$15)),1)</f>
        <v>4</v>
      </c>
      <c r="T36" cm="1">
        <f t="array" aca="1" ref="T36" ca="1">INDEX($D$2:$D$15,RANDBETWEEN(1,ROWS($D$2:$D$15)),1)</f>
        <v>12</v>
      </c>
      <c r="W36">
        <f t="shared" ca="1" si="0"/>
        <v>7.8666666666666663</v>
      </c>
      <c r="X36">
        <f t="shared" ca="1" si="1"/>
        <v>9</v>
      </c>
      <c r="Y36">
        <f t="shared" ca="1" si="2"/>
        <v>8</v>
      </c>
      <c r="Z36">
        <f t="shared" ca="1" si="3"/>
        <v>4.1207951151388711</v>
      </c>
    </row>
    <row r="37" spans="6:26" x14ac:dyDescent="0.35">
      <c r="F37" cm="1">
        <f t="array" aca="1" ref="F37" ca="1">INDEX($D$2:$D$15,RANDBETWEEN(1,ROWS($D$2:$D$15)),1)</f>
        <v>4</v>
      </c>
      <c r="G37" cm="1">
        <f t="array" aca="1" ref="G37" ca="1">INDEX($D$2:$D$15,RANDBETWEEN(1,ROWS($D$2:$D$15)),1)</f>
        <v>9</v>
      </c>
      <c r="H37" cm="1">
        <f t="array" aca="1" ref="H37" ca="1">INDEX($D$2:$D$15,RANDBETWEEN(1,ROWS($D$2:$D$15)),1)</f>
        <v>4</v>
      </c>
      <c r="I37" cm="1">
        <f t="array" aca="1" ref="I37" ca="1">INDEX($D$2:$D$15,RANDBETWEEN(1,ROWS($D$2:$D$15)),1)</f>
        <v>8</v>
      </c>
      <c r="J37" cm="1">
        <f t="array" aca="1" ref="J37" ca="1">INDEX($D$2:$D$15,RANDBETWEEN(1,ROWS($D$2:$D$15)),1)</f>
        <v>9</v>
      </c>
      <c r="K37" cm="1">
        <f t="array" aca="1" ref="K37" ca="1">INDEX($D$2:$D$15,RANDBETWEEN(1,ROWS($D$2:$D$15)),1)</f>
        <v>9</v>
      </c>
      <c r="L37" cm="1">
        <f t="array" aca="1" ref="L37" ca="1">INDEX($D$2:$D$15,RANDBETWEEN(1,ROWS($D$2:$D$15)),1)</f>
        <v>10</v>
      </c>
      <c r="M37" cm="1">
        <f t="array" aca="1" ref="M37" ca="1">INDEX($D$2:$D$15,RANDBETWEEN(1,ROWS($D$2:$D$15)),1)</f>
        <v>9</v>
      </c>
      <c r="N37" cm="1">
        <f t="array" aca="1" ref="N37" ca="1">INDEX($D$2:$D$15,RANDBETWEEN(1,ROWS($D$2:$D$15)),1)</f>
        <v>13</v>
      </c>
      <c r="O37" cm="1">
        <f t="array" aca="1" ref="O37" ca="1">INDEX($D$2:$D$15,RANDBETWEEN(1,ROWS($D$2:$D$15)),1)</f>
        <v>9</v>
      </c>
      <c r="P37" cm="1">
        <f t="array" aca="1" ref="P37" ca="1">INDEX($D$2:$D$15,RANDBETWEEN(1,ROWS($D$2:$D$15)),1)</f>
        <v>9</v>
      </c>
      <c r="Q37" cm="1">
        <f t="array" aca="1" ref="Q37" ca="1">INDEX($D$2:$D$15,RANDBETWEEN(1,ROWS($D$2:$D$15)),1)</f>
        <v>4</v>
      </c>
      <c r="R37" cm="1">
        <f t="array" aca="1" ref="R37" ca="1">INDEX($D$2:$D$15,RANDBETWEEN(1,ROWS($D$2:$D$15)),1)</f>
        <v>3</v>
      </c>
      <c r="S37" cm="1">
        <f t="array" aca="1" ref="S37" ca="1">INDEX($D$2:$D$15,RANDBETWEEN(1,ROWS($D$2:$D$15)),1)</f>
        <v>4</v>
      </c>
      <c r="T37" cm="1">
        <f t="array" aca="1" ref="T37" ca="1">INDEX($D$2:$D$15,RANDBETWEEN(1,ROWS($D$2:$D$15)),1)</f>
        <v>9</v>
      </c>
      <c r="W37">
        <f t="shared" ca="1" si="0"/>
        <v>7.5333333333333332</v>
      </c>
      <c r="X37">
        <f t="shared" ca="1" si="1"/>
        <v>9</v>
      </c>
      <c r="Y37">
        <f t="shared" ca="1" si="2"/>
        <v>5</v>
      </c>
      <c r="Z37">
        <f t="shared" ca="1" si="3"/>
        <v>2.9487689118067721</v>
      </c>
    </row>
    <row r="38" spans="6:26" x14ac:dyDescent="0.35">
      <c r="F38" cm="1">
        <f t="array" aca="1" ref="F38" ca="1">INDEX($D$2:$D$15,RANDBETWEEN(1,ROWS($D$2:$D$15)),1)</f>
        <v>9</v>
      </c>
      <c r="G38" cm="1">
        <f t="array" aca="1" ref="G38" ca="1">INDEX($D$2:$D$15,RANDBETWEEN(1,ROWS($D$2:$D$15)),1)</f>
        <v>10</v>
      </c>
      <c r="H38" cm="1">
        <f t="array" aca="1" ref="H38" ca="1">INDEX($D$2:$D$15,RANDBETWEEN(1,ROWS($D$2:$D$15)),1)</f>
        <v>9</v>
      </c>
      <c r="I38" cm="1">
        <f t="array" aca="1" ref="I38" ca="1">INDEX($D$2:$D$15,RANDBETWEEN(1,ROWS($D$2:$D$15)),1)</f>
        <v>9</v>
      </c>
      <c r="J38" cm="1">
        <f t="array" aca="1" ref="J38" ca="1">INDEX($D$2:$D$15,RANDBETWEEN(1,ROWS($D$2:$D$15)),1)</f>
        <v>9</v>
      </c>
      <c r="K38" cm="1">
        <f t="array" aca="1" ref="K38" ca="1">INDEX($D$2:$D$15,RANDBETWEEN(1,ROWS($D$2:$D$15)),1)</f>
        <v>13</v>
      </c>
      <c r="L38" cm="1">
        <f t="array" aca="1" ref="L38" ca="1">INDEX($D$2:$D$15,RANDBETWEEN(1,ROWS($D$2:$D$15)),1)</f>
        <v>4</v>
      </c>
      <c r="M38" cm="1">
        <f t="array" aca="1" ref="M38" ca="1">INDEX($D$2:$D$15,RANDBETWEEN(1,ROWS($D$2:$D$15)),1)</f>
        <v>9</v>
      </c>
      <c r="N38" cm="1">
        <f t="array" aca="1" ref="N38" ca="1">INDEX($D$2:$D$15,RANDBETWEEN(1,ROWS($D$2:$D$15)),1)</f>
        <v>11</v>
      </c>
      <c r="O38" cm="1">
        <f t="array" aca="1" ref="O38" ca="1">INDEX($D$2:$D$15,RANDBETWEEN(1,ROWS($D$2:$D$15)),1)</f>
        <v>2</v>
      </c>
      <c r="P38" cm="1">
        <f t="array" aca="1" ref="P38" ca="1">INDEX($D$2:$D$15,RANDBETWEEN(1,ROWS($D$2:$D$15)),1)</f>
        <v>9</v>
      </c>
      <c r="Q38" cm="1">
        <f t="array" aca="1" ref="Q38" ca="1">INDEX($D$2:$D$15,RANDBETWEEN(1,ROWS($D$2:$D$15)),1)</f>
        <v>4</v>
      </c>
      <c r="R38" cm="1">
        <f t="array" aca="1" ref="R38" ca="1">INDEX($D$2:$D$15,RANDBETWEEN(1,ROWS($D$2:$D$15)),1)</f>
        <v>4</v>
      </c>
      <c r="S38" cm="1">
        <f t="array" aca="1" ref="S38" ca="1">INDEX($D$2:$D$15,RANDBETWEEN(1,ROWS($D$2:$D$15)),1)</f>
        <v>9</v>
      </c>
      <c r="T38" cm="1">
        <f t="array" aca="1" ref="T38" ca="1">INDEX($D$2:$D$15,RANDBETWEEN(1,ROWS($D$2:$D$15)),1)</f>
        <v>9</v>
      </c>
      <c r="W38">
        <f t="shared" ca="1" si="0"/>
        <v>8</v>
      </c>
      <c r="X38">
        <f t="shared" ca="1" si="1"/>
        <v>9</v>
      </c>
      <c r="Y38">
        <f t="shared" ca="1" si="2"/>
        <v>2.5</v>
      </c>
      <c r="Z38">
        <f t="shared" ca="1" si="3"/>
        <v>3.0472470011002204</v>
      </c>
    </row>
    <row r="39" spans="6:26" x14ac:dyDescent="0.35">
      <c r="F39" cm="1">
        <f t="array" aca="1" ref="F39" ca="1">INDEX($D$2:$D$15,RANDBETWEEN(1,ROWS($D$2:$D$15)),1)</f>
        <v>8</v>
      </c>
      <c r="G39" cm="1">
        <f t="array" aca="1" ref="G39" ca="1">INDEX($D$2:$D$15,RANDBETWEEN(1,ROWS($D$2:$D$15)),1)</f>
        <v>10</v>
      </c>
      <c r="H39" cm="1">
        <f t="array" aca="1" ref="H39" ca="1">INDEX($D$2:$D$15,RANDBETWEEN(1,ROWS($D$2:$D$15)),1)</f>
        <v>12</v>
      </c>
      <c r="I39" cm="1">
        <f t="array" aca="1" ref="I39" ca="1">INDEX($D$2:$D$15,RANDBETWEEN(1,ROWS($D$2:$D$15)),1)</f>
        <v>9</v>
      </c>
      <c r="J39" cm="1">
        <f t="array" aca="1" ref="J39" ca="1">INDEX($D$2:$D$15,RANDBETWEEN(1,ROWS($D$2:$D$15)),1)</f>
        <v>3</v>
      </c>
      <c r="K39" cm="1">
        <f t="array" aca="1" ref="K39" ca="1">INDEX($D$2:$D$15,RANDBETWEEN(1,ROWS($D$2:$D$15)),1)</f>
        <v>4</v>
      </c>
      <c r="L39" cm="1">
        <f t="array" aca="1" ref="L39" ca="1">INDEX($D$2:$D$15,RANDBETWEEN(1,ROWS($D$2:$D$15)),1)</f>
        <v>8</v>
      </c>
      <c r="M39" cm="1">
        <f t="array" aca="1" ref="M39" ca="1">INDEX($D$2:$D$15,RANDBETWEEN(1,ROWS($D$2:$D$15)),1)</f>
        <v>9</v>
      </c>
      <c r="N39" cm="1">
        <f t="array" aca="1" ref="N39" ca="1">INDEX($D$2:$D$15,RANDBETWEEN(1,ROWS($D$2:$D$15)),1)</f>
        <v>10</v>
      </c>
      <c r="O39" cm="1">
        <f t="array" aca="1" ref="O39" ca="1">INDEX($D$2:$D$15,RANDBETWEEN(1,ROWS($D$2:$D$15)),1)</f>
        <v>12</v>
      </c>
      <c r="P39" cm="1">
        <f t="array" aca="1" ref="P39" ca="1">INDEX($D$2:$D$15,RANDBETWEEN(1,ROWS($D$2:$D$15)),1)</f>
        <v>8</v>
      </c>
      <c r="Q39" cm="1">
        <f t="array" aca="1" ref="Q39" ca="1">INDEX($D$2:$D$15,RANDBETWEEN(1,ROWS($D$2:$D$15)),1)</f>
        <v>2</v>
      </c>
      <c r="R39" cm="1">
        <f t="array" aca="1" ref="R39" ca="1">INDEX($D$2:$D$15,RANDBETWEEN(1,ROWS($D$2:$D$15)),1)</f>
        <v>4</v>
      </c>
      <c r="S39" cm="1">
        <f t="array" aca="1" ref="S39" ca="1">INDEX($D$2:$D$15,RANDBETWEEN(1,ROWS($D$2:$D$15)),1)</f>
        <v>10</v>
      </c>
      <c r="T39" cm="1">
        <f t="array" aca="1" ref="T39" ca="1">INDEX($D$2:$D$15,RANDBETWEEN(1,ROWS($D$2:$D$15)),1)</f>
        <v>11</v>
      </c>
      <c r="W39">
        <f t="shared" ca="1" si="0"/>
        <v>8</v>
      </c>
      <c r="X39">
        <f t="shared" ca="1" si="1"/>
        <v>9</v>
      </c>
      <c r="Y39">
        <f t="shared" ca="1" si="2"/>
        <v>4</v>
      </c>
      <c r="Z39">
        <f t="shared" ca="1" si="3"/>
        <v>3.2513733362117261</v>
      </c>
    </row>
    <row r="40" spans="6:26" x14ac:dyDescent="0.35">
      <c r="F40" cm="1">
        <f t="array" aca="1" ref="F40" ca="1">INDEX($D$2:$D$15,RANDBETWEEN(1,ROWS($D$2:$D$15)),1)</f>
        <v>8</v>
      </c>
      <c r="G40" cm="1">
        <f t="array" aca="1" ref="G40" ca="1">INDEX($D$2:$D$15,RANDBETWEEN(1,ROWS($D$2:$D$15)),1)</f>
        <v>3</v>
      </c>
      <c r="H40" cm="1">
        <f t="array" aca="1" ref="H40" ca="1">INDEX($D$2:$D$15,RANDBETWEEN(1,ROWS($D$2:$D$15)),1)</f>
        <v>9</v>
      </c>
      <c r="I40" cm="1">
        <f t="array" aca="1" ref="I40" ca="1">INDEX($D$2:$D$15,RANDBETWEEN(1,ROWS($D$2:$D$15)),1)</f>
        <v>12</v>
      </c>
      <c r="J40" cm="1">
        <f t="array" aca="1" ref="J40" ca="1">INDEX($D$2:$D$15,RANDBETWEEN(1,ROWS($D$2:$D$15)),1)</f>
        <v>4</v>
      </c>
      <c r="K40" cm="1">
        <f t="array" aca="1" ref="K40" ca="1">INDEX($D$2:$D$15,RANDBETWEEN(1,ROWS($D$2:$D$15)),1)</f>
        <v>9</v>
      </c>
      <c r="L40" cm="1">
        <f t="array" aca="1" ref="L40" ca="1">INDEX($D$2:$D$15,RANDBETWEEN(1,ROWS($D$2:$D$15)),1)</f>
        <v>3</v>
      </c>
      <c r="M40" cm="1">
        <f t="array" aca="1" ref="M40" ca="1">INDEX($D$2:$D$15,RANDBETWEEN(1,ROWS($D$2:$D$15)),1)</f>
        <v>3</v>
      </c>
      <c r="N40" cm="1">
        <f t="array" aca="1" ref="N40" ca="1">INDEX($D$2:$D$15,RANDBETWEEN(1,ROWS($D$2:$D$15)),1)</f>
        <v>4</v>
      </c>
      <c r="O40" cm="1">
        <f t="array" aca="1" ref="O40" ca="1">INDEX($D$2:$D$15,RANDBETWEEN(1,ROWS($D$2:$D$15)),1)</f>
        <v>9</v>
      </c>
      <c r="P40" cm="1">
        <f t="array" aca="1" ref="P40" ca="1">INDEX($D$2:$D$15,RANDBETWEEN(1,ROWS($D$2:$D$15)),1)</f>
        <v>9</v>
      </c>
      <c r="Q40" cm="1">
        <f t="array" aca="1" ref="Q40" ca="1">INDEX($D$2:$D$15,RANDBETWEEN(1,ROWS($D$2:$D$15)),1)</f>
        <v>9</v>
      </c>
      <c r="R40" cm="1">
        <f t="array" aca="1" ref="R40" ca="1">INDEX($D$2:$D$15,RANDBETWEEN(1,ROWS($D$2:$D$15)),1)</f>
        <v>10</v>
      </c>
      <c r="S40" cm="1">
        <f t="array" aca="1" ref="S40" ca="1">INDEX($D$2:$D$15,RANDBETWEEN(1,ROWS($D$2:$D$15)),1)</f>
        <v>11</v>
      </c>
      <c r="T40" cm="1">
        <f t="array" aca="1" ref="T40" ca="1">INDEX($D$2:$D$15,RANDBETWEEN(1,ROWS($D$2:$D$15)),1)</f>
        <v>2</v>
      </c>
      <c r="W40">
        <f t="shared" ca="1" si="0"/>
        <v>7</v>
      </c>
      <c r="X40">
        <f t="shared" ca="1" si="1"/>
        <v>9</v>
      </c>
      <c r="Y40">
        <f t="shared" ca="1" si="2"/>
        <v>5.5</v>
      </c>
      <c r="Z40">
        <f t="shared" ca="1" si="3"/>
        <v>3.4016802570830449</v>
      </c>
    </row>
    <row r="41" spans="6:26" x14ac:dyDescent="0.35">
      <c r="F41" cm="1">
        <f t="array" aca="1" ref="F41" ca="1">INDEX($D$2:$D$15,RANDBETWEEN(1,ROWS($D$2:$D$15)),1)</f>
        <v>10</v>
      </c>
      <c r="G41" cm="1">
        <f t="array" aca="1" ref="G41" ca="1">INDEX($D$2:$D$15,RANDBETWEEN(1,ROWS($D$2:$D$15)),1)</f>
        <v>13</v>
      </c>
      <c r="H41" cm="1">
        <f t="array" aca="1" ref="H41" ca="1">INDEX($D$2:$D$15,RANDBETWEEN(1,ROWS($D$2:$D$15)),1)</f>
        <v>12</v>
      </c>
      <c r="I41" cm="1">
        <f t="array" aca="1" ref="I41" ca="1">INDEX($D$2:$D$15,RANDBETWEEN(1,ROWS($D$2:$D$15)),1)</f>
        <v>4</v>
      </c>
      <c r="J41" cm="1">
        <f t="array" aca="1" ref="J41" ca="1">INDEX($D$2:$D$15,RANDBETWEEN(1,ROWS($D$2:$D$15)),1)</f>
        <v>9</v>
      </c>
      <c r="K41" cm="1">
        <f t="array" aca="1" ref="K41" ca="1">INDEX($D$2:$D$15,RANDBETWEEN(1,ROWS($D$2:$D$15)),1)</f>
        <v>4</v>
      </c>
      <c r="L41" cm="1">
        <f t="array" aca="1" ref="L41" ca="1">INDEX($D$2:$D$15,RANDBETWEEN(1,ROWS($D$2:$D$15)),1)</f>
        <v>11</v>
      </c>
      <c r="M41" cm="1">
        <f t="array" aca="1" ref="M41" ca="1">INDEX($D$2:$D$15,RANDBETWEEN(1,ROWS($D$2:$D$15)),1)</f>
        <v>13</v>
      </c>
      <c r="N41" cm="1">
        <f t="array" aca="1" ref="N41" ca="1">INDEX($D$2:$D$15,RANDBETWEEN(1,ROWS($D$2:$D$15)),1)</f>
        <v>11</v>
      </c>
      <c r="O41" cm="1">
        <f t="array" aca="1" ref="O41" ca="1">INDEX($D$2:$D$15,RANDBETWEEN(1,ROWS($D$2:$D$15)),1)</f>
        <v>9</v>
      </c>
      <c r="P41" cm="1">
        <f t="array" aca="1" ref="P41" ca="1">INDEX($D$2:$D$15,RANDBETWEEN(1,ROWS($D$2:$D$15)),1)</f>
        <v>12</v>
      </c>
      <c r="Q41" cm="1">
        <f t="array" aca="1" ref="Q41" ca="1">INDEX($D$2:$D$15,RANDBETWEEN(1,ROWS($D$2:$D$15)),1)</f>
        <v>9</v>
      </c>
      <c r="R41" cm="1">
        <f t="array" aca="1" ref="R41" ca="1">INDEX($D$2:$D$15,RANDBETWEEN(1,ROWS($D$2:$D$15)),1)</f>
        <v>9</v>
      </c>
      <c r="S41" cm="1">
        <f t="array" aca="1" ref="S41" ca="1">INDEX($D$2:$D$15,RANDBETWEEN(1,ROWS($D$2:$D$15)),1)</f>
        <v>2</v>
      </c>
      <c r="T41" cm="1">
        <f t="array" aca="1" ref="T41" ca="1">INDEX($D$2:$D$15,RANDBETWEEN(1,ROWS($D$2:$D$15)),1)</f>
        <v>11</v>
      </c>
      <c r="W41">
        <f t="shared" ca="1" si="0"/>
        <v>9.2666666666666675</v>
      </c>
      <c r="X41">
        <f t="shared" ca="1" si="1"/>
        <v>10</v>
      </c>
      <c r="Y41">
        <f t="shared" ca="1" si="2"/>
        <v>2.5</v>
      </c>
      <c r="Z41">
        <f t="shared" ca="1" si="3"/>
        <v>3.3904628143128335</v>
      </c>
    </row>
    <row r="42" spans="6:26" x14ac:dyDescent="0.35">
      <c r="F42" cm="1">
        <f t="array" aca="1" ref="F42" ca="1">INDEX($D$2:$D$15,RANDBETWEEN(1,ROWS($D$2:$D$15)),1)</f>
        <v>12</v>
      </c>
      <c r="G42" cm="1">
        <f t="array" aca="1" ref="G42" ca="1">INDEX($D$2:$D$15,RANDBETWEEN(1,ROWS($D$2:$D$15)),1)</f>
        <v>3</v>
      </c>
      <c r="H42" cm="1">
        <f t="array" aca="1" ref="H42" ca="1">INDEX($D$2:$D$15,RANDBETWEEN(1,ROWS($D$2:$D$15)),1)</f>
        <v>10</v>
      </c>
      <c r="I42" cm="1">
        <f t="array" aca="1" ref="I42" ca="1">INDEX($D$2:$D$15,RANDBETWEEN(1,ROWS($D$2:$D$15)),1)</f>
        <v>3</v>
      </c>
      <c r="J42" cm="1">
        <f t="array" aca="1" ref="J42" ca="1">INDEX($D$2:$D$15,RANDBETWEEN(1,ROWS($D$2:$D$15)),1)</f>
        <v>9</v>
      </c>
      <c r="K42" cm="1">
        <f t="array" aca="1" ref="K42" ca="1">INDEX($D$2:$D$15,RANDBETWEEN(1,ROWS($D$2:$D$15)),1)</f>
        <v>8</v>
      </c>
      <c r="L42" cm="1">
        <f t="array" aca="1" ref="L42" ca="1">INDEX($D$2:$D$15,RANDBETWEEN(1,ROWS($D$2:$D$15)),1)</f>
        <v>12</v>
      </c>
      <c r="M42" cm="1">
        <f t="array" aca="1" ref="M42" ca="1">INDEX($D$2:$D$15,RANDBETWEEN(1,ROWS($D$2:$D$15)),1)</f>
        <v>13</v>
      </c>
      <c r="N42" cm="1">
        <f t="array" aca="1" ref="N42" ca="1">INDEX($D$2:$D$15,RANDBETWEEN(1,ROWS($D$2:$D$15)),1)</f>
        <v>12</v>
      </c>
      <c r="O42" cm="1">
        <f t="array" aca="1" ref="O42" ca="1">INDEX($D$2:$D$15,RANDBETWEEN(1,ROWS($D$2:$D$15)),1)</f>
        <v>9</v>
      </c>
      <c r="P42" cm="1">
        <f t="array" aca="1" ref="P42" ca="1">INDEX($D$2:$D$15,RANDBETWEEN(1,ROWS($D$2:$D$15)),1)</f>
        <v>3</v>
      </c>
      <c r="Q42" cm="1">
        <f t="array" aca="1" ref="Q42" ca="1">INDEX($D$2:$D$15,RANDBETWEEN(1,ROWS($D$2:$D$15)),1)</f>
        <v>3</v>
      </c>
      <c r="R42" cm="1">
        <f t="array" aca="1" ref="R42" ca="1">INDEX($D$2:$D$15,RANDBETWEEN(1,ROWS($D$2:$D$15)),1)</f>
        <v>4</v>
      </c>
      <c r="S42" cm="1">
        <f t="array" aca="1" ref="S42" ca="1">INDEX($D$2:$D$15,RANDBETWEEN(1,ROWS($D$2:$D$15)),1)</f>
        <v>13</v>
      </c>
      <c r="T42" cm="1">
        <f t="array" aca="1" ref="T42" ca="1">INDEX($D$2:$D$15,RANDBETWEEN(1,ROWS($D$2:$D$15)),1)</f>
        <v>4</v>
      </c>
      <c r="W42">
        <f t="shared" ca="1" si="0"/>
        <v>7.8666666666666663</v>
      </c>
      <c r="X42">
        <f t="shared" ca="1" si="1"/>
        <v>9</v>
      </c>
      <c r="Y42">
        <f t="shared" ca="1" si="2"/>
        <v>8.5</v>
      </c>
      <c r="Z42">
        <f t="shared" ca="1" si="3"/>
        <v>4.1034248181360944</v>
      </c>
    </row>
    <row r="43" spans="6:26" x14ac:dyDescent="0.35">
      <c r="F43" cm="1">
        <f t="array" aca="1" ref="F43" ca="1">INDEX($D$2:$D$15,RANDBETWEEN(1,ROWS($D$2:$D$15)),1)</f>
        <v>10</v>
      </c>
      <c r="G43" cm="1">
        <f t="array" aca="1" ref="G43" ca="1">INDEX($D$2:$D$15,RANDBETWEEN(1,ROWS($D$2:$D$15)),1)</f>
        <v>9</v>
      </c>
      <c r="H43" cm="1">
        <f t="array" aca="1" ref="H43" ca="1">INDEX($D$2:$D$15,RANDBETWEEN(1,ROWS($D$2:$D$15)),1)</f>
        <v>11</v>
      </c>
      <c r="I43" cm="1">
        <f t="array" aca="1" ref="I43" ca="1">INDEX($D$2:$D$15,RANDBETWEEN(1,ROWS($D$2:$D$15)),1)</f>
        <v>9</v>
      </c>
      <c r="J43" cm="1">
        <f t="array" aca="1" ref="J43" ca="1">INDEX($D$2:$D$15,RANDBETWEEN(1,ROWS($D$2:$D$15)),1)</f>
        <v>4</v>
      </c>
      <c r="K43" cm="1">
        <f t="array" aca="1" ref="K43" ca="1">INDEX($D$2:$D$15,RANDBETWEEN(1,ROWS($D$2:$D$15)),1)</f>
        <v>8</v>
      </c>
      <c r="L43" cm="1">
        <f t="array" aca="1" ref="L43" ca="1">INDEX($D$2:$D$15,RANDBETWEEN(1,ROWS($D$2:$D$15)),1)</f>
        <v>9</v>
      </c>
      <c r="M43" cm="1">
        <f t="array" aca="1" ref="M43" ca="1">INDEX($D$2:$D$15,RANDBETWEEN(1,ROWS($D$2:$D$15)),1)</f>
        <v>3</v>
      </c>
      <c r="N43" cm="1">
        <f t="array" aca="1" ref="N43" ca="1">INDEX($D$2:$D$15,RANDBETWEEN(1,ROWS($D$2:$D$15)),1)</f>
        <v>13</v>
      </c>
      <c r="O43" cm="1">
        <f t="array" aca="1" ref="O43" ca="1">INDEX($D$2:$D$15,RANDBETWEEN(1,ROWS($D$2:$D$15)),1)</f>
        <v>11</v>
      </c>
      <c r="P43" cm="1">
        <f t="array" aca="1" ref="P43" ca="1">INDEX($D$2:$D$15,RANDBETWEEN(1,ROWS($D$2:$D$15)),1)</f>
        <v>9</v>
      </c>
      <c r="Q43" cm="1">
        <f t="array" aca="1" ref="Q43" ca="1">INDEX($D$2:$D$15,RANDBETWEEN(1,ROWS($D$2:$D$15)),1)</f>
        <v>13</v>
      </c>
      <c r="R43" cm="1">
        <f t="array" aca="1" ref="R43" ca="1">INDEX($D$2:$D$15,RANDBETWEEN(1,ROWS($D$2:$D$15)),1)</f>
        <v>8</v>
      </c>
      <c r="S43" cm="1">
        <f t="array" aca="1" ref="S43" ca="1">INDEX($D$2:$D$15,RANDBETWEEN(1,ROWS($D$2:$D$15)),1)</f>
        <v>8</v>
      </c>
      <c r="T43" cm="1">
        <f t="array" aca="1" ref="T43" ca="1">INDEX($D$2:$D$15,RANDBETWEEN(1,ROWS($D$2:$D$15)),1)</f>
        <v>9</v>
      </c>
      <c r="W43">
        <f t="shared" ca="1" si="0"/>
        <v>8.9333333333333336</v>
      </c>
      <c r="X43">
        <f t="shared" ca="1" si="1"/>
        <v>9</v>
      </c>
      <c r="Y43">
        <f t="shared" ca="1" si="2"/>
        <v>2.5</v>
      </c>
      <c r="Z43">
        <f t="shared" ca="1" si="3"/>
        <v>2.7377432485969351</v>
      </c>
    </row>
    <row r="44" spans="6:26" x14ac:dyDescent="0.35">
      <c r="F44" cm="1">
        <f t="array" aca="1" ref="F44" ca="1">INDEX($D$2:$D$15,RANDBETWEEN(1,ROWS($D$2:$D$15)),1)</f>
        <v>12</v>
      </c>
      <c r="G44" cm="1">
        <f t="array" aca="1" ref="G44" ca="1">INDEX($D$2:$D$15,RANDBETWEEN(1,ROWS($D$2:$D$15)),1)</f>
        <v>10</v>
      </c>
      <c r="H44" cm="1">
        <f t="array" aca="1" ref="H44" ca="1">INDEX($D$2:$D$15,RANDBETWEEN(1,ROWS($D$2:$D$15)),1)</f>
        <v>4</v>
      </c>
      <c r="I44" cm="1">
        <f t="array" aca="1" ref="I44" ca="1">INDEX($D$2:$D$15,RANDBETWEEN(1,ROWS($D$2:$D$15)),1)</f>
        <v>12</v>
      </c>
      <c r="J44" cm="1">
        <f t="array" aca="1" ref="J44" ca="1">INDEX($D$2:$D$15,RANDBETWEEN(1,ROWS($D$2:$D$15)),1)</f>
        <v>11</v>
      </c>
      <c r="K44" cm="1">
        <f t="array" aca="1" ref="K44" ca="1">INDEX($D$2:$D$15,RANDBETWEEN(1,ROWS($D$2:$D$15)),1)</f>
        <v>12</v>
      </c>
      <c r="L44" cm="1">
        <f t="array" aca="1" ref="L44" ca="1">INDEX($D$2:$D$15,RANDBETWEEN(1,ROWS($D$2:$D$15)),1)</f>
        <v>4</v>
      </c>
      <c r="M44" cm="1">
        <f t="array" aca="1" ref="M44" ca="1">INDEX($D$2:$D$15,RANDBETWEEN(1,ROWS($D$2:$D$15)),1)</f>
        <v>11</v>
      </c>
      <c r="N44" cm="1">
        <f t="array" aca="1" ref="N44" ca="1">INDEX($D$2:$D$15,RANDBETWEEN(1,ROWS($D$2:$D$15)),1)</f>
        <v>2</v>
      </c>
      <c r="O44" cm="1">
        <f t="array" aca="1" ref="O44" ca="1">INDEX($D$2:$D$15,RANDBETWEEN(1,ROWS($D$2:$D$15)),1)</f>
        <v>12</v>
      </c>
      <c r="P44" cm="1">
        <f t="array" aca="1" ref="P44" ca="1">INDEX($D$2:$D$15,RANDBETWEEN(1,ROWS($D$2:$D$15)),1)</f>
        <v>13</v>
      </c>
      <c r="Q44" cm="1">
        <f t="array" aca="1" ref="Q44" ca="1">INDEX($D$2:$D$15,RANDBETWEEN(1,ROWS($D$2:$D$15)),1)</f>
        <v>3</v>
      </c>
      <c r="R44" cm="1">
        <f t="array" aca="1" ref="R44" ca="1">INDEX($D$2:$D$15,RANDBETWEEN(1,ROWS($D$2:$D$15)),1)</f>
        <v>9</v>
      </c>
      <c r="S44" cm="1">
        <f t="array" aca="1" ref="S44" ca="1">INDEX($D$2:$D$15,RANDBETWEEN(1,ROWS($D$2:$D$15)),1)</f>
        <v>8</v>
      </c>
      <c r="T44" cm="1">
        <f t="array" aca="1" ref="T44" ca="1">INDEX($D$2:$D$15,RANDBETWEEN(1,ROWS($D$2:$D$15)),1)</f>
        <v>9</v>
      </c>
      <c r="W44">
        <f t="shared" ca="1" si="0"/>
        <v>8.8000000000000007</v>
      </c>
      <c r="X44">
        <f t="shared" ca="1" si="1"/>
        <v>10</v>
      </c>
      <c r="Y44">
        <f t="shared" ca="1" si="2"/>
        <v>6</v>
      </c>
      <c r="Z44">
        <f t="shared" ca="1" si="3"/>
        <v>3.745473458532504</v>
      </c>
    </row>
    <row r="45" spans="6:26" x14ac:dyDescent="0.35">
      <c r="F45" cm="1">
        <f t="array" aca="1" ref="F45" ca="1">INDEX($D$2:$D$15,RANDBETWEEN(1,ROWS($D$2:$D$15)),1)</f>
        <v>9</v>
      </c>
      <c r="G45" cm="1">
        <f t="array" aca="1" ref="G45" ca="1">INDEX($D$2:$D$15,RANDBETWEEN(1,ROWS($D$2:$D$15)),1)</f>
        <v>4</v>
      </c>
      <c r="H45" cm="1">
        <f t="array" aca="1" ref="H45" ca="1">INDEX($D$2:$D$15,RANDBETWEEN(1,ROWS($D$2:$D$15)),1)</f>
        <v>4</v>
      </c>
      <c r="I45" cm="1">
        <f t="array" aca="1" ref="I45" ca="1">INDEX($D$2:$D$15,RANDBETWEEN(1,ROWS($D$2:$D$15)),1)</f>
        <v>12</v>
      </c>
      <c r="J45" cm="1">
        <f t="array" aca="1" ref="J45" ca="1">INDEX($D$2:$D$15,RANDBETWEEN(1,ROWS($D$2:$D$15)),1)</f>
        <v>10</v>
      </c>
      <c r="K45" cm="1">
        <f t="array" aca="1" ref="K45" ca="1">INDEX($D$2:$D$15,RANDBETWEEN(1,ROWS($D$2:$D$15)),1)</f>
        <v>12</v>
      </c>
      <c r="L45" cm="1">
        <f t="array" aca="1" ref="L45" ca="1">INDEX($D$2:$D$15,RANDBETWEEN(1,ROWS($D$2:$D$15)),1)</f>
        <v>13</v>
      </c>
      <c r="M45" cm="1">
        <f t="array" aca="1" ref="M45" ca="1">INDEX($D$2:$D$15,RANDBETWEEN(1,ROWS($D$2:$D$15)),1)</f>
        <v>9</v>
      </c>
      <c r="N45" cm="1">
        <f t="array" aca="1" ref="N45" ca="1">INDEX($D$2:$D$15,RANDBETWEEN(1,ROWS($D$2:$D$15)),1)</f>
        <v>12</v>
      </c>
      <c r="O45" cm="1">
        <f t="array" aca="1" ref="O45" ca="1">INDEX($D$2:$D$15,RANDBETWEEN(1,ROWS($D$2:$D$15)),1)</f>
        <v>9</v>
      </c>
      <c r="P45" cm="1">
        <f t="array" aca="1" ref="P45" ca="1">INDEX($D$2:$D$15,RANDBETWEEN(1,ROWS($D$2:$D$15)),1)</f>
        <v>9</v>
      </c>
      <c r="Q45" cm="1">
        <f t="array" aca="1" ref="Q45" ca="1">INDEX($D$2:$D$15,RANDBETWEEN(1,ROWS($D$2:$D$15)),1)</f>
        <v>11</v>
      </c>
      <c r="R45" cm="1">
        <f t="array" aca="1" ref="R45" ca="1">INDEX($D$2:$D$15,RANDBETWEEN(1,ROWS($D$2:$D$15)),1)</f>
        <v>11</v>
      </c>
      <c r="S45" cm="1">
        <f t="array" aca="1" ref="S45" ca="1">INDEX($D$2:$D$15,RANDBETWEEN(1,ROWS($D$2:$D$15)),1)</f>
        <v>3</v>
      </c>
      <c r="T45" cm="1">
        <f t="array" aca="1" ref="T45" ca="1">INDEX($D$2:$D$15,RANDBETWEEN(1,ROWS($D$2:$D$15)),1)</f>
        <v>2</v>
      </c>
      <c r="W45">
        <f t="shared" ca="1" si="0"/>
        <v>8.6666666666666661</v>
      </c>
      <c r="X45">
        <f t="shared" ca="1" si="1"/>
        <v>9</v>
      </c>
      <c r="Y45">
        <f t="shared" ca="1" si="2"/>
        <v>5</v>
      </c>
      <c r="Z45">
        <f t="shared" ca="1" si="3"/>
        <v>3.6384193323605833</v>
      </c>
    </row>
    <row r="46" spans="6:26" x14ac:dyDescent="0.35">
      <c r="F46" cm="1">
        <f t="array" aca="1" ref="F46" ca="1">INDEX($D$2:$D$15,RANDBETWEEN(1,ROWS($D$2:$D$15)),1)</f>
        <v>8</v>
      </c>
      <c r="G46" cm="1">
        <f t="array" aca="1" ref="G46" ca="1">INDEX($D$2:$D$15,RANDBETWEEN(1,ROWS($D$2:$D$15)),1)</f>
        <v>12</v>
      </c>
      <c r="H46" cm="1">
        <f t="array" aca="1" ref="H46" ca="1">INDEX($D$2:$D$15,RANDBETWEEN(1,ROWS($D$2:$D$15)),1)</f>
        <v>13</v>
      </c>
      <c r="I46" cm="1">
        <f t="array" aca="1" ref="I46" ca="1">INDEX($D$2:$D$15,RANDBETWEEN(1,ROWS($D$2:$D$15)),1)</f>
        <v>12</v>
      </c>
      <c r="J46" cm="1">
        <f t="array" aca="1" ref="J46" ca="1">INDEX($D$2:$D$15,RANDBETWEEN(1,ROWS($D$2:$D$15)),1)</f>
        <v>4</v>
      </c>
      <c r="K46" cm="1">
        <f t="array" aca="1" ref="K46" ca="1">INDEX($D$2:$D$15,RANDBETWEEN(1,ROWS($D$2:$D$15)),1)</f>
        <v>9</v>
      </c>
      <c r="L46" cm="1">
        <f t="array" aca="1" ref="L46" ca="1">INDEX($D$2:$D$15,RANDBETWEEN(1,ROWS($D$2:$D$15)),1)</f>
        <v>12</v>
      </c>
      <c r="M46" cm="1">
        <f t="array" aca="1" ref="M46" ca="1">INDEX($D$2:$D$15,RANDBETWEEN(1,ROWS($D$2:$D$15)),1)</f>
        <v>12</v>
      </c>
      <c r="N46" cm="1">
        <f t="array" aca="1" ref="N46" ca="1">INDEX($D$2:$D$15,RANDBETWEEN(1,ROWS($D$2:$D$15)),1)</f>
        <v>3</v>
      </c>
      <c r="O46" cm="1">
        <f t="array" aca="1" ref="O46" ca="1">INDEX($D$2:$D$15,RANDBETWEEN(1,ROWS($D$2:$D$15)),1)</f>
        <v>10</v>
      </c>
      <c r="P46" cm="1">
        <f t="array" aca="1" ref="P46" ca="1">INDEX($D$2:$D$15,RANDBETWEEN(1,ROWS($D$2:$D$15)),1)</f>
        <v>8</v>
      </c>
      <c r="Q46" cm="1">
        <f t="array" aca="1" ref="Q46" ca="1">INDEX($D$2:$D$15,RANDBETWEEN(1,ROWS($D$2:$D$15)),1)</f>
        <v>3</v>
      </c>
      <c r="R46" cm="1">
        <f t="array" aca="1" ref="R46" ca="1">INDEX($D$2:$D$15,RANDBETWEEN(1,ROWS($D$2:$D$15)),1)</f>
        <v>11</v>
      </c>
      <c r="S46" cm="1">
        <f t="array" aca="1" ref="S46" ca="1">INDEX($D$2:$D$15,RANDBETWEEN(1,ROWS($D$2:$D$15)),1)</f>
        <v>12</v>
      </c>
      <c r="T46" cm="1">
        <f t="array" aca="1" ref="T46" ca="1">INDEX($D$2:$D$15,RANDBETWEEN(1,ROWS($D$2:$D$15)),1)</f>
        <v>9</v>
      </c>
      <c r="W46">
        <f t="shared" ca="1" si="0"/>
        <v>9.1999999999999993</v>
      </c>
      <c r="X46">
        <f t="shared" ca="1" si="1"/>
        <v>10</v>
      </c>
      <c r="Y46">
        <f t="shared" ca="1" si="2"/>
        <v>4</v>
      </c>
      <c r="Z46">
        <f t="shared" ca="1" si="3"/>
        <v>3.4267852490135926</v>
      </c>
    </row>
    <row r="47" spans="6:26" x14ac:dyDescent="0.35">
      <c r="F47" cm="1">
        <f t="array" aca="1" ref="F47" ca="1">INDEX($D$2:$D$15,RANDBETWEEN(1,ROWS($D$2:$D$15)),1)</f>
        <v>2</v>
      </c>
      <c r="G47" cm="1">
        <f t="array" aca="1" ref="G47" ca="1">INDEX($D$2:$D$15,RANDBETWEEN(1,ROWS($D$2:$D$15)),1)</f>
        <v>9</v>
      </c>
      <c r="H47" cm="1">
        <f t="array" aca="1" ref="H47" ca="1">INDEX($D$2:$D$15,RANDBETWEEN(1,ROWS($D$2:$D$15)),1)</f>
        <v>3</v>
      </c>
      <c r="I47" cm="1">
        <f t="array" aca="1" ref="I47" ca="1">INDEX($D$2:$D$15,RANDBETWEEN(1,ROWS($D$2:$D$15)),1)</f>
        <v>13</v>
      </c>
      <c r="J47" cm="1">
        <f t="array" aca="1" ref="J47" ca="1">INDEX($D$2:$D$15,RANDBETWEEN(1,ROWS($D$2:$D$15)),1)</f>
        <v>12</v>
      </c>
      <c r="K47" cm="1">
        <f t="array" aca="1" ref="K47" ca="1">INDEX($D$2:$D$15,RANDBETWEEN(1,ROWS($D$2:$D$15)),1)</f>
        <v>2</v>
      </c>
      <c r="L47" cm="1">
        <f t="array" aca="1" ref="L47" ca="1">INDEX($D$2:$D$15,RANDBETWEEN(1,ROWS($D$2:$D$15)),1)</f>
        <v>8</v>
      </c>
      <c r="M47" cm="1">
        <f t="array" aca="1" ref="M47" ca="1">INDEX($D$2:$D$15,RANDBETWEEN(1,ROWS($D$2:$D$15)),1)</f>
        <v>9</v>
      </c>
      <c r="N47" cm="1">
        <f t="array" aca="1" ref="N47" ca="1">INDEX($D$2:$D$15,RANDBETWEEN(1,ROWS($D$2:$D$15)),1)</f>
        <v>4</v>
      </c>
      <c r="O47" cm="1">
        <f t="array" aca="1" ref="O47" ca="1">INDEX($D$2:$D$15,RANDBETWEEN(1,ROWS($D$2:$D$15)),1)</f>
        <v>4</v>
      </c>
      <c r="P47" cm="1">
        <f t="array" aca="1" ref="P47" ca="1">INDEX($D$2:$D$15,RANDBETWEEN(1,ROWS($D$2:$D$15)),1)</f>
        <v>11</v>
      </c>
      <c r="Q47" cm="1">
        <f t="array" aca="1" ref="Q47" ca="1">INDEX($D$2:$D$15,RANDBETWEEN(1,ROWS($D$2:$D$15)),1)</f>
        <v>4</v>
      </c>
      <c r="R47" cm="1">
        <f t="array" aca="1" ref="R47" ca="1">INDEX($D$2:$D$15,RANDBETWEEN(1,ROWS($D$2:$D$15)),1)</f>
        <v>11</v>
      </c>
      <c r="S47" cm="1">
        <f t="array" aca="1" ref="S47" ca="1">INDEX($D$2:$D$15,RANDBETWEEN(1,ROWS($D$2:$D$15)),1)</f>
        <v>3</v>
      </c>
      <c r="T47" cm="1">
        <f t="array" aca="1" ref="T47" ca="1">INDEX($D$2:$D$15,RANDBETWEEN(1,ROWS($D$2:$D$15)),1)</f>
        <v>12</v>
      </c>
      <c r="W47">
        <f t="shared" ca="1" si="0"/>
        <v>7.1333333333333337</v>
      </c>
      <c r="X47">
        <f t="shared" ca="1" si="1"/>
        <v>8</v>
      </c>
      <c r="Y47">
        <f t="shared" ca="1" si="2"/>
        <v>7.5</v>
      </c>
      <c r="Z47">
        <f t="shared" ca="1" si="3"/>
        <v>4.1034248181360944</v>
      </c>
    </row>
    <row r="48" spans="6:26" x14ac:dyDescent="0.35">
      <c r="F48" cm="1">
        <f t="array" aca="1" ref="F48" ca="1">INDEX($D$2:$D$15,RANDBETWEEN(1,ROWS($D$2:$D$15)),1)</f>
        <v>9</v>
      </c>
      <c r="G48" cm="1">
        <f t="array" aca="1" ref="G48" ca="1">INDEX($D$2:$D$15,RANDBETWEEN(1,ROWS($D$2:$D$15)),1)</f>
        <v>11</v>
      </c>
      <c r="H48" cm="1">
        <f t="array" aca="1" ref="H48" ca="1">INDEX($D$2:$D$15,RANDBETWEEN(1,ROWS($D$2:$D$15)),1)</f>
        <v>9</v>
      </c>
      <c r="I48" cm="1">
        <f t="array" aca="1" ref="I48" ca="1">INDEX($D$2:$D$15,RANDBETWEEN(1,ROWS($D$2:$D$15)),1)</f>
        <v>4</v>
      </c>
      <c r="J48" cm="1">
        <f t="array" aca="1" ref="J48" ca="1">INDEX($D$2:$D$15,RANDBETWEEN(1,ROWS($D$2:$D$15)),1)</f>
        <v>8</v>
      </c>
      <c r="K48" cm="1">
        <f t="array" aca="1" ref="K48" ca="1">INDEX($D$2:$D$15,RANDBETWEEN(1,ROWS($D$2:$D$15)),1)</f>
        <v>9</v>
      </c>
      <c r="L48" cm="1">
        <f t="array" aca="1" ref="L48" ca="1">INDEX($D$2:$D$15,RANDBETWEEN(1,ROWS($D$2:$D$15)),1)</f>
        <v>4</v>
      </c>
      <c r="M48" cm="1">
        <f t="array" aca="1" ref="M48" ca="1">INDEX($D$2:$D$15,RANDBETWEEN(1,ROWS($D$2:$D$15)),1)</f>
        <v>3</v>
      </c>
      <c r="N48" cm="1">
        <f t="array" aca="1" ref="N48" ca="1">INDEX($D$2:$D$15,RANDBETWEEN(1,ROWS($D$2:$D$15)),1)</f>
        <v>8</v>
      </c>
      <c r="O48" cm="1">
        <f t="array" aca="1" ref="O48" ca="1">INDEX($D$2:$D$15,RANDBETWEEN(1,ROWS($D$2:$D$15)),1)</f>
        <v>2</v>
      </c>
      <c r="P48" cm="1">
        <f t="array" aca="1" ref="P48" ca="1">INDEX($D$2:$D$15,RANDBETWEEN(1,ROWS($D$2:$D$15)),1)</f>
        <v>8</v>
      </c>
      <c r="Q48" cm="1">
        <f t="array" aca="1" ref="Q48" ca="1">INDEX($D$2:$D$15,RANDBETWEEN(1,ROWS($D$2:$D$15)),1)</f>
        <v>9</v>
      </c>
      <c r="R48" cm="1">
        <f t="array" aca="1" ref="R48" ca="1">INDEX($D$2:$D$15,RANDBETWEEN(1,ROWS($D$2:$D$15)),1)</f>
        <v>4</v>
      </c>
      <c r="S48" cm="1">
        <f t="array" aca="1" ref="S48" ca="1">INDEX($D$2:$D$15,RANDBETWEEN(1,ROWS($D$2:$D$15)),1)</f>
        <v>9</v>
      </c>
      <c r="T48" cm="1">
        <f t="array" aca="1" ref="T48" ca="1">INDEX($D$2:$D$15,RANDBETWEEN(1,ROWS($D$2:$D$15)),1)</f>
        <v>9</v>
      </c>
      <c r="W48">
        <f t="shared" ca="1" si="0"/>
        <v>7.0666666666666664</v>
      </c>
      <c r="X48">
        <f t="shared" ca="1" si="1"/>
        <v>8</v>
      </c>
      <c r="Y48">
        <f t="shared" ca="1" si="2"/>
        <v>5</v>
      </c>
      <c r="Z48">
        <f t="shared" ca="1" si="3"/>
        <v>2.8149262021959864</v>
      </c>
    </row>
    <row r="49" spans="6:26" x14ac:dyDescent="0.35">
      <c r="F49" cm="1">
        <f t="array" aca="1" ref="F49" ca="1">INDEX($D$2:$D$15,RANDBETWEEN(1,ROWS($D$2:$D$15)),1)</f>
        <v>4</v>
      </c>
      <c r="G49" cm="1">
        <f t="array" aca="1" ref="G49" ca="1">INDEX($D$2:$D$15,RANDBETWEEN(1,ROWS($D$2:$D$15)),1)</f>
        <v>13</v>
      </c>
      <c r="H49" cm="1">
        <f t="array" aca="1" ref="H49" ca="1">INDEX($D$2:$D$15,RANDBETWEEN(1,ROWS($D$2:$D$15)),1)</f>
        <v>13</v>
      </c>
      <c r="I49" cm="1">
        <f t="array" aca="1" ref="I49" ca="1">INDEX($D$2:$D$15,RANDBETWEEN(1,ROWS($D$2:$D$15)),1)</f>
        <v>3</v>
      </c>
      <c r="J49" cm="1">
        <f t="array" aca="1" ref="J49" ca="1">INDEX($D$2:$D$15,RANDBETWEEN(1,ROWS($D$2:$D$15)),1)</f>
        <v>4</v>
      </c>
      <c r="K49" cm="1">
        <f t="array" aca="1" ref="K49" ca="1">INDEX($D$2:$D$15,RANDBETWEEN(1,ROWS($D$2:$D$15)),1)</f>
        <v>3</v>
      </c>
      <c r="L49" cm="1">
        <f t="array" aca="1" ref="L49" ca="1">INDEX($D$2:$D$15,RANDBETWEEN(1,ROWS($D$2:$D$15)),1)</f>
        <v>8</v>
      </c>
      <c r="M49" cm="1">
        <f t="array" aca="1" ref="M49" ca="1">INDEX($D$2:$D$15,RANDBETWEEN(1,ROWS($D$2:$D$15)),1)</f>
        <v>4</v>
      </c>
      <c r="N49" cm="1">
        <f t="array" aca="1" ref="N49" ca="1">INDEX($D$2:$D$15,RANDBETWEEN(1,ROWS($D$2:$D$15)),1)</f>
        <v>4</v>
      </c>
      <c r="O49" cm="1">
        <f t="array" aca="1" ref="O49" ca="1">INDEX($D$2:$D$15,RANDBETWEEN(1,ROWS($D$2:$D$15)),1)</f>
        <v>12</v>
      </c>
      <c r="P49" cm="1">
        <f t="array" aca="1" ref="P49" ca="1">INDEX($D$2:$D$15,RANDBETWEEN(1,ROWS($D$2:$D$15)),1)</f>
        <v>3</v>
      </c>
      <c r="Q49" cm="1">
        <f t="array" aca="1" ref="Q49" ca="1">INDEX($D$2:$D$15,RANDBETWEEN(1,ROWS($D$2:$D$15)),1)</f>
        <v>4</v>
      </c>
      <c r="R49" cm="1">
        <f t="array" aca="1" ref="R49" ca="1">INDEX($D$2:$D$15,RANDBETWEEN(1,ROWS($D$2:$D$15)),1)</f>
        <v>13</v>
      </c>
      <c r="S49" cm="1">
        <f t="array" aca="1" ref="S49" ca="1">INDEX($D$2:$D$15,RANDBETWEEN(1,ROWS($D$2:$D$15)),1)</f>
        <v>4</v>
      </c>
      <c r="T49" cm="1">
        <f t="array" aca="1" ref="T49" ca="1">INDEX($D$2:$D$15,RANDBETWEEN(1,ROWS($D$2:$D$15)),1)</f>
        <v>11</v>
      </c>
      <c r="W49">
        <f t="shared" ca="1" si="0"/>
        <v>6.8666666666666663</v>
      </c>
      <c r="X49">
        <f t="shared" ca="1" si="1"/>
        <v>4</v>
      </c>
      <c r="Y49">
        <f t="shared" ca="1" si="2"/>
        <v>7.5</v>
      </c>
      <c r="Z49">
        <f t="shared" ca="1" si="3"/>
        <v>4.2403953095144775</v>
      </c>
    </row>
    <row r="50" spans="6:26" x14ac:dyDescent="0.35">
      <c r="F50" cm="1">
        <f t="array" aca="1" ref="F50" ca="1">INDEX($D$2:$D$15,RANDBETWEEN(1,ROWS($D$2:$D$15)),1)</f>
        <v>10</v>
      </c>
      <c r="G50" cm="1">
        <f t="array" aca="1" ref="G50" ca="1">INDEX($D$2:$D$15,RANDBETWEEN(1,ROWS($D$2:$D$15)),1)</f>
        <v>9</v>
      </c>
      <c r="H50" cm="1">
        <f t="array" aca="1" ref="H50" ca="1">INDEX($D$2:$D$15,RANDBETWEEN(1,ROWS($D$2:$D$15)),1)</f>
        <v>9</v>
      </c>
      <c r="I50" cm="1">
        <f t="array" aca="1" ref="I50" ca="1">INDEX($D$2:$D$15,RANDBETWEEN(1,ROWS($D$2:$D$15)),1)</f>
        <v>9</v>
      </c>
      <c r="J50" cm="1">
        <f t="array" aca="1" ref="J50" ca="1">INDEX($D$2:$D$15,RANDBETWEEN(1,ROWS($D$2:$D$15)),1)</f>
        <v>12</v>
      </c>
      <c r="K50" cm="1">
        <f t="array" aca="1" ref="K50" ca="1">INDEX($D$2:$D$15,RANDBETWEEN(1,ROWS($D$2:$D$15)),1)</f>
        <v>12</v>
      </c>
      <c r="L50" cm="1">
        <f t="array" aca="1" ref="L50" ca="1">INDEX($D$2:$D$15,RANDBETWEEN(1,ROWS($D$2:$D$15)),1)</f>
        <v>10</v>
      </c>
      <c r="M50" cm="1">
        <f t="array" aca="1" ref="M50" ca="1">INDEX($D$2:$D$15,RANDBETWEEN(1,ROWS($D$2:$D$15)),1)</f>
        <v>9</v>
      </c>
      <c r="N50" cm="1">
        <f t="array" aca="1" ref="N50" ca="1">INDEX($D$2:$D$15,RANDBETWEEN(1,ROWS($D$2:$D$15)),1)</f>
        <v>2</v>
      </c>
      <c r="O50" cm="1">
        <f t="array" aca="1" ref="O50" ca="1">INDEX($D$2:$D$15,RANDBETWEEN(1,ROWS($D$2:$D$15)),1)</f>
        <v>12</v>
      </c>
      <c r="P50" cm="1">
        <f t="array" aca="1" ref="P50" ca="1">INDEX($D$2:$D$15,RANDBETWEEN(1,ROWS($D$2:$D$15)),1)</f>
        <v>4</v>
      </c>
      <c r="Q50" cm="1">
        <f t="array" aca="1" ref="Q50" ca="1">INDEX($D$2:$D$15,RANDBETWEEN(1,ROWS($D$2:$D$15)),1)</f>
        <v>13</v>
      </c>
      <c r="R50" cm="1">
        <f t="array" aca="1" ref="R50" ca="1">INDEX($D$2:$D$15,RANDBETWEEN(1,ROWS($D$2:$D$15)),1)</f>
        <v>4</v>
      </c>
      <c r="S50" cm="1">
        <f t="array" aca="1" ref="S50" ca="1">INDEX($D$2:$D$15,RANDBETWEEN(1,ROWS($D$2:$D$15)),1)</f>
        <v>13</v>
      </c>
      <c r="T50" cm="1">
        <f t="array" aca="1" ref="T50" ca="1">INDEX($D$2:$D$15,RANDBETWEEN(1,ROWS($D$2:$D$15)),1)</f>
        <v>4</v>
      </c>
      <c r="W50">
        <f t="shared" ca="1" si="0"/>
        <v>8.8000000000000007</v>
      </c>
      <c r="X50">
        <f t="shared" ca="1" si="1"/>
        <v>9</v>
      </c>
      <c r="Y50">
        <f t="shared" ca="1" si="2"/>
        <v>5.5</v>
      </c>
      <c r="Z50">
        <f t="shared" ca="1" si="3"/>
        <v>3.6292462814513673</v>
      </c>
    </row>
    <row r="51" spans="6:26" x14ac:dyDescent="0.35">
      <c r="F51" cm="1">
        <f t="array" aca="1" ref="F51" ca="1">INDEX($D$2:$D$15,RANDBETWEEN(1,ROWS($D$2:$D$15)),1)</f>
        <v>11</v>
      </c>
      <c r="G51" cm="1">
        <f t="array" aca="1" ref="G51" ca="1">INDEX($D$2:$D$15,RANDBETWEEN(1,ROWS($D$2:$D$15)),1)</f>
        <v>4</v>
      </c>
      <c r="H51" cm="1">
        <f t="array" aca="1" ref="H51" ca="1">INDEX($D$2:$D$15,RANDBETWEEN(1,ROWS($D$2:$D$15)),1)</f>
        <v>8</v>
      </c>
      <c r="I51" cm="1">
        <f t="array" aca="1" ref="I51" ca="1">INDEX($D$2:$D$15,RANDBETWEEN(1,ROWS($D$2:$D$15)),1)</f>
        <v>4</v>
      </c>
      <c r="J51" cm="1">
        <f t="array" aca="1" ref="J51" ca="1">INDEX($D$2:$D$15,RANDBETWEEN(1,ROWS($D$2:$D$15)),1)</f>
        <v>12</v>
      </c>
      <c r="K51" cm="1">
        <f t="array" aca="1" ref="K51" ca="1">INDEX($D$2:$D$15,RANDBETWEEN(1,ROWS($D$2:$D$15)),1)</f>
        <v>10</v>
      </c>
      <c r="L51" cm="1">
        <f t="array" aca="1" ref="L51" ca="1">INDEX($D$2:$D$15,RANDBETWEEN(1,ROWS($D$2:$D$15)),1)</f>
        <v>10</v>
      </c>
      <c r="M51" cm="1">
        <f t="array" aca="1" ref="M51" ca="1">INDEX($D$2:$D$15,RANDBETWEEN(1,ROWS($D$2:$D$15)),1)</f>
        <v>8</v>
      </c>
      <c r="N51" cm="1">
        <f t="array" aca="1" ref="N51" ca="1">INDEX($D$2:$D$15,RANDBETWEEN(1,ROWS($D$2:$D$15)),1)</f>
        <v>12</v>
      </c>
      <c r="O51" cm="1">
        <f t="array" aca="1" ref="O51" ca="1">INDEX($D$2:$D$15,RANDBETWEEN(1,ROWS($D$2:$D$15)),1)</f>
        <v>11</v>
      </c>
      <c r="P51" cm="1">
        <f t="array" aca="1" ref="P51" ca="1">INDEX($D$2:$D$15,RANDBETWEEN(1,ROWS($D$2:$D$15)),1)</f>
        <v>13</v>
      </c>
      <c r="Q51" cm="1">
        <f t="array" aca="1" ref="Q51" ca="1">INDEX($D$2:$D$15,RANDBETWEEN(1,ROWS($D$2:$D$15)),1)</f>
        <v>4</v>
      </c>
      <c r="R51" cm="1">
        <f t="array" aca="1" ref="R51" ca="1">INDEX($D$2:$D$15,RANDBETWEEN(1,ROWS($D$2:$D$15)),1)</f>
        <v>4</v>
      </c>
      <c r="S51" cm="1">
        <f t="array" aca="1" ref="S51" ca="1">INDEX($D$2:$D$15,RANDBETWEEN(1,ROWS($D$2:$D$15)),1)</f>
        <v>4</v>
      </c>
      <c r="T51" cm="1">
        <f t="array" aca="1" ref="T51" ca="1">INDEX($D$2:$D$15,RANDBETWEEN(1,ROWS($D$2:$D$15)),1)</f>
        <v>4</v>
      </c>
      <c r="W51">
        <f t="shared" ca="1" si="0"/>
        <v>7.9333333333333336</v>
      </c>
      <c r="X51">
        <f t="shared" ca="1" si="1"/>
        <v>8</v>
      </c>
      <c r="Y51">
        <f t="shared" ca="1" si="2"/>
        <v>7</v>
      </c>
      <c r="Z51">
        <f t="shared" ca="1" si="3"/>
        <v>3.575045787252574</v>
      </c>
    </row>
    <row r="52" spans="6:26" x14ac:dyDescent="0.35">
      <c r="F52" cm="1">
        <f t="array" aca="1" ref="F52" ca="1">INDEX($D$2:$D$15,RANDBETWEEN(1,ROWS($D$2:$D$15)),1)</f>
        <v>9</v>
      </c>
      <c r="G52" cm="1">
        <f t="array" aca="1" ref="G52" ca="1">INDEX($D$2:$D$15,RANDBETWEEN(1,ROWS($D$2:$D$15)),1)</f>
        <v>12</v>
      </c>
      <c r="H52" cm="1">
        <f t="array" aca="1" ref="H52" ca="1">INDEX($D$2:$D$15,RANDBETWEEN(1,ROWS($D$2:$D$15)),1)</f>
        <v>2</v>
      </c>
      <c r="I52" cm="1">
        <f t="array" aca="1" ref="I52" ca="1">INDEX($D$2:$D$15,RANDBETWEEN(1,ROWS($D$2:$D$15)),1)</f>
        <v>2</v>
      </c>
      <c r="J52" cm="1">
        <f t="array" aca="1" ref="J52" ca="1">INDEX($D$2:$D$15,RANDBETWEEN(1,ROWS($D$2:$D$15)),1)</f>
        <v>10</v>
      </c>
      <c r="K52" cm="1">
        <f t="array" aca="1" ref="K52" ca="1">INDEX($D$2:$D$15,RANDBETWEEN(1,ROWS($D$2:$D$15)),1)</f>
        <v>11</v>
      </c>
      <c r="L52" cm="1">
        <f t="array" aca="1" ref="L52" ca="1">INDEX($D$2:$D$15,RANDBETWEEN(1,ROWS($D$2:$D$15)),1)</f>
        <v>10</v>
      </c>
      <c r="M52" cm="1">
        <f t="array" aca="1" ref="M52" ca="1">INDEX($D$2:$D$15,RANDBETWEEN(1,ROWS($D$2:$D$15)),1)</f>
        <v>12</v>
      </c>
      <c r="N52" cm="1">
        <f t="array" aca="1" ref="N52" ca="1">INDEX($D$2:$D$15,RANDBETWEEN(1,ROWS($D$2:$D$15)),1)</f>
        <v>3</v>
      </c>
      <c r="O52" cm="1">
        <f t="array" aca="1" ref="O52" ca="1">INDEX($D$2:$D$15,RANDBETWEEN(1,ROWS($D$2:$D$15)),1)</f>
        <v>4</v>
      </c>
      <c r="P52" cm="1">
        <f t="array" aca="1" ref="P52" ca="1">INDEX($D$2:$D$15,RANDBETWEEN(1,ROWS($D$2:$D$15)),1)</f>
        <v>9</v>
      </c>
      <c r="Q52" cm="1">
        <f t="array" aca="1" ref="Q52" ca="1">INDEX($D$2:$D$15,RANDBETWEEN(1,ROWS($D$2:$D$15)),1)</f>
        <v>12</v>
      </c>
      <c r="R52" cm="1">
        <f t="array" aca="1" ref="R52" ca="1">INDEX($D$2:$D$15,RANDBETWEEN(1,ROWS($D$2:$D$15)),1)</f>
        <v>9</v>
      </c>
      <c r="S52" cm="1">
        <f t="array" aca="1" ref="S52" ca="1">INDEX($D$2:$D$15,RANDBETWEEN(1,ROWS($D$2:$D$15)),1)</f>
        <v>8</v>
      </c>
      <c r="T52" cm="1">
        <f t="array" aca="1" ref="T52" ca="1">INDEX($D$2:$D$15,RANDBETWEEN(1,ROWS($D$2:$D$15)),1)</f>
        <v>12</v>
      </c>
      <c r="W52">
        <f t="shared" ca="1" si="0"/>
        <v>8.3333333333333339</v>
      </c>
      <c r="X52">
        <f t="shared" ca="1" si="1"/>
        <v>9</v>
      </c>
      <c r="Y52">
        <f t="shared" ca="1" si="2"/>
        <v>5.5</v>
      </c>
      <c r="Z52">
        <f t="shared" ca="1" si="3"/>
        <v>3.735288603626358</v>
      </c>
    </row>
    <row r="53" spans="6:26" x14ac:dyDescent="0.35">
      <c r="F53" cm="1">
        <f t="array" aca="1" ref="F53" ca="1">INDEX($D$2:$D$15,RANDBETWEEN(1,ROWS($D$2:$D$15)),1)</f>
        <v>4</v>
      </c>
      <c r="G53" cm="1">
        <f t="array" aca="1" ref="G53" ca="1">INDEX($D$2:$D$15,RANDBETWEEN(1,ROWS($D$2:$D$15)),1)</f>
        <v>2</v>
      </c>
      <c r="H53" cm="1">
        <f t="array" aca="1" ref="H53" ca="1">INDEX($D$2:$D$15,RANDBETWEEN(1,ROWS($D$2:$D$15)),1)</f>
        <v>13</v>
      </c>
      <c r="I53" cm="1">
        <f t="array" aca="1" ref="I53" ca="1">INDEX($D$2:$D$15,RANDBETWEEN(1,ROWS($D$2:$D$15)),1)</f>
        <v>9</v>
      </c>
      <c r="J53" cm="1">
        <f t="array" aca="1" ref="J53" ca="1">INDEX($D$2:$D$15,RANDBETWEEN(1,ROWS($D$2:$D$15)),1)</f>
        <v>11</v>
      </c>
      <c r="K53" cm="1">
        <f t="array" aca="1" ref="K53" ca="1">INDEX($D$2:$D$15,RANDBETWEEN(1,ROWS($D$2:$D$15)),1)</f>
        <v>9</v>
      </c>
      <c r="L53" cm="1">
        <f t="array" aca="1" ref="L53" ca="1">INDEX($D$2:$D$15,RANDBETWEEN(1,ROWS($D$2:$D$15)),1)</f>
        <v>10</v>
      </c>
      <c r="M53" cm="1">
        <f t="array" aca="1" ref="M53" ca="1">INDEX($D$2:$D$15,RANDBETWEEN(1,ROWS($D$2:$D$15)),1)</f>
        <v>3</v>
      </c>
      <c r="N53" cm="1">
        <f t="array" aca="1" ref="N53" ca="1">INDEX($D$2:$D$15,RANDBETWEEN(1,ROWS($D$2:$D$15)),1)</f>
        <v>2</v>
      </c>
      <c r="O53" cm="1">
        <f t="array" aca="1" ref="O53" ca="1">INDEX($D$2:$D$15,RANDBETWEEN(1,ROWS($D$2:$D$15)),1)</f>
        <v>4</v>
      </c>
      <c r="P53" cm="1">
        <f t="array" aca="1" ref="P53" ca="1">INDEX($D$2:$D$15,RANDBETWEEN(1,ROWS($D$2:$D$15)),1)</f>
        <v>10</v>
      </c>
      <c r="Q53" cm="1">
        <f t="array" aca="1" ref="Q53" ca="1">INDEX($D$2:$D$15,RANDBETWEEN(1,ROWS($D$2:$D$15)),1)</f>
        <v>3</v>
      </c>
      <c r="R53" cm="1">
        <f t="array" aca="1" ref="R53" ca="1">INDEX($D$2:$D$15,RANDBETWEEN(1,ROWS($D$2:$D$15)),1)</f>
        <v>9</v>
      </c>
      <c r="S53" cm="1">
        <f t="array" aca="1" ref="S53" ca="1">INDEX($D$2:$D$15,RANDBETWEEN(1,ROWS($D$2:$D$15)),1)</f>
        <v>9</v>
      </c>
      <c r="T53" cm="1">
        <f t="array" aca="1" ref="T53" ca="1">INDEX($D$2:$D$15,RANDBETWEEN(1,ROWS($D$2:$D$15)),1)</f>
        <v>13</v>
      </c>
      <c r="W53">
        <f t="shared" ca="1" si="0"/>
        <v>7.4</v>
      </c>
      <c r="X53">
        <f t="shared" ca="1" si="1"/>
        <v>9</v>
      </c>
      <c r="Y53">
        <f t="shared" ca="1" si="2"/>
        <v>6.5</v>
      </c>
      <c r="Z53">
        <f t="shared" ca="1" si="3"/>
        <v>3.9605194464507161</v>
      </c>
    </row>
    <row r="54" spans="6:26" x14ac:dyDescent="0.35">
      <c r="F54" cm="1">
        <f t="array" aca="1" ref="F54" ca="1">INDEX($D$2:$D$15,RANDBETWEEN(1,ROWS($D$2:$D$15)),1)</f>
        <v>9</v>
      </c>
      <c r="G54" cm="1">
        <f t="array" aca="1" ref="G54" ca="1">INDEX($D$2:$D$15,RANDBETWEEN(1,ROWS($D$2:$D$15)),1)</f>
        <v>12</v>
      </c>
      <c r="H54" cm="1">
        <f t="array" aca="1" ref="H54" ca="1">INDEX($D$2:$D$15,RANDBETWEEN(1,ROWS($D$2:$D$15)),1)</f>
        <v>3</v>
      </c>
      <c r="I54" cm="1">
        <f t="array" aca="1" ref="I54" ca="1">INDEX($D$2:$D$15,RANDBETWEEN(1,ROWS($D$2:$D$15)),1)</f>
        <v>3</v>
      </c>
      <c r="J54" cm="1">
        <f t="array" aca="1" ref="J54" ca="1">INDEX($D$2:$D$15,RANDBETWEEN(1,ROWS($D$2:$D$15)),1)</f>
        <v>11</v>
      </c>
      <c r="K54" cm="1">
        <f t="array" aca="1" ref="K54" ca="1">INDEX($D$2:$D$15,RANDBETWEEN(1,ROWS($D$2:$D$15)),1)</f>
        <v>12</v>
      </c>
      <c r="L54" cm="1">
        <f t="array" aca="1" ref="L54" ca="1">INDEX($D$2:$D$15,RANDBETWEEN(1,ROWS($D$2:$D$15)),1)</f>
        <v>9</v>
      </c>
      <c r="M54" cm="1">
        <f t="array" aca="1" ref="M54" ca="1">INDEX($D$2:$D$15,RANDBETWEEN(1,ROWS($D$2:$D$15)),1)</f>
        <v>9</v>
      </c>
      <c r="N54" cm="1">
        <f t="array" aca="1" ref="N54" ca="1">INDEX($D$2:$D$15,RANDBETWEEN(1,ROWS($D$2:$D$15)),1)</f>
        <v>11</v>
      </c>
      <c r="O54" cm="1">
        <f t="array" aca="1" ref="O54" ca="1">INDEX($D$2:$D$15,RANDBETWEEN(1,ROWS($D$2:$D$15)),1)</f>
        <v>2</v>
      </c>
      <c r="P54" cm="1">
        <f t="array" aca="1" ref="P54" ca="1">INDEX($D$2:$D$15,RANDBETWEEN(1,ROWS($D$2:$D$15)),1)</f>
        <v>9</v>
      </c>
      <c r="Q54" cm="1">
        <f t="array" aca="1" ref="Q54" ca="1">INDEX($D$2:$D$15,RANDBETWEEN(1,ROWS($D$2:$D$15)),1)</f>
        <v>2</v>
      </c>
      <c r="R54" cm="1">
        <f t="array" aca="1" ref="R54" ca="1">INDEX($D$2:$D$15,RANDBETWEEN(1,ROWS($D$2:$D$15)),1)</f>
        <v>11</v>
      </c>
      <c r="S54" cm="1">
        <f t="array" aca="1" ref="S54" ca="1">INDEX($D$2:$D$15,RANDBETWEEN(1,ROWS($D$2:$D$15)),1)</f>
        <v>9</v>
      </c>
      <c r="T54" cm="1">
        <f t="array" aca="1" ref="T54" ca="1">INDEX($D$2:$D$15,RANDBETWEEN(1,ROWS($D$2:$D$15)),1)</f>
        <v>12</v>
      </c>
      <c r="W54">
        <f t="shared" ca="1" si="0"/>
        <v>8.2666666666666675</v>
      </c>
      <c r="X54">
        <f t="shared" ca="1" si="1"/>
        <v>9</v>
      </c>
      <c r="Y54">
        <f t="shared" ca="1" si="2"/>
        <v>5</v>
      </c>
      <c r="Z54">
        <f t="shared" ca="1" si="3"/>
        <v>3.7884536360342271</v>
      </c>
    </row>
    <row r="55" spans="6:26" x14ac:dyDescent="0.35">
      <c r="F55" cm="1">
        <f t="array" aca="1" ref="F55" ca="1">INDEX($D$2:$D$15,RANDBETWEEN(1,ROWS($D$2:$D$15)),1)</f>
        <v>2</v>
      </c>
      <c r="G55" cm="1">
        <f t="array" aca="1" ref="G55" ca="1">INDEX($D$2:$D$15,RANDBETWEEN(1,ROWS($D$2:$D$15)),1)</f>
        <v>8</v>
      </c>
      <c r="H55" cm="1">
        <f t="array" aca="1" ref="H55" ca="1">INDEX($D$2:$D$15,RANDBETWEEN(1,ROWS($D$2:$D$15)),1)</f>
        <v>11</v>
      </c>
      <c r="I55" cm="1">
        <f t="array" aca="1" ref="I55" ca="1">INDEX($D$2:$D$15,RANDBETWEEN(1,ROWS($D$2:$D$15)),1)</f>
        <v>2</v>
      </c>
      <c r="J55" cm="1">
        <f t="array" aca="1" ref="J55" ca="1">INDEX($D$2:$D$15,RANDBETWEEN(1,ROWS($D$2:$D$15)),1)</f>
        <v>2</v>
      </c>
      <c r="K55" cm="1">
        <f t="array" aca="1" ref="K55" ca="1">INDEX($D$2:$D$15,RANDBETWEEN(1,ROWS($D$2:$D$15)),1)</f>
        <v>9</v>
      </c>
      <c r="L55" cm="1">
        <f t="array" aca="1" ref="L55" ca="1">INDEX($D$2:$D$15,RANDBETWEEN(1,ROWS($D$2:$D$15)),1)</f>
        <v>11</v>
      </c>
      <c r="M55" cm="1">
        <f t="array" aca="1" ref="M55" ca="1">INDEX($D$2:$D$15,RANDBETWEEN(1,ROWS($D$2:$D$15)),1)</f>
        <v>4</v>
      </c>
      <c r="N55" cm="1">
        <f t="array" aca="1" ref="N55" ca="1">INDEX($D$2:$D$15,RANDBETWEEN(1,ROWS($D$2:$D$15)),1)</f>
        <v>4</v>
      </c>
      <c r="O55" cm="1">
        <f t="array" aca="1" ref="O55" ca="1">INDEX($D$2:$D$15,RANDBETWEEN(1,ROWS($D$2:$D$15)),1)</f>
        <v>4</v>
      </c>
      <c r="P55" cm="1">
        <f t="array" aca="1" ref="P55" ca="1">INDEX($D$2:$D$15,RANDBETWEEN(1,ROWS($D$2:$D$15)),1)</f>
        <v>4</v>
      </c>
      <c r="Q55" cm="1">
        <f t="array" aca="1" ref="Q55" ca="1">INDEX($D$2:$D$15,RANDBETWEEN(1,ROWS($D$2:$D$15)),1)</f>
        <v>8</v>
      </c>
      <c r="R55" cm="1">
        <f t="array" aca="1" ref="R55" ca="1">INDEX($D$2:$D$15,RANDBETWEEN(1,ROWS($D$2:$D$15)),1)</f>
        <v>4</v>
      </c>
      <c r="S55" cm="1">
        <f t="array" aca="1" ref="S55" ca="1">INDEX($D$2:$D$15,RANDBETWEEN(1,ROWS($D$2:$D$15)),1)</f>
        <v>4</v>
      </c>
      <c r="T55" cm="1">
        <f t="array" aca="1" ref="T55" ca="1">INDEX($D$2:$D$15,RANDBETWEEN(1,ROWS($D$2:$D$15)),1)</f>
        <v>3</v>
      </c>
      <c r="W55">
        <f t="shared" ca="1" si="0"/>
        <v>5.333333333333333</v>
      </c>
      <c r="X55">
        <f t="shared" ca="1" si="1"/>
        <v>4</v>
      </c>
      <c r="Y55">
        <f t="shared" ca="1" si="2"/>
        <v>4.5</v>
      </c>
      <c r="Z55">
        <f t="shared" ca="1" si="3"/>
        <v>3.1773004414499573</v>
      </c>
    </row>
    <row r="56" spans="6:26" x14ac:dyDescent="0.35">
      <c r="F56" cm="1">
        <f t="array" aca="1" ref="F56" ca="1">INDEX($D$2:$D$15,RANDBETWEEN(1,ROWS($D$2:$D$15)),1)</f>
        <v>12</v>
      </c>
      <c r="G56" cm="1">
        <f t="array" aca="1" ref="G56" ca="1">INDEX($D$2:$D$15,RANDBETWEEN(1,ROWS($D$2:$D$15)),1)</f>
        <v>4</v>
      </c>
      <c r="H56" cm="1">
        <f t="array" aca="1" ref="H56" ca="1">INDEX($D$2:$D$15,RANDBETWEEN(1,ROWS($D$2:$D$15)),1)</f>
        <v>9</v>
      </c>
      <c r="I56" cm="1">
        <f t="array" aca="1" ref="I56" ca="1">INDEX($D$2:$D$15,RANDBETWEEN(1,ROWS($D$2:$D$15)),1)</f>
        <v>4</v>
      </c>
      <c r="J56" cm="1">
        <f t="array" aca="1" ref="J56" ca="1">INDEX($D$2:$D$15,RANDBETWEEN(1,ROWS($D$2:$D$15)),1)</f>
        <v>12</v>
      </c>
      <c r="K56" cm="1">
        <f t="array" aca="1" ref="K56" ca="1">INDEX($D$2:$D$15,RANDBETWEEN(1,ROWS($D$2:$D$15)),1)</f>
        <v>3</v>
      </c>
      <c r="L56" cm="1">
        <f t="array" aca="1" ref="L56" ca="1">INDEX($D$2:$D$15,RANDBETWEEN(1,ROWS($D$2:$D$15)),1)</f>
        <v>13</v>
      </c>
      <c r="M56" cm="1">
        <f t="array" aca="1" ref="M56" ca="1">INDEX($D$2:$D$15,RANDBETWEEN(1,ROWS($D$2:$D$15)),1)</f>
        <v>13</v>
      </c>
      <c r="N56" cm="1">
        <f t="array" aca="1" ref="N56" ca="1">INDEX($D$2:$D$15,RANDBETWEEN(1,ROWS($D$2:$D$15)),1)</f>
        <v>4</v>
      </c>
      <c r="O56" cm="1">
        <f t="array" aca="1" ref="O56" ca="1">INDEX($D$2:$D$15,RANDBETWEEN(1,ROWS($D$2:$D$15)),1)</f>
        <v>2</v>
      </c>
      <c r="P56" cm="1">
        <f t="array" aca="1" ref="P56" ca="1">INDEX($D$2:$D$15,RANDBETWEEN(1,ROWS($D$2:$D$15)),1)</f>
        <v>9</v>
      </c>
      <c r="Q56" cm="1">
        <f t="array" aca="1" ref="Q56" ca="1">INDEX($D$2:$D$15,RANDBETWEEN(1,ROWS($D$2:$D$15)),1)</f>
        <v>12</v>
      </c>
      <c r="R56" cm="1">
        <f t="array" aca="1" ref="R56" ca="1">INDEX($D$2:$D$15,RANDBETWEEN(1,ROWS($D$2:$D$15)),1)</f>
        <v>9</v>
      </c>
      <c r="S56" cm="1">
        <f t="array" aca="1" ref="S56" ca="1">INDEX($D$2:$D$15,RANDBETWEEN(1,ROWS($D$2:$D$15)),1)</f>
        <v>3</v>
      </c>
      <c r="T56" cm="1">
        <f t="array" aca="1" ref="T56" ca="1">INDEX($D$2:$D$15,RANDBETWEEN(1,ROWS($D$2:$D$15)),1)</f>
        <v>4</v>
      </c>
      <c r="W56">
        <f t="shared" ca="1" si="0"/>
        <v>7.5333333333333332</v>
      </c>
      <c r="X56">
        <f t="shared" ca="1" si="1"/>
        <v>9</v>
      </c>
      <c r="Y56">
        <f t="shared" ca="1" si="2"/>
        <v>8</v>
      </c>
      <c r="Z56">
        <f t="shared" ca="1" si="3"/>
        <v>4.2065708237515862</v>
      </c>
    </row>
    <row r="57" spans="6:26" x14ac:dyDescent="0.35">
      <c r="F57" cm="1">
        <f t="array" aca="1" ref="F57" ca="1">INDEX($D$2:$D$15,RANDBETWEEN(1,ROWS($D$2:$D$15)),1)</f>
        <v>2</v>
      </c>
      <c r="G57" cm="1">
        <f t="array" aca="1" ref="G57" ca="1">INDEX($D$2:$D$15,RANDBETWEEN(1,ROWS($D$2:$D$15)),1)</f>
        <v>12</v>
      </c>
      <c r="H57" cm="1">
        <f t="array" aca="1" ref="H57" ca="1">INDEX($D$2:$D$15,RANDBETWEEN(1,ROWS($D$2:$D$15)),1)</f>
        <v>12</v>
      </c>
      <c r="I57" cm="1">
        <f t="array" aca="1" ref="I57" ca="1">INDEX($D$2:$D$15,RANDBETWEEN(1,ROWS($D$2:$D$15)),1)</f>
        <v>9</v>
      </c>
      <c r="J57" cm="1">
        <f t="array" aca="1" ref="J57" ca="1">INDEX($D$2:$D$15,RANDBETWEEN(1,ROWS($D$2:$D$15)),1)</f>
        <v>9</v>
      </c>
      <c r="K57" cm="1">
        <f t="array" aca="1" ref="K57" ca="1">INDEX($D$2:$D$15,RANDBETWEEN(1,ROWS($D$2:$D$15)),1)</f>
        <v>2</v>
      </c>
      <c r="L57" cm="1">
        <f t="array" aca="1" ref="L57" ca="1">INDEX($D$2:$D$15,RANDBETWEEN(1,ROWS($D$2:$D$15)),1)</f>
        <v>12</v>
      </c>
      <c r="M57" cm="1">
        <f t="array" aca="1" ref="M57" ca="1">INDEX($D$2:$D$15,RANDBETWEEN(1,ROWS($D$2:$D$15)),1)</f>
        <v>4</v>
      </c>
      <c r="N57" cm="1">
        <f t="array" aca="1" ref="N57" ca="1">INDEX($D$2:$D$15,RANDBETWEEN(1,ROWS($D$2:$D$15)),1)</f>
        <v>12</v>
      </c>
      <c r="O57" cm="1">
        <f t="array" aca="1" ref="O57" ca="1">INDEX($D$2:$D$15,RANDBETWEEN(1,ROWS($D$2:$D$15)),1)</f>
        <v>9</v>
      </c>
      <c r="P57" cm="1">
        <f t="array" aca="1" ref="P57" ca="1">INDEX($D$2:$D$15,RANDBETWEEN(1,ROWS($D$2:$D$15)),1)</f>
        <v>9</v>
      </c>
      <c r="Q57" cm="1">
        <f t="array" aca="1" ref="Q57" ca="1">INDEX($D$2:$D$15,RANDBETWEEN(1,ROWS($D$2:$D$15)),1)</f>
        <v>4</v>
      </c>
      <c r="R57" cm="1">
        <f t="array" aca="1" ref="R57" ca="1">INDEX($D$2:$D$15,RANDBETWEEN(1,ROWS($D$2:$D$15)),1)</f>
        <v>4</v>
      </c>
      <c r="S57" cm="1">
        <f t="array" aca="1" ref="S57" ca="1">INDEX($D$2:$D$15,RANDBETWEEN(1,ROWS($D$2:$D$15)),1)</f>
        <v>3</v>
      </c>
      <c r="T57" cm="1">
        <f t="array" aca="1" ref="T57" ca="1">INDEX($D$2:$D$15,RANDBETWEEN(1,ROWS($D$2:$D$15)),1)</f>
        <v>3</v>
      </c>
      <c r="W57">
        <f t="shared" ca="1" si="0"/>
        <v>7.0666666666666664</v>
      </c>
      <c r="X57">
        <f t="shared" ca="1" si="1"/>
        <v>9</v>
      </c>
      <c r="Y57">
        <f t="shared" ca="1" si="2"/>
        <v>7</v>
      </c>
      <c r="Z57">
        <f t="shared" ca="1" si="3"/>
        <v>4.00832467081531</v>
      </c>
    </row>
    <row r="58" spans="6:26" x14ac:dyDescent="0.35">
      <c r="F58" cm="1">
        <f t="array" aca="1" ref="F58" ca="1">INDEX($D$2:$D$15,RANDBETWEEN(1,ROWS($D$2:$D$15)),1)</f>
        <v>12</v>
      </c>
      <c r="G58" cm="1">
        <f t="array" aca="1" ref="G58" ca="1">INDEX($D$2:$D$15,RANDBETWEEN(1,ROWS($D$2:$D$15)),1)</f>
        <v>2</v>
      </c>
      <c r="H58" cm="1">
        <f t="array" aca="1" ref="H58" ca="1">INDEX($D$2:$D$15,RANDBETWEEN(1,ROWS($D$2:$D$15)),1)</f>
        <v>9</v>
      </c>
      <c r="I58" cm="1">
        <f t="array" aca="1" ref="I58" ca="1">INDEX($D$2:$D$15,RANDBETWEEN(1,ROWS($D$2:$D$15)),1)</f>
        <v>11</v>
      </c>
      <c r="J58" cm="1">
        <f t="array" aca="1" ref="J58" ca="1">INDEX($D$2:$D$15,RANDBETWEEN(1,ROWS($D$2:$D$15)),1)</f>
        <v>11</v>
      </c>
      <c r="K58" cm="1">
        <f t="array" aca="1" ref="K58" ca="1">INDEX($D$2:$D$15,RANDBETWEEN(1,ROWS($D$2:$D$15)),1)</f>
        <v>12</v>
      </c>
      <c r="L58" cm="1">
        <f t="array" aca="1" ref="L58" ca="1">INDEX($D$2:$D$15,RANDBETWEEN(1,ROWS($D$2:$D$15)),1)</f>
        <v>9</v>
      </c>
      <c r="M58" cm="1">
        <f t="array" aca="1" ref="M58" ca="1">INDEX($D$2:$D$15,RANDBETWEEN(1,ROWS($D$2:$D$15)),1)</f>
        <v>13</v>
      </c>
      <c r="N58" cm="1">
        <f t="array" aca="1" ref="N58" ca="1">INDEX($D$2:$D$15,RANDBETWEEN(1,ROWS($D$2:$D$15)),1)</f>
        <v>10</v>
      </c>
      <c r="O58" cm="1">
        <f t="array" aca="1" ref="O58" ca="1">INDEX($D$2:$D$15,RANDBETWEEN(1,ROWS($D$2:$D$15)),1)</f>
        <v>10</v>
      </c>
      <c r="P58" cm="1">
        <f t="array" aca="1" ref="P58" ca="1">INDEX($D$2:$D$15,RANDBETWEEN(1,ROWS($D$2:$D$15)),1)</f>
        <v>9</v>
      </c>
      <c r="Q58" cm="1">
        <f t="array" aca="1" ref="Q58" ca="1">INDEX($D$2:$D$15,RANDBETWEEN(1,ROWS($D$2:$D$15)),1)</f>
        <v>10</v>
      </c>
      <c r="R58" cm="1">
        <f t="array" aca="1" ref="R58" ca="1">INDEX($D$2:$D$15,RANDBETWEEN(1,ROWS($D$2:$D$15)),1)</f>
        <v>8</v>
      </c>
      <c r="S58" cm="1">
        <f t="array" aca="1" ref="S58" ca="1">INDEX($D$2:$D$15,RANDBETWEEN(1,ROWS($D$2:$D$15)),1)</f>
        <v>8</v>
      </c>
      <c r="T58" cm="1">
        <f t="array" aca="1" ref="T58" ca="1">INDEX($D$2:$D$15,RANDBETWEEN(1,ROWS($D$2:$D$15)),1)</f>
        <v>2</v>
      </c>
      <c r="W58">
        <f t="shared" ca="1" si="0"/>
        <v>9.0666666666666664</v>
      </c>
      <c r="X58">
        <f t="shared" ca="1" si="1"/>
        <v>10</v>
      </c>
      <c r="Y58">
        <f t="shared" ca="1" si="2"/>
        <v>2.5</v>
      </c>
      <c r="Z58">
        <f t="shared" ca="1" si="3"/>
        <v>3.2175116087406672</v>
      </c>
    </row>
    <row r="59" spans="6:26" x14ac:dyDescent="0.35">
      <c r="F59" cm="1">
        <f t="array" aca="1" ref="F59" ca="1">INDEX($D$2:$D$15,RANDBETWEEN(1,ROWS($D$2:$D$15)),1)</f>
        <v>10</v>
      </c>
      <c r="G59" cm="1">
        <f t="array" aca="1" ref="G59" ca="1">INDEX($D$2:$D$15,RANDBETWEEN(1,ROWS($D$2:$D$15)),1)</f>
        <v>11</v>
      </c>
      <c r="H59" cm="1">
        <f t="array" aca="1" ref="H59" ca="1">INDEX($D$2:$D$15,RANDBETWEEN(1,ROWS($D$2:$D$15)),1)</f>
        <v>9</v>
      </c>
      <c r="I59" cm="1">
        <f t="array" aca="1" ref="I59" ca="1">INDEX($D$2:$D$15,RANDBETWEEN(1,ROWS($D$2:$D$15)),1)</f>
        <v>10</v>
      </c>
      <c r="J59" cm="1">
        <f t="array" aca="1" ref="J59" ca="1">INDEX($D$2:$D$15,RANDBETWEEN(1,ROWS($D$2:$D$15)),1)</f>
        <v>4</v>
      </c>
      <c r="K59" cm="1">
        <f t="array" aca="1" ref="K59" ca="1">INDEX($D$2:$D$15,RANDBETWEEN(1,ROWS($D$2:$D$15)),1)</f>
        <v>8</v>
      </c>
      <c r="L59" cm="1">
        <f t="array" aca="1" ref="L59" ca="1">INDEX($D$2:$D$15,RANDBETWEEN(1,ROWS($D$2:$D$15)),1)</f>
        <v>13</v>
      </c>
      <c r="M59" cm="1">
        <f t="array" aca="1" ref="M59" ca="1">INDEX($D$2:$D$15,RANDBETWEEN(1,ROWS($D$2:$D$15)),1)</f>
        <v>4</v>
      </c>
      <c r="N59" cm="1">
        <f t="array" aca="1" ref="N59" ca="1">INDEX($D$2:$D$15,RANDBETWEEN(1,ROWS($D$2:$D$15)),1)</f>
        <v>3</v>
      </c>
      <c r="O59" cm="1">
        <f t="array" aca="1" ref="O59" ca="1">INDEX($D$2:$D$15,RANDBETWEEN(1,ROWS($D$2:$D$15)),1)</f>
        <v>9</v>
      </c>
      <c r="P59" cm="1">
        <f t="array" aca="1" ref="P59" ca="1">INDEX($D$2:$D$15,RANDBETWEEN(1,ROWS($D$2:$D$15)),1)</f>
        <v>12</v>
      </c>
      <c r="Q59" cm="1">
        <f t="array" aca="1" ref="Q59" ca="1">INDEX($D$2:$D$15,RANDBETWEEN(1,ROWS($D$2:$D$15)),1)</f>
        <v>9</v>
      </c>
      <c r="R59" cm="1">
        <f t="array" aca="1" ref="R59" ca="1">INDEX($D$2:$D$15,RANDBETWEEN(1,ROWS($D$2:$D$15)),1)</f>
        <v>4</v>
      </c>
      <c r="S59" cm="1">
        <f t="array" aca="1" ref="S59" ca="1">INDEX($D$2:$D$15,RANDBETWEEN(1,ROWS($D$2:$D$15)),1)</f>
        <v>9</v>
      </c>
      <c r="T59" cm="1">
        <f t="array" aca="1" ref="T59" ca="1">INDEX($D$2:$D$15,RANDBETWEEN(1,ROWS($D$2:$D$15)),1)</f>
        <v>4</v>
      </c>
      <c r="W59">
        <f t="shared" ca="1" si="0"/>
        <v>7.9333333333333336</v>
      </c>
      <c r="X59">
        <f t="shared" ca="1" si="1"/>
        <v>9</v>
      </c>
      <c r="Y59">
        <f t="shared" ca="1" si="2"/>
        <v>6</v>
      </c>
      <c r="Z59">
        <f t="shared" ca="1" si="3"/>
        <v>3.283436063174122</v>
      </c>
    </row>
    <row r="60" spans="6:26" x14ac:dyDescent="0.35">
      <c r="F60" cm="1">
        <f t="array" aca="1" ref="F60" ca="1">INDEX($D$2:$D$15,RANDBETWEEN(1,ROWS($D$2:$D$15)),1)</f>
        <v>4</v>
      </c>
      <c r="G60" cm="1">
        <f t="array" aca="1" ref="G60" ca="1">INDEX($D$2:$D$15,RANDBETWEEN(1,ROWS($D$2:$D$15)),1)</f>
        <v>4</v>
      </c>
      <c r="H60" cm="1">
        <f t="array" aca="1" ref="H60" ca="1">INDEX($D$2:$D$15,RANDBETWEEN(1,ROWS($D$2:$D$15)),1)</f>
        <v>4</v>
      </c>
      <c r="I60" cm="1">
        <f t="array" aca="1" ref="I60" ca="1">INDEX($D$2:$D$15,RANDBETWEEN(1,ROWS($D$2:$D$15)),1)</f>
        <v>13</v>
      </c>
      <c r="J60" cm="1">
        <f t="array" aca="1" ref="J60" ca="1">INDEX($D$2:$D$15,RANDBETWEEN(1,ROWS($D$2:$D$15)),1)</f>
        <v>9</v>
      </c>
      <c r="K60" cm="1">
        <f t="array" aca="1" ref="K60" ca="1">INDEX($D$2:$D$15,RANDBETWEEN(1,ROWS($D$2:$D$15)),1)</f>
        <v>8</v>
      </c>
      <c r="L60" cm="1">
        <f t="array" aca="1" ref="L60" ca="1">INDEX($D$2:$D$15,RANDBETWEEN(1,ROWS($D$2:$D$15)),1)</f>
        <v>8</v>
      </c>
      <c r="M60" cm="1">
        <f t="array" aca="1" ref="M60" ca="1">INDEX($D$2:$D$15,RANDBETWEEN(1,ROWS($D$2:$D$15)),1)</f>
        <v>12</v>
      </c>
      <c r="N60" cm="1">
        <f t="array" aca="1" ref="N60" ca="1">INDEX($D$2:$D$15,RANDBETWEEN(1,ROWS($D$2:$D$15)),1)</f>
        <v>13</v>
      </c>
      <c r="O60" cm="1">
        <f t="array" aca="1" ref="O60" ca="1">INDEX($D$2:$D$15,RANDBETWEEN(1,ROWS($D$2:$D$15)),1)</f>
        <v>4</v>
      </c>
      <c r="P60" cm="1">
        <f t="array" aca="1" ref="P60" ca="1">INDEX($D$2:$D$15,RANDBETWEEN(1,ROWS($D$2:$D$15)),1)</f>
        <v>9</v>
      </c>
      <c r="Q60" cm="1">
        <f t="array" aca="1" ref="Q60" ca="1">INDEX($D$2:$D$15,RANDBETWEEN(1,ROWS($D$2:$D$15)),1)</f>
        <v>10</v>
      </c>
      <c r="R60" cm="1">
        <f t="array" aca="1" ref="R60" ca="1">INDEX($D$2:$D$15,RANDBETWEEN(1,ROWS($D$2:$D$15)),1)</f>
        <v>13</v>
      </c>
      <c r="S60" cm="1">
        <f t="array" aca="1" ref="S60" ca="1">INDEX($D$2:$D$15,RANDBETWEEN(1,ROWS($D$2:$D$15)),1)</f>
        <v>9</v>
      </c>
      <c r="T60" cm="1">
        <f t="array" aca="1" ref="T60" ca="1">INDEX($D$2:$D$15,RANDBETWEEN(1,ROWS($D$2:$D$15)),1)</f>
        <v>4</v>
      </c>
      <c r="W60">
        <f t="shared" ca="1" si="0"/>
        <v>8.2666666666666675</v>
      </c>
      <c r="X60">
        <f t="shared" ca="1" si="1"/>
        <v>9</v>
      </c>
      <c r="Y60">
        <f t="shared" ca="1" si="2"/>
        <v>7</v>
      </c>
      <c r="Z60">
        <f t="shared" ca="1" si="3"/>
        <v>3.5550098787619766</v>
      </c>
    </row>
    <row r="61" spans="6:26" x14ac:dyDescent="0.35">
      <c r="F61" cm="1">
        <f t="array" aca="1" ref="F61" ca="1">INDEX($D$2:$D$15,RANDBETWEEN(1,ROWS($D$2:$D$15)),1)</f>
        <v>8</v>
      </c>
      <c r="G61" cm="1">
        <f t="array" aca="1" ref="G61" ca="1">INDEX($D$2:$D$15,RANDBETWEEN(1,ROWS($D$2:$D$15)),1)</f>
        <v>12</v>
      </c>
      <c r="H61" cm="1">
        <f t="array" aca="1" ref="H61" ca="1">INDEX($D$2:$D$15,RANDBETWEEN(1,ROWS($D$2:$D$15)),1)</f>
        <v>13</v>
      </c>
      <c r="I61" cm="1">
        <f t="array" aca="1" ref="I61" ca="1">INDEX($D$2:$D$15,RANDBETWEEN(1,ROWS($D$2:$D$15)),1)</f>
        <v>12</v>
      </c>
      <c r="J61" cm="1">
        <f t="array" aca="1" ref="J61" ca="1">INDEX($D$2:$D$15,RANDBETWEEN(1,ROWS($D$2:$D$15)),1)</f>
        <v>12</v>
      </c>
      <c r="K61" cm="1">
        <f t="array" aca="1" ref="K61" ca="1">INDEX($D$2:$D$15,RANDBETWEEN(1,ROWS($D$2:$D$15)),1)</f>
        <v>12</v>
      </c>
      <c r="L61" cm="1">
        <f t="array" aca="1" ref="L61" ca="1">INDEX($D$2:$D$15,RANDBETWEEN(1,ROWS($D$2:$D$15)),1)</f>
        <v>9</v>
      </c>
      <c r="M61" cm="1">
        <f t="array" aca="1" ref="M61" ca="1">INDEX($D$2:$D$15,RANDBETWEEN(1,ROWS($D$2:$D$15)),1)</f>
        <v>3</v>
      </c>
      <c r="N61" cm="1">
        <f t="array" aca="1" ref="N61" ca="1">INDEX($D$2:$D$15,RANDBETWEEN(1,ROWS($D$2:$D$15)),1)</f>
        <v>8</v>
      </c>
      <c r="O61" cm="1">
        <f t="array" aca="1" ref="O61" ca="1">INDEX($D$2:$D$15,RANDBETWEEN(1,ROWS($D$2:$D$15)),1)</f>
        <v>11</v>
      </c>
      <c r="P61" cm="1">
        <f t="array" aca="1" ref="P61" ca="1">INDEX($D$2:$D$15,RANDBETWEEN(1,ROWS($D$2:$D$15)),1)</f>
        <v>3</v>
      </c>
      <c r="Q61" cm="1">
        <f t="array" aca="1" ref="Q61" ca="1">INDEX($D$2:$D$15,RANDBETWEEN(1,ROWS($D$2:$D$15)),1)</f>
        <v>2</v>
      </c>
      <c r="R61" cm="1">
        <f t="array" aca="1" ref="R61" ca="1">INDEX($D$2:$D$15,RANDBETWEEN(1,ROWS($D$2:$D$15)),1)</f>
        <v>12</v>
      </c>
      <c r="S61" cm="1">
        <f t="array" aca="1" ref="S61" ca="1">INDEX($D$2:$D$15,RANDBETWEEN(1,ROWS($D$2:$D$15)),1)</f>
        <v>10</v>
      </c>
      <c r="T61" cm="1">
        <f t="array" aca="1" ref="T61" ca="1">INDEX($D$2:$D$15,RANDBETWEEN(1,ROWS($D$2:$D$15)),1)</f>
        <v>4</v>
      </c>
      <c r="W61">
        <f t="shared" ca="1" si="0"/>
        <v>8.7333333333333325</v>
      </c>
      <c r="X61">
        <f t="shared" ca="1" si="1"/>
        <v>10</v>
      </c>
      <c r="Y61">
        <f t="shared" ca="1" si="2"/>
        <v>6</v>
      </c>
      <c r="Z61">
        <f t="shared" ca="1" si="3"/>
        <v>3.8999389494611085</v>
      </c>
    </row>
    <row r="62" spans="6:26" x14ac:dyDescent="0.35">
      <c r="F62" cm="1">
        <f t="array" aca="1" ref="F62" ca="1">INDEX($D$2:$D$15,RANDBETWEEN(1,ROWS($D$2:$D$15)),1)</f>
        <v>12</v>
      </c>
      <c r="G62" cm="1">
        <f t="array" aca="1" ref="G62" ca="1">INDEX($D$2:$D$15,RANDBETWEEN(1,ROWS($D$2:$D$15)),1)</f>
        <v>10</v>
      </c>
      <c r="H62" cm="1">
        <f t="array" aca="1" ref="H62" ca="1">INDEX($D$2:$D$15,RANDBETWEEN(1,ROWS($D$2:$D$15)),1)</f>
        <v>11</v>
      </c>
      <c r="I62" cm="1">
        <f t="array" aca="1" ref="I62" ca="1">INDEX($D$2:$D$15,RANDBETWEEN(1,ROWS($D$2:$D$15)),1)</f>
        <v>4</v>
      </c>
      <c r="J62" cm="1">
        <f t="array" aca="1" ref="J62" ca="1">INDEX($D$2:$D$15,RANDBETWEEN(1,ROWS($D$2:$D$15)),1)</f>
        <v>10</v>
      </c>
      <c r="K62" cm="1">
        <f t="array" aca="1" ref="K62" ca="1">INDEX($D$2:$D$15,RANDBETWEEN(1,ROWS($D$2:$D$15)),1)</f>
        <v>9</v>
      </c>
      <c r="L62" cm="1">
        <f t="array" aca="1" ref="L62" ca="1">INDEX($D$2:$D$15,RANDBETWEEN(1,ROWS($D$2:$D$15)),1)</f>
        <v>9</v>
      </c>
      <c r="M62" cm="1">
        <f t="array" aca="1" ref="M62" ca="1">INDEX($D$2:$D$15,RANDBETWEEN(1,ROWS($D$2:$D$15)),1)</f>
        <v>4</v>
      </c>
      <c r="N62" cm="1">
        <f t="array" aca="1" ref="N62" ca="1">INDEX($D$2:$D$15,RANDBETWEEN(1,ROWS($D$2:$D$15)),1)</f>
        <v>2</v>
      </c>
      <c r="O62" cm="1">
        <f t="array" aca="1" ref="O62" ca="1">INDEX($D$2:$D$15,RANDBETWEEN(1,ROWS($D$2:$D$15)),1)</f>
        <v>4</v>
      </c>
      <c r="P62" cm="1">
        <f t="array" aca="1" ref="P62" ca="1">INDEX($D$2:$D$15,RANDBETWEEN(1,ROWS($D$2:$D$15)),1)</f>
        <v>10</v>
      </c>
      <c r="Q62" cm="1">
        <f t="array" aca="1" ref="Q62" ca="1">INDEX($D$2:$D$15,RANDBETWEEN(1,ROWS($D$2:$D$15)),1)</f>
        <v>4</v>
      </c>
      <c r="R62" cm="1">
        <f t="array" aca="1" ref="R62" ca="1">INDEX($D$2:$D$15,RANDBETWEEN(1,ROWS($D$2:$D$15)),1)</f>
        <v>9</v>
      </c>
      <c r="S62" cm="1">
        <f t="array" aca="1" ref="S62" ca="1">INDEX($D$2:$D$15,RANDBETWEEN(1,ROWS($D$2:$D$15)),1)</f>
        <v>8</v>
      </c>
      <c r="T62" cm="1">
        <f t="array" aca="1" ref="T62" ca="1">INDEX($D$2:$D$15,RANDBETWEEN(1,ROWS($D$2:$D$15)),1)</f>
        <v>9</v>
      </c>
      <c r="W62">
        <f t="shared" ca="1" si="0"/>
        <v>7.666666666666667</v>
      </c>
      <c r="X62">
        <f t="shared" ca="1" si="1"/>
        <v>9</v>
      </c>
      <c r="Y62">
        <f t="shared" ca="1" si="2"/>
        <v>6</v>
      </c>
      <c r="Z62">
        <f t="shared" ca="1" si="3"/>
        <v>3.1547394428670259</v>
      </c>
    </row>
    <row r="63" spans="6:26" x14ac:dyDescent="0.35">
      <c r="F63" cm="1">
        <f t="array" aca="1" ref="F63" ca="1">INDEX($D$2:$D$15,RANDBETWEEN(1,ROWS($D$2:$D$15)),1)</f>
        <v>13</v>
      </c>
      <c r="G63" cm="1">
        <f t="array" aca="1" ref="G63" ca="1">INDEX($D$2:$D$15,RANDBETWEEN(1,ROWS($D$2:$D$15)),1)</f>
        <v>9</v>
      </c>
      <c r="H63" cm="1">
        <f t="array" aca="1" ref="H63" ca="1">INDEX($D$2:$D$15,RANDBETWEEN(1,ROWS($D$2:$D$15)),1)</f>
        <v>12</v>
      </c>
      <c r="I63" cm="1">
        <f t="array" aca="1" ref="I63" ca="1">INDEX($D$2:$D$15,RANDBETWEEN(1,ROWS($D$2:$D$15)),1)</f>
        <v>9</v>
      </c>
      <c r="J63" cm="1">
        <f t="array" aca="1" ref="J63" ca="1">INDEX($D$2:$D$15,RANDBETWEEN(1,ROWS($D$2:$D$15)),1)</f>
        <v>12</v>
      </c>
      <c r="K63" cm="1">
        <f t="array" aca="1" ref="K63" ca="1">INDEX($D$2:$D$15,RANDBETWEEN(1,ROWS($D$2:$D$15)),1)</f>
        <v>12</v>
      </c>
      <c r="L63" cm="1">
        <f t="array" aca="1" ref="L63" ca="1">INDEX($D$2:$D$15,RANDBETWEEN(1,ROWS($D$2:$D$15)),1)</f>
        <v>9</v>
      </c>
      <c r="M63" cm="1">
        <f t="array" aca="1" ref="M63" ca="1">INDEX($D$2:$D$15,RANDBETWEEN(1,ROWS($D$2:$D$15)),1)</f>
        <v>4</v>
      </c>
      <c r="N63" cm="1">
        <f t="array" aca="1" ref="N63" ca="1">INDEX($D$2:$D$15,RANDBETWEEN(1,ROWS($D$2:$D$15)),1)</f>
        <v>4</v>
      </c>
      <c r="O63" cm="1">
        <f t="array" aca="1" ref="O63" ca="1">INDEX($D$2:$D$15,RANDBETWEEN(1,ROWS($D$2:$D$15)),1)</f>
        <v>13</v>
      </c>
      <c r="P63" cm="1">
        <f t="array" aca="1" ref="P63" ca="1">INDEX($D$2:$D$15,RANDBETWEEN(1,ROWS($D$2:$D$15)),1)</f>
        <v>3</v>
      </c>
      <c r="Q63" cm="1">
        <f t="array" aca="1" ref="Q63" ca="1">INDEX($D$2:$D$15,RANDBETWEEN(1,ROWS($D$2:$D$15)),1)</f>
        <v>3</v>
      </c>
      <c r="R63" cm="1">
        <f t="array" aca="1" ref="R63" ca="1">INDEX($D$2:$D$15,RANDBETWEEN(1,ROWS($D$2:$D$15)),1)</f>
        <v>9</v>
      </c>
      <c r="S63" cm="1">
        <f t="array" aca="1" ref="S63" ca="1">INDEX($D$2:$D$15,RANDBETWEEN(1,ROWS($D$2:$D$15)),1)</f>
        <v>2</v>
      </c>
      <c r="T63" cm="1">
        <f t="array" aca="1" ref="T63" ca="1">INDEX($D$2:$D$15,RANDBETWEEN(1,ROWS($D$2:$D$15)),1)</f>
        <v>12</v>
      </c>
      <c r="W63">
        <f t="shared" ca="1" si="0"/>
        <v>8.4</v>
      </c>
      <c r="X63">
        <f t="shared" ca="1" si="1"/>
        <v>9</v>
      </c>
      <c r="Y63">
        <f t="shared" ca="1" si="2"/>
        <v>8</v>
      </c>
      <c r="Z63">
        <f t="shared" ca="1" si="3"/>
        <v>4.0848150858654888</v>
      </c>
    </row>
    <row r="64" spans="6:26" x14ac:dyDescent="0.35">
      <c r="F64" cm="1">
        <f t="array" aca="1" ref="F64" ca="1">INDEX($D$2:$D$15,RANDBETWEEN(1,ROWS($D$2:$D$15)),1)</f>
        <v>12</v>
      </c>
      <c r="G64" cm="1">
        <f t="array" aca="1" ref="G64" ca="1">INDEX($D$2:$D$15,RANDBETWEEN(1,ROWS($D$2:$D$15)),1)</f>
        <v>9</v>
      </c>
      <c r="H64" cm="1">
        <f t="array" aca="1" ref="H64" ca="1">INDEX($D$2:$D$15,RANDBETWEEN(1,ROWS($D$2:$D$15)),1)</f>
        <v>12</v>
      </c>
      <c r="I64" cm="1">
        <f t="array" aca="1" ref="I64" ca="1">INDEX($D$2:$D$15,RANDBETWEEN(1,ROWS($D$2:$D$15)),1)</f>
        <v>8</v>
      </c>
      <c r="J64" cm="1">
        <f t="array" aca="1" ref="J64" ca="1">INDEX($D$2:$D$15,RANDBETWEEN(1,ROWS($D$2:$D$15)),1)</f>
        <v>9</v>
      </c>
      <c r="K64" cm="1">
        <f t="array" aca="1" ref="K64" ca="1">INDEX($D$2:$D$15,RANDBETWEEN(1,ROWS($D$2:$D$15)),1)</f>
        <v>8</v>
      </c>
      <c r="L64" cm="1">
        <f t="array" aca="1" ref="L64" ca="1">INDEX($D$2:$D$15,RANDBETWEEN(1,ROWS($D$2:$D$15)),1)</f>
        <v>13</v>
      </c>
      <c r="M64" cm="1">
        <f t="array" aca="1" ref="M64" ca="1">INDEX($D$2:$D$15,RANDBETWEEN(1,ROWS($D$2:$D$15)),1)</f>
        <v>2</v>
      </c>
      <c r="N64" cm="1">
        <f t="array" aca="1" ref="N64" ca="1">INDEX($D$2:$D$15,RANDBETWEEN(1,ROWS($D$2:$D$15)),1)</f>
        <v>9</v>
      </c>
      <c r="O64" cm="1">
        <f t="array" aca="1" ref="O64" ca="1">INDEX($D$2:$D$15,RANDBETWEEN(1,ROWS($D$2:$D$15)),1)</f>
        <v>3</v>
      </c>
      <c r="P64" cm="1">
        <f t="array" aca="1" ref="P64" ca="1">INDEX($D$2:$D$15,RANDBETWEEN(1,ROWS($D$2:$D$15)),1)</f>
        <v>9</v>
      </c>
      <c r="Q64" cm="1">
        <f t="array" aca="1" ref="Q64" ca="1">INDEX($D$2:$D$15,RANDBETWEEN(1,ROWS($D$2:$D$15)),1)</f>
        <v>10</v>
      </c>
      <c r="R64" cm="1">
        <f t="array" aca="1" ref="R64" ca="1">INDEX($D$2:$D$15,RANDBETWEEN(1,ROWS($D$2:$D$15)),1)</f>
        <v>9</v>
      </c>
      <c r="S64" cm="1">
        <f t="array" aca="1" ref="S64" ca="1">INDEX($D$2:$D$15,RANDBETWEEN(1,ROWS($D$2:$D$15)),1)</f>
        <v>10</v>
      </c>
      <c r="T64" cm="1">
        <f t="array" aca="1" ref="T64" ca="1">INDEX($D$2:$D$15,RANDBETWEEN(1,ROWS($D$2:$D$15)),1)</f>
        <v>4</v>
      </c>
      <c r="W64">
        <f t="shared" ca="1" si="0"/>
        <v>8.4666666666666668</v>
      </c>
      <c r="X64">
        <f t="shared" ca="1" si="1"/>
        <v>9</v>
      </c>
      <c r="Y64">
        <f t="shared" ca="1" si="2"/>
        <v>2</v>
      </c>
      <c r="Z64">
        <f t="shared" ca="1" si="3"/>
        <v>3.2041639575194445</v>
      </c>
    </row>
    <row r="65" spans="6:26" x14ac:dyDescent="0.35">
      <c r="F65" cm="1">
        <f t="array" aca="1" ref="F65" ca="1">INDEX($D$2:$D$15,RANDBETWEEN(1,ROWS($D$2:$D$15)),1)</f>
        <v>3</v>
      </c>
      <c r="G65" cm="1">
        <f t="array" aca="1" ref="G65" ca="1">INDEX($D$2:$D$15,RANDBETWEEN(1,ROWS($D$2:$D$15)),1)</f>
        <v>4</v>
      </c>
      <c r="H65" cm="1">
        <f t="array" aca="1" ref="H65" ca="1">INDEX($D$2:$D$15,RANDBETWEEN(1,ROWS($D$2:$D$15)),1)</f>
        <v>4</v>
      </c>
      <c r="I65" cm="1">
        <f t="array" aca="1" ref="I65" ca="1">INDEX($D$2:$D$15,RANDBETWEEN(1,ROWS($D$2:$D$15)),1)</f>
        <v>12</v>
      </c>
      <c r="J65" cm="1">
        <f t="array" aca="1" ref="J65" ca="1">INDEX($D$2:$D$15,RANDBETWEEN(1,ROWS($D$2:$D$15)),1)</f>
        <v>8</v>
      </c>
      <c r="K65" cm="1">
        <f t="array" aca="1" ref="K65" ca="1">INDEX($D$2:$D$15,RANDBETWEEN(1,ROWS($D$2:$D$15)),1)</f>
        <v>11</v>
      </c>
      <c r="L65" cm="1">
        <f t="array" aca="1" ref="L65" ca="1">INDEX($D$2:$D$15,RANDBETWEEN(1,ROWS($D$2:$D$15)),1)</f>
        <v>4</v>
      </c>
      <c r="M65" cm="1">
        <f t="array" aca="1" ref="M65" ca="1">INDEX($D$2:$D$15,RANDBETWEEN(1,ROWS($D$2:$D$15)),1)</f>
        <v>4</v>
      </c>
      <c r="N65" cm="1">
        <f t="array" aca="1" ref="N65" ca="1">INDEX($D$2:$D$15,RANDBETWEEN(1,ROWS($D$2:$D$15)),1)</f>
        <v>13</v>
      </c>
      <c r="O65" cm="1">
        <f t="array" aca="1" ref="O65" ca="1">INDEX($D$2:$D$15,RANDBETWEEN(1,ROWS($D$2:$D$15)),1)</f>
        <v>9</v>
      </c>
      <c r="P65" cm="1">
        <f t="array" aca="1" ref="P65" ca="1">INDEX($D$2:$D$15,RANDBETWEEN(1,ROWS($D$2:$D$15)),1)</f>
        <v>4</v>
      </c>
      <c r="Q65" cm="1">
        <f t="array" aca="1" ref="Q65" ca="1">INDEX($D$2:$D$15,RANDBETWEEN(1,ROWS($D$2:$D$15)),1)</f>
        <v>4</v>
      </c>
      <c r="R65" cm="1">
        <f t="array" aca="1" ref="R65" ca="1">INDEX($D$2:$D$15,RANDBETWEEN(1,ROWS($D$2:$D$15)),1)</f>
        <v>3</v>
      </c>
      <c r="S65" cm="1">
        <f t="array" aca="1" ref="S65" ca="1">INDEX($D$2:$D$15,RANDBETWEEN(1,ROWS($D$2:$D$15)),1)</f>
        <v>12</v>
      </c>
      <c r="T65" cm="1">
        <f t="array" aca="1" ref="T65" ca="1">INDEX($D$2:$D$15,RANDBETWEEN(1,ROWS($D$2:$D$15)),1)</f>
        <v>2</v>
      </c>
      <c r="W65">
        <f t="shared" ca="1" si="0"/>
        <v>6.4666666666666668</v>
      </c>
      <c r="X65">
        <f t="shared" ca="1" si="1"/>
        <v>4</v>
      </c>
      <c r="Y65">
        <f t="shared" ca="1" si="2"/>
        <v>6</v>
      </c>
      <c r="Z65">
        <f t="shared" ca="1" si="3"/>
        <v>3.9072582032246945</v>
      </c>
    </row>
    <row r="66" spans="6:26" x14ac:dyDescent="0.35">
      <c r="F66" cm="1">
        <f t="array" aca="1" ref="F66" ca="1">INDEX($D$2:$D$15,RANDBETWEEN(1,ROWS($D$2:$D$15)),1)</f>
        <v>3</v>
      </c>
      <c r="G66" cm="1">
        <f t="array" aca="1" ref="G66" ca="1">INDEX($D$2:$D$15,RANDBETWEEN(1,ROWS($D$2:$D$15)),1)</f>
        <v>8</v>
      </c>
      <c r="H66" cm="1">
        <f t="array" aca="1" ref="H66" ca="1">INDEX($D$2:$D$15,RANDBETWEEN(1,ROWS($D$2:$D$15)),1)</f>
        <v>9</v>
      </c>
      <c r="I66" cm="1">
        <f t="array" aca="1" ref="I66" ca="1">INDEX($D$2:$D$15,RANDBETWEEN(1,ROWS($D$2:$D$15)),1)</f>
        <v>9</v>
      </c>
      <c r="J66" cm="1">
        <f t="array" aca="1" ref="J66" ca="1">INDEX($D$2:$D$15,RANDBETWEEN(1,ROWS($D$2:$D$15)),1)</f>
        <v>9</v>
      </c>
      <c r="K66" cm="1">
        <f t="array" aca="1" ref="K66" ca="1">INDEX($D$2:$D$15,RANDBETWEEN(1,ROWS($D$2:$D$15)),1)</f>
        <v>10</v>
      </c>
      <c r="L66" cm="1">
        <f t="array" aca="1" ref="L66" ca="1">INDEX($D$2:$D$15,RANDBETWEEN(1,ROWS($D$2:$D$15)),1)</f>
        <v>9</v>
      </c>
      <c r="M66" cm="1">
        <f t="array" aca="1" ref="M66" ca="1">INDEX($D$2:$D$15,RANDBETWEEN(1,ROWS($D$2:$D$15)),1)</f>
        <v>12</v>
      </c>
      <c r="N66" cm="1">
        <f t="array" aca="1" ref="N66" ca="1">INDEX($D$2:$D$15,RANDBETWEEN(1,ROWS($D$2:$D$15)),1)</f>
        <v>4</v>
      </c>
      <c r="O66" cm="1">
        <f t="array" aca="1" ref="O66" ca="1">INDEX($D$2:$D$15,RANDBETWEEN(1,ROWS($D$2:$D$15)),1)</f>
        <v>9</v>
      </c>
      <c r="P66" cm="1">
        <f t="array" aca="1" ref="P66" ca="1">INDEX($D$2:$D$15,RANDBETWEEN(1,ROWS($D$2:$D$15)),1)</f>
        <v>4</v>
      </c>
      <c r="Q66" cm="1">
        <f t="array" aca="1" ref="Q66" ca="1">INDEX($D$2:$D$15,RANDBETWEEN(1,ROWS($D$2:$D$15)),1)</f>
        <v>4</v>
      </c>
      <c r="R66" cm="1">
        <f t="array" aca="1" ref="R66" ca="1">INDEX($D$2:$D$15,RANDBETWEEN(1,ROWS($D$2:$D$15)),1)</f>
        <v>4</v>
      </c>
      <c r="S66" cm="1">
        <f t="array" aca="1" ref="S66" ca="1">INDEX($D$2:$D$15,RANDBETWEEN(1,ROWS($D$2:$D$15)),1)</f>
        <v>4</v>
      </c>
      <c r="T66" cm="1">
        <f t="array" aca="1" ref="T66" ca="1">INDEX($D$2:$D$15,RANDBETWEEN(1,ROWS($D$2:$D$15)),1)</f>
        <v>12</v>
      </c>
      <c r="W66">
        <f t="shared" ca="1" si="0"/>
        <v>7.333333333333333</v>
      </c>
      <c r="X66">
        <f t="shared" ca="1" si="1"/>
        <v>9</v>
      </c>
      <c r="Y66">
        <f t="shared" ca="1" si="2"/>
        <v>5</v>
      </c>
      <c r="Z66">
        <f t="shared" ca="1" si="3"/>
        <v>3.1547394428670259</v>
      </c>
    </row>
    <row r="67" spans="6:26" x14ac:dyDescent="0.35">
      <c r="F67" cm="1">
        <f t="array" aca="1" ref="F67" ca="1">INDEX($D$2:$D$15,RANDBETWEEN(1,ROWS($D$2:$D$15)),1)</f>
        <v>12</v>
      </c>
      <c r="G67" cm="1">
        <f t="array" aca="1" ref="G67" ca="1">INDEX($D$2:$D$15,RANDBETWEEN(1,ROWS($D$2:$D$15)),1)</f>
        <v>9</v>
      </c>
      <c r="H67" cm="1">
        <f t="array" aca="1" ref="H67" ca="1">INDEX($D$2:$D$15,RANDBETWEEN(1,ROWS($D$2:$D$15)),1)</f>
        <v>2</v>
      </c>
      <c r="I67" cm="1">
        <f t="array" aca="1" ref="I67" ca="1">INDEX($D$2:$D$15,RANDBETWEEN(1,ROWS($D$2:$D$15)),1)</f>
        <v>2</v>
      </c>
      <c r="J67" cm="1">
        <f t="array" aca="1" ref="J67" ca="1">INDEX($D$2:$D$15,RANDBETWEEN(1,ROWS($D$2:$D$15)),1)</f>
        <v>10</v>
      </c>
      <c r="K67" cm="1">
        <f t="array" aca="1" ref="K67" ca="1">INDEX($D$2:$D$15,RANDBETWEEN(1,ROWS($D$2:$D$15)),1)</f>
        <v>2</v>
      </c>
      <c r="L67" cm="1">
        <f t="array" aca="1" ref="L67" ca="1">INDEX($D$2:$D$15,RANDBETWEEN(1,ROWS($D$2:$D$15)),1)</f>
        <v>8</v>
      </c>
      <c r="M67" cm="1">
        <f t="array" aca="1" ref="M67" ca="1">INDEX($D$2:$D$15,RANDBETWEEN(1,ROWS($D$2:$D$15)),1)</f>
        <v>9</v>
      </c>
      <c r="N67" cm="1">
        <f t="array" aca="1" ref="N67" ca="1">INDEX($D$2:$D$15,RANDBETWEEN(1,ROWS($D$2:$D$15)),1)</f>
        <v>12</v>
      </c>
      <c r="O67" cm="1">
        <f t="array" aca="1" ref="O67" ca="1">INDEX($D$2:$D$15,RANDBETWEEN(1,ROWS($D$2:$D$15)),1)</f>
        <v>9</v>
      </c>
      <c r="P67" cm="1">
        <f t="array" aca="1" ref="P67" ca="1">INDEX($D$2:$D$15,RANDBETWEEN(1,ROWS($D$2:$D$15)),1)</f>
        <v>9</v>
      </c>
      <c r="Q67" cm="1">
        <f t="array" aca="1" ref="Q67" ca="1">INDEX($D$2:$D$15,RANDBETWEEN(1,ROWS($D$2:$D$15)),1)</f>
        <v>9</v>
      </c>
      <c r="R67" cm="1">
        <f t="array" aca="1" ref="R67" ca="1">INDEX($D$2:$D$15,RANDBETWEEN(1,ROWS($D$2:$D$15)),1)</f>
        <v>10</v>
      </c>
      <c r="S67" cm="1">
        <f t="array" aca="1" ref="S67" ca="1">INDEX($D$2:$D$15,RANDBETWEEN(1,ROWS($D$2:$D$15)),1)</f>
        <v>11</v>
      </c>
      <c r="T67" cm="1">
        <f t="array" aca="1" ref="T67" ca="1">INDEX($D$2:$D$15,RANDBETWEEN(1,ROWS($D$2:$D$15)),1)</f>
        <v>8</v>
      </c>
      <c r="W67">
        <f t="shared" ref="W67:W130" ca="1" si="4">AVERAGE(F67:T67)</f>
        <v>8.1333333333333329</v>
      </c>
      <c r="X67">
        <f t="shared" ref="X67:X130" ca="1" si="5">MEDIAN(F67:T67)</f>
        <v>9</v>
      </c>
      <c r="Y67">
        <f t="shared" ref="Y67:Y130" ca="1" si="6">_xlfn.QUARTILE.INC(F67:T67, 3)-_xlfn.QUARTILE.INC(F67:T67,1)</f>
        <v>2</v>
      </c>
      <c r="Z67">
        <f t="shared" ref="Z67:Z130" ca="1" si="7">_xlfn.STDEV.S(F67:T67)</f>
        <v>3.3988793671416104</v>
      </c>
    </row>
    <row r="68" spans="6:26" x14ac:dyDescent="0.35">
      <c r="F68" cm="1">
        <f t="array" aca="1" ref="F68" ca="1">INDEX($D$2:$D$15,RANDBETWEEN(1,ROWS($D$2:$D$15)),1)</f>
        <v>9</v>
      </c>
      <c r="G68" cm="1">
        <f t="array" aca="1" ref="G68" ca="1">INDEX($D$2:$D$15,RANDBETWEEN(1,ROWS($D$2:$D$15)),1)</f>
        <v>8</v>
      </c>
      <c r="H68" cm="1">
        <f t="array" aca="1" ref="H68" ca="1">INDEX($D$2:$D$15,RANDBETWEEN(1,ROWS($D$2:$D$15)),1)</f>
        <v>11</v>
      </c>
      <c r="I68" cm="1">
        <f t="array" aca="1" ref="I68" ca="1">INDEX($D$2:$D$15,RANDBETWEEN(1,ROWS($D$2:$D$15)),1)</f>
        <v>10</v>
      </c>
      <c r="J68" cm="1">
        <f t="array" aca="1" ref="J68" ca="1">INDEX($D$2:$D$15,RANDBETWEEN(1,ROWS($D$2:$D$15)),1)</f>
        <v>4</v>
      </c>
      <c r="K68" cm="1">
        <f t="array" aca="1" ref="K68" ca="1">INDEX($D$2:$D$15,RANDBETWEEN(1,ROWS($D$2:$D$15)),1)</f>
        <v>2</v>
      </c>
      <c r="L68" cm="1">
        <f t="array" aca="1" ref="L68" ca="1">INDEX($D$2:$D$15,RANDBETWEEN(1,ROWS($D$2:$D$15)),1)</f>
        <v>4</v>
      </c>
      <c r="M68" cm="1">
        <f t="array" aca="1" ref="M68" ca="1">INDEX($D$2:$D$15,RANDBETWEEN(1,ROWS($D$2:$D$15)),1)</f>
        <v>9</v>
      </c>
      <c r="N68" cm="1">
        <f t="array" aca="1" ref="N68" ca="1">INDEX($D$2:$D$15,RANDBETWEEN(1,ROWS($D$2:$D$15)),1)</f>
        <v>10</v>
      </c>
      <c r="O68" cm="1">
        <f t="array" aca="1" ref="O68" ca="1">INDEX($D$2:$D$15,RANDBETWEEN(1,ROWS($D$2:$D$15)),1)</f>
        <v>4</v>
      </c>
      <c r="P68" cm="1">
        <f t="array" aca="1" ref="P68" ca="1">INDEX($D$2:$D$15,RANDBETWEEN(1,ROWS($D$2:$D$15)),1)</f>
        <v>4</v>
      </c>
      <c r="Q68" cm="1">
        <f t="array" aca="1" ref="Q68" ca="1">INDEX($D$2:$D$15,RANDBETWEEN(1,ROWS($D$2:$D$15)),1)</f>
        <v>10</v>
      </c>
      <c r="R68" cm="1">
        <f t="array" aca="1" ref="R68" ca="1">INDEX($D$2:$D$15,RANDBETWEEN(1,ROWS($D$2:$D$15)),1)</f>
        <v>12</v>
      </c>
      <c r="S68" cm="1">
        <f t="array" aca="1" ref="S68" ca="1">INDEX($D$2:$D$15,RANDBETWEEN(1,ROWS($D$2:$D$15)),1)</f>
        <v>9</v>
      </c>
      <c r="T68" cm="1">
        <f t="array" aca="1" ref="T68" ca="1">INDEX($D$2:$D$15,RANDBETWEEN(1,ROWS($D$2:$D$15)),1)</f>
        <v>8</v>
      </c>
      <c r="W68">
        <f t="shared" ca="1" si="4"/>
        <v>7.6</v>
      </c>
      <c r="X68">
        <f t="shared" ca="1" si="5"/>
        <v>9</v>
      </c>
      <c r="Y68">
        <f t="shared" ca="1" si="6"/>
        <v>6</v>
      </c>
      <c r="Z68">
        <f t="shared" ca="1" si="7"/>
        <v>3.1350552512789038</v>
      </c>
    </row>
    <row r="69" spans="6:26" x14ac:dyDescent="0.35">
      <c r="F69" cm="1">
        <f t="array" aca="1" ref="F69" ca="1">INDEX($D$2:$D$15,RANDBETWEEN(1,ROWS($D$2:$D$15)),1)</f>
        <v>3</v>
      </c>
      <c r="G69" cm="1">
        <f t="array" aca="1" ref="G69" ca="1">INDEX($D$2:$D$15,RANDBETWEEN(1,ROWS($D$2:$D$15)),1)</f>
        <v>4</v>
      </c>
      <c r="H69" cm="1">
        <f t="array" aca="1" ref="H69" ca="1">INDEX($D$2:$D$15,RANDBETWEEN(1,ROWS($D$2:$D$15)),1)</f>
        <v>9</v>
      </c>
      <c r="I69" cm="1">
        <f t="array" aca="1" ref="I69" ca="1">INDEX($D$2:$D$15,RANDBETWEEN(1,ROWS($D$2:$D$15)),1)</f>
        <v>3</v>
      </c>
      <c r="J69" cm="1">
        <f t="array" aca="1" ref="J69" ca="1">INDEX($D$2:$D$15,RANDBETWEEN(1,ROWS($D$2:$D$15)),1)</f>
        <v>4</v>
      </c>
      <c r="K69" cm="1">
        <f t="array" aca="1" ref="K69" ca="1">INDEX($D$2:$D$15,RANDBETWEEN(1,ROWS($D$2:$D$15)),1)</f>
        <v>10</v>
      </c>
      <c r="L69" cm="1">
        <f t="array" aca="1" ref="L69" ca="1">INDEX($D$2:$D$15,RANDBETWEEN(1,ROWS($D$2:$D$15)),1)</f>
        <v>4</v>
      </c>
      <c r="M69" cm="1">
        <f t="array" aca="1" ref="M69" ca="1">INDEX($D$2:$D$15,RANDBETWEEN(1,ROWS($D$2:$D$15)),1)</f>
        <v>4</v>
      </c>
      <c r="N69" cm="1">
        <f t="array" aca="1" ref="N69" ca="1">INDEX($D$2:$D$15,RANDBETWEEN(1,ROWS($D$2:$D$15)),1)</f>
        <v>2</v>
      </c>
      <c r="O69" cm="1">
        <f t="array" aca="1" ref="O69" ca="1">INDEX($D$2:$D$15,RANDBETWEEN(1,ROWS($D$2:$D$15)),1)</f>
        <v>9</v>
      </c>
      <c r="P69" cm="1">
        <f t="array" aca="1" ref="P69" ca="1">INDEX($D$2:$D$15,RANDBETWEEN(1,ROWS($D$2:$D$15)),1)</f>
        <v>4</v>
      </c>
      <c r="Q69" cm="1">
        <f t="array" aca="1" ref="Q69" ca="1">INDEX($D$2:$D$15,RANDBETWEEN(1,ROWS($D$2:$D$15)),1)</f>
        <v>4</v>
      </c>
      <c r="R69" cm="1">
        <f t="array" aca="1" ref="R69" ca="1">INDEX($D$2:$D$15,RANDBETWEEN(1,ROWS($D$2:$D$15)),1)</f>
        <v>4</v>
      </c>
      <c r="S69" cm="1">
        <f t="array" aca="1" ref="S69" ca="1">INDEX($D$2:$D$15,RANDBETWEEN(1,ROWS($D$2:$D$15)),1)</f>
        <v>10</v>
      </c>
      <c r="T69" cm="1">
        <f t="array" aca="1" ref="T69" ca="1">INDEX($D$2:$D$15,RANDBETWEEN(1,ROWS($D$2:$D$15)),1)</f>
        <v>4</v>
      </c>
      <c r="W69">
        <f t="shared" ca="1" si="4"/>
        <v>5.2</v>
      </c>
      <c r="X69">
        <f t="shared" ca="1" si="5"/>
        <v>4</v>
      </c>
      <c r="Y69">
        <f t="shared" ca="1" si="6"/>
        <v>2.5</v>
      </c>
      <c r="Z69">
        <f t="shared" ca="1" si="7"/>
        <v>2.7568097504180442</v>
      </c>
    </row>
    <row r="70" spans="6:26" x14ac:dyDescent="0.35">
      <c r="F70" cm="1">
        <f t="array" aca="1" ref="F70" ca="1">INDEX($D$2:$D$15,RANDBETWEEN(1,ROWS($D$2:$D$15)),1)</f>
        <v>10</v>
      </c>
      <c r="G70" cm="1">
        <f t="array" aca="1" ref="G70" ca="1">INDEX($D$2:$D$15,RANDBETWEEN(1,ROWS($D$2:$D$15)),1)</f>
        <v>12</v>
      </c>
      <c r="H70" cm="1">
        <f t="array" aca="1" ref="H70" ca="1">INDEX($D$2:$D$15,RANDBETWEEN(1,ROWS($D$2:$D$15)),1)</f>
        <v>3</v>
      </c>
      <c r="I70" cm="1">
        <f t="array" aca="1" ref="I70" ca="1">INDEX($D$2:$D$15,RANDBETWEEN(1,ROWS($D$2:$D$15)),1)</f>
        <v>12</v>
      </c>
      <c r="J70" cm="1">
        <f t="array" aca="1" ref="J70" ca="1">INDEX($D$2:$D$15,RANDBETWEEN(1,ROWS($D$2:$D$15)),1)</f>
        <v>12</v>
      </c>
      <c r="K70" cm="1">
        <f t="array" aca="1" ref="K70" ca="1">INDEX($D$2:$D$15,RANDBETWEEN(1,ROWS($D$2:$D$15)),1)</f>
        <v>13</v>
      </c>
      <c r="L70" cm="1">
        <f t="array" aca="1" ref="L70" ca="1">INDEX($D$2:$D$15,RANDBETWEEN(1,ROWS($D$2:$D$15)),1)</f>
        <v>12</v>
      </c>
      <c r="M70" cm="1">
        <f t="array" aca="1" ref="M70" ca="1">INDEX($D$2:$D$15,RANDBETWEEN(1,ROWS($D$2:$D$15)),1)</f>
        <v>4</v>
      </c>
      <c r="N70" cm="1">
        <f t="array" aca="1" ref="N70" ca="1">INDEX($D$2:$D$15,RANDBETWEEN(1,ROWS($D$2:$D$15)),1)</f>
        <v>12</v>
      </c>
      <c r="O70" cm="1">
        <f t="array" aca="1" ref="O70" ca="1">INDEX($D$2:$D$15,RANDBETWEEN(1,ROWS($D$2:$D$15)),1)</f>
        <v>4</v>
      </c>
      <c r="P70" cm="1">
        <f t="array" aca="1" ref="P70" ca="1">INDEX($D$2:$D$15,RANDBETWEEN(1,ROWS($D$2:$D$15)),1)</f>
        <v>13</v>
      </c>
      <c r="Q70" cm="1">
        <f t="array" aca="1" ref="Q70" ca="1">INDEX($D$2:$D$15,RANDBETWEEN(1,ROWS($D$2:$D$15)),1)</f>
        <v>4</v>
      </c>
      <c r="R70" cm="1">
        <f t="array" aca="1" ref="R70" ca="1">INDEX($D$2:$D$15,RANDBETWEEN(1,ROWS($D$2:$D$15)),1)</f>
        <v>12</v>
      </c>
      <c r="S70" cm="1">
        <f t="array" aca="1" ref="S70" ca="1">INDEX($D$2:$D$15,RANDBETWEEN(1,ROWS($D$2:$D$15)),1)</f>
        <v>4</v>
      </c>
      <c r="T70" cm="1">
        <f t="array" aca="1" ref="T70" ca="1">INDEX($D$2:$D$15,RANDBETWEEN(1,ROWS($D$2:$D$15)),1)</f>
        <v>11</v>
      </c>
      <c r="W70">
        <f t="shared" ca="1" si="4"/>
        <v>9.1999999999999993</v>
      </c>
      <c r="X70">
        <f t="shared" ca="1" si="5"/>
        <v>12</v>
      </c>
      <c r="Y70">
        <f t="shared" ca="1" si="6"/>
        <v>8</v>
      </c>
      <c r="Z70">
        <f t="shared" ca="1" si="7"/>
        <v>4.0213714789146975</v>
      </c>
    </row>
    <row r="71" spans="6:26" x14ac:dyDescent="0.35">
      <c r="F71" cm="1">
        <f t="array" aca="1" ref="F71" ca="1">INDEX($D$2:$D$15,RANDBETWEEN(1,ROWS($D$2:$D$15)),1)</f>
        <v>12</v>
      </c>
      <c r="G71" cm="1">
        <f t="array" aca="1" ref="G71" ca="1">INDEX($D$2:$D$15,RANDBETWEEN(1,ROWS($D$2:$D$15)),1)</f>
        <v>9</v>
      </c>
      <c r="H71" cm="1">
        <f t="array" aca="1" ref="H71" ca="1">INDEX($D$2:$D$15,RANDBETWEEN(1,ROWS($D$2:$D$15)),1)</f>
        <v>9</v>
      </c>
      <c r="I71" cm="1">
        <f t="array" aca="1" ref="I71" ca="1">INDEX($D$2:$D$15,RANDBETWEEN(1,ROWS($D$2:$D$15)),1)</f>
        <v>4</v>
      </c>
      <c r="J71" cm="1">
        <f t="array" aca="1" ref="J71" ca="1">INDEX($D$2:$D$15,RANDBETWEEN(1,ROWS($D$2:$D$15)),1)</f>
        <v>4</v>
      </c>
      <c r="K71" cm="1">
        <f t="array" aca="1" ref="K71" ca="1">INDEX($D$2:$D$15,RANDBETWEEN(1,ROWS($D$2:$D$15)),1)</f>
        <v>4</v>
      </c>
      <c r="L71" cm="1">
        <f t="array" aca="1" ref="L71" ca="1">INDEX($D$2:$D$15,RANDBETWEEN(1,ROWS($D$2:$D$15)),1)</f>
        <v>12</v>
      </c>
      <c r="M71" cm="1">
        <f t="array" aca="1" ref="M71" ca="1">INDEX($D$2:$D$15,RANDBETWEEN(1,ROWS($D$2:$D$15)),1)</f>
        <v>2</v>
      </c>
      <c r="N71" cm="1">
        <f t="array" aca="1" ref="N71" ca="1">INDEX($D$2:$D$15,RANDBETWEEN(1,ROWS($D$2:$D$15)),1)</f>
        <v>9</v>
      </c>
      <c r="O71" cm="1">
        <f t="array" aca="1" ref="O71" ca="1">INDEX($D$2:$D$15,RANDBETWEEN(1,ROWS($D$2:$D$15)),1)</f>
        <v>11</v>
      </c>
      <c r="P71" cm="1">
        <f t="array" aca="1" ref="P71" ca="1">INDEX($D$2:$D$15,RANDBETWEEN(1,ROWS($D$2:$D$15)),1)</f>
        <v>11</v>
      </c>
      <c r="Q71" cm="1">
        <f t="array" aca="1" ref="Q71" ca="1">INDEX($D$2:$D$15,RANDBETWEEN(1,ROWS($D$2:$D$15)),1)</f>
        <v>9</v>
      </c>
      <c r="R71" cm="1">
        <f t="array" aca="1" ref="R71" ca="1">INDEX($D$2:$D$15,RANDBETWEEN(1,ROWS($D$2:$D$15)),1)</f>
        <v>10</v>
      </c>
      <c r="S71" cm="1">
        <f t="array" aca="1" ref="S71" ca="1">INDEX($D$2:$D$15,RANDBETWEEN(1,ROWS($D$2:$D$15)),1)</f>
        <v>3</v>
      </c>
      <c r="T71" cm="1">
        <f t="array" aca="1" ref="T71" ca="1">INDEX($D$2:$D$15,RANDBETWEEN(1,ROWS($D$2:$D$15)),1)</f>
        <v>4</v>
      </c>
      <c r="W71">
        <f t="shared" ca="1" si="4"/>
        <v>7.5333333333333332</v>
      </c>
      <c r="X71">
        <f t="shared" ca="1" si="5"/>
        <v>9</v>
      </c>
      <c r="Y71">
        <f t="shared" ca="1" si="6"/>
        <v>6.5</v>
      </c>
      <c r="Z71">
        <f t="shared" ca="1" si="7"/>
        <v>3.5830287799702698</v>
      </c>
    </row>
    <row r="72" spans="6:26" x14ac:dyDescent="0.35">
      <c r="F72" cm="1">
        <f t="array" aca="1" ref="F72" ca="1">INDEX($D$2:$D$15,RANDBETWEEN(1,ROWS($D$2:$D$15)),1)</f>
        <v>2</v>
      </c>
      <c r="G72" cm="1">
        <f t="array" aca="1" ref="G72" ca="1">INDEX($D$2:$D$15,RANDBETWEEN(1,ROWS($D$2:$D$15)),1)</f>
        <v>9</v>
      </c>
      <c r="H72" cm="1">
        <f t="array" aca="1" ref="H72" ca="1">INDEX($D$2:$D$15,RANDBETWEEN(1,ROWS($D$2:$D$15)),1)</f>
        <v>13</v>
      </c>
      <c r="I72" cm="1">
        <f t="array" aca="1" ref="I72" ca="1">INDEX($D$2:$D$15,RANDBETWEEN(1,ROWS($D$2:$D$15)),1)</f>
        <v>9</v>
      </c>
      <c r="J72" cm="1">
        <f t="array" aca="1" ref="J72" ca="1">INDEX($D$2:$D$15,RANDBETWEEN(1,ROWS($D$2:$D$15)),1)</f>
        <v>4</v>
      </c>
      <c r="K72" cm="1">
        <f t="array" aca="1" ref="K72" ca="1">INDEX($D$2:$D$15,RANDBETWEEN(1,ROWS($D$2:$D$15)),1)</f>
        <v>4</v>
      </c>
      <c r="L72" cm="1">
        <f t="array" aca="1" ref="L72" ca="1">INDEX($D$2:$D$15,RANDBETWEEN(1,ROWS($D$2:$D$15)),1)</f>
        <v>10</v>
      </c>
      <c r="M72" cm="1">
        <f t="array" aca="1" ref="M72" ca="1">INDEX($D$2:$D$15,RANDBETWEEN(1,ROWS($D$2:$D$15)),1)</f>
        <v>9</v>
      </c>
      <c r="N72" cm="1">
        <f t="array" aca="1" ref="N72" ca="1">INDEX($D$2:$D$15,RANDBETWEEN(1,ROWS($D$2:$D$15)),1)</f>
        <v>11</v>
      </c>
      <c r="O72" cm="1">
        <f t="array" aca="1" ref="O72" ca="1">INDEX($D$2:$D$15,RANDBETWEEN(1,ROWS($D$2:$D$15)),1)</f>
        <v>10</v>
      </c>
      <c r="P72" cm="1">
        <f t="array" aca="1" ref="P72" ca="1">INDEX($D$2:$D$15,RANDBETWEEN(1,ROWS($D$2:$D$15)),1)</f>
        <v>11</v>
      </c>
      <c r="Q72" cm="1">
        <f t="array" aca="1" ref="Q72" ca="1">INDEX($D$2:$D$15,RANDBETWEEN(1,ROWS($D$2:$D$15)),1)</f>
        <v>12</v>
      </c>
      <c r="R72" cm="1">
        <f t="array" aca="1" ref="R72" ca="1">INDEX($D$2:$D$15,RANDBETWEEN(1,ROWS($D$2:$D$15)),1)</f>
        <v>13</v>
      </c>
      <c r="S72" cm="1">
        <f t="array" aca="1" ref="S72" ca="1">INDEX($D$2:$D$15,RANDBETWEEN(1,ROWS($D$2:$D$15)),1)</f>
        <v>9</v>
      </c>
      <c r="T72" cm="1">
        <f t="array" aca="1" ref="T72" ca="1">INDEX($D$2:$D$15,RANDBETWEEN(1,ROWS($D$2:$D$15)),1)</f>
        <v>4</v>
      </c>
      <c r="W72">
        <f t="shared" ca="1" si="4"/>
        <v>8.6666666666666661</v>
      </c>
      <c r="X72">
        <f t="shared" ca="1" si="5"/>
        <v>9</v>
      </c>
      <c r="Y72">
        <f t="shared" ca="1" si="6"/>
        <v>4.5</v>
      </c>
      <c r="Z72">
        <f t="shared" ca="1" si="7"/>
        <v>3.5186577527449834</v>
      </c>
    </row>
    <row r="73" spans="6:26" x14ac:dyDescent="0.35">
      <c r="F73" cm="1">
        <f t="array" aca="1" ref="F73" ca="1">INDEX($D$2:$D$15,RANDBETWEEN(1,ROWS($D$2:$D$15)),1)</f>
        <v>3</v>
      </c>
      <c r="G73" cm="1">
        <f t="array" aca="1" ref="G73" ca="1">INDEX($D$2:$D$15,RANDBETWEEN(1,ROWS($D$2:$D$15)),1)</f>
        <v>9</v>
      </c>
      <c r="H73" cm="1">
        <f t="array" aca="1" ref="H73" ca="1">INDEX($D$2:$D$15,RANDBETWEEN(1,ROWS($D$2:$D$15)),1)</f>
        <v>4</v>
      </c>
      <c r="I73" cm="1">
        <f t="array" aca="1" ref="I73" ca="1">INDEX($D$2:$D$15,RANDBETWEEN(1,ROWS($D$2:$D$15)),1)</f>
        <v>9</v>
      </c>
      <c r="J73" cm="1">
        <f t="array" aca="1" ref="J73" ca="1">INDEX($D$2:$D$15,RANDBETWEEN(1,ROWS($D$2:$D$15)),1)</f>
        <v>11</v>
      </c>
      <c r="K73" cm="1">
        <f t="array" aca="1" ref="K73" ca="1">INDEX($D$2:$D$15,RANDBETWEEN(1,ROWS($D$2:$D$15)),1)</f>
        <v>12</v>
      </c>
      <c r="L73" cm="1">
        <f t="array" aca="1" ref="L73" ca="1">INDEX($D$2:$D$15,RANDBETWEEN(1,ROWS($D$2:$D$15)),1)</f>
        <v>9</v>
      </c>
      <c r="M73" cm="1">
        <f t="array" aca="1" ref="M73" ca="1">INDEX($D$2:$D$15,RANDBETWEEN(1,ROWS($D$2:$D$15)),1)</f>
        <v>4</v>
      </c>
      <c r="N73" cm="1">
        <f t="array" aca="1" ref="N73" ca="1">INDEX($D$2:$D$15,RANDBETWEEN(1,ROWS($D$2:$D$15)),1)</f>
        <v>11</v>
      </c>
      <c r="O73" cm="1">
        <f t="array" aca="1" ref="O73" ca="1">INDEX($D$2:$D$15,RANDBETWEEN(1,ROWS($D$2:$D$15)),1)</f>
        <v>12</v>
      </c>
      <c r="P73" cm="1">
        <f t="array" aca="1" ref="P73" ca="1">INDEX($D$2:$D$15,RANDBETWEEN(1,ROWS($D$2:$D$15)),1)</f>
        <v>12</v>
      </c>
      <c r="Q73" cm="1">
        <f t="array" aca="1" ref="Q73" ca="1">INDEX($D$2:$D$15,RANDBETWEEN(1,ROWS($D$2:$D$15)),1)</f>
        <v>4</v>
      </c>
      <c r="R73" cm="1">
        <f t="array" aca="1" ref="R73" ca="1">INDEX($D$2:$D$15,RANDBETWEEN(1,ROWS($D$2:$D$15)),1)</f>
        <v>4</v>
      </c>
      <c r="S73" cm="1">
        <f t="array" aca="1" ref="S73" ca="1">INDEX($D$2:$D$15,RANDBETWEEN(1,ROWS($D$2:$D$15)),1)</f>
        <v>12</v>
      </c>
      <c r="T73" cm="1">
        <f t="array" aca="1" ref="T73" ca="1">INDEX($D$2:$D$15,RANDBETWEEN(1,ROWS($D$2:$D$15)),1)</f>
        <v>9</v>
      </c>
      <c r="W73">
        <f t="shared" ca="1" si="4"/>
        <v>8.3333333333333339</v>
      </c>
      <c r="X73">
        <f t="shared" ca="1" si="5"/>
        <v>9</v>
      </c>
      <c r="Y73">
        <f t="shared" ca="1" si="6"/>
        <v>7.5</v>
      </c>
      <c r="Z73">
        <f t="shared" ca="1" si="7"/>
        <v>3.5186577527449834</v>
      </c>
    </row>
    <row r="74" spans="6:26" x14ac:dyDescent="0.35">
      <c r="F74" cm="1">
        <f t="array" aca="1" ref="F74" ca="1">INDEX($D$2:$D$15,RANDBETWEEN(1,ROWS($D$2:$D$15)),1)</f>
        <v>4</v>
      </c>
      <c r="G74" cm="1">
        <f t="array" aca="1" ref="G74" ca="1">INDEX($D$2:$D$15,RANDBETWEEN(1,ROWS($D$2:$D$15)),1)</f>
        <v>9</v>
      </c>
      <c r="H74" cm="1">
        <f t="array" aca="1" ref="H74" ca="1">INDEX($D$2:$D$15,RANDBETWEEN(1,ROWS($D$2:$D$15)),1)</f>
        <v>9</v>
      </c>
      <c r="I74" cm="1">
        <f t="array" aca="1" ref="I74" ca="1">INDEX($D$2:$D$15,RANDBETWEEN(1,ROWS($D$2:$D$15)),1)</f>
        <v>4</v>
      </c>
      <c r="J74" cm="1">
        <f t="array" aca="1" ref="J74" ca="1">INDEX($D$2:$D$15,RANDBETWEEN(1,ROWS($D$2:$D$15)),1)</f>
        <v>2</v>
      </c>
      <c r="K74" cm="1">
        <f t="array" aca="1" ref="K74" ca="1">INDEX($D$2:$D$15,RANDBETWEEN(1,ROWS($D$2:$D$15)),1)</f>
        <v>4</v>
      </c>
      <c r="L74" cm="1">
        <f t="array" aca="1" ref="L74" ca="1">INDEX($D$2:$D$15,RANDBETWEEN(1,ROWS($D$2:$D$15)),1)</f>
        <v>9</v>
      </c>
      <c r="M74" cm="1">
        <f t="array" aca="1" ref="M74" ca="1">INDEX($D$2:$D$15,RANDBETWEEN(1,ROWS($D$2:$D$15)),1)</f>
        <v>10</v>
      </c>
      <c r="N74" cm="1">
        <f t="array" aca="1" ref="N74" ca="1">INDEX($D$2:$D$15,RANDBETWEEN(1,ROWS($D$2:$D$15)),1)</f>
        <v>4</v>
      </c>
      <c r="O74" cm="1">
        <f t="array" aca="1" ref="O74" ca="1">INDEX($D$2:$D$15,RANDBETWEEN(1,ROWS($D$2:$D$15)),1)</f>
        <v>13</v>
      </c>
      <c r="P74" cm="1">
        <f t="array" aca="1" ref="P74" ca="1">INDEX($D$2:$D$15,RANDBETWEEN(1,ROWS($D$2:$D$15)),1)</f>
        <v>9</v>
      </c>
      <c r="Q74" cm="1">
        <f t="array" aca="1" ref="Q74" ca="1">INDEX($D$2:$D$15,RANDBETWEEN(1,ROWS($D$2:$D$15)),1)</f>
        <v>9</v>
      </c>
      <c r="R74" cm="1">
        <f t="array" aca="1" ref="R74" ca="1">INDEX($D$2:$D$15,RANDBETWEEN(1,ROWS($D$2:$D$15)),1)</f>
        <v>8</v>
      </c>
      <c r="S74" cm="1">
        <f t="array" aca="1" ref="S74" ca="1">INDEX($D$2:$D$15,RANDBETWEEN(1,ROWS($D$2:$D$15)),1)</f>
        <v>4</v>
      </c>
      <c r="T74" cm="1">
        <f t="array" aca="1" ref="T74" ca="1">INDEX($D$2:$D$15,RANDBETWEEN(1,ROWS($D$2:$D$15)),1)</f>
        <v>13</v>
      </c>
      <c r="W74">
        <f t="shared" ca="1" si="4"/>
        <v>7.4</v>
      </c>
      <c r="X74">
        <f t="shared" ca="1" si="5"/>
        <v>9</v>
      </c>
      <c r="Y74">
        <f t="shared" ca="1" si="6"/>
        <v>5</v>
      </c>
      <c r="Z74">
        <f t="shared" ca="1" si="7"/>
        <v>3.4805582475065284</v>
      </c>
    </row>
    <row r="75" spans="6:26" x14ac:dyDescent="0.35">
      <c r="F75" cm="1">
        <f t="array" aca="1" ref="F75" ca="1">INDEX($D$2:$D$15,RANDBETWEEN(1,ROWS($D$2:$D$15)),1)</f>
        <v>3</v>
      </c>
      <c r="G75" cm="1">
        <f t="array" aca="1" ref="G75" ca="1">INDEX($D$2:$D$15,RANDBETWEEN(1,ROWS($D$2:$D$15)),1)</f>
        <v>12</v>
      </c>
      <c r="H75" cm="1">
        <f t="array" aca="1" ref="H75" ca="1">INDEX($D$2:$D$15,RANDBETWEEN(1,ROWS($D$2:$D$15)),1)</f>
        <v>9</v>
      </c>
      <c r="I75" cm="1">
        <f t="array" aca="1" ref="I75" ca="1">INDEX($D$2:$D$15,RANDBETWEEN(1,ROWS($D$2:$D$15)),1)</f>
        <v>3</v>
      </c>
      <c r="J75" cm="1">
        <f t="array" aca="1" ref="J75" ca="1">INDEX($D$2:$D$15,RANDBETWEEN(1,ROWS($D$2:$D$15)),1)</f>
        <v>3</v>
      </c>
      <c r="K75" cm="1">
        <f t="array" aca="1" ref="K75" ca="1">INDEX($D$2:$D$15,RANDBETWEEN(1,ROWS($D$2:$D$15)),1)</f>
        <v>9</v>
      </c>
      <c r="L75" cm="1">
        <f t="array" aca="1" ref="L75" ca="1">INDEX($D$2:$D$15,RANDBETWEEN(1,ROWS($D$2:$D$15)),1)</f>
        <v>4</v>
      </c>
      <c r="M75" cm="1">
        <f t="array" aca="1" ref="M75" ca="1">INDEX($D$2:$D$15,RANDBETWEEN(1,ROWS($D$2:$D$15)),1)</f>
        <v>11</v>
      </c>
      <c r="N75" cm="1">
        <f t="array" aca="1" ref="N75" ca="1">INDEX($D$2:$D$15,RANDBETWEEN(1,ROWS($D$2:$D$15)),1)</f>
        <v>4</v>
      </c>
      <c r="O75" cm="1">
        <f t="array" aca="1" ref="O75" ca="1">INDEX($D$2:$D$15,RANDBETWEEN(1,ROWS($D$2:$D$15)),1)</f>
        <v>4</v>
      </c>
      <c r="P75" cm="1">
        <f t="array" aca="1" ref="P75" ca="1">INDEX($D$2:$D$15,RANDBETWEEN(1,ROWS($D$2:$D$15)),1)</f>
        <v>8</v>
      </c>
      <c r="Q75" cm="1">
        <f t="array" aca="1" ref="Q75" ca="1">INDEX($D$2:$D$15,RANDBETWEEN(1,ROWS($D$2:$D$15)),1)</f>
        <v>4</v>
      </c>
      <c r="R75" cm="1">
        <f t="array" aca="1" ref="R75" ca="1">INDEX($D$2:$D$15,RANDBETWEEN(1,ROWS($D$2:$D$15)),1)</f>
        <v>4</v>
      </c>
      <c r="S75" cm="1">
        <f t="array" aca="1" ref="S75" ca="1">INDEX($D$2:$D$15,RANDBETWEEN(1,ROWS($D$2:$D$15)),1)</f>
        <v>3</v>
      </c>
      <c r="T75" cm="1">
        <f t="array" aca="1" ref="T75" ca="1">INDEX($D$2:$D$15,RANDBETWEEN(1,ROWS($D$2:$D$15)),1)</f>
        <v>4</v>
      </c>
      <c r="W75">
        <f t="shared" ca="1" si="4"/>
        <v>5.666666666666667</v>
      </c>
      <c r="X75">
        <f t="shared" ca="1" si="5"/>
        <v>4</v>
      </c>
      <c r="Y75">
        <f t="shared" ca="1" si="6"/>
        <v>5</v>
      </c>
      <c r="Z75">
        <f t="shared" ca="1" si="7"/>
        <v>3.1773004414499573</v>
      </c>
    </row>
    <row r="76" spans="6:26" x14ac:dyDescent="0.35">
      <c r="F76" cm="1">
        <f t="array" aca="1" ref="F76" ca="1">INDEX($D$2:$D$15,RANDBETWEEN(1,ROWS($D$2:$D$15)),1)</f>
        <v>9</v>
      </c>
      <c r="G76" cm="1">
        <f t="array" aca="1" ref="G76" ca="1">INDEX($D$2:$D$15,RANDBETWEEN(1,ROWS($D$2:$D$15)),1)</f>
        <v>8</v>
      </c>
      <c r="H76" cm="1">
        <f t="array" aca="1" ref="H76" ca="1">INDEX($D$2:$D$15,RANDBETWEEN(1,ROWS($D$2:$D$15)),1)</f>
        <v>9</v>
      </c>
      <c r="I76" cm="1">
        <f t="array" aca="1" ref="I76" ca="1">INDEX($D$2:$D$15,RANDBETWEEN(1,ROWS($D$2:$D$15)),1)</f>
        <v>8</v>
      </c>
      <c r="J76" cm="1">
        <f t="array" aca="1" ref="J76" ca="1">INDEX($D$2:$D$15,RANDBETWEEN(1,ROWS($D$2:$D$15)),1)</f>
        <v>10</v>
      </c>
      <c r="K76" cm="1">
        <f t="array" aca="1" ref="K76" ca="1">INDEX($D$2:$D$15,RANDBETWEEN(1,ROWS($D$2:$D$15)),1)</f>
        <v>4</v>
      </c>
      <c r="L76" cm="1">
        <f t="array" aca="1" ref="L76" ca="1">INDEX($D$2:$D$15,RANDBETWEEN(1,ROWS($D$2:$D$15)),1)</f>
        <v>2</v>
      </c>
      <c r="M76" cm="1">
        <f t="array" aca="1" ref="M76" ca="1">INDEX($D$2:$D$15,RANDBETWEEN(1,ROWS($D$2:$D$15)),1)</f>
        <v>8</v>
      </c>
      <c r="N76" cm="1">
        <f t="array" aca="1" ref="N76" ca="1">INDEX($D$2:$D$15,RANDBETWEEN(1,ROWS($D$2:$D$15)),1)</f>
        <v>10</v>
      </c>
      <c r="O76" cm="1">
        <f t="array" aca="1" ref="O76" ca="1">INDEX($D$2:$D$15,RANDBETWEEN(1,ROWS($D$2:$D$15)),1)</f>
        <v>4</v>
      </c>
      <c r="P76" cm="1">
        <f t="array" aca="1" ref="P76" ca="1">INDEX($D$2:$D$15,RANDBETWEEN(1,ROWS($D$2:$D$15)),1)</f>
        <v>10</v>
      </c>
      <c r="Q76" cm="1">
        <f t="array" aca="1" ref="Q76" ca="1">INDEX($D$2:$D$15,RANDBETWEEN(1,ROWS($D$2:$D$15)),1)</f>
        <v>9</v>
      </c>
      <c r="R76" cm="1">
        <f t="array" aca="1" ref="R76" ca="1">INDEX($D$2:$D$15,RANDBETWEEN(1,ROWS($D$2:$D$15)),1)</f>
        <v>12</v>
      </c>
      <c r="S76" cm="1">
        <f t="array" aca="1" ref="S76" ca="1">INDEX($D$2:$D$15,RANDBETWEEN(1,ROWS($D$2:$D$15)),1)</f>
        <v>4</v>
      </c>
      <c r="T76" cm="1">
        <f t="array" aca="1" ref="T76" ca="1">INDEX($D$2:$D$15,RANDBETWEEN(1,ROWS($D$2:$D$15)),1)</f>
        <v>4</v>
      </c>
      <c r="W76">
        <f t="shared" ca="1" si="4"/>
        <v>7.4</v>
      </c>
      <c r="X76">
        <f t="shared" ca="1" si="5"/>
        <v>8</v>
      </c>
      <c r="Y76">
        <f t="shared" ca="1" si="6"/>
        <v>5.5</v>
      </c>
      <c r="Z76">
        <f t="shared" ca="1" si="7"/>
        <v>2.9952343099378007</v>
      </c>
    </row>
    <row r="77" spans="6:26" x14ac:dyDescent="0.35">
      <c r="F77" cm="1">
        <f t="array" aca="1" ref="F77" ca="1">INDEX($D$2:$D$15,RANDBETWEEN(1,ROWS($D$2:$D$15)),1)</f>
        <v>13</v>
      </c>
      <c r="G77" cm="1">
        <f t="array" aca="1" ref="G77" ca="1">INDEX($D$2:$D$15,RANDBETWEEN(1,ROWS($D$2:$D$15)),1)</f>
        <v>3</v>
      </c>
      <c r="H77" cm="1">
        <f t="array" aca="1" ref="H77" ca="1">INDEX($D$2:$D$15,RANDBETWEEN(1,ROWS($D$2:$D$15)),1)</f>
        <v>3</v>
      </c>
      <c r="I77" cm="1">
        <f t="array" aca="1" ref="I77" ca="1">INDEX($D$2:$D$15,RANDBETWEEN(1,ROWS($D$2:$D$15)),1)</f>
        <v>9</v>
      </c>
      <c r="J77" cm="1">
        <f t="array" aca="1" ref="J77" ca="1">INDEX($D$2:$D$15,RANDBETWEEN(1,ROWS($D$2:$D$15)),1)</f>
        <v>4</v>
      </c>
      <c r="K77" cm="1">
        <f t="array" aca="1" ref="K77" ca="1">INDEX($D$2:$D$15,RANDBETWEEN(1,ROWS($D$2:$D$15)),1)</f>
        <v>2</v>
      </c>
      <c r="L77" cm="1">
        <f t="array" aca="1" ref="L77" ca="1">INDEX($D$2:$D$15,RANDBETWEEN(1,ROWS($D$2:$D$15)),1)</f>
        <v>3</v>
      </c>
      <c r="M77" cm="1">
        <f t="array" aca="1" ref="M77" ca="1">INDEX($D$2:$D$15,RANDBETWEEN(1,ROWS($D$2:$D$15)),1)</f>
        <v>8</v>
      </c>
      <c r="N77" cm="1">
        <f t="array" aca="1" ref="N77" ca="1">INDEX($D$2:$D$15,RANDBETWEEN(1,ROWS($D$2:$D$15)),1)</f>
        <v>11</v>
      </c>
      <c r="O77" cm="1">
        <f t="array" aca="1" ref="O77" ca="1">INDEX($D$2:$D$15,RANDBETWEEN(1,ROWS($D$2:$D$15)),1)</f>
        <v>13</v>
      </c>
      <c r="P77" cm="1">
        <f t="array" aca="1" ref="P77" ca="1">INDEX($D$2:$D$15,RANDBETWEEN(1,ROWS($D$2:$D$15)),1)</f>
        <v>10</v>
      </c>
      <c r="Q77" cm="1">
        <f t="array" aca="1" ref="Q77" ca="1">INDEX($D$2:$D$15,RANDBETWEEN(1,ROWS($D$2:$D$15)),1)</f>
        <v>4</v>
      </c>
      <c r="R77" cm="1">
        <f t="array" aca="1" ref="R77" ca="1">INDEX($D$2:$D$15,RANDBETWEEN(1,ROWS($D$2:$D$15)),1)</f>
        <v>3</v>
      </c>
      <c r="S77" cm="1">
        <f t="array" aca="1" ref="S77" ca="1">INDEX($D$2:$D$15,RANDBETWEEN(1,ROWS($D$2:$D$15)),1)</f>
        <v>12</v>
      </c>
      <c r="T77" cm="1">
        <f t="array" aca="1" ref="T77" ca="1">INDEX($D$2:$D$15,RANDBETWEEN(1,ROWS($D$2:$D$15)),1)</f>
        <v>10</v>
      </c>
      <c r="W77">
        <f t="shared" ca="1" si="4"/>
        <v>7.2</v>
      </c>
      <c r="X77">
        <f t="shared" ca="1" si="5"/>
        <v>8</v>
      </c>
      <c r="Y77">
        <f t="shared" ca="1" si="6"/>
        <v>7.5</v>
      </c>
      <c r="Z77">
        <f t="shared" ca="1" si="7"/>
        <v>4.1610438250859261</v>
      </c>
    </row>
    <row r="78" spans="6:26" x14ac:dyDescent="0.35">
      <c r="F78" cm="1">
        <f t="array" aca="1" ref="F78" ca="1">INDEX($D$2:$D$15,RANDBETWEEN(1,ROWS($D$2:$D$15)),1)</f>
        <v>12</v>
      </c>
      <c r="G78" cm="1">
        <f t="array" aca="1" ref="G78" ca="1">INDEX($D$2:$D$15,RANDBETWEEN(1,ROWS($D$2:$D$15)),1)</f>
        <v>9</v>
      </c>
      <c r="H78" cm="1">
        <f t="array" aca="1" ref="H78" ca="1">INDEX($D$2:$D$15,RANDBETWEEN(1,ROWS($D$2:$D$15)),1)</f>
        <v>4</v>
      </c>
      <c r="I78" cm="1">
        <f t="array" aca="1" ref="I78" ca="1">INDEX($D$2:$D$15,RANDBETWEEN(1,ROWS($D$2:$D$15)),1)</f>
        <v>3</v>
      </c>
      <c r="J78" cm="1">
        <f t="array" aca="1" ref="J78" ca="1">INDEX($D$2:$D$15,RANDBETWEEN(1,ROWS($D$2:$D$15)),1)</f>
        <v>13</v>
      </c>
      <c r="K78" cm="1">
        <f t="array" aca="1" ref="K78" ca="1">INDEX($D$2:$D$15,RANDBETWEEN(1,ROWS($D$2:$D$15)),1)</f>
        <v>2</v>
      </c>
      <c r="L78" cm="1">
        <f t="array" aca="1" ref="L78" ca="1">INDEX($D$2:$D$15,RANDBETWEEN(1,ROWS($D$2:$D$15)),1)</f>
        <v>8</v>
      </c>
      <c r="M78" cm="1">
        <f t="array" aca="1" ref="M78" ca="1">INDEX($D$2:$D$15,RANDBETWEEN(1,ROWS($D$2:$D$15)),1)</f>
        <v>8</v>
      </c>
      <c r="N78" cm="1">
        <f t="array" aca="1" ref="N78" ca="1">INDEX($D$2:$D$15,RANDBETWEEN(1,ROWS($D$2:$D$15)),1)</f>
        <v>8</v>
      </c>
      <c r="O78" cm="1">
        <f t="array" aca="1" ref="O78" ca="1">INDEX($D$2:$D$15,RANDBETWEEN(1,ROWS($D$2:$D$15)),1)</f>
        <v>9</v>
      </c>
      <c r="P78" cm="1">
        <f t="array" aca="1" ref="P78" ca="1">INDEX($D$2:$D$15,RANDBETWEEN(1,ROWS($D$2:$D$15)),1)</f>
        <v>13</v>
      </c>
      <c r="Q78" cm="1">
        <f t="array" aca="1" ref="Q78" ca="1">INDEX($D$2:$D$15,RANDBETWEEN(1,ROWS($D$2:$D$15)),1)</f>
        <v>11</v>
      </c>
      <c r="R78" cm="1">
        <f t="array" aca="1" ref="R78" ca="1">INDEX($D$2:$D$15,RANDBETWEEN(1,ROWS($D$2:$D$15)),1)</f>
        <v>9</v>
      </c>
      <c r="S78" cm="1">
        <f t="array" aca="1" ref="S78" ca="1">INDEX($D$2:$D$15,RANDBETWEEN(1,ROWS($D$2:$D$15)),1)</f>
        <v>4</v>
      </c>
      <c r="T78" cm="1">
        <f t="array" aca="1" ref="T78" ca="1">INDEX($D$2:$D$15,RANDBETWEEN(1,ROWS($D$2:$D$15)),1)</f>
        <v>13</v>
      </c>
      <c r="W78">
        <f t="shared" ca="1" si="4"/>
        <v>8.4</v>
      </c>
      <c r="X78">
        <f t="shared" ca="1" si="5"/>
        <v>9</v>
      </c>
      <c r="Y78">
        <f t="shared" ca="1" si="6"/>
        <v>5.5</v>
      </c>
      <c r="Z78">
        <f t="shared" ca="1" si="7"/>
        <v>3.7186787208054719</v>
      </c>
    </row>
    <row r="79" spans="6:26" x14ac:dyDescent="0.35">
      <c r="F79" cm="1">
        <f t="array" aca="1" ref="F79" ca="1">INDEX($D$2:$D$15,RANDBETWEEN(1,ROWS($D$2:$D$15)),1)</f>
        <v>2</v>
      </c>
      <c r="G79" cm="1">
        <f t="array" aca="1" ref="G79" ca="1">INDEX($D$2:$D$15,RANDBETWEEN(1,ROWS($D$2:$D$15)),1)</f>
        <v>8</v>
      </c>
      <c r="H79" cm="1">
        <f t="array" aca="1" ref="H79" ca="1">INDEX($D$2:$D$15,RANDBETWEEN(1,ROWS($D$2:$D$15)),1)</f>
        <v>9</v>
      </c>
      <c r="I79" cm="1">
        <f t="array" aca="1" ref="I79" ca="1">INDEX($D$2:$D$15,RANDBETWEEN(1,ROWS($D$2:$D$15)),1)</f>
        <v>9</v>
      </c>
      <c r="J79" cm="1">
        <f t="array" aca="1" ref="J79" ca="1">INDEX($D$2:$D$15,RANDBETWEEN(1,ROWS($D$2:$D$15)),1)</f>
        <v>2</v>
      </c>
      <c r="K79" cm="1">
        <f t="array" aca="1" ref="K79" ca="1">INDEX($D$2:$D$15,RANDBETWEEN(1,ROWS($D$2:$D$15)),1)</f>
        <v>3</v>
      </c>
      <c r="L79" cm="1">
        <f t="array" aca="1" ref="L79" ca="1">INDEX($D$2:$D$15,RANDBETWEEN(1,ROWS($D$2:$D$15)),1)</f>
        <v>4</v>
      </c>
      <c r="M79" cm="1">
        <f t="array" aca="1" ref="M79" ca="1">INDEX($D$2:$D$15,RANDBETWEEN(1,ROWS($D$2:$D$15)),1)</f>
        <v>11</v>
      </c>
      <c r="N79" cm="1">
        <f t="array" aca="1" ref="N79" ca="1">INDEX($D$2:$D$15,RANDBETWEEN(1,ROWS($D$2:$D$15)),1)</f>
        <v>4</v>
      </c>
      <c r="O79" cm="1">
        <f t="array" aca="1" ref="O79" ca="1">INDEX($D$2:$D$15,RANDBETWEEN(1,ROWS($D$2:$D$15)),1)</f>
        <v>3</v>
      </c>
      <c r="P79" cm="1">
        <f t="array" aca="1" ref="P79" ca="1">INDEX($D$2:$D$15,RANDBETWEEN(1,ROWS($D$2:$D$15)),1)</f>
        <v>12</v>
      </c>
      <c r="Q79" cm="1">
        <f t="array" aca="1" ref="Q79" ca="1">INDEX($D$2:$D$15,RANDBETWEEN(1,ROWS($D$2:$D$15)),1)</f>
        <v>3</v>
      </c>
      <c r="R79" cm="1">
        <f t="array" aca="1" ref="R79" ca="1">INDEX($D$2:$D$15,RANDBETWEEN(1,ROWS($D$2:$D$15)),1)</f>
        <v>8</v>
      </c>
      <c r="S79" cm="1">
        <f t="array" aca="1" ref="S79" ca="1">INDEX($D$2:$D$15,RANDBETWEEN(1,ROWS($D$2:$D$15)),1)</f>
        <v>8</v>
      </c>
      <c r="T79" cm="1">
        <f t="array" aca="1" ref="T79" ca="1">INDEX($D$2:$D$15,RANDBETWEEN(1,ROWS($D$2:$D$15)),1)</f>
        <v>13</v>
      </c>
      <c r="W79">
        <f t="shared" ca="1" si="4"/>
        <v>6.6</v>
      </c>
      <c r="X79">
        <f t="shared" ca="1" si="5"/>
        <v>8</v>
      </c>
      <c r="Y79">
        <f t="shared" ca="1" si="6"/>
        <v>6</v>
      </c>
      <c r="Z79">
        <f t="shared" ca="1" si="7"/>
        <v>3.7947331922020555</v>
      </c>
    </row>
    <row r="80" spans="6:26" x14ac:dyDescent="0.35">
      <c r="F80" cm="1">
        <f t="array" aca="1" ref="F80" ca="1">INDEX($D$2:$D$15,RANDBETWEEN(1,ROWS($D$2:$D$15)),1)</f>
        <v>13</v>
      </c>
      <c r="G80" cm="1">
        <f t="array" aca="1" ref="G80" ca="1">INDEX($D$2:$D$15,RANDBETWEEN(1,ROWS($D$2:$D$15)),1)</f>
        <v>11</v>
      </c>
      <c r="H80" cm="1">
        <f t="array" aca="1" ref="H80" ca="1">INDEX($D$2:$D$15,RANDBETWEEN(1,ROWS($D$2:$D$15)),1)</f>
        <v>4</v>
      </c>
      <c r="I80" cm="1">
        <f t="array" aca="1" ref="I80" ca="1">INDEX($D$2:$D$15,RANDBETWEEN(1,ROWS($D$2:$D$15)),1)</f>
        <v>4</v>
      </c>
      <c r="J80" cm="1">
        <f t="array" aca="1" ref="J80" ca="1">INDEX($D$2:$D$15,RANDBETWEEN(1,ROWS($D$2:$D$15)),1)</f>
        <v>11</v>
      </c>
      <c r="K80" cm="1">
        <f t="array" aca="1" ref="K80" ca="1">INDEX($D$2:$D$15,RANDBETWEEN(1,ROWS($D$2:$D$15)),1)</f>
        <v>3</v>
      </c>
      <c r="L80" cm="1">
        <f t="array" aca="1" ref="L80" ca="1">INDEX($D$2:$D$15,RANDBETWEEN(1,ROWS($D$2:$D$15)),1)</f>
        <v>9</v>
      </c>
      <c r="M80" cm="1">
        <f t="array" aca="1" ref="M80" ca="1">INDEX($D$2:$D$15,RANDBETWEEN(1,ROWS($D$2:$D$15)),1)</f>
        <v>8</v>
      </c>
      <c r="N80" cm="1">
        <f t="array" aca="1" ref="N80" ca="1">INDEX($D$2:$D$15,RANDBETWEEN(1,ROWS($D$2:$D$15)),1)</f>
        <v>3</v>
      </c>
      <c r="O80" cm="1">
        <f t="array" aca="1" ref="O80" ca="1">INDEX($D$2:$D$15,RANDBETWEEN(1,ROWS($D$2:$D$15)),1)</f>
        <v>9</v>
      </c>
      <c r="P80" cm="1">
        <f t="array" aca="1" ref="P80" ca="1">INDEX($D$2:$D$15,RANDBETWEEN(1,ROWS($D$2:$D$15)),1)</f>
        <v>11</v>
      </c>
      <c r="Q80" cm="1">
        <f t="array" aca="1" ref="Q80" ca="1">INDEX($D$2:$D$15,RANDBETWEEN(1,ROWS($D$2:$D$15)),1)</f>
        <v>3</v>
      </c>
      <c r="R80" cm="1">
        <f t="array" aca="1" ref="R80" ca="1">INDEX($D$2:$D$15,RANDBETWEEN(1,ROWS($D$2:$D$15)),1)</f>
        <v>11</v>
      </c>
      <c r="S80" cm="1">
        <f t="array" aca="1" ref="S80" ca="1">INDEX($D$2:$D$15,RANDBETWEEN(1,ROWS($D$2:$D$15)),1)</f>
        <v>4</v>
      </c>
      <c r="T80" cm="1">
        <f t="array" aca="1" ref="T80" ca="1">INDEX($D$2:$D$15,RANDBETWEEN(1,ROWS($D$2:$D$15)),1)</f>
        <v>13</v>
      </c>
      <c r="W80">
        <f t="shared" ca="1" si="4"/>
        <v>7.8</v>
      </c>
      <c r="X80">
        <f t="shared" ca="1" si="5"/>
        <v>9</v>
      </c>
      <c r="Y80">
        <f t="shared" ca="1" si="6"/>
        <v>7</v>
      </c>
      <c r="Z80">
        <f t="shared" ca="1" si="7"/>
        <v>3.8766701469910263</v>
      </c>
    </row>
    <row r="81" spans="6:26" x14ac:dyDescent="0.35">
      <c r="F81" cm="1">
        <f t="array" aca="1" ref="F81" ca="1">INDEX($D$2:$D$15,RANDBETWEEN(1,ROWS($D$2:$D$15)),1)</f>
        <v>9</v>
      </c>
      <c r="G81" cm="1">
        <f t="array" aca="1" ref="G81" ca="1">INDEX($D$2:$D$15,RANDBETWEEN(1,ROWS($D$2:$D$15)),1)</f>
        <v>9</v>
      </c>
      <c r="H81" cm="1">
        <f t="array" aca="1" ref="H81" ca="1">INDEX($D$2:$D$15,RANDBETWEEN(1,ROWS($D$2:$D$15)),1)</f>
        <v>9</v>
      </c>
      <c r="I81" cm="1">
        <f t="array" aca="1" ref="I81" ca="1">INDEX($D$2:$D$15,RANDBETWEEN(1,ROWS($D$2:$D$15)),1)</f>
        <v>10</v>
      </c>
      <c r="J81" cm="1">
        <f t="array" aca="1" ref="J81" ca="1">INDEX($D$2:$D$15,RANDBETWEEN(1,ROWS($D$2:$D$15)),1)</f>
        <v>11</v>
      </c>
      <c r="K81" cm="1">
        <f t="array" aca="1" ref="K81" ca="1">INDEX($D$2:$D$15,RANDBETWEEN(1,ROWS($D$2:$D$15)),1)</f>
        <v>3</v>
      </c>
      <c r="L81" cm="1">
        <f t="array" aca="1" ref="L81" ca="1">INDEX($D$2:$D$15,RANDBETWEEN(1,ROWS($D$2:$D$15)),1)</f>
        <v>9</v>
      </c>
      <c r="M81" cm="1">
        <f t="array" aca="1" ref="M81" ca="1">INDEX($D$2:$D$15,RANDBETWEEN(1,ROWS($D$2:$D$15)),1)</f>
        <v>11</v>
      </c>
      <c r="N81" cm="1">
        <f t="array" aca="1" ref="N81" ca="1">INDEX($D$2:$D$15,RANDBETWEEN(1,ROWS($D$2:$D$15)),1)</f>
        <v>8</v>
      </c>
      <c r="O81" cm="1">
        <f t="array" aca="1" ref="O81" ca="1">INDEX($D$2:$D$15,RANDBETWEEN(1,ROWS($D$2:$D$15)),1)</f>
        <v>13</v>
      </c>
      <c r="P81" cm="1">
        <f t="array" aca="1" ref="P81" ca="1">INDEX($D$2:$D$15,RANDBETWEEN(1,ROWS($D$2:$D$15)),1)</f>
        <v>12</v>
      </c>
      <c r="Q81" cm="1">
        <f t="array" aca="1" ref="Q81" ca="1">INDEX($D$2:$D$15,RANDBETWEEN(1,ROWS($D$2:$D$15)),1)</f>
        <v>11</v>
      </c>
      <c r="R81" cm="1">
        <f t="array" aca="1" ref="R81" ca="1">INDEX($D$2:$D$15,RANDBETWEEN(1,ROWS($D$2:$D$15)),1)</f>
        <v>12</v>
      </c>
      <c r="S81" cm="1">
        <f t="array" aca="1" ref="S81" ca="1">INDEX($D$2:$D$15,RANDBETWEEN(1,ROWS($D$2:$D$15)),1)</f>
        <v>12</v>
      </c>
      <c r="T81" cm="1">
        <f t="array" aca="1" ref="T81" ca="1">INDEX($D$2:$D$15,RANDBETWEEN(1,ROWS($D$2:$D$15)),1)</f>
        <v>12</v>
      </c>
      <c r="W81">
        <f t="shared" ca="1" si="4"/>
        <v>10.066666666666666</v>
      </c>
      <c r="X81">
        <f t="shared" ca="1" si="5"/>
        <v>11</v>
      </c>
      <c r="Y81">
        <f t="shared" ca="1" si="6"/>
        <v>3</v>
      </c>
      <c r="Z81">
        <f t="shared" ca="1" si="7"/>
        <v>2.4630604269214897</v>
      </c>
    </row>
    <row r="82" spans="6:26" x14ac:dyDescent="0.35">
      <c r="F82" cm="1">
        <f t="array" aca="1" ref="F82" ca="1">INDEX($D$2:$D$15,RANDBETWEEN(1,ROWS($D$2:$D$15)),1)</f>
        <v>4</v>
      </c>
      <c r="G82" cm="1">
        <f t="array" aca="1" ref="G82" ca="1">INDEX($D$2:$D$15,RANDBETWEEN(1,ROWS($D$2:$D$15)),1)</f>
        <v>9</v>
      </c>
      <c r="H82" cm="1">
        <f t="array" aca="1" ref="H82" ca="1">INDEX($D$2:$D$15,RANDBETWEEN(1,ROWS($D$2:$D$15)),1)</f>
        <v>12</v>
      </c>
      <c r="I82" cm="1">
        <f t="array" aca="1" ref="I82" ca="1">INDEX($D$2:$D$15,RANDBETWEEN(1,ROWS($D$2:$D$15)),1)</f>
        <v>9</v>
      </c>
      <c r="J82" cm="1">
        <f t="array" aca="1" ref="J82" ca="1">INDEX($D$2:$D$15,RANDBETWEEN(1,ROWS($D$2:$D$15)),1)</f>
        <v>8</v>
      </c>
      <c r="K82" cm="1">
        <f t="array" aca="1" ref="K82" ca="1">INDEX($D$2:$D$15,RANDBETWEEN(1,ROWS($D$2:$D$15)),1)</f>
        <v>9</v>
      </c>
      <c r="L82" cm="1">
        <f t="array" aca="1" ref="L82" ca="1">INDEX($D$2:$D$15,RANDBETWEEN(1,ROWS($D$2:$D$15)),1)</f>
        <v>12</v>
      </c>
      <c r="M82" cm="1">
        <f t="array" aca="1" ref="M82" ca="1">INDEX($D$2:$D$15,RANDBETWEEN(1,ROWS($D$2:$D$15)),1)</f>
        <v>4</v>
      </c>
      <c r="N82" cm="1">
        <f t="array" aca="1" ref="N82" ca="1">INDEX($D$2:$D$15,RANDBETWEEN(1,ROWS($D$2:$D$15)),1)</f>
        <v>9</v>
      </c>
      <c r="O82" cm="1">
        <f t="array" aca="1" ref="O82" ca="1">INDEX($D$2:$D$15,RANDBETWEEN(1,ROWS($D$2:$D$15)),1)</f>
        <v>4</v>
      </c>
      <c r="P82" cm="1">
        <f t="array" aca="1" ref="P82" ca="1">INDEX($D$2:$D$15,RANDBETWEEN(1,ROWS($D$2:$D$15)),1)</f>
        <v>4</v>
      </c>
      <c r="Q82" cm="1">
        <f t="array" aca="1" ref="Q82" ca="1">INDEX($D$2:$D$15,RANDBETWEEN(1,ROWS($D$2:$D$15)),1)</f>
        <v>10</v>
      </c>
      <c r="R82" cm="1">
        <f t="array" aca="1" ref="R82" ca="1">INDEX($D$2:$D$15,RANDBETWEEN(1,ROWS($D$2:$D$15)),1)</f>
        <v>9</v>
      </c>
      <c r="S82" cm="1">
        <f t="array" aca="1" ref="S82" ca="1">INDEX($D$2:$D$15,RANDBETWEEN(1,ROWS($D$2:$D$15)),1)</f>
        <v>12</v>
      </c>
      <c r="T82" cm="1">
        <f t="array" aca="1" ref="T82" ca="1">INDEX($D$2:$D$15,RANDBETWEEN(1,ROWS($D$2:$D$15)),1)</f>
        <v>4</v>
      </c>
      <c r="W82">
        <f t="shared" ca="1" si="4"/>
        <v>7.9333333333333336</v>
      </c>
      <c r="X82">
        <f t="shared" ca="1" si="5"/>
        <v>9</v>
      </c>
      <c r="Y82">
        <f t="shared" ca="1" si="6"/>
        <v>5.5</v>
      </c>
      <c r="Z82">
        <f t="shared" ca="1" si="7"/>
        <v>3.1274514194392173</v>
      </c>
    </row>
    <row r="83" spans="6:26" x14ac:dyDescent="0.35">
      <c r="F83" cm="1">
        <f t="array" aca="1" ref="F83" ca="1">INDEX($D$2:$D$15,RANDBETWEEN(1,ROWS($D$2:$D$15)),1)</f>
        <v>12</v>
      </c>
      <c r="G83" cm="1">
        <f t="array" aca="1" ref="G83" ca="1">INDEX($D$2:$D$15,RANDBETWEEN(1,ROWS($D$2:$D$15)),1)</f>
        <v>4</v>
      </c>
      <c r="H83" cm="1">
        <f t="array" aca="1" ref="H83" ca="1">INDEX($D$2:$D$15,RANDBETWEEN(1,ROWS($D$2:$D$15)),1)</f>
        <v>9</v>
      </c>
      <c r="I83" cm="1">
        <f t="array" aca="1" ref="I83" ca="1">INDEX($D$2:$D$15,RANDBETWEEN(1,ROWS($D$2:$D$15)),1)</f>
        <v>8</v>
      </c>
      <c r="J83" cm="1">
        <f t="array" aca="1" ref="J83" ca="1">INDEX($D$2:$D$15,RANDBETWEEN(1,ROWS($D$2:$D$15)),1)</f>
        <v>4</v>
      </c>
      <c r="K83" cm="1">
        <f t="array" aca="1" ref="K83" ca="1">INDEX($D$2:$D$15,RANDBETWEEN(1,ROWS($D$2:$D$15)),1)</f>
        <v>4</v>
      </c>
      <c r="L83" cm="1">
        <f t="array" aca="1" ref="L83" ca="1">INDEX($D$2:$D$15,RANDBETWEEN(1,ROWS($D$2:$D$15)),1)</f>
        <v>13</v>
      </c>
      <c r="M83" cm="1">
        <f t="array" aca="1" ref="M83" ca="1">INDEX($D$2:$D$15,RANDBETWEEN(1,ROWS($D$2:$D$15)),1)</f>
        <v>8</v>
      </c>
      <c r="N83" cm="1">
        <f t="array" aca="1" ref="N83" ca="1">INDEX($D$2:$D$15,RANDBETWEEN(1,ROWS($D$2:$D$15)),1)</f>
        <v>12</v>
      </c>
      <c r="O83" cm="1">
        <f t="array" aca="1" ref="O83" ca="1">INDEX($D$2:$D$15,RANDBETWEEN(1,ROWS($D$2:$D$15)),1)</f>
        <v>12</v>
      </c>
      <c r="P83" cm="1">
        <f t="array" aca="1" ref="P83" ca="1">INDEX($D$2:$D$15,RANDBETWEEN(1,ROWS($D$2:$D$15)),1)</f>
        <v>4</v>
      </c>
      <c r="Q83" cm="1">
        <f t="array" aca="1" ref="Q83" ca="1">INDEX($D$2:$D$15,RANDBETWEEN(1,ROWS($D$2:$D$15)),1)</f>
        <v>11</v>
      </c>
      <c r="R83" cm="1">
        <f t="array" aca="1" ref="R83" ca="1">INDEX($D$2:$D$15,RANDBETWEEN(1,ROWS($D$2:$D$15)),1)</f>
        <v>13</v>
      </c>
      <c r="S83" cm="1">
        <f t="array" aca="1" ref="S83" ca="1">INDEX($D$2:$D$15,RANDBETWEEN(1,ROWS($D$2:$D$15)),1)</f>
        <v>12</v>
      </c>
      <c r="T83" cm="1">
        <f t="array" aca="1" ref="T83" ca="1">INDEX($D$2:$D$15,RANDBETWEEN(1,ROWS($D$2:$D$15)),1)</f>
        <v>12</v>
      </c>
      <c r="W83">
        <f t="shared" ca="1" si="4"/>
        <v>9.1999999999999993</v>
      </c>
      <c r="X83">
        <f t="shared" ca="1" si="5"/>
        <v>11</v>
      </c>
      <c r="Y83">
        <f t="shared" ca="1" si="6"/>
        <v>6</v>
      </c>
      <c r="Z83">
        <f t="shared" ca="1" si="7"/>
        <v>3.6095112451094309</v>
      </c>
    </row>
    <row r="84" spans="6:26" x14ac:dyDescent="0.35">
      <c r="F84" cm="1">
        <f t="array" aca="1" ref="F84" ca="1">INDEX($D$2:$D$15,RANDBETWEEN(1,ROWS($D$2:$D$15)),1)</f>
        <v>3</v>
      </c>
      <c r="G84" cm="1">
        <f t="array" aca="1" ref="G84" ca="1">INDEX($D$2:$D$15,RANDBETWEEN(1,ROWS($D$2:$D$15)),1)</f>
        <v>4</v>
      </c>
      <c r="H84" cm="1">
        <f t="array" aca="1" ref="H84" ca="1">INDEX($D$2:$D$15,RANDBETWEEN(1,ROWS($D$2:$D$15)),1)</f>
        <v>2</v>
      </c>
      <c r="I84" cm="1">
        <f t="array" aca="1" ref="I84" ca="1">INDEX($D$2:$D$15,RANDBETWEEN(1,ROWS($D$2:$D$15)),1)</f>
        <v>3</v>
      </c>
      <c r="J84" cm="1">
        <f t="array" aca="1" ref="J84" ca="1">INDEX($D$2:$D$15,RANDBETWEEN(1,ROWS($D$2:$D$15)),1)</f>
        <v>9</v>
      </c>
      <c r="K84" cm="1">
        <f t="array" aca="1" ref="K84" ca="1">INDEX($D$2:$D$15,RANDBETWEEN(1,ROWS($D$2:$D$15)),1)</f>
        <v>11</v>
      </c>
      <c r="L84" cm="1">
        <f t="array" aca="1" ref="L84" ca="1">INDEX($D$2:$D$15,RANDBETWEEN(1,ROWS($D$2:$D$15)),1)</f>
        <v>9</v>
      </c>
      <c r="M84" cm="1">
        <f t="array" aca="1" ref="M84" ca="1">INDEX($D$2:$D$15,RANDBETWEEN(1,ROWS($D$2:$D$15)),1)</f>
        <v>12</v>
      </c>
      <c r="N84" cm="1">
        <f t="array" aca="1" ref="N84" ca="1">INDEX($D$2:$D$15,RANDBETWEEN(1,ROWS($D$2:$D$15)),1)</f>
        <v>4</v>
      </c>
      <c r="O84" cm="1">
        <f t="array" aca="1" ref="O84" ca="1">INDEX($D$2:$D$15,RANDBETWEEN(1,ROWS($D$2:$D$15)),1)</f>
        <v>4</v>
      </c>
      <c r="P84" cm="1">
        <f t="array" aca="1" ref="P84" ca="1">INDEX($D$2:$D$15,RANDBETWEEN(1,ROWS($D$2:$D$15)),1)</f>
        <v>4</v>
      </c>
      <c r="Q84" cm="1">
        <f t="array" aca="1" ref="Q84" ca="1">INDEX($D$2:$D$15,RANDBETWEEN(1,ROWS($D$2:$D$15)),1)</f>
        <v>8</v>
      </c>
      <c r="R84" cm="1">
        <f t="array" aca="1" ref="R84" ca="1">INDEX($D$2:$D$15,RANDBETWEEN(1,ROWS($D$2:$D$15)),1)</f>
        <v>3</v>
      </c>
      <c r="S84" cm="1">
        <f t="array" aca="1" ref="S84" ca="1">INDEX($D$2:$D$15,RANDBETWEEN(1,ROWS($D$2:$D$15)),1)</f>
        <v>4</v>
      </c>
      <c r="T84" cm="1">
        <f t="array" aca="1" ref="T84" ca="1">INDEX($D$2:$D$15,RANDBETWEEN(1,ROWS($D$2:$D$15)),1)</f>
        <v>13</v>
      </c>
      <c r="W84">
        <f t="shared" ca="1" si="4"/>
        <v>6.2</v>
      </c>
      <c r="X84">
        <f t="shared" ca="1" si="5"/>
        <v>4</v>
      </c>
      <c r="Y84">
        <f t="shared" ca="1" si="6"/>
        <v>5.5</v>
      </c>
      <c r="Z84">
        <f t="shared" ca="1" si="7"/>
        <v>3.7263540204487127</v>
      </c>
    </row>
    <row r="85" spans="6:26" x14ac:dyDescent="0.35">
      <c r="F85" cm="1">
        <f t="array" aca="1" ref="F85" ca="1">INDEX($D$2:$D$15,RANDBETWEEN(1,ROWS($D$2:$D$15)),1)</f>
        <v>4</v>
      </c>
      <c r="G85" cm="1">
        <f t="array" aca="1" ref="G85" ca="1">INDEX($D$2:$D$15,RANDBETWEEN(1,ROWS($D$2:$D$15)),1)</f>
        <v>4</v>
      </c>
      <c r="H85" cm="1">
        <f t="array" aca="1" ref="H85" ca="1">INDEX($D$2:$D$15,RANDBETWEEN(1,ROWS($D$2:$D$15)),1)</f>
        <v>13</v>
      </c>
      <c r="I85" cm="1">
        <f t="array" aca="1" ref="I85" ca="1">INDEX($D$2:$D$15,RANDBETWEEN(1,ROWS($D$2:$D$15)),1)</f>
        <v>4</v>
      </c>
      <c r="J85" cm="1">
        <f t="array" aca="1" ref="J85" ca="1">INDEX($D$2:$D$15,RANDBETWEEN(1,ROWS($D$2:$D$15)),1)</f>
        <v>11</v>
      </c>
      <c r="K85" cm="1">
        <f t="array" aca="1" ref="K85" ca="1">INDEX($D$2:$D$15,RANDBETWEEN(1,ROWS($D$2:$D$15)),1)</f>
        <v>3</v>
      </c>
      <c r="L85" cm="1">
        <f t="array" aca="1" ref="L85" ca="1">INDEX($D$2:$D$15,RANDBETWEEN(1,ROWS($D$2:$D$15)),1)</f>
        <v>13</v>
      </c>
      <c r="M85" cm="1">
        <f t="array" aca="1" ref="M85" ca="1">INDEX($D$2:$D$15,RANDBETWEEN(1,ROWS($D$2:$D$15)),1)</f>
        <v>9</v>
      </c>
      <c r="N85" cm="1">
        <f t="array" aca="1" ref="N85" ca="1">INDEX($D$2:$D$15,RANDBETWEEN(1,ROWS($D$2:$D$15)),1)</f>
        <v>9</v>
      </c>
      <c r="O85" cm="1">
        <f t="array" aca="1" ref="O85" ca="1">INDEX($D$2:$D$15,RANDBETWEEN(1,ROWS($D$2:$D$15)),1)</f>
        <v>2</v>
      </c>
      <c r="P85" cm="1">
        <f t="array" aca="1" ref="P85" ca="1">INDEX($D$2:$D$15,RANDBETWEEN(1,ROWS($D$2:$D$15)),1)</f>
        <v>8</v>
      </c>
      <c r="Q85" cm="1">
        <f t="array" aca="1" ref="Q85" ca="1">INDEX($D$2:$D$15,RANDBETWEEN(1,ROWS($D$2:$D$15)),1)</f>
        <v>10</v>
      </c>
      <c r="R85" cm="1">
        <f t="array" aca="1" ref="R85" ca="1">INDEX($D$2:$D$15,RANDBETWEEN(1,ROWS($D$2:$D$15)),1)</f>
        <v>9</v>
      </c>
      <c r="S85" cm="1">
        <f t="array" aca="1" ref="S85" ca="1">INDEX($D$2:$D$15,RANDBETWEEN(1,ROWS($D$2:$D$15)),1)</f>
        <v>12</v>
      </c>
      <c r="T85" cm="1">
        <f t="array" aca="1" ref="T85" ca="1">INDEX($D$2:$D$15,RANDBETWEEN(1,ROWS($D$2:$D$15)),1)</f>
        <v>9</v>
      </c>
      <c r="W85">
        <f t="shared" ca="1" si="4"/>
        <v>8</v>
      </c>
      <c r="X85">
        <f t="shared" ca="1" si="5"/>
        <v>9</v>
      </c>
      <c r="Y85">
        <f t="shared" ca="1" si="6"/>
        <v>6.5</v>
      </c>
      <c r="Z85">
        <f t="shared" ca="1" si="7"/>
        <v>3.7032803990902057</v>
      </c>
    </row>
    <row r="86" spans="6:26" x14ac:dyDescent="0.35">
      <c r="F86" cm="1">
        <f t="array" aca="1" ref="F86" ca="1">INDEX($D$2:$D$15,RANDBETWEEN(1,ROWS($D$2:$D$15)),1)</f>
        <v>4</v>
      </c>
      <c r="G86" cm="1">
        <f t="array" aca="1" ref="G86" ca="1">INDEX($D$2:$D$15,RANDBETWEEN(1,ROWS($D$2:$D$15)),1)</f>
        <v>11</v>
      </c>
      <c r="H86" cm="1">
        <f t="array" aca="1" ref="H86" ca="1">INDEX($D$2:$D$15,RANDBETWEEN(1,ROWS($D$2:$D$15)),1)</f>
        <v>3</v>
      </c>
      <c r="I86" cm="1">
        <f t="array" aca="1" ref="I86" ca="1">INDEX($D$2:$D$15,RANDBETWEEN(1,ROWS($D$2:$D$15)),1)</f>
        <v>4</v>
      </c>
      <c r="J86" cm="1">
        <f t="array" aca="1" ref="J86" ca="1">INDEX($D$2:$D$15,RANDBETWEEN(1,ROWS($D$2:$D$15)),1)</f>
        <v>9</v>
      </c>
      <c r="K86" cm="1">
        <f t="array" aca="1" ref="K86" ca="1">INDEX($D$2:$D$15,RANDBETWEEN(1,ROWS($D$2:$D$15)),1)</f>
        <v>8</v>
      </c>
      <c r="L86" cm="1">
        <f t="array" aca="1" ref="L86" ca="1">INDEX($D$2:$D$15,RANDBETWEEN(1,ROWS($D$2:$D$15)),1)</f>
        <v>4</v>
      </c>
      <c r="M86" cm="1">
        <f t="array" aca="1" ref="M86" ca="1">INDEX($D$2:$D$15,RANDBETWEEN(1,ROWS($D$2:$D$15)),1)</f>
        <v>4</v>
      </c>
      <c r="N86" cm="1">
        <f t="array" aca="1" ref="N86" ca="1">INDEX($D$2:$D$15,RANDBETWEEN(1,ROWS($D$2:$D$15)),1)</f>
        <v>13</v>
      </c>
      <c r="O86" cm="1">
        <f t="array" aca="1" ref="O86" ca="1">INDEX($D$2:$D$15,RANDBETWEEN(1,ROWS($D$2:$D$15)),1)</f>
        <v>12</v>
      </c>
      <c r="P86" cm="1">
        <f t="array" aca="1" ref="P86" ca="1">INDEX($D$2:$D$15,RANDBETWEEN(1,ROWS($D$2:$D$15)),1)</f>
        <v>12</v>
      </c>
      <c r="Q86" cm="1">
        <f t="array" aca="1" ref="Q86" ca="1">INDEX($D$2:$D$15,RANDBETWEEN(1,ROWS($D$2:$D$15)),1)</f>
        <v>4</v>
      </c>
      <c r="R86" cm="1">
        <f t="array" aca="1" ref="R86" ca="1">INDEX($D$2:$D$15,RANDBETWEEN(1,ROWS($D$2:$D$15)),1)</f>
        <v>4</v>
      </c>
      <c r="S86" cm="1">
        <f t="array" aca="1" ref="S86" ca="1">INDEX($D$2:$D$15,RANDBETWEEN(1,ROWS($D$2:$D$15)),1)</f>
        <v>8</v>
      </c>
      <c r="T86" cm="1">
        <f t="array" aca="1" ref="T86" ca="1">INDEX($D$2:$D$15,RANDBETWEEN(1,ROWS($D$2:$D$15)),1)</f>
        <v>12</v>
      </c>
      <c r="W86">
        <f t="shared" ca="1" si="4"/>
        <v>7.4666666666666668</v>
      </c>
      <c r="X86">
        <f t="shared" ca="1" si="5"/>
        <v>8</v>
      </c>
      <c r="Y86">
        <f t="shared" ca="1" si="6"/>
        <v>7.5</v>
      </c>
      <c r="Z86">
        <f t="shared" ca="1" si="7"/>
        <v>3.7771241264574118</v>
      </c>
    </row>
    <row r="87" spans="6:26" x14ac:dyDescent="0.35">
      <c r="F87" cm="1">
        <f t="array" aca="1" ref="F87" ca="1">INDEX($D$2:$D$15,RANDBETWEEN(1,ROWS($D$2:$D$15)),1)</f>
        <v>9</v>
      </c>
      <c r="G87" cm="1">
        <f t="array" aca="1" ref="G87" ca="1">INDEX($D$2:$D$15,RANDBETWEEN(1,ROWS($D$2:$D$15)),1)</f>
        <v>3</v>
      </c>
      <c r="H87" cm="1">
        <f t="array" aca="1" ref="H87" ca="1">INDEX($D$2:$D$15,RANDBETWEEN(1,ROWS($D$2:$D$15)),1)</f>
        <v>13</v>
      </c>
      <c r="I87" cm="1">
        <f t="array" aca="1" ref="I87" ca="1">INDEX($D$2:$D$15,RANDBETWEEN(1,ROWS($D$2:$D$15)),1)</f>
        <v>3</v>
      </c>
      <c r="J87" cm="1">
        <f t="array" aca="1" ref="J87" ca="1">INDEX($D$2:$D$15,RANDBETWEEN(1,ROWS($D$2:$D$15)),1)</f>
        <v>13</v>
      </c>
      <c r="K87" cm="1">
        <f t="array" aca="1" ref="K87" ca="1">INDEX($D$2:$D$15,RANDBETWEEN(1,ROWS($D$2:$D$15)),1)</f>
        <v>11</v>
      </c>
      <c r="L87" cm="1">
        <f t="array" aca="1" ref="L87" ca="1">INDEX($D$2:$D$15,RANDBETWEEN(1,ROWS($D$2:$D$15)),1)</f>
        <v>4</v>
      </c>
      <c r="M87" cm="1">
        <f t="array" aca="1" ref="M87" ca="1">INDEX($D$2:$D$15,RANDBETWEEN(1,ROWS($D$2:$D$15)),1)</f>
        <v>11</v>
      </c>
      <c r="N87" cm="1">
        <f t="array" aca="1" ref="N87" ca="1">INDEX($D$2:$D$15,RANDBETWEEN(1,ROWS($D$2:$D$15)),1)</f>
        <v>9</v>
      </c>
      <c r="O87" cm="1">
        <f t="array" aca="1" ref="O87" ca="1">INDEX($D$2:$D$15,RANDBETWEEN(1,ROWS($D$2:$D$15)),1)</f>
        <v>12</v>
      </c>
      <c r="P87" cm="1">
        <f t="array" aca="1" ref="P87" ca="1">INDEX($D$2:$D$15,RANDBETWEEN(1,ROWS($D$2:$D$15)),1)</f>
        <v>2</v>
      </c>
      <c r="Q87" cm="1">
        <f t="array" aca="1" ref="Q87" ca="1">INDEX($D$2:$D$15,RANDBETWEEN(1,ROWS($D$2:$D$15)),1)</f>
        <v>4</v>
      </c>
      <c r="R87" cm="1">
        <f t="array" aca="1" ref="R87" ca="1">INDEX($D$2:$D$15,RANDBETWEEN(1,ROWS($D$2:$D$15)),1)</f>
        <v>13</v>
      </c>
      <c r="S87" cm="1">
        <f t="array" aca="1" ref="S87" ca="1">INDEX($D$2:$D$15,RANDBETWEEN(1,ROWS($D$2:$D$15)),1)</f>
        <v>13</v>
      </c>
      <c r="T87" cm="1">
        <f t="array" aca="1" ref="T87" ca="1">INDEX($D$2:$D$15,RANDBETWEEN(1,ROWS($D$2:$D$15)),1)</f>
        <v>9</v>
      </c>
      <c r="W87">
        <f t="shared" ca="1" si="4"/>
        <v>8.6</v>
      </c>
      <c r="X87">
        <f t="shared" ca="1" si="5"/>
        <v>9</v>
      </c>
      <c r="Y87">
        <f t="shared" ca="1" si="6"/>
        <v>8.5</v>
      </c>
      <c r="Z87">
        <f t="shared" ca="1" si="7"/>
        <v>4.2223893032939799</v>
      </c>
    </row>
    <row r="88" spans="6:26" x14ac:dyDescent="0.35">
      <c r="F88" cm="1">
        <f t="array" aca="1" ref="F88" ca="1">INDEX($D$2:$D$15,RANDBETWEEN(1,ROWS($D$2:$D$15)),1)</f>
        <v>2</v>
      </c>
      <c r="G88" cm="1">
        <f t="array" aca="1" ref="G88" ca="1">INDEX($D$2:$D$15,RANDBETWEEN(1,ROWS($D$2:$D$15)),1)</f>
        <v>3</v>
      </c>
      <c r="H88" cm="1">
        <f t="array" aca="1" ref="H88" ca="1">INDEX($D$2:$D$15,RANDBETWEEN(1,ROWS($D$2:$D$15)),1)</f>
        <v>11</v>
      </c>
      <c r="I88" cm="1">
        <f t="array" aca="1" ref="I88" ca="1">INDEX($D$2:$D$15,RANDBETWEEN(1,ROWS($D$2:$D$15)),1)</f>
        <v>10</v>
      </c>
      <c r="J88" cm="1">
        <f t="array" aca="1" ref="J88" ca="1">INDEX($D$2:$D$15,RANDBETWEEN(1,ROWS($D$2:$D$15)),1)</f>
        <v>4</v>
      </c>
      <c r="K88" cm="1">
        <f t="array" aca="1" ref="K88" ca="1">INDEX($D$2:$D$15,RANDBETWEEN(1,ROWS($D$2:$D$15)),1)</f>
        <v>4</v>
      </c>
      <c r="L88" cm="1">
        <f t="array" aca="1" ref="L88" ca="1">INDEX($D$2:$D$15,RANDBETWEEN(1,ROWS($D$2:$D$15)),1)</f>
        <v>4</v>
      </c>
      <c r="M88" cm="1">
        <f t="array" aca="1" ref="M88" ca="1">INDEX($D$2:$D$15,RANDBETWEEN(1,ROWS($D$2:$D$15)),1)</f>
        <v>11</v>
      </c>
      <c r="N88" cm="1">
        <f t="array" aca="1" ref="N88" ca="1">INDEX($D$2:$D$15,RANDBETWEEN(1,ROWS($D$2:$D$15)),1)</f>
        <v>10</v>
      </c>
      <c r="O88" cm="1">
        <f t="array" aca="1" ref="O88" ca="1">INDEX($D$2:$D$15,RANDBETWEEN(1,ROWS($D$2:$D$15)),1)</f>
        <v>3</v>
      </c>
      <c r="P88" cm="1">
        <f t="array" aca="1" ref="P88" ca="1">INDEX($D$2:$D$15,RANDBETWEEN(1,ROWS($D$2:$D$15)),1)</f>
        <v>9</v>
      </c>
      <c r="Q88" cm="1">
        <f t="array" aca="1" ref="Q88" ca="1">INDEX($D$2:$D$15,RANDBETWEEN(1,ROWS($D$2:$D$15)),1)</f>
        <v>13</v>
      </c>
      <c r="R88" cm="1">
        <f t="array" aca="1" ref="R88" ca="1">INDEX($D$2:$D$15,RANDBETWEEN(1,ROWS($D$2:$D$15)),1)</f>
        <v>4</v>
      </c>
      <c r="S88" cm="1">
        <f t="array" aca="1" ref="S88" ca="1">INDEX($D$2:$D$15,RANDBETWEEN(1,ROWS($D$2:$D$15)),1)</f>
        <v>9</v>
      </c>
      <c r="T88" cm="1">
        <f t="array" aca="1" ref="T88" ca="1">INDEX($D$2:$D$15,RANDBETWEEN(1,ROWS($D$2:$D$15)),1)</f>
        <v>2</v>
      </c>
      <c r="W88">
        <f t="shared" ca="1" si="4"/>
        <v>6.6</v>
      </c>
      <c r="X88">
        <f t="shared" ca="1" si="5"/>
        <v>4</v>
      </c>
      <c r="Y88">
        <f t="shared" ca="1" si="6"/>
        <v>6.5</v>
      </c>
      <c r="Z88">
        <f t="shared" ca="1" si="7"/>
        <v>3.8692930325097596</v>
      </c>
    </row>
    <row r="89" spans="6:26" x14ac:dyDescent="0.35">
      <c r="F89" cm="1">
        <f t="array" aca="1" ref="F89" ca="1">INDEX($D$2:$D$15,RANDBETWEEN(1,ROWS($D$2:$D$15)),1)</f>
        <v>3</v>
      </c>
      <c r="G89" cm="1">
        <f t="array" aca="1" ref="G89" ca="1">INDEX($D$2:$D$15,RANDBETWEEN(1,ROWS($D$2:$D$15)),1)</f>
        <v>9</v>
      </c>
      <c r="H89" cm="1">
        <f t="array" aca="1" ref="H89" ca="1">INDEX($D$2:$D$15,RANDBETWEEN(1,ROWS($D$2:$D$15)),1)</f>
        <v>9</v>
      </c>
      <c r="I89" cm="1">
        <f t="array" aca="1" ref="I89" ca="1">INDEX($D$2:$D$15,RANDBETWEEN(1,ROWS($D$2:$D$15)),1)</f>
        <v>13</v>
      </c>
      <c r="J89" cm="1">
        <f t="array" aca="1" ref="J89" ca="1">INDEX($D$2:$D$15,RANDBETWEEN(1,ROWS($D$2:$D$15)),1)</f>
        <v>4</v>
      </c>
      <c r="K89" cm="1">
        <f t="array" aca="1" ref="K89" ca="1">INDEX($D$2:$D$15,RANDBETWEEN(1,ROWS($D$2:$D$15)),1)</f>
        <v>3</v>
      </c>
      <c r="L89" cm="1">
        <f t="array" aca="1" ref="L89" ca="1">INDEX($D$2:$D$15,RANDBETWEEN(1,ROWS($D$2:$D$15)),1)</f>
        <v>11</v>
      </c>
      <c r="M89" cm="1">
        <f t="array" aca="1" ref="M89" ca="1">INDEX($D$2:$D$15,RANDBETWEEN(1,ROWS($D$2:$D$15)),1)</f>
        <v>12</v>
      </c>
      <c r="N89" cm="1">
        <f t="array" aca="1" ref="N89" ca="1">INDEX($D$2:$D$15,RANDBETWEEN(1,ROWS($D$2:$D$15)),1)</f>
        <v>9</v>
      </c>
      <c r="O89" cm="1">
        <f t="array" aca="1" ref="O89" ca="1">INDEX($D$2:$D$15,RANDBETWEEN(1,ROWS($D$2:$D$15)),1)</f>
        <v>9</v>
      </c>
      <c r="P89" cm="1">
        <f t="array" aca="1" ref="P89" ca="1">INDEX($D$2:$D$15,RANDBETWEEN(1,ROWS($D$2:$D$15)),1)</f>
        <v>3</v>
      </c>
      <c r="Q89" cm="1">
        <f t="array" aca="1" ref="Q89" ca="1">INDEX($D$2:$D$15,RANDBETWEEN(1,ROWS($D$2:$D$15)),1)</f>
        <v>9</v>
      </c>
      <c r="R89" cm="1">
        <f t="array" aca="1" ref="R89" ca="1">INDEX($D$2:$D$15,RANDBETWEEN(1,ROWS($D$2:$D$15)),1)</f>
        <v>9</v>
      </c>
      <c r="S89" cm="1">
        <f t="array" aca="1" ref="S89" ca="1">INDEX($D$2:$D$15,RANDBETWEEN(1,ROWS($D$2:$D$15)),1)</f>
        <v>9</v>
      </c>
      <c r="T89" cm="1">
        <f t="array" aca="1" ref="T89" ca="1">INDEX($D$2:$D$15,RANDBETWEEN(1,ROWS($D$2:$D$15)),1)</f>
        <v>9</v>
      </c>
      <c r="W89">
        <f t="shared" ca="1" si="4"/>
        <v>8.0666666666666664</v>
      </c>
      <c r="X89">
        <f t="shared" ca="1" si="5"/>
        <v>9</v>
      </c>
      <c r="Y89">
        <f t="shared" ca="1" si="6"/>
        <v>2.5</v>
      </c>
      <c r="Z89">
        <f t="shared" ca="1" si="7"/>
        <v>3.2616093018777148</v>
      </c>
    </row>
    <row r="90" spans="6:26" x14ac:dyDescent="0.35">
      <c r="F90" cm="1">
        <f t="array" aca="1" ref="F90" ca="1">INDEX($D$2:$D$15,RANDBETWEEN(1,ROWS($D$2:$D$15)),1)</f>
        <v>9</v>
      </c>
      <c r="G90" cm="1">
        <f t="array" aca="1" ref="G90" ca="1">INDEX($D$2:$D$15,RANDBETWEEN(1,ROWS($D$2:$D$15)),1)</f>
        <v>4</v>
      </c>
      <c r="H90" cm="1">
        <f t="array" aca="1" ref="H90" ca="1">INDEX($D$2:$D$15,RANDBETWEEN(1,ROWS($D$2:$D$15)),1)</f>
        <v>12</v>
      </c>
      <c r="I90" cm="1">
        <f t="array" aca="1" ref="I90" ca="1">INDEX($D$2:$D$15,RANDBETWEEN(1,ROWS($D$2:$D$15)),1)</f>
        <v>11</v>
      </c>
      <c r="J90" cm="1">
        <f t="array" aca="1" ref="J90" ca="1">INDEX($D$2:$D$15,RANDBETWEEN(1,ROWS($D$2:$D$15)),1)</f>
        <v>9</v>
      </c>
      <c r="K90" cm="1">
        <f t="array" aca="1" ref="K90" ca="1">INDEX($D$2:$D$15,RANDBETWEEN(1,ROWS($D$2:$D$15)),1)</f>
        <v>3</v>
      </c>
      <c r="L90" cm="1">
        <f t="array" aca="1" ref="L90" ca="1">INDEX($D$2:$D$15,RANDBETWEEN(1,ROWS($D$2:$D$15)),1)</f>
        <v>12</v>
      </c>
      <c r="M90" cm="1">
        <f t="array" aca="1" ref="M90" ca="1">INDEX($D$2:$D$15,RANDBETWEEN(1,ROWS($D$2:$D$15)),1)</f>
        <v>3</v>
      </c>
      <c r="N90" cm="1">
        <f t="array" aca="1" ref="N90" ca="1">INDEX($D$2:$D$15,RANDBETWEEN(1,ROWS($D$2:$D$15)),1)</f>
        <v>9</v>
      </c>
      <c r="O90" cm="1">
        <f t="array" aca="1" ref="O90" ca="1">INDEX($D$2:$D$15,RANDBETWEEN(1,ROWS($D$2:$D$15)),1)</f>
        <v>3</v>
      </c>
      <c r="P90" cm="1">
        <f t="array" aca="1" ref="P90" ca="1">INDEX($D$2:$D$15,RANDBETWEEN(1,ROWS($D$2:$D$15)),1)</f>
        <v>10</v>
      </c>
      <c r="Q90" cm="1">
        <f t="array" aca="1" ref="Q90" ca="1">INDEX($D$2:$D$15,RANDBETWEEN(1,ROWS($D$2:$D$15)),1)</f>
        <v>3</v>
      </c>
      <c r="R90" cm="1">
        <f t="array" aca="1" ref="R90" ca="1">INDEX($D$2:$D$15,RANDBETWEEN(1,ROWS($D$2:$D$15)),1)</f>
        <v>4</v>
      </c>
      <c r="S90" cm="1">
        <f t="array" aca="1" ref="S90" ca="1">INDEX($D$2:$D$15,RANDBETWEEN(1,ROWS($D$2:$D$15)),1)</f>
        <v>11</v>
      </c>
      <c r="T90" cm="1">
        <f t="array" aca="1" ref="T90" ca="1">INDEX($D$2:$D$15,RANDBETWEEN(1,ROWS($D$2:$D$15)),1)</f>
        <v>4</v>
      </c>
      <c r="W90">
        <f t="shared" ca="1" si="4"/>
        <v>7.1333333333333337</v>
      </c>
      <c r="X90">
        <f t="shared" ca="1" si="5"/>
        <v>9</v>
      </c>
      <c r="Y90">
        <f t="shared" ca="1" si="6"/>
        <v>7</v>
      </c>
      <c r="Z90">
        <f t="shared" ca="1" si="7"/>
        <v>3.7199590371528606</v>
      </c>
    </row>
    <row r="91" spans="6:26" x14ac:dyDescent="0.35">
      <c r="F91" cm="1">
        <f t="array" aca="1" ref="F91" ca="1">INDEX($D$2:$D$15,RANDBETWEEN(1,ROWS($D$2:$D$15)),1)</f>
        <v>12</v>
      </c>
      <c r="G91" cm="1">
        <f t="array" aca="1" ref="G91" ca="1">INDEX($D$2:$D$15,RANDBETWEEN(1,ROWS($D$2:$D$15)),1)</f>
        <v>9</v>
      </c>
      <c r="H91" cm="1">
        <f t="array" aca="1" ref="H91" ca="1">INDEX($D$2:$D$15,RANDBETWEEN(1,ROWS($D$2:$D$15)),1)</f>
        <v>3</v>
      </c>
      <c r="I91" cm="1">
        <f t="array" aca="1" ref="I91" ca="1">INDEX($D$2:$D$15,RANDBETWEEN(1,ROWS($D$2:$D$15)),1)</f>
        <v>9</v>
      </c>
      <c r="J91" cm="1">
        <f t="array" aca="1" ref="J91" ca="1">INDEX($D$2:$D$15,RANDBETWEEN(1,ROWS($D$2:$D$15)),1)</f>
        <v>11</v>
      </c>
      <c r="K91" cm="1">
        <f t="array" aca="1" ref="K91" ca="1">INDEX($D$2:$D$15,RANDBETWEEN(1,ROWS($D$2:$D$15)),1)</f>
        <v>9</v>
      </c>
      <c r="L91" cm="1">
        <f t="array" aca="1" ref="L91" ca="1">INDEX($D$2:$D$15,RANDBETWEEN(1,ROWS($D$2:$D$15)),1)</f>
        <v>12</v>
      </c>
      <c r="M91" cm="1">
        <f t="array" aca="1" ref="M91" ca="1">INDEX($D$2:$D$15,RANDBETWEEN(1,ROWS($D$2:$D$15)),1)</f>
        <v>4</v>
      </c>
      <c r="N91" cm="1">
        <f t="array" aca="1" ref="N91" ca="1">INDEX($D$2:$D$15,RANDBETWEEN(1,ROWS($D$2:$D$15)),1)</f>
        <v>12</v>
      </c>
      <c r="O91" cm="1">
        <f t="array" aca="1" ref="O91" ca="1">INDEX($D$2:$D$15,RANDBETWEEN(1,ROWS($D$2:$D$15)),1)</f>
        <v>9</v>
      </c>
      <c r="P91" cm="1">
        <f t="array" aca="1" ref="P91" ca="1">INDEX($D$2:$D$15,RANDBETWEEN(1,ROWS($D$2:$D$15)),1)</f>
        <v>2</v>
      </c>
      <c r="Q91" cm="1">
        <f t="array" aca="1" ref="Q91" ca="1">INDEX($D$2:$D$15,RANDBETWEEN(1,ROWS($D$2:$D$15)),1)</f>
        <v>13</v>
      </c>
      <c r="R91" cm="1">
        <f t="array" aca="1" ref="R91" ca="1">INDEX($D$2:$D$15,RANDBETWEEN(1,ROWS($D$2:$D$15)),1)</f>
        <v>12</v>
      </c>
      <c r="S91" cm="1">
        <f t="array" aca="1" ref="S91" ca="1">INDEX($D$2:$D$15,RANDBETWEEN(1,ROWS($D$2:$D$15)),1)</f>
        <v>8</v>
      </c>
      <c r="T91" cm="1">
        <f t="array" aca="1" ref="T91" ca="1">INDEX($D$2:$D$15,RANDBETWEEN(1,ROWS($D$2:$D$15)),1)</f>
        <v>10</v>
      </c>
      <c r="W91">
        <f t="shared" ca="1" si="4"/>
        <v>9</v>
      </c>
      <c r="X91">
        <f t="shared" ca="1" si="5"/>
        <v>9</v>
      </c>
      <c r="Y91">
        <f t="shared" ca="1" si="6"/>
        <v>3.5</v>
      </c>
      <c r="Z91">
        <f t="shared" ca="1" si="7"/>
        <v>3.4641016151377544</v>
      </c>
    </row>
    <row r="92" spans="6:26" x14ac:dyDescent="0.35">
      <c r="F92" cm="1">
        <f t="array" aca="1" ref="F92" ca="1">INDEX($D$2:$D$15,RANDBETWEEN(1,ROWS($D$2:$D$15)),1)</f>
        <v>3</v>
      </c>
      <c r="G92" cm="1">
        <f t="array" aca="1" ref="G92" ca="1">INDEX($D$2:$D$15,RANDBETWEEN(1,ROWS($D$2:$D$15)),1)</f>
        <v>8</v>
      </c>
      <c r="H92" cm="1">
        <f t="array" aca="1" ref="H92" ca="1">INDEX($D$2:$D$15,RANDBETWEEN(1,ROWS($D$2:$D$15)),1)</f>
        <v>10</v>
      </c>
      <c r="I92" cm="1">
        <f t="array" aca="1" ref="I92" ca="1">INDEX($D$2:$D$15,RANDBETWEEN(1,ROWS($D$2:$D$15)),1)</f>
        <v>9</v>
      </c>
      <c r="J92" cm="1">
        <f t="array" aca="1" ref="J92" ca="1">INDEX($D$2:$D$15,RANDBETWEEN(1,ROWS($D$2:$D$15)),1)</f>
        <v>4</v>
      </c>
      <c r="K92" cm="1">
        <f t="array" aca="1" ref="K92" ca="1">INDEX($D$2:$D$15,RANDBETWEEN(1,ROWS($D$2:$D$15)),1)</f>
        <v>9</v>
      </c>
      <c r="L92" cm="1">
        <f t="array" aca="1" ref="L92" ca="1">INDEX($D$2:$D$15,RANDBETWEEN(1,ROWS($D$2:$D$15)),1)</f>
        <v>9</v>
      </c>
      <c r="M92" cm="1">
        <f t="array" aca="1" ref="M92" ca="1">INDEX($D$2:$D$15,RANDBETWEEN(1,ROWS($D$2:$D$15)),1)</f>
        <v>4</v>
      </c>
      <c r="N92" cm="1">
        <f t="array" aca="1" ref="N92" ca="1">INDEX($D$2:$D$15,RANDBETWEEN(1,ROWS($D$2:$D$15)),1)</f>
        <v>12</v>
      </c>
      <c r="O92" cm="1">
        <f t="array" aca="1" ref="O92" ca="1">INDEX($D$2:$D$15,RANDBETWEEN(1,ROWS($D$2:$D$15)),1)</f>
        <v>4</v>
      </c>
      <c r="P92" cm="1">
        <f t="array" aca="1" ref="P92" ca="1">INDEX($D$2:$D$15,RANDBETWEEN(1,ROWS($D$2:$D$15)),1)</f>
        <v>2</v>
      </c>
      <c r="Q92" cm="1">
        <f t="array" aca="1" ref="Q92" ca="1">INDEX($D$2:$D$15,RANDBETWEEN(1,ROWS($D$2:$D$15)),1)</f>
        <v>9</v>
      </c>
      <c r="R92" cm="1">
        <f t="array" aca="1" ref="R92" ca="1">INDEX($D$2:$D$15,RANDBETWEEN(1,ROWS($D$2:$D$15)),1)</f>
        <v>2</v>
      </c>
      <c r="S92" cm="1">
        <f t="array" aca="1" ref="S92" ca="1">INDEX($D$2:$D$15,RANDBETWEEN(1,ROWS($D$2:$D$15)),1)</f>
        <v>9</v>
      </c>
      <c r="T92" cm="1">
        <f t="array" aca="1" ref="T92" ca="1">INDEX($D$2:$D$15,RANDBETWEEN(1,ROWS($D$2:$D$15)),1)</f>
        <v>12</v>
      </c>
      <c r="W92">
        <f t="shared" ca="1" si="4"/>
        <v>7.0666666666666664</v>
      </c>
      <c r="X92">
        <f t="shared" ca="1" si="5"/>
        <v>9</v>
      </c>
      <c r="Y92">
        <f t="shared" ca="1" si="6"/>
        <v>5</v>
      </c>
      <c r="Z92">
        <f t="shared" ca="1" si="7"/>
        <v>3.5145954180219592</v>
      </c>
    </row>
    <row r="93" spans="6:26" x14ac:dyDescent="0.35">
      <c r="F93" cm="1">
        <f t="array" aca="1" ref="F93" ca="1">INDEX($D$2:$D$15,RANDBETWEEN(1,ROWS($D$2:$D$15)),1)</f>
        <v>12</v>
      </c>
      <c r="G93" cm="1">
        <f t="array" aca="1" ref="G93" ca="1">INDEX($D$2:$D$15,RANDBETWEEN(1,ROWS($D$2:$D$15)),1)</f>
        <v>8</v>
      </c>
      <c r="H93" cm="1">
        <f t="array" aca="1" ref="H93" ca="1">INDEX($D$2:$D$15,RANDBETWEEN(1,ROWS($D$2:$D$15)),1)</f>
        <v>2</v>
      </c>
      <c r="I93" cm="1">
        <f t="array" aca="1" ref="I93" ca="1">INDEX($D$2:$D$15,RANDBETWEEN(1,ROWS($D$2:$D$15)),1)</f>
        <v>4</v>
      </c>
      <c r="J93" cm="1">
        <f t="array" aca="1" ref="J93" ca="1">INDEX($D$2:$D$15,RANDBETWEEN(1,ROWS($D$2:$D$15)),1)</f>
        <v>9</v>
      </c>
      <c r="K93" cm="1">
        <f t="array" aca="1" ref="K93" ca="1">INDEX($D$2:$D$15,RANDBETWEEN(1,ROWS($D$2:$D$15)),1)</f>
        <v>8</v>
      </c>
      <c r="L93" cm="1">
        <f t="array" aca="1" ref="L93" ca="1">INDEX($D$2:$D$15,RANDBETWEEN(1,ROWS($D$2:$D$15)),1)</f>
        <v>12</v>
      </c>
      <c r="M93" cm="1">
        <f t="array" aca="1" ref="M93" ca="1">INDEX($D$2:$D$15,RANDBETWEEN(1,ROWS($D$2:$D$15)),1)</f>
        <v>8</v>
      </c>
      <c r="N93" cm="1">
        <f t="array" aca="1" ref="N93" ca="1">INDEX($D$2:$D$15,RANDBETWEEN(1,ROWS($D$2:$D$15)),1)</f>
        <v>4</v>
      </c>
      <c r="O93" cm="1">
        <f t="array" aca="1" ref="O93" ca="1">INDEX($D$2:$D$15,RANDBETWEEN(1,ROWS($D$2:$D$15)),1)</f>
        <v>9</v>
      </c>
      <c r="P93" cm="1">
        <f t="array" aca="1" ref="P93" ca="1">INDEX($D$2:$D$15,RANDBETWEEN(1,ROWS($D$2:$D$15)),1)</f>
        <v>3</v>
      </c>
      <c r="Q93" cm="1">
        <f t="array" aca="1" ref="Q93" ca="1">INDEX($D$2:$D$15,RANDBETWEEN(1,ROWS($D$2:$D$15)),1)</f>
        <v>2</v>
      </c>
      <c r="R93" cm="1">
        <f t="array" aca="1" ref="R93" ca="1">INDEX($D$2:$D$15,RANDBETWEEN(1,ROWS($D$2:$D$15)),1)</f>
        <v>12</v>
      </c>
      <c r="S93" cm="1">
        <f t="array" aca="1" ref="S93" ca="1">INDEX($D$2:$D$15,RANDBETWEEN(1,ROWS($D$2:$D$15)),1)</f>
        <v>4</v>
      </c>
      <c r="T93" cm="1">
        <f t="array" aca="1" ref="T93" ca="1">INDEX($D$2:$D$15,RANDBETWEEN(1,ROWS($D$2:$D$15)),1)</f>
        <v>12</v>
      </c>
      <c r="W93">
        <f t="shared" ca="1" si="4"/>
        <v>7.2666666666666666</v>
      </c>
      <c r="X93">
        <f t="shared" ca="1" si="5"/>
        <v>8</v>
      </c>
      <c r="Y93">
        <f t="shared" ca="1" si="6"/>
        <v>6.5</v>
      </c>
      <c r="Z93">
        <f t="shared" ca="1" si="7"/>
        <v>3.8072612328599269</v>
      </c>
    </row>
    <row r="94" spans="6:26" x14ac:dyDescent="0.35">
      <c r="F94" cm="1">
        <f t="array" aca="1" ref="F94" ca="1">INDEX($D$2:$D$15,RANDBETWEEN(1,ROWS($D$2:$D$15)),1)</f>
        <v>8</v>
      </c>
      <c r="G94" cm="1">
        <f t="array" aca="1" ref="G94" ca="1">INDEX($D$2:$D$15,RANDBETWEEN(1,ROWS($D$2:$D$15)),1)</f>
        <v>12</v>
      </c>
      <c r="H94" cm="1">
        <f t="array" aca="1" ref="H94" ca="1">INDEX($D$2:$D$15,RANDBETWEEN(1,ROWS($D$2:$D$15)),1)</f>
        <v>9</v>
      </c>
      <c r="I94" cm="1">
        <f t="array" aca="1" ref="I94" ca="1">INDEX($D$2:$D$15,RANDBETWEEN(1,ROWS($D$2:$D$15)),1)</f>
        <v>4</v>
      </c>
      <c r="J94" cm="1">
        <f t="array" aca="1" ref="J94" ca="1">INDEX($D$2:$D$15,RANDBETWEEN(1,ROWS($D$2:$D$15)),1)</f>
        <v>4</v>
      </c>
      <c r="K94" cm="1">
        <f t="array" aca="1" ref="K94" ca="1">INDEX($D$2:$D$15,RANDBETWEEN(1,ROWS($D$2:$D$15)),1)</f>
        <v>4</v>
      </c>
      <c r="L94" cm="1">
        <f t="array" aca="1" ref="L94" ca="1">INDEX($D$2:$D$15,RANDBETWEEN(1,ROWS($D$2:$D$15)),1)</f>
        <v>11</v>
      </c>
      <c r="M94" cm="1">
        <f t="array" aca="1" ref="M94" ca="1">INDEX($D$2:$D$15,RANDBETWEEN(1,ROWS($D$2:$D$15)),1)</f>
        <v>4</v>
      </c>
      <c r="N94" cm="1">
        <f t="array" aca="1" ref="N94" ca="1">INDEX($D$2:$D$15,RANDBETWEEN(1,ROWS($D$2:$D$15)),1)</f>
        <v>9</v>
      </c>
      <c r="O94" cm="1">
        <f t="array" aca="1" ref="O94" ca="1">INDEX($D$2:$D$15,RANDBETWEEN(1,ROWS($D$2:$D$15)),1)</f>
        <v>3</v>
      </c>
      <c r="P94" cm="1">
        <f t="array" aca="1" ref="P94" ca="1">INDEX($D$2:$D$15,RANDBETWEEN(1,ROWS($D$2:$D$15)),1)</f>
        <v>2</v>
      </c>
      <c r="Q94" cm="1">
        <f t="array" aca="1" ref="Q94" ca="1">INDEX($D$2:$D$15,RANDBETWEEN(1,ROWS($D$2:$D$15)),1)</f>
        <v>12</v>
      </c>
      <c r="R94" cm="1">
        <f t="array" aca="1" ref="R94" ca="1">INDEX($D$2:$D$15,RANDBETWEEN(1,ROWS($D$2:$D$15)),1)</f>
        <v>3</v>
      </c>
      <c r="S94" cm="1">
        <f t="array" aca="1" ref="S94" ca="1">INDEX($D$2:$D$15,RANDBETWEEN(1,ROWS($D$2:$D$15)),1)</f>
        <v>8</v>
      </c>
      <c r="T94" cm="1">
        <f t="array" aca="1" ref="T94" ca="1">INDEX($D$2:$D$15,RANDBETWEEN(1,ROWS($D$2:$D$15)),1)</f>
        <v>13</v>
      </c>
      <c r="W94">
        <f t="shared" ca="1" si="4"/>
        <v>7.0666666666666664</v>
      </c>
      <c r="X94">
        <f t="shared" ca="1" si="5"/>
        <v>8</v>
      </c>
      <c r="Y94">
        <f t="shared" ca="1" si="6"/>
        <v>6</v>
      </c>
      <c r="Z94">
        <f t="shared" ca="1" si="7"/>
        <v>3.8259763770958171</v>
      </c>
    </row>
    <row r="95" spans="6:26" x14ac:dyDescent="0.35">
      <c r="F95" cm="1">
        <f t="array" aca="1" ref="F95" ca="1">INDEX($D$2:$D$15,RANDBETWEEN(1,ROWS($D$2:$D$15)),1)</f>
        <v>13</v>
      </c>
      <c r="G95" cm="1">
        <f t="array" aca="1" ref="G95" ca="1">INDEX($D$2:$D$15,RANDBETWEEN(1,ROWS($D$2:$D$15)),1)</f>
        <v>2</v>
      </c>
      <c r="H95" cm="1">
        <f t="array" aca="1" ref="H95" ca="1">INDEX($D$2:$D$15,RANDBETWEEN(1,ROWS($D$2:$D$15)),1)</f>
        <v>12</v>
      </c>
      <c r="I95" cm="1">
        <f t="array" aca="1" ref="I95" ca="1">INDEX($D$2:$D$15,RANDBETWEEN(1,ROWS($D$2:$D$15)),1)</f>
        <v>2</v>
      </c>
      <c r="J95" cm="1">
        <f t="array" aca="1" ref="J95" ca="1">INDEX($D$2:$D$15,RANDBETWEEN(1,ROWS($D$2:$D$15)),1)</f>
        <v>4</v>
      </c>
      <c r="K95" cm="1">
        <f t="array" aca="1" ref="K95" ca="1">INDEX($D$2:$D$15,RANDBETWEEN(1,ROWS($D$2:$D$15)),1)</f>
        <v>13</v>
      </c>
      <c r="L95" cm="1">
        <f t="array" aca="1" ref="L95" ca="1">INDEX($D$2:$D$15,RANDBETWEEN(1,ROWS($D$2:$D$15)),1)</f>
        <v>9</v>
      </c>
      <c r="M95" cm="1">
        <f t="array" aca="1" ref="M95" ca="1">INDEX($D$2:$D$15,RANDBETWEEN(1,ROWS($D$2:$D$15)),1)</f>
        <v>9</v>
      </c>
      <c r="N95" cm="1">
        <f t="array" aca="1" ref="N95" ca="1">INDEX($D$2:$D$15,RANDBETWEEN(1,ROWS($D$2:$D$15)),1)</f>
        <v>3</v>
      </c>
      <c r="O95" cm="1">
        <f t="array" aca="1" ref="O95" ca="1">INDEX($D$2:$D$15,RANDBETWEEN(1,ROWS($D$2:$D$15)),1)</f>
        <v>10</v>
      </c>
      <c r="P95" cm="1">
        <f t="array" aca="1" ref="P95" ca="1">INDEX($D$2:$D$15,RANDBETWEEN(1,ROWS($D$2:$D$15)),1)</f>
        <v>3</v>
      </c>
      <c r="Q95" cm="1">
        <f t="array" aca="1" ref="Q95" ca="1">INDEX($D$2:$D$15,RANDBETWEEN(1,ROWS($D$2:$D$15)),1)</f>
        <v>4</v>
      </c>
      <c r="R95" cm="1">
        <f t="array" aca="1" ref="R95" ca="1">INDEX($D$2:$D$15,RANDBETWEEN(1,ROWS($D$2:$D$15)),1)</f>
        <v>12</v>
      </c>
      <c r="S95" cm="1">
        <f t="array" aca="1" ref="S95" ca="1">INDEX($D$2:$D$15,RANDBETWEEN(1,ROWS($D$2:$D$15)),1)</f>
        <v>9</v>
      </c>
      <c r="T95" cm="1">
        <f t="array" aca="1" ref="T95" ca="1">INDEX($D$2:$D$15,RANDBETWEEN(1,ROWS($D$2:$D$15)),1)</f>
        <v>10</v>
      </c>
      <c r="W95">
        <f t="shared" ca="1" si="4"/>
        <v>7.666666666666667</v>
      </c>
      <c r="X95">
        <f t="shared" ca="1" si="5"/>
        <v>9</v>
      </c>
      <c r="Y95">
        <f t="shared" ca="1" si="6"/>
        <v>7.5</v>
      </c>
      <c r="Z95">
        <f t="shared" ca="1" si="7"/>
        <v>4.1861449477782688</v>
      </c>
    </row>
    <row r="96" spans="6:26" x14ac:dyDescent="0.35">
      <c r="F96" cm="1">
        <f t="array" aca="1" ref="F96" ca="1">INDEX($D$2:$D$15,RANDBETWEEN(1,ROWS($D$2:$D$15)),1)</f>
        <v>12</v>
      </c>
      <c r="G96" cm="1">
        <f t="array" aca="1" ref="G96" ca="1">INDEX($D$2:$D$15,RANDBETWEEN(1,ROWS($D$2:$D$15)),1)</f>
        <v>9</v>
      </c>
      <c r="H96" cm="1">
        <f t="array" aca="1" ref="H96" ca="1">INDEX($D$2:$D$15,RANDBETWEEN(1,ROWS($D$2:$D$15)),1)</f>
        <v>12</v>
      </c>
      <c r="I96" cm="1">
        <f t="array" aca="1" ref="I96" ca="1">INDEX($D$2:$D$15,RANDBETWEEN(1,ROWS($D$2:$D$15)),1)</f>
        <v>13</v>
      </c>
      <c r="J96" cm="1">
        <f t="array" aca="1" ref="J96" ca="1">INDEX($D$2:$D$15,RANDBETWEEN(1,ROWS($D$2:$D$15)),1)</f>
        <v>9</v>
      </c>
      <c r="K96" cm="1">
        <f t="array" aca="1" ref="K96" ca="1">INDEX($D$2:$D$15,RANDBETWEEN(1,ROWS($D$2:$D$15)),1)</f>
        <v>12</v>
      </c>
      <c r="L96" cm="1">
        <f t="array" aca="1" ref="L96" ca="1">INDEX($D$2:$D$15,RANDBETWEEN(1,ROWS($D$2:$D$15)),1)</f>
        <v>3</v>
      </c>
      <c r="M96" cm="1">
        <f t="array" aca="1" ref="M96" ca="1">INDEX($D$2:$D$15,RANDBETWEEN(1,ROWS($D$2:$D$15)),1)</f>
        <v>8</v>
      </c>
      <c r="N96" cm="1">
        <f t="array" aca="1" ref="N96" ca="1">INDEX($D$2:$D$15,RANDBETWEEN(1,ROWS($D$2:$D$15)),1)</f>
        <v>12</v>
      </c>
      <c r="O96" cm="1">
        <f t="array" aca="1" ref="O96" ca="1">INDEX($D$2:$D$15,RANDBETWEEN(1,ROWS($D$2:$D$15)),1)</f>
        <v>11</v>
      </c>
      <c r="P96" cm="1">
        <f t="array" aca="1" ref="P96" ca="1">INDEX($D$2:$D$15,RANDBETWEEN(1,ROWS($D$2:$D$15)),1)</f>
        <v>9</v>
      </c>
      <c r="Q96" cm="1">
        <f t="array" aca="1" ref="Q96" ca="1">INDEX($D$2:$D$15,RANDBETWEEN(1,ROWS($D$2:$D$15)),1)</f>
        <v>9</v>
      </c>
      <c r="R96" cm="1">
        <f t="array" aca="1" ref="R96" ca="1">INDEX($D$2:$D$15,RANDBETWEEN(1,ROWS($D$2:$D$15)),1)</f>
        <v>4</v>
      </c>
      <c r="S96" cm="1">
        <f t="array" aca="1" ref="S96" ca="1">INDEX($D$2:$D$15,RANDBETWEEN(1,ROWS($D$2:$D$15)),1)</f>
        <v>12</v>
      </c>
      <c r="T96" cm="1">
        <f t="array" aca="1" ref="T96" ca="1">INDEX($D$2:$D$15,RANDBETWEEN(1,ROWS($D$2:$D$15)),1)</f>
        <v>9</v>
      </c>
      <c r="W96">
        <f t="shared" ca="1" si="4"/>
        <v>9.6</v>
      </c>
      <c r="X96">
        <f t="shared" ca="1" si="5"/>
        <v>9</v>
      </c>
      <c r="Y96">
        <f t="shared" ca="1" si="6"/>
        <v>3</v>
      </c>
      <c r="Z96">
        <f t="shared" ca="1" si="7"/>
        <v>2.9471535904520278</v>
      </c>
    </row>
    <row r="97" spans="6:26" x14ac:dyDescent="0.35">
      <c r="F97" cm="1">
        <f t="array" aca="1" ref="F97" ca="1">INDEX($D$2:$D$15,RANDBETWEEN(1,ROWS($D$2:$D$15)),1)</f>
        <v>9</v>
      </c>
      <c r="G97" cm="1">
        <f t="array" aca="1" ref="G97" ca="1">INDEX($D$2:$D$15,RANDBETWEEN(1,ROWS($D$2:$D$15)),1)</f>
        <v>3</v>
      </c>
      <c r="H97" cm="1">
        <f t="array" aca="1" ref="H97" ca="1">INDEX($D$2:$D$15,RANDBETWEEN(1,ROWS($D$2:$D$15)),1)</f>
        <v>4</v>
      </c>
      <c r="I97" cm="1">
        <f t="array" aca="1" ref="I97" ca="1">INDEX($D$2:$D$15,RANDBETWEEN(1,ROWS($D$2:$D$15)),1)</f>
        <v>2</v>
      </c>
      <c r="J97" cm="1">
        <f t="array" aca="1" ref="J97" ca="1">INDEX($D$2:$D$15,RANDBETWEEN(1,ROWS($D$2:$D$15)),1)</f>
        <v>10</v>
      </c>
      <c r="K97" cm="1">
        <f t="array" aca="1" ref="K97" ca="1">INDEX($D$2:$D$15,RANDBETWEEN(1,ROWS($D$2:$D$15)),1)</f>
        <v>9</v>
      </c>
      <c r="L97" cm="1">
        <f t="array" aca="1" ref="L97" ca="1">INDEX($D$2:$D$15,RANDBETWEEN(1,ROWS($D$2:$D$15)),1)</f>
        <v>11</v>
      </c>
      <c r="M97" cm="1">
        <f t="array" aca="1" ref="M97" ca="1">INDEX($D$2:$D$15,RANDBETWEEN(1,ROWS($D$2:$D$15)),1)</f>
        <v>9</v>
      </c>
      <c r="N97" cm="1">
        <f t="array" aca="1" ref="N97" ca="1">INDEX($D$2:$D$15,RANDBETWEEN(1,ROWS($D$2:$D$15)),1)</f>
        <v>4</v>
      </c>
      <c r="O97" cm="1">
        <f t="array" aca="1" ref="O97" ca="1">INDEX($D$2:$D$15,RANDBETWEEN(1,ROWS($D$2:$D$15)),1)</f>
        <v>12</v>
      </c>
      <c r="P97" cm="1">
        <f t="array" aca="1" ref="P97" ca="1">INDEX($D$2:$D$15,RANDBETWEEN(1,ROWS($D$2:$D$15)),1)</f>
        <v>12</v>
      </c>
      <c r="Q97" cm="1">
        <f t="array" aca="1" ref="Q97" ca="1">INDEX($D$2:$D$15,RANDBETWEEN(1,ROWS($D$2:$D$15)),1)</f>
        <v>9</v>
      </c>
      <c r="R97" cm="1">
        <f t="array" aca="1" ref="R97" ca="1">INDEX($D$2:$D$15,RANDBETWEEN(1,ROWS($D$2:$D$15)),1)</f>
        <v>12</v>
      </c>
      <c r="S97" cm="1">
        <f t="array" aca="1" ref="S97" ca="1">INDEX($D$2:$D$15,RANDBETWEEN(1,ROWS($D$2:$D$15)),1)</f>
        <v>12</v>
      </c>
      <c r="T97" cm="1">
        <f t="array" aca="1" ref="T97" ca="1">INDEX($D$2:$D$15,RANDBETWEEN(1,ROWS($D$2:$D$15)),1)</f>
        <v>12</v>
      </c>
      <c r="W97">
        <f t="shared" ca="1" si="4"/>
        <v>8.6666666666666661</v>
      </c>
      <c r="X97">
        <f t="shared" ca="1" si="5"/>
        <v>9</v>
      </c>
      <c r="Y97">
        <f t="shared" ca="1" si="6"/>
        <v>5.5</v>
      </c>
      <c r="Z97">
        <f t="shared" ca="1" si="7"/>
        <v>3.6187343222787285</v>
      </c>
    </row>
    <row r="98" spans="6:26" x14ac:dyDescent="0.35">
      <c r="F98" cm="1">
        <f t="array" aca="1" ref="F98" ca="1">INDEX($D$2:$D$15,RANDBETWEEN(1,ROWS($D$2:$D$15)),1)</f>
        <v>11</v>
      </c>
      <c r="G98" cm="1">
        <f t="array" aca="1" ref="G98" ca="1">INDEX($D$2:$D$15,RANDBETWEEN(1,ROWS($D$2:$D$15)),1)</f>
        <v>13</v>
      </c>
      <c r="H98" cm="1">
        <f t="array" aca="1" ref="H98" ca="1">INDEX($D$2:$D$15,RANDBETWEEN(1,ROWS($D$2:$D$15)),1)</f>
        <v>10</v>
      </c>
      <c r="I98" cm="1">
        <f t="array" aca="1" ref="I98" ca="1">INDEX($D$2:$D$15,RANDBETWEEN(1,ROWS($D$2:$D$15)),1)</f>
        <v>4</v>
      </c>
      <c r="J98" cm="1">
        <f t="array" aca="1" ref="J98" ca="1">INDEX($D$2:$D$15,RANDBETWEEN(1,ROWS($D$2:$D$15)),1)</f>
        <v>9</v>
      </c>
      <c r="K98" cm="1">
        <f t="array" aca="1" ref="K98" ca="1">INDEX($D$2:$D$15,RANDBETWEEN(1,ROWS($D$2:$D$15)),1)</f>
        <v>4</v>
      </c>
      <c r="L98" cm="1">
        <f t="array" aca="1" ref="L98" ca="1">INDEX($D$2:$D$15,RANDBETWEEN(1,ROWS($D$2:$D$15)),1)</f>
        <v>13</v>
      </c>
      <c r="M98" cm="1">
        <f t="array" aca="1" ref="M98" ca="1">INDEX($D$2:$D$15,RANDBETWEEN(1,ROWS($D$2:$D$15)),1)</f>
        <v>9</v>
      </c>
      <c r="N98" cm="1">
        <f t="array" aca="1" ref="N98" ca="1">INDEX($D$2:$D$15,RANDBETWEEN(1,ROWS($D$2:$D$15)),1)</f>
        <v>11</v>
      </c>
      <c r="O98" cm="1">
        <f t="array" aca="1" ref="O98" ca="1">INDEX($D$2:$D$15,RANDBETWEEN(1,ROWS($D$2:$D$15)),1)</f>
        <v>4</v>
      </c>
      <c r="P98" cm="1">
        <f t="array" aca="1" ref="P98" ca="1">INDEX($D$2:$D$15,RANDBETWEEN(1,ROWS($D$2:$D$15)),1)</f>
        <v>4</v>
      </c>
      <c r="Q98" cm="1">
        <f t="array" aca="1" ref="Q98" ca="1">INDEX($D$2:$D$15,RANDBETWEEN(1,ROWS($D$2:$D$15)),1)</f>
        <v>8</v>
      </c>
      <c r="R98" cm="1">
        <f t="array" aca="1" ref="R98" ca="1">INDEX($D$2:$D$15,RANDBETWEEN(1,ROWS($D$2:$D$15)),1)</f>
        <v>9</v>
      </c>
      <c r="S98" cm="1">
        <f t="array" aca="1" ref="S98" ca="1">INDEX($D$2:$D$15,RANDBETWEEN(1,ROWS($D$2:$D$15)),1)</f>
        <v>2</v>
      </c>
      <c r="T98" cm="1">
        <f t="array" aca="1" ref="T98" ca="1">INDEX($D$2:$D$15,RANDBETWEEN(1,ROWS($D$2:$D$15)),1)</f>
        <v>10</v>
      </c>
      <c r="W98">
        <f t="shared" ca="1" si="4"/>
        <v>8.0666666666666664</v>
      </c>
      <c r="X98">
        <f t="shared" ca="1" si="5"/>
        <v>9</v>
      </c>
      <c r="Y98">
        <f t="shared" ca="1" si="6"/>
        <v>6.5</v>
      </c>
      <c r="Z98">
        <f t="shared" ca="1" si="7"/>
        <v>3.575045787252574</v>
      </c>
    </row>
    <row r="99" spans="6:26" x14ac:dyDescent="0.35">
      <c r="F99" cm="1">
        <f t="array" aca="1" ref="F99" ca="1">INDEX($D$2:$D$15,RANDBETWEEN(1,ROWS($D$2:$D$15)),1)</f>
        <v>11</v>
      </c>
      <c r="G99" cm="1">
        <f t="array" aca="1" ref="G99" ca="1">INDEX($D$2:$D$15,RANDBETWEEN(1,ROWS($D$2:$D$15)),1)</f>
        <v>12</v>
      </c>
      <c r="H99" cm="1">
        <f t="array" aca="1" ref="H99" ca="1">INDEX($D$2:$D$15,RANDBETWEEN(1,ROWS($D$2:$D$15)),1)</f>
        <v>2</v>
      </c>
      <c r="I99" cm="1">
        <f t="array" aca="1" ref="I99" ca="1">INDEX($D$2:$D$15,RANDBETWEEN(1,ROWS($D$2:$D$15)),1)</f>
        <v>4</v>
      </c>
      <c r="J99" cm="1">
        <f t="array" aca="1" ref="J99" ca="1">INDEX($D$2:$D$15,RANDBETWEEN(1,ROWS($D$2:$D$15)),1)</f>
        <v>10</v>
      </c>
      <c r="K99" cm="1">
        <f t="array" aca="1" ref="K99" ca="1">INDEX($D$2:$D$15,RANDBETWEEN(1,ROWS($D$2:$D$15)),1)</f>
        <v>13</v>
      </c>
      <c r="L99" cm="1">
        <f t="array" aca="1" ref="L99" ca="1">INDEX($D$2:$D$15,RANDBETWEEN(1,ROWS($D$2:$D$15)),1)</f>
        <v>4</v>
      </c>
      <c r="M99" cm="1">
        <f t="array" aca="1" ref="M99" ca="1">INDEX($D$2:$D$15,RANDBETWEEN(1,ROWS($D$2:$D$15)),1)</f>
        <v>4</v>
      </c>
      <c r="N99" cm="1">
        <f t="array" aca="1" ref="N99" ca="1">INDEX($D$2:$D$15,RANDBETWEEN(1,ROWS($D$2:$D$15)),1)</f>
        <v>2</v>
      </c>
      <c r="O99" cm="1">
        <f t="array" aca="1" ref="O99" ca="1">INDEX($D$2:$D$15,RANDBETWEEN(1,ROWS($D$2:$D$15)),1)</f>
        <v>4</v>
      </c>
      <c r="P99" cm="1">
        <f t="array" aca="1" ref="P99" ca="1">INDEX($D$2:$D$15,RANDBETWEEN(1,ROWS($D$2:$D$15)),1)</f>
        <v>12</v>
      </c>
      <c r="Q99" cm="1">
        <f t="array" aca="1" ref="Q99" ca="1">INDEX($D$2:$D$15,RANDBETWEEN(1,ROWS($D$2:$D$15)),1)</f>
        <v>9</v>
      </c>
      <c r="R99" cm="1">
        <f t="array" aca="1" ref="R99" ca="1">INDEX($D$2:$D$15,RANDBETWEEN(1,ROWS($D$2:$D$15)),1)</f>
        <v>13</v>
      </c>
      <c r="S99" cm="1">
        <f t="array" aca="1" ref="S99" ca="1">INDEX($D$2:$D$15,RANDBETWEEN(1,ROWS($D$2:$D$15)),1)</f>
        <v>4</v>
      </c>
      <c r="T99" cm="1">
        <f t="array" aca="1" ref="T99" ca="1">INDEX($D$2:$D$15,RANDBETWEEN(1,ROWS($D$2:$D$15)),1)</f>
        <v>4</v>
      </c>
      <c r="W99">
        <f t="shared" ca="1" si="4"/>
        <v>7.2</v>
      </c>
      <c r="X99">
        <f t="shared" ca="1" si="5"/>
        <v>4</v>
      </c>
      <c r="Y99">
        <f t="shared" ca="1" si="6"/>
        <v>7.5</v>
      </c>
      <c r="Z99">
        <f t="shared" ca="1" si="7"/>
        <v>4.2627958632133174</v>
      </c>
    </row>
    <row r="100" spans="6:26" x14ac:dyDescent="0.35">
      <c r="F100" cm="1">
        <f t="array" aca="1" ref="F100" ca="1">INDEX($D$2:$D$15,RANDBETWEEN(1,ROWS($D$2:$D$15)),1)</f>
        <v>4</v>
      </c>
      <c r="G100" cm="1">
        <f t="array" aca="1" ref="G100" ca="1">INDEX($D$2:$D$15,RANDBETWEEN(1,ROWS($D$2:$D$15)),1)</f>
        <v>9</v>
      </c>
      <c r="H100" cm="1">
        <f t="array" aca="1" ref="H100" ca="1">INDEX($D$2:$D$15,RANDBETWEEN(1,ROWS($D$2:$D$15)),1)</f>
        <v>9</v>
      </c>
      <c r="I100" cm="1">
        <f t="array" aca="1" ref="I100" ca="1">INDEX($D$2:$D$15,RANDBETWEEN(1,ROWS($D$2:$D$15)),1)</f>
        <v>12</v>
      </c>
      <c r="J100" cm="1">
        <f t="array" aca="1" ref="J100" ca="1">INDEX($D$2:$D$15,RANDBETWEEN(1,ROWS($D$2:$D$15)),1)</f>
        <v>3</v>
      </c>
      <c r="K100" cm="1">
        <f t="array" aca="1" ref="K100" ca="1">INDEX($D$2:$D$15,RANDBETWEEN(1,ROWS($D$2:$D$15)),1)</f>
        <v>9</v>
      </c>
      <c r="L100" cm="1">
        <f t="array" aca="1" ref="L100" ca="1">INDEX($D$2:$D$15,RANDBETWEEN(1,ROWS($D$2:$D$15)),1)</f>
        <v>9</v>
      </c>
      <c r="M100" cm="1">
        <f t="array" aca="1" ref="M100" ca="1">INDEX($D$2:$D$15,RANDBETWEEN(1,ROWS($D$2:$D$15)),1)</f>
        <v>9</v>
      </c>
      <c r="N100" cm="1">
        <f t="array" aca="1" ref="N100" ca="1">INDEX($D$2:$D$15,RANDBETWEEN(1,ROWS($D$2:$D$15)),1)</f>
        <v>10</v>
      </c>
      <c r="O100" cm="1">
        <f t="array" aca="1" ref="O100" ca="1">INDEX($D$2:$D$15,RANDBETWEEN(1,ROWS($D$2:$D$15)),1)</f>
        <v>9</v>
      </c>
      <c r="P100" cm="1">
        <f t="array" aca="1" ref="P100" ca="1">INDEX($D$2:$D$15,RANDBETWEEN(1,ROWS($D$2:$D$15)),1)</f>
        <v>8</v>
      </c>
      <c r="Q100" cm="1">
        <f t="array" aca="1" ref="Q100" ca="1">INDEX($D$2:$D$15,RANDBETWEEN(1,ROWS($D$2:$D$15)),1)</f>
        <v>12</v>
      </c>
      <c r="R100" cm="1">
        <f t="array" aca="1" ref="R100" ca="1">INDEX($D$2:$D$15,RANDBETWEEN(1,ROWS($D$2:$D$15)),1)</f>
        <v>9</v>
      </c>
      <c r="S100" cm="1">
        <f t="array" aca="1" ref="S100" ca="1">INDEX($D$2:$D$15,RANDBETWEEN(1,ROWS($D$2:$D$15)),1)</f>
        <v>3</v>
      </c>
      <c r="T100" cm="1">
        <f t="array" aca="1" ref="T100" ca="1">INDEX($D$2:$D$15,RANDBETWEEN(1,ROWS($D$2:$D$15)),1)</f>
        <v>9</v>
      </c>
      <c r="W100">
        <f t="shared" ca="1" si="4"/>
        <v>8.2666666666666675</v>
      </c>
      <c r="X100">
        <f t="shared" ca="1" si="5"/>
        <v>9</v>
      </c>
      <c r="Y100">
        <f t="shared" ca="1" si="6"/>
        <v>0.5</v>
      </c>
      <c r="Z100">
        <f t="shared" ca="1" si="7"/>
        <v>2.7894358535288788</v>
      </c>
    </row>
    <row r="101" spans="6:26" x14ac:dyDescent="0.35">
      <c r="F101" cm="1">
        <f t="array" aca="1" ref="F101" ca="1">INDEX($D$2:$D$15,RANDBETWEEN(1,ROWS($D$2:$D$15)),1)</f>
        <v>4</v>
      </c>
      <c r="G101" cm="1">
        <f t="array" aca="1" ref="G101" ca="1">INDEX($D$2:$D$15,RANDBETWEEN(1,ROWS($D$2:$D$15)),1)</f>
        <v>8</v>
      </c>
      <c r="H101" cm="1">
        <f t="array" aca="1" ref="H101" ca="1">INDEX($D$2:$D$15,RANDBETWEEN(1,ROWS($D$2:$D$15)),1)</f>
        <v>4</v>
      </c>
      <c r="I101" cm="1">
        <f t="array" aca="1" ref="I101" ca="1">INDEX($D$2:$D$15,RANDBETWEEN(1,ROWS($D$2:$D$15)),1)</f>
        <v>8</v>
      </c>
      <c r="J101" cm="1">
        <f t="array" aca="1" ref="J101" ca="1">INDEX($D$2:$D$15,RANDBETWEEN(1,ROWS($D$2:$D$15)),1)</f>
        <v>9</v>
      </c>
      <c r="K101" cm="1">
        <f t="array" aca="1" ref="K101" ca="1">INDEX($D$2:$D$15,RANDBETWEEN(1,ROWS($D$2:$D$15)),1)</f>
        <v>9</v>
      </c>
      <c r="L101" cm="1">
        <f t="array" aca="1" ref="L101" ca="1">INDEX($D$2:$D$15,RANDBETWEEN(1,ROWS($D$2:$D$15)),1)</f>
        <v>10</v>
      </c>
      <c r="M101" cm="1">
        <f t="array" aca="1" ref="M101" ca="1">INDEX($D$2:$D$15,RANDBETWEEN(1,ROWS($D$2:$D$15)),1)</f>
        <v>10</v>
      </c>
      <c r="N101" cm="1">
        <f t="array" aca="1" ref="N101" ca="1">INDEX($D$2:$D$15,RANDBETWEEN(1,ROWS($D$2:$D$15)),1)</f>
        <v>11</v>
      </c>
      <c r="O101" cm="1">
        <f t="array" aca="1" ref="O101" ca="1">INDEX($D$2:$D$15,RANDBETWEEN(1,ROWS($D$2:$D$15)),1)</f>
        <v>4</v>
      </c>
      <c r="P101" cm="1">
        <f t="array" aca="1" ref="P101" ca="1">INDEX($D$2:$D$15,RANDBETWEEN(1,ROWS($D$2:$D$15)),1)</f>
        <v>4</v>
      </c>
      <c r="Q101" cm="1">
        <f t="array" aca="1" ref="Q101" ca="1">INDEX($D$2:$D$15,RANDBETWEEN(1,ROWS($D$2:$D$15)),1)</f>
        <v>2</v>
      </c>
      <c r="R101" cm="1">
        <f t="array" aca="1" ref="R101" ca="1">INDEX($D$2:$D$15,RANDBETWEEN(1,ROWS($D$2:$D$15)),1)</f>
        <v>11</v>
      </c>
      <c r="S101" cm="1">
        <f t="array" aca="1" ref="S101" ca="1">INDEX($D$2:$D$15,RANDBETWEEN(1,ROWS($D$2:$D$15)),1)</f>
        <v>12</v>
      </c>
      <c r="T101" cm="1">
        <f t="array" aca="1" ref="T101" ca="1">INDEX($D$2:$D$15,RANDBETWEEN(1,ROWS($D$2:$D$15)),1)</f>
        <v>4</v>
      </c>
      <c r="W101">
        <f t="shared" ca="1" si="4"/>
        <v>7.333333333333333</v>
      </c>
      <c r="X101">
        <f t="shared" ca="1" si="5"/>
        <v>8</v>
      </c>
      <c r="Y101">
        <f t="shared" ca="1" si="6"/>
        <v>6</v>
      </c>
      <c r="Z101">
        <f t="shared" ca="1" si="7"/>
        <v>3.3094381626464866</v>
      </c>
    </row>
    <row r="102" spans="6:26" x14ac:dyDescent="0.35">
      <c r="F102" cm="1">
        <f t="array" aca="1" ref="F102" ca="1">INDEX($D$2:$D$15,RANDBETWEEN(1,ROWS($D$2:$D$15)),1)</f>
        <v>11</v>
      </c>
      <c r="G102" cm="1">
        <f t="array" aca="1" ref="G102" ca="1">INDEX($D$2:$D$15,RANDBETWEEN(1,ROWS($D$2:$D$15)),1)</f>
        <v>9</v>
      </c>
      <c r="H102" cm="1">
        <f t="array" aca="1" ref="H102" ca="1">INDEX($D$2:$D$15,RANDBETWEEN(1,ROWS($D$2:$D$15)),1)</f>
        <v>8</v>
      </c>
      <c r="I102" cm="1">
        <f t="array" aca="1" ref="I102" ca="1">INDEX($D$2:$D$15,RANDBETWEEN(1,ROWS($D$2:$D$15)),1)</f>
        <v>4</v>
      </c>
      <c r="J102" cm="1">
        <f t="array" aca="1" ref="J102" ca="1">INDEX($D$2:$D$15,RANDBETWEEN(1,ROWS($D$2:$D$15)),1)</f>
        <v>4</v>
      </c>
      <c r="K102" cm="1">
        <f t="array" aca="1" ref="K102" ca="1">INDEX($D$2:$D$15,RANDBETWEEN(1,ROWS($D$2:$D$15)),1)</f>
        <v>13</v>
      </c>
      <c r="L102" cm="1">
        <f t="array" aca="1" ref="L102" ca="1">INDEX($D$2:$D$15,RANDBETWEEN(1,ROWS($D$2:$D$15)),1)</f>
        <v>9</v>
      </c>
      <c r="M102" cm="1">
        <f t="array" aca="1" ref="M102" ca="1">INDEX($D$2:$D$15,RANDBETWEEN(1,ROWS($D$2:$D$15)),1)</f>
        <v>4</v>
      </c>
      <c r="N102" cm="1">
        <f t="array" aca="1" ref="N102" ca="1">INDEX($D$2:$D$15,RANDBETWEEN(1,ROWS($D$2:$D$15)),1)</f>
        <v>8</v>
      </c>
      <c r="O102" cm="1">
        <f t="array" aca="1" ref="O102" ca="1">INDEX($D$2:$D$15,RANDBETWEEN(1,ROWS($D$2:$D$15)),1)</f>
        <v>12</v>
      </c>
      <c r="P102" cm="1">
        <f t="array" aca="1" ref="P102" ca="1">INDEX($D$2:$D$15,RANDBETWEEN(1,ROWS($D$2:$D$15)),1)</f>
        <v>4</v>
      </c>
      <c r="Q102" cm="1">
        <f t="array" aca="1" ref="Q102" ca="1">INDEX($D$2:$D$15,RANDBETWEEN(1,ROWS($D$2:$D$15)),1)</f>
        <v>8</v>
      </c>
      <c r="R102" cm="1">
        <f t="array" aca="1" ref="R102" ca="1">INDEX($D$2:$D$15,RANDBETWEEN(1,ROWS($D$2:$D$15)),1)</f>
        <v>13</v>
      </c>
      <c r="S102" cm="1">
        <f t="array" aca="1" ref="S102" ca="1">INDEX($D$2:$D$15,RANDBETWEEN(1,ROWS($D$2:$D$15)),1)</f>
        <v>4</v>
      </c>
      <c r="T102" cm="1">
        <f t="array" aca="1" ref="T102" ca="1">INDEX($D$2:$D$15,RANDBETWEEN(1,ROWS($D$2:$D$15)),1)</f>
        <v>4</v>
      </c>
      <c r="W102">
        <f t="shared" ca="1" si="4"/>
        <v>7.666666666666667</v>
      </c>
      <c r="X102">
        <f t="shared" ca="1" si="5"/>
        <v>8</v>
      </c>
      <c r="Y102">
        <f t="shared" ca="1" si="6"/>
        <v>6</v>
      </c>
      <c r="Z102">
        <f t="shared" ca="1" si="7"/>
        <v>3.4982989063393712</v>
      </c>
    </row>
    <row r="103" spans="6:26" x14ac:dyDescent="0.35">
      <c r="F103" cm="1">
        <f t="array" aca="1" ref="F103" ca="1">INDEX($D$2:$D$15,RANDBETWEEN(1,ROWS($D$2:$D$15)),1)</f>
        <v>12</v>
      </c>
      <c r="G103" cm="1">
        <f t="array" aca="1" ref="G103" ca="1">INDEX($D$2:$D$15,RANDBETWEEN(1,ROWS($D$2:$D$15)),1)</f>
        <v>11</v>
      </c>
      <c r="H103" cm="1">
        <f t="array" aca="1" ref="H103" ca="1">INDEX($D$2:$D$15,RANDBETWEEN(1,ROWS($D$2:$D$15)),1)</f>
        <v>11</v>
      </c>
      <c r="I103" cm="1">
        <f t="array" aca="1" ref="I103" ca="1">INDEX($D$2:$D$15,RANDBETWEEN(1,ROWS($D$2:$D$15)),1)</f>
        <v>9</v>
      </c>
      <c r="J103" cm="1">
        <f t="array" aca="1" ref="J103" ca="1">INDEX($D$2:$D$15,RANDBETWEEN(1,ROWS($D$2:$D$15)),1)</f>
        <v>3</v>
      </c>
      <c r="K103" cm="1">
        <f t="array" aca="1" ref="K103" ca="1">INDEX($D$2:$D$15,RANDBETWEEN(1,ROWS($D$2:$D$15)),1)</f>
        <v>9</v>
      </c>
      <c r="L103" cm="1">
        <f t="array" aca="1" ref="L103" ca="1">INDEX($D$2:$D$15,RANDBETWEEN(1,ROWS($D$2:$D$15)),1)</f>
        <v>12</v>
      </c>
      <c r="M103" cm="1">
        <f t="array" aca="1" ref="M103" ca="1">INDEX($D$2:$D$15,RANDBETWEEN(1,ROWS($D$2:$D$15)),1)</f>
        <v>4</v>
      </c>
      <c r="N103" cm="1">
        <f t="array" aca="1" ref="N103" ca="1">INDEX($D$2:$D$15,RANDBETWEEN(1,ROWS($D$2:$D$15)),1)</f>
        <v>4</v>
      </c>
      <c r="O103" cm="1">
        <f t="array" aca="1" ref="O103" ca="1">INDEX($D$2:$D$15,RANDBETWEEN(1,ROWS($D$2:$D$15)),1)</f>
        <v>11</v>
      </c>
      <c r="P103" cm="1">
        <f t="array" aca="1" ref="P103" ca="1">INDEX($D$2:$D$15,RANDBETWEEN(1,ROWS($D$2:$D$15)),1)</f>
        <v>3</v>
      </c>
      <c r="Q103" cm="1">
        <f t="array" aca="1" ref="Q103" ca="1">INDEX($D$2:$D$15,RANDBETWEEN(1,ROWS($D$2:$D$15)),1)</f>
        <v>4</v>
      </c>
      <c r="R103" cm="1">
        <f t="array" aca="1" ref="R103" ca="1">INDEX($D$2:$D$15,RANDBETWEEN(1,ROWS($D$2:$D$15)),1)</f>
        <v>11</v>
      </c>
      <c r="S103" cm="1">
        <f t="array" aca="1" ref="S103" ca="1">INDEX($D$2:$D$15,RANDBETWEEN(1,ROWS($D$2:$D$15)),1)</f>
        <v>8</v>
      </c>
      <c r="T103" cm="1">
        <f t="array" aca="1" ref="T103" ca="1">INDEX($D$2:$D$15,RANDBETWEEN(1,ROWS($D$2:$D$15)),1)</f>
        <v>9</v>
      </c>
      <c r="W103">
        <f t="shared" ca="1" si="4"/>
        <v>8.0666666666666664</v>
      </c>
      <c r="X103">
        <f t="shared" ca="1" si="5"/>
        <v>9</v>
      </c>
      <c r="Y103">
        <f t="shared" ca="1" si="6"/>
        <v>7</v>
      </c>
      <c r="Z103">
        <f t="shared" ca="1" si="7"/>
        <v>3.4737107920301402</v>
      </c>
    </row>
    <row r="104" spans="6:26" x14ac:dyDescent="0.35">
      <c r="F104" cm="1">
        <f t="array" aca="1" ref="F104" ca="1">INDEX($D$2:$D$15,RANDBETWEEN(1,ROWS($D$2:$D$15)),1)</f>
        <v>8</v>
      </c>
      <c r="G104" cm="1">
        <f t="array" aca="1" ref="G104" ca="1">INDEX($D$2:$D$15,RANDBETWEEN(1,ROWS($D$2:$D$15)),1)</f>
        <v>2</v>
      </c>
      <c r="H104" cm="1">
        <f t="array" aca="1" ref="H104" ca="1">INDEX($D$2:$D$15,RANDBETWEEN(1,ROWS($D$2:$D$15)),1)</f>
        <v>8</v>
      </c>
      <c r="I104" cm="1">
        <f t="array" aca="1" ref="I104" ca="1">INDEX($D$2:$D$15,RANDBETWEEN(1,ROWS($D$2:$D$15)),1)</f>
        <v>4</v>
      </c>
      <c r="J104" cm="1">
        <f t="array" aca="1" ref="J104" ca="1">INDEX($D$2:$D$15,RANDBETWEEN(1,ROWS($D$2:$D$15)),1)</f>
        <v>9</v>
      </c>
      <c r="K104" cm="1">
        <f t="array" aca="1" ref="K104" ca="1">INDEX($D$2:$D$15,RANDBETWEEN(1,ROWS($D$2:$D$15)),1)</f>
        <v>9</v>
      </c>
      <c r="L104" cm="1">
        <f t="array" aca="1" ref="L104" ca="1">INDEX($D$2:$D$15,RANDBETWEEN(1,ROWS($D$2:$D$15)),1)</f>
        <v>10</v>
      </c>
      <c r="M104" cm="1">
        <f t="array" aca="1" ref="M104" ca="1">INDEX($D$2:$D$15,RANDBETWEEN(1,ROWS($D$2:$D$15)),1)</f>
        <v>4</v>
      </c>
      <c r="N104" cm="1">
        <f t="array" aca="1" ref="N104" ca="1">INDEX($D$2:$D$15,RANDBETWEEN(1,ROWS($D$2:$D$15)),1)</f>
        <v>12</v>
      </c>
      <c r="O104" cm="1">
        <f t="array" aca="1" ref="O104" ca="1">INDEX($D$2:$D$15,RANDBETWEEN(1,ROWS($D$2:$D$15)),1)</f>
        <v>2</v>
      </c>
      <c r="P104" cm="1">
        <f t="array" aca="1" ref="P104" ca="1">INDEX($D$2:$D$15,RANDBETWEEN(1,ROWS($D$2:$D$15)),1)</f>
        <v>8</v>
      </c>
      <c r="Q104" cm="1">
        <f t="array" aca="1" ref="Q104" ca="1">INDEX($D$2:$D$15,RANDBETWEEN(1,ROWS($D$2:$D$15)),1)</f>
        <v>4</v>
      </c>
      <c r="R104" cm="1">
        <f t="array" aca="1" ref="R104" ca="1">INDEX($D$2:$D$15,RANDBETWEEN(1,ROWS($D$2:$D$15)),1)</f>
        <v>2</v>
      </c>
      <c r="S104" cm="1">
        <f t="array" aca="1" ref="S104" ca="1">INDEX($D$2:$D$15,RANDBETWEEN(1,ROWS($D$2:$D$15)),1)</f>
        <v>4</v>
      </c>
      <c r="T104" cm="1">
        <f t="array" aca="1" ref="T104" ca="1">INDEX($D$2:$D$15,RANDBETWEEN(1,ROWS($D$2:$D$15)),1)</f>
        <v>13</v>
      </c>
      <c r="W104">
        <f t="shared" ca="1" si="4"/>
        <v>6.6</v>
      </c>
      <c r="X104">
        <f t="shared" ca="1" si="5"/>
        <v>8</v>
      </c>
      <c r="Y104">
        <f t="shared" ca="1" si="6"/>
        <v>5</v>
      </c>
      <c r="Z104">
        <f t="shared" ca="1" si="7"/>
        <v>3.6800621112770835</v>
      </c>
    </row>
    <row r="105" spans="6:26" x14ac:dyDescent="0.35">
      <c r="F105" cm="1">
        <f t="array" aca="1" ref="F105" ca="1">INDEX($D$2:$D$15,RANDBETWEEN(1,ROWS($D$2:$D$15)),1)</f>
        <v>12</v>
      </c>
      <c r="G105" cm="1">
        <f t="array" aca="1" ref="G105" ca="1">INDEX($D$2:$D$15,RANDBETWEEN(1,ROWS($D$2:$D$15)),1)</f>
        <v>9</v>
      </c>
      <c r="H105" cm="1">
        <f t="array" aca="1" ref="H105" ca="1">INDEX($D$2:$D$15,RANDBETWEEN(1,ROWS($D$2:$D$15)),1)</f>
        <v>11</v>
      </c>
      <c r="I105" cm="1">
        <f t="array" aca="1" ref="I105" ca="1">INDEX($D$2:$D$15,RANDBETWEEN(1,ROWS($D$2:$D$15)),1)</f>
        <v>12</v>
      </c>
      <c r="J105" cm="1">
        <f t="array" aca="1" ref="J105" ca="1">INDEX($D$2:$D$15,RANDBETWEEN(1,ROWS($D$2:$D$15)),1)</f>
        <v>9</v>
      </c>
      <c r="K105" cm="1">
        <f t="array" aca="1" ref="K105" ca="1">INDEX($D$2:$D$15,RANDBETWEEN(1,ROWS($D$2:$D$15)),1)</f>
        <v>9</v>
      </c>
      <c r="L105" cm="1">
        <f t="array" aca="1" ref="L105" ca="1">INDEX($D$2:$D$15,RANDBETWEEN(1,ROWS($D$2:$D$15)),1)</f>
        <v>11</v>
      </c>
      <c r="M105" cm="1">
        <f t="array" aca="1" ref="M105" ca="1">INDEX($D$2:$D$15,RANDBETWEEN(1,ROWS($D$2:$D$15)),1)</f>
        <v>2</v>
      </c>
      <c r="N105" cm="1">
        <f t="array" aca="1" ref="N105" ca="1">INDEX($D$2:$D$15,RANDBETWEEN(1,ROWS($D$2:$D$15)),1)</f>
        <v>4</v>
      </c>
      <c r="O105" cm="1">
        <f t="array" aca="1" ref="O105" ca="1">INDEX($D$2:$D$15,RANDBETWEEN(1,ROWS($D$2:$D$15)),1)</f>
        <v>12</v>
      </c>
      <c r="P105" cm="1">
        <f t="array" aca="1" ref="P105" ca="1">INDEX($D$2:$D$15,RANDBETWEEN(1,ROWS($D$2:$D$15)),1)</f>
        <v>2</v>
      </c>
      <c r="Q105" cm="1">
        <f t="array" aca="1" ref="Q105" ca="1">INDEX($D$2:$D$15,RANDBETWEEN(1,ROWS($D$2:$D$15)),1)</f>
        <v>12</v>
      </c>
      <c r="R105" cm="1">
        <f t="array" aca="1" ref="R105" ca="1">INDEX($D$2:$D$15,RANDBETWEEN(1,ROWS($D$2:$D$15)),1)</f>
        <v>11</v>
      </c>
      <c r="S105" cm="1">
        <f t="array" aca="1" ref="S105" ca="1">INDEX($D$2:$D$15,RANDBETWEEN(1,ROWS($D$2:$D$15)),1)</f>
        <v>3</v>
      </c>
      <c r="T105" cm="1">
        <f t="array" aca="1" ref="T105" ca="1">INDEX($D$2:$D$15,RANDBETWEEN(1,ROWS($D$2:$D$15)),1)</f>
        <v>9</v>
      </c>
      <c r="W105">
        <f t="shared" ca="1" si="4"/>
        <v>8.5333333333333332</v>
      </c>
      <c r="X105">
        <f t="shared" ca="1" si="5"/>
        <v>9</v>
      </c>
      <c r="Y105">
        <f t="shared" ca="1" si="6"/>
        <v>5</v>
      </c>
      <c r="Z105">
        <f t="shared" ca="1" si="7"/>
        <v>3.8147583085145715</v>
      </c>
    </row>
    <row r="106" spans="6:26" x14ac:dyDescent="0.35">
      <c r="F106" cm="1">
        <f t="array" aca="1" ref="F106" ca="1">INDEX($D$2:$D$15,RANDBETWEEN(1,ROWS($D$2:$D$15)),1)</f>
        <v>9</v>
      </c>
      <c r="G106" cm="1">
        <f t="array" aca="1" ref="G106" ca="1">INDEX($D$2:$D$15,RANDBETWEEN(1,ROWS($D$2:$D$15)),1)</f>
        <v>9</v>
      </c>
      <c r="H106" cm="1">
        <f t="array" aca="1" ref="H106" ca="1">INDEX($D$2:$D$15,RANDBETWEEN(1,ROWS($D$2:$D$15)),1)</f>
        <v>9</v>
      </c>
      <c r="I106" cm="1">
        <f t="array" aca="1" ref="I106" ca="1">INDEX($D$2:$D$15,RANDBETWEEN(1,ROWS($D$2:$D$15)),1)</f>
        <v>4</v>
      </c>
      <c r="J106" cm="1">
        <f t="array" aca="1" ref="J106" ca="1">INDEX($D$2:$D$15,RANDBETWEEN(1,ROWS($D$2:$D$15)),1)</f>
        <v>12</v>
      </c>
      <c r="K106" cm="1">
        <f t="array" aca="1" ref="K106" ca="1">INDEX($D$2:$D$15,RANDBETWEEN(1,ROWS($D$2:$D$15)),1)</f>
        <v>9</v>
      </c>
      <c r="L106" cm="1">
        <f t="array" aca="1" ref="L106" ca="1">INDEX($D$2:$D$15,RANDBETWEEN(1,ROWS($D$2:$D$15)),1)</f>
        <v>12</v>
      </c>
      <c r="M106" cm="1">
        <f t="array" aca="1" ref="M106" ca="1">INDEX($D$2:$D$15,RANDBETWEEN(1,ROWS($D$2:$D$15)),1)</f>
        <v>11</v>
      </c>
      <c r="N106" cm="1">
        <f t="array" aca="1" ref="N106" ca="1">INDEX($D$2:$D$15,RANDBETWEEN(1,ROWS($D$2:$D$15)),1)</f>
        <v>4</v>
      </c>
      <c r="O106" cm="1">
        <f t="array" aca="1" ref="O106" ca="1">INDEX($D$2:$D$15,RANDBETWEEN(1,ROWS($D$2:$D$15)),1)</f>
        <v>4</v>
      </c>
      <c r="P106" cm="1">
        <f t="array" aca="1" ref="P106" ca="1">INDEX($D$2:$D$15,RANDBETWEEN(1,ROWS($D$2:$D$15)),1)</f>
        <v>12</v>
      </c>
      <c r="Q106" cm="1">
        <f t="array" aca="1" ref="Q106" ca="1">INDEX($D$2:$D$15,RANDBETWEEN(1,ROWS($D$2:$D$15)),1)</f>
        <v>8</v>
      </c>
      <c r="R106" cm="1">
        <f t="array" aca="1" ref="R106" ca="1">INDEX($D$2:$D$15,RANDBETWEEN(1,ROWS($D$2:$D$15)),1)</f>
        <v>13</v>
      </c>
      <c r="S106" cm="1">
        <f t="array" aca="1" ref="S106" ca="1">INDEX($D$2:$D$15,RANDBETWEEN(1,ROWS($D$2:$D$15)),1)</f>
        <v>12</v>
      </c>
      <c r="T106" cm="1">
        <f t="array" aca="1" ref="T106" ca="1">INDEX($D$2:$D$15,RANDBETWEEN(1,ROWS($D$2:$D$15)),1)</f>
        <v>8</v>
      </c>
      <c r="W106">
        <f t="shared" ca="1" si="4"/>
        <v>9.0666666666666664</v>
      </c>
      <c r="X106">
        <f t="shared" ca="1" si="5"/>
        <v>9</v>
      </c>
      <c r="Y106">
        <f t="shared" ca="1" si="6"/>
        <v>4</v>
      </c>
      <c r="Z106">
        <f t="shared" ca="1" si="7"/>
        <v>3.0814344217000786</v>
      </c>
    </row>
    <row r="107" spans="6:26" x14ac:dyDescent="0.35">
      <c r="F107" cm="1">
        <f t="array" aca="1" ref="F107" ca="1">INDEX($D$2:$D$15,RANDBETWEEN(1,ROWS($D$2:$D$15)),1)</f>
        <v>2</v>
      </c>
      <c r="G107" cm="1">
        <f t="array" aca="1" ref="G107" ca="1">INDEX($D$2:$D$15,RANDBETWEEN(1,ROWS($D$2:$D$15)),1)</f>
        <v>11</v>
      </c>
      <c r="H107" cm="1">
        <f t="array" aca="1" ref="H107" ca="1">INDEX($D$2:$D$15,RANDBETWEEN(1,ROWS($D$2:$D$15)),1)</f>
        <v>10</v>
      </c>
      <c r="I107" cm="1">
        <f t="array" aca="1" ref="I107" ca="1">INDEX($D$2:$D$15,RANDBETWEEN(1,ROWS($D$2:$D$15)),1)</f>
        <v>9</v>
      </c>
      <c r="J107" cm="1">
        <f t="array" aca="1" ref="J107" ca="1">INDEX($D$2:$D$15,RANDBETWEEN(1,ROWS($D$2:$D$15)),1)</f>
        <v>13</v>
      </c>
      <c r="K107" cm="1">
        <f t="array" aca="1" ref="K107" ca="1">INDEX($D$2:$D$15,RANDBETWEEN(1,ROWS($D$2:$D$15)),1)</f>
        <v>12</v>
      </c>
      <c r="L107" cm="1">
        <f t="array" aca="1" ref="L107" ca="1">INDEX($D$2:$D$15,RANDBETWEEN(1,ROWS($D$2:$D$15)),1)</f>
        <v>2</v>
      </c>
      <c r="M107" cm="1">
        <f t="array" aca="1" ref="M107" ca="1">INDEX($D$2:$D$15,RANDBETWEEN(1,ROWS($D$2:$D$15)),1)</f>
        <v>13</v>
      </c>
      <c r="N107" cm="1">
        <f t="array" aca="1" ref="N107" ca="1">INDEX($D$2:$D$15,RANDBETWEEN(1,ROWS($D$2:$D$15)),1)</f>
        <v>12</v>
      </c>
      <c r="O107" cm="1">
        <f t="array" aca="1" ref="O107" ca="1">INDEX($D$2:$D$15,RANDBETWEEN(1,ROWS($D$2:$D$15)),1)</f>
        <v>2</v>
      </c>
      <c r="P107" cm="1">
        <f t="array" aca="1" ref="P107" ca="1">INDEX($D$2:$D$15,RANDBETWEEN(1,ROWS($D$2:$D$15)),1)</f>
        <v>9</v>
      </c>
      <c r="Q107" cm="1">
        <f t="array" aca="1" ref="Q107" ca="1">INDEX($D$2:$D$15,RANDBETWEEN(1,ROWS($D$2:$D$15)),1)</f>
        <v>4</v>
      </c>
      <c r="R107" cm="1">
        <f t="array" aca="1" ref="R107" ca="1">INDEX($D$2:$D$15,RANDBETWEEN(1,ROWS($D$2:$D$15)),1)</f>
        <v>4</v>
      </c>
      <c r="S107" cm="1">
        <f t="array" aca="1" ref="S107" ca="1">INDEX($D$2:$D$15,RANDBETWEEN(1,ROWS($D$2:$D$15)),1)</f>
        <v>11</v>
      </c>
      <c r="T107" cm="1">
        <f t="array" aca="1" ref="T107" ca="1">INDEX($D$2:$D$15,RANDBETWEEN(1,ROWS($D$2:$D$15)),1)</f>
        <v>10</v>
      </c>
      <c r="W107">
        <f t="shared" ca="1" si="4"/>
        <v>8.2666666666666675</v>
      </c>
      <c r="X107">
        <f t="shared" ca="1" si="5"/>
        <v>10</v>
      </c>
      <c r="Y107">
        <f t="shared" ca="1" si="6"/>
        <v>7.5</v>
      </c>
      <c r="Z107">
        <f t="shared" ca="1" si="7"/>
        <v>4.2167466583792281</v>
      </c>
    </row>
    <row r="108" spans="6:26" x14ac:dyDescent="0.35">
      <c r="F108" cm="1">
        <f t="array" aca="1" ref="F108" ca="1">INDEX($D$2:$D$15,RANDBETWEEN(1,ROWS($D$2:$D$15)),1)</f>
        <v>10</v>
      </c>
      <c r="G108" cm="1">
        <f t="array" aca="1" ref="G108" ca="1">INDEX($D$2:$D$15,RANDBETWEEN(1,ROWS($D$2:$D$15)),1)</f>
        <v>12</v>
      </c>
      <c r="H108" cm="1">
        <f t="array" aca="1" ref="H108" ca="1">INDEX($D$2:$D$15,RANDBETWEEN(1,ROWS($D$2:$D$15)),1)</f>
        <v>9</v>
      </c>
      <c r="I108" cm="1">
        <f t="array" aca="1" ref="I108" ca="1">INDEX($D$2:$D$15,RANDBETWEEN(1,ROWS($D$2:$D$15)),1)</f>
        <v>2</v>
      </c>
      <c r="J108" cm="1">
        <f t="array" aca="1" ref="J108" ca="1">INDEX($D$2:$D$15,RANDBETWEEN(1,ROWS($D$2:$D$15)),1)</f>
        <v>13</v>
      </c>
      <c r="K108" cm="1">
        <f t="array" aca="1" ref="K108" ca="1">INDEX($D$2:$D$15,RANDBETWEEN(1,ROWS($D$2:$D$15)),1)</f>
        <v>11</v>
      </c>
      <c r="L108" cm="1">
        <f t="array" aca="1" ref="L108" ca="1">INDEX($D$2:$D$15,RANDBETWEEN(1,ROWS($D$2:$D$15)),1)</f>
        <v>12</v>
      </c>
      <c r="M108" cm="1">
        <f t="array" aca="1" ref="M108" ca="1">INDEX($D$2:$D$15,RANDBETWEEN(1,ROWS($D$2:$D$15)),1)</f>
        <v>9</v>
      </c>
      <c r="N108" cm="1">
        <f t="array" aca="1" ref="N108" ca="1">INDEX($D$2:$D$15,RANDBETWEEN(1,ROWS($D$2:$D$15)),1)</f>
        <v>12</v>
      </c>
      <c r="O108" cm="1">
        <f t="array" aca="1" ref="O108" ca="1">INDEX($D$2:$D$15,RANDBETWEEN(1,ROWS($D$2:$D$15)),1)</f>
        <v>4</v>
      </c>
      <c r="P108" cm="1">
        <f t="array" aca="1" ref="P108" ca="1">INDEX($D$2:$D$15,RANDBETWEEN(1,ROWS($D$2:$D$15)),1)</f>
        <v>4</v>
      </c>
      <c r="Q108" cm="1">
        <f t="array" aca="1" ref="Q108" ca="1">INDEX($D$2:$D$15,RANDBETWEEN(1,ROWS($D$2:$D$15)),1)</f>
        <v>12</v>
      </c>
      <c r="R108" cm="1">
        <f t="array" aca="1" ref="R108" ca="1">INDEX($D$2:$D$15,RANDBETWEEN(1,ROWS($D$2:$D$15)),1)</f>
        <v>10</v>
      </c>
      <c r="S108" cm="1">
        <f t="array" aca="1" ref="S108" ca="1">INDEX($D$2:$D$15,RANDBETWEEN(1,ROWS($D$2:$D$15)),1)</f>
        <v>4</v>
      </c>
      <c r="T108" cm="1">
        <f t="array" aca="1" ref="T108" ca="1">INDEX($D$2:$D$15,RANDBETWEEN(1,ROWS($D$2:$D$15)),1)</f>
        <v>13</v>
      </c>
      <c r="W108">
        <f t="shared" ca="1" si="4"/>
        <v>9.1333333333333329</v>
      </c>
      <c r="X108">
        <f t="shared" ca="1" si="5"/>
        <v>10</v>
      </c>
      <c r="Y108">
        <f t="shared" ca="1" si="6"/>
        <v>5.5</v>
      </c>
      <c r="Z108">
        <f t="shared" ca="1" si="7"/>
        <v>3.7581657126595052</v>
      </c>
    </row>
    <row r="109" spans="6:26" x14ac:dyDescent="0.35">
      <c r="F109" cm="1">
        <f t="array" aca="1" ref="F109" ca="1">INDEX($D$2:$D$15,RANDBETWEEN(1,ROWS($D$2:$D$15)),1)</f>
        <v>4</v>
      </c>
      <c r="G109" cm="1">
        <f t="array" aca="1" ref="G109" ca="1">INDEX($D$2:$D$15,RANDBETWEEN(1,ROWS($D$2:$D$15)),1)</f>
        <v>13</v>
      </c>
      <c r="H109" cm="1">
        <f t="array" aca="1" ref="H109" ca="1">INDEX($D$2:$D$15,RANDBETWEEN(1,ROWS($D$2:$D$15)),1)</f>
        <v>11</v>
      </c>
      <c r="I109" cm="1">
        <f t="array" aca="1" ref="I109" ca="1">INDEX($D$2:$D$15,RANDBETWEEN(1,ROWS($D$2:$D$15)),1)</f>
        <v>4</v>
      </c>
      <c r="J109" cm="1">
        <f t="array" aca="1" ref="J109" ca="1">INDEX($D$2:$D$15,RANDBETWEEN(1,ROWS($D$2:$D$15)),1)</f>
        <v>12</v>
      </c>
      <c r="K109" cm="1">
        <f t="array" aca="1" ref="K109" ca="1">INDEX($D$2:$D$15,RANDBETWEEN(1,ROWS($D$2:$D$15)),1)</f>
        <v>4</v>
      </c>
      <c r="L109" cm="1">
        <f t="array" aca="1" ref="L109" ca="1">INDEX($D$2:$D$15,RANDBETWEEN(1,ROWS($D$2:$D$15)),1)</f>
        <v>4</v>
      </c>
      <c r="M109" cm="1">
        <f t="array" aca="1" ref="M109" ca="1">INDEX($D$2:$D$15,RANDBETWEEN(1,ROWS($D$2:$D$15)),1)</f>
        <v>4</v>
      </c>
      <c r="N109" cm="1">
        <f t="array" aca="1" ref="N109" ca="1">INDEX($D$2:$D$15,RANDBETWEEN(1,ROWS($D$2:$D$15)),1)</f>
        <v>4</v>
      </c>
      <c r="O109" cm="1">
        <f t="array" aca="1" ref="O109" ca="1">INDEX($D$2:$D$15,RANDBETWEEN(1,ROWS($D$2:$D$15)),1)</f>
        <v>8</v>
      </c>
      <c r="P109" cm="1">
        <f t="array" aca="1" ref="P109" ca="1">INDEX($D$2:$D$15,RANDBETWEEN(1,ROWS($D$2:$D$15)),1)</f>
        <v>12</v>
      </c>
      <c r="Q109" cm="1">
        <f t="array" aca="1" ref="Q109" ca="1">INDEX($D$2:$D$15,RANDBETWEEN(1,ROWS($D$2:$D$15)),1)</f>
        <v>12</v>
      </c>
      <c r="R109" cm="1">
        <f t="array" aca="1" ref="R109" ca="1">INDEX($D$2:$D$15,RANDBETWEEN(1,ROWS($D$2:$D$15)),1)</f>
        <v>12</v>
      </c>
      <c r="S109" cm="1">
        <f t="array" aca="1" ref="S109" ca="1">INDEX($D$2:$D$15,RANDBETWEEN(1,ROWS($D$2:$D$15)),1)</f>
        <v>12</v>
      </c>
      <c r="T109" cm="1">
        <f t="array" aca="1" ref="T109" ca="1">INDEX($D$2:$D$15,RANDBETWEEN(1,ROWS($D$2:$D$15)),1)</f>
        <v>10</v>
      </c>
      <c r="W109">
        <f t="shared" ca="1" si="4"/>
        <v>8.4</v>
      </c>
      <c r="X109">
        <f t="shared" ca="1" si="5"/>
        <v>10</v>
      </c>
      <c r="Y109">
        <f t="shared" ca="1" si="6"/>
        <v>8</v>
      </c>
      <c r="Z109">
        <f t="shared" ca="1" si="7"/>
        <v>3.8877095717511754</v>
      </c>
    </row>
    <row r="110" spans="6:26" x14ac:dyDescent="0.35">
      <c r="F110" cm="1">
        <f t="array" aca="1" ref="F110" ca="1">INDEX($D$2:$D$15,RANDBETWEEN(1,ROWS($D$2:$D$15)),1)</f>
        <v>4</v>
      </c>
      <c r="G110" cm="1">
        <f t="array" aca="1" ref="G110" ca="1">INDEX($D$2:$D$15,RANDBETWEEN(1,ROWS($D$2:$D$15)),1)</f>
        <v>4</v>
      </c>
      <c r="H110" cm="1">
        <f t="array" aca="1" ref="H110" ca="1">INDEX($D$2:$D$15,RANDBETWEEN(1,ROWS($D$2:$D$15)),1)</f>
        <v>12</v>
      </c>
      <c r="I110" cm="1">
        <f t="array" aca="1" ref="I110" ca="1">INDEX($D$2:$D$15,RANDBETWEEN(1,ROWS($D$2:$D$15)),1)</f>
        <v>9</v>
      </c>
      <c r="J110" cm="1">
        <f t="array" aca="1" ref="J110" ca="1">INDEX($D$2:$D$15,RANDBETWEEN(1,ROWS($D$2:$D$15)),1)</f>
        <v>9</v>
      </c>
      <c r="K110" cm="1">
        <f t="array" aca="1" ref="K110" ca="1">INDEX($D$2:$D$15,RANDBETWEEN(1,ROWS($D$2:$D$15)),1)</f>
        <v>4</v>
      </c>
      <c r="L110" cm="1">
        <f t="array" aca="1" ref="L110" ca="1">INDEX($D$2:$D$15,RANDBETWEEN(1,ROWS($D$2:$D$15)),1)</f>
        <v>2</v>
      </c>
      <c r="M110" cm="1">
        <f t="array" aca="1" ref="M110" ca="1">INDEX($D$2:$D$15,RANDBETWEEN(1,ROWS($D$2:$D$15)),1)</f>
        <v>9</v>
      </c>
      <c r="N110" cm="1">
        <f t="array" aca="1" ref="N110" ca="1">INDEX($D$2:$D$15,RANDBETWEEN(1,ROWS($D$2:$D$15)),1)</f>
        <v>3</v>
      </c>
      <c r="O110" cm="1">
        <f t="array" aca="1" ref="O110" ca="1">INDEX($D$2:$D$15,RANDBETWEEN(1,ROWS($D$2:$D$15)),1)</f>
        <v>9</v>
      </c>
      <c r="P110" cm="1">
        <f t="array" aca="1" ref="P110" ca="1">INDEX($D$2:$D$15,RANDBETWEEN(1,ROWS($D$2:$D$15)),1)</f>
        <v>9</v>
      </c>
      <c r="Q110" cm="1">
        <f t="array" aca="1" ref="Q110" ca="1">INDEX($D$2:$D$15,RANDBETWEEN(1,ROWS($D$2:$D$15)),1)</f>
        <v>3</v>
      </c>
      <c r="R110" cm="1">
        <f t="array" aca="1" ref="R110" ca="1">INDEX($D$2:$D$15,RANDBETWEEN(1,ROWS($D$2:$D$15)),1)</f>
        <v>12</v>
      </c>
      <c r="S110" cm="1">
        <f t="array" aca="1" ref="S110" ca="1">INDEX($D$2:$D$15,RANDBETWEEN(1,ROWS($D$2:$D$15)),1)</f>
        <v>11</v>
      </c>
      <c r="T110" cm="1">
        <f t="array" aca="1" ref="T110" ca="1">INDEX($D$2:$D$15,RANDBETWEEN(1,ROWS($D$2:$D$15)),1)</f>
        <v>2</v>
      </c>
      <c r="W110">
        <f t="shared" ca="1" si="4"/>
        <v>6.8</v>
      </c>
      <c r="X110">
        <f t="shared" ca="1" si="5"/>
        <v>9</v>
      </c>
      <c r="Y110">
        <f t="shared" ca="1" si="6"/>
        <v>5.5</v>
      </c>
      <c r="Z110">
        <f t="shared" ca="1" si="7"/>
        <v>3.7263540204487127</v>
      </c>
    </row>
    <row r="111" spans="6:26" x14ac:dyDescent="0.35">
      <c r="F111" cm="1">
        <f t="array" aca="1" ref="F111" ca="1">INDEX($D$2:$D$15,RANDBETWEEN(1,ROWS($D$2:$D$15)),1)</f>
        <v>4</v>
      </c>
      <c r="G111" cm="1">
        <f t="array" aca="1" ref="G111" ca="1">INDEX($D$2:$D$15,RANDBETWEEN(1,ROWS($D$2:$D$15)),1)</f>
        <v>4</v>
      </c>
      <c r="H111" cm="1">
        <f t="array" aca="1" ref="H111" ca="1">INDEX($D$2:$D$15,RANDBETWEEN(1,ROWS($D$2:$D$15)),1)</f>
        <v>2</v>
      </c>
      <c r="I111" cm="1">
        <f t="array" aca="1" ref="I111" ca="1">INDEX($D$2:$D$15,RANDBETWEEN(1,ROWS($D$2:$D$15)),1)</f>
        <v>2</v>
      </c>
      <c r="J111" cm="1">
        <f t="array" aca="1" ref="J111" ca="1">INDEX($D$2:$D$15,RANDBETWEEN(1,ROWS($D$2:$D$15)),1)</f>
        <v>11</v>
      </c>
      <c r="K111" cm="1">
        <f t="array" aca="1" ref="K111" ca="1">INDEX($D$2:$D$15,RANDBETWEEN(1,ROWS($D$2:$D$15)),1)</f>
        <v>4</v>
      </c>
      <c r="L111" cm="1">
        <f t="array" aca="1" ref="L111" ca="1">INDEX($D$2:$D$15,RANDBETWEEN(1,ROWS($D$2:$D$15)),1)</f>
        <v>9</v>
      </c>
      <c r="M111" cm="1">
        <f t="array" aca="1" ref="M111" ca="1">INDEX($D$2:$D$15,RANDBETWEEN(1,ROWS($D$2:$D$15)),1)</f>
        <v>10</v>
      </c>
      <c r="N111" cm="1">
        <f t="array" aca="1" ref="N111" ca="1">INDEX($D$2:$D$15,RANDBETWEEN(1,ROWS($D$2:$D$15)),1)</f>
        <v>13</v>
      </c>
      <c r="O111" cm="1">
        <f t="array" aca="1" ref="O111" ca="1">INDEX($D$2:$D$15,RANDBETWEEN(1,ROWS($D$2:$D$15)),1)</f>
        <v>12</v>
      </c>
      <c r="P111" cm="1">
        <f t="array" aca="1" ref="P111" ca="1">INDEX($D$2:$D$15,RANDBETWEEN(1,ROWS($D$2:$D$15)),1)</f>
        <v>12</v>
      </c>
      <c r="Q111" cm="1">
        <f t="array" aca="1" ref="Q111" ca="1">INDEX($D$2:$D$15,RANDBETWEEN(1,ROWS($D$2:$D$15)),1)</f>
        <v>11</v>
      </c>
      <c r="R111" cm="1">
        <f t="array" aca="1" ref="R111" ca="1">INDEX($D$2:$D$15,RANDBETWEEN(1,ROWS($D$2:$D$15)),1)</f>
        <v>13</v>
      </c>
      <c r="S111" cm="1">
        <f t="array" aca="1" ref="S111" ca="1">INDEX($D$2:$D$15,RANDBETWEEN(1,ROWS($D$2:$D$15)),1)</f>
        <v>13</v>
      </c>
      <c r="T111" cm="1">
        <f t="array" aca="1" ref="T111" ca="1">INDEX($D$2:$D$15,RANDBETWEEN(1,ROWS($D$2:$D$15)),1)</f>
        <v>9</v>
      </c>
      <c r="W111">
        <f t="shared" ca="1" si="4"/>
        <v>8.6</v>
      </c>
      <c r="X111">
        <f t="shared" ca="1" si="5"/>
        <v>10</v>
      </c>
      <c r="Y111">
        <f t="shared" ca="1" si="6"/>
        <v>8</v>
      </c>
      <c r="Z111">
        <f t="shared" ca="1" si="7"/>
        <v>4.1884194086620719</v>
      </c>
    </row>
    <row r="112" spans="6:26" x14ac:dyDescent="0.35">
      <c r="F112" cm="1">
        <f t="array" aca="1" ref="F112" ca="1">INDEX($D$2:$D$15,RANDBETWEEN(1,ROWS($D$2:$D$15)),1)</f>
        <v>3</v>
      </c>
      <c r="G112" cm="1">
        <f t="array" aca="1" ref="G112" ca="1">INDEX($D$2:$D$15,RANDBETWEEN(1,ROWS($D$2:$D$15)),1)</f>
        <v>4</v>
      </c>
      <c r="H112" cm="1">
        <f t="array" aca="1" ref="H112" ca="1">INDEX($D$2:$D$15,RANDBETWEEN(1,ROWS($D$2:$D$15)),1)</f>
        <v>11</v>
      </c>
      <c r="I112" cm="1">
        <f t="array" aca="1" ref="I112" ca="1">INDEX($D$2:$D$15,RANDBETWEEN(1,ROWS($D$2:$D$15)),1)</f>
        <v>12</v>
      </c>
      <c r="J112" cm="1">
        <f t="array" aca="1" ref="J112" ca="1">INDEX($D$2:$D$15,RANDBETWEEN(1,ROWS($D$2:$D$15)),1)</f>
        <v>13</v>
      </c>
      <c r="K112" cm="1">
        <f t="array" aca="1" ref="K112" ca="1">INDEX($D$2:$D$15,RANDBETWEEN(1,ROWS($D$2:$D$15)),1)</f>
        <v>8</v>
      </c>
      <c r="L112" cm="1">
        <f t="array" aca="1" ref="L112" ca="1">INDEX($D$2:$D$15,RANDBETWEEN(1,ROWS($D$2:$D$15)),1)</f>
        <v>9</v>
      </c>
      <c r="M112" cm="1">
        <f t="array" aca="1" ref="M112" ca="1">INDEX($D$2:$D$15,RANDBETWEEN(1,ROWS($D$2:$D$15)),1)</f>
        <v>9</v>
      </c>
      <c r="N112" cm="1">
        <f t="array" aca="1" ref="N112" ca="1">INDEX($D$2:$D$15,RANDBETWEEN(1,ROWS($D$2:$D$15)),1)</f>
        <v>4</v>
      </c>
      <c r="O112" cm="1">
        <f t="array" aca="1" ref="O112" ca="1">INDEX($D$2:$D$15,RANDBETWEEN(1,ROWS($D$2:$D$15)),1)</f>
        <v>9</v>
      </c>
      <c r="P112" cm="1">
        <f t="array" aca="1" ref="P112" ca="1">INDEX($D$2:$D$15,RANDBETWEEN(1,ROWS($D$2:$D$15)),1)</f>
        <v>9</v>
      </c>
      <c r="Q112" cm="1">
        <f t="array" aca="1" ref="Q112" ca="1">INDEX($D$2:$D$15,RANDBETWEEN(1,ROWS($D$2:$D$15)),1)</f>
        <v>3</v>
      </c>
      <c r="R112" cm="1">
        <f t="array" aca="1" ref="R112" ca="1">INDEX($D$2:$D$15,RANDBETWEEN(1,ROWS($D$2:$D$15)),1)</f>
        <v>2</v>
      </c>
      <c r="S112" cm="1">
        <f t="array" aca="1" ref="S112" ca="1">INDEX($D$2:$D$15,RANDBETWEEN(1,ROWS($D$2:$D$15)),1)</f>
        <v>13</v>
      </c>
      <c r="T112" cm="1">
        <f t="array" aca="1" ref="T112" ca="1">INDEX($D$2:$D$15,RANDBETWEEN(1,ROWS($D$2:$D$15)),1)</f>
        <v>8</v>
      </c>
      <c r="W112">
        <f t="shared" ca="1" si="4"/>
        <v>7.8</v>
      </c>
      <c r="X112">
        <f t="shared" ca="1" si="5"/>
        <v>9</v>
      </c>
      <c r="Y112">
        <f t="shared" ca="1" si="6"/>
        <v>6</v>
      </c>
      <c r="Z112">
        <f t="shared" ca="1" si="7"/>
        <v>3.7454734585325027</v>
      </c>
    </row>
    <row r="113" spans="6:26" x14ac:dyDescent="0.35">
      <c r="F113" cm="1">
        <f t="array" aca="1" ref="F113" ca="1">INDEX($D$2:$D$15,RANDBETWEEN(1,ROWS($D$2:$D$15)),1)</f>
        <v>8</v>
      </c>
      <c r="G113" cm="1">
        <f t="array" aca="1" ref="G113" ca="1">INDEX($D$2:$D$15,RANDBETWEEN(1,ROWS($D$2:$D$15)),1)</f>
        <v>9</v>
      </c>
      <c r="H113" cm="1">
        <f t="array" aca="1" ref="H113" ca="1">INDEX($D$2:$D$15,RANDBETWEEN(1,ROWS($D$2:$D$15)),1)</f>
        <v>12</v>
      </c>
      <c r="I113" cm="1">
        <f t="array" aca="1" ref="I113" ca="1">INDEX($D$2:$D$15,RANDBETWEEN(1,ROWS($D$2:$D$15)),1)</f>
        <v>13</v>
      </c>
      <c r="J113" cm="1">
        <f t="array" aca="1" ref="J113" ca="1">INDEX($D$2:$D$15,RANDBETWEEN(1,ROWS($D$2:$D$15)),1)</f>
        <v>8</v>
      </c>
      <c r="K113" cm="1">
        <f t="array" aca="1" ref="K113" ca="1">INDEX($D$2:$D$15,RANDBETWEEN(1,ROWS($D$2:$D$15)),1)</f>
        <v>9</v>
      </c>
      <c r="L113" cm="1">
        <f t="array" aca="1" ref="L113" ca="1">INDEX($D$2:$D$15,RANDBETWEEN(1,ROWS($D$2:$D$15)),1)</f>
        <v>9</v>
      </c>
      <c r="M113" cm="1">
        <f t="array" aca="1" ref="M113" ca="1">INDEX($D$2:$D$15,RANDBETWEEN(1,ROWS($D$2:$D$15)),1)</f>
        <v>9</v>
      </c>
      <c r="N113" cm="1">
        <f t="array" aca="1" ref="N113" ca="1">INDEX($D$2:$D$15,RANDBETWEEN(1,ROWS($D$2:$D$15)),1)</f>
        <v>9</v>
      </c>
      <c r="O113" cm="1">
        <f t="array" aca="1" ref="O113" ca="1">INDEX($D$2:$D$15,RANDBETWEEN(1,ROWS($D$2:$D$15)),1)</f>
        <v>9</v>
      </c>
      <c r="P113" cm="1">
        <f t="array" aca="1" ref="P113" ca="1">INDEX($D$2:$D$15,RANDBETWEEN(1,ROWS($D$2:$D$15)),1)</f>
        <v>12</v>
      </c>
      <c r="Q113" cm="1">
        <f t="array" aca="1" ref="Q113" ca="1">INDEX($D$2:$D$15,RANDBETWEEN(1,ROWS($D$2:$D$15)),1)</f>
        <v>4</v>
      </c>
      <c r="R113" cm="1">
        <f t="array" aca="1" ref="R113" ca="1">INDEX($D$2:$D$15,RANDBETWEEN(1,ROWS($D$2:$D$15)),1)</f>
        <v>10</v>
      </c>
      <c r="S113" cm="1">
        <f t="array" aca="1" ref="S113" ca="1">INDEX($D$2:$D$15,RANDBETWEEN(1,ROWS($D$2:$D$15)),1)</f>
        <v>4</v>
      </c>
      <c r="T113" cm="1">
        <f t="array" aca="1" ref="T113" ca="1">INDEX($D$2:$D$15,RANDBETWEEN(1,ROWS($D$2:$D$15)),1)</f>
        <v>9</v>
      </c>
      <c r="W113">
        <f t="shared" ca="1" si="4"/>
        <v>8.9333333333333336</v>
      </c>
      <c r="X113">
        <f t="shared" ca="1" si="5"/>
        <v>9</v>
      </c>
      <c r="Y113">
        <f t="shared" ca="1" si="6"/>
        <v>1</v>
      </c>
      <c r="Z113">
        <f t="shared" ca="1" si="7"/>
        <v>2.491891612715893</v>
      </c>
    </row>
    <row r="114" spans="6:26" x14ac:dyDescent="0.35">
      <c r="F114" cm="1">
        <f t="array" aca="1" ref="F114" ca="1">INDEX($D$2:$D$15,RANDBETWEEN(1,ROWS($D$2:$D$15)),1)</f>
        <v>4</v>
      </c>
      <c r="G114" cm="1">
        <f t="array" aca="1" ref="G114" ca="1">INDEX($D$2:$D$15,RANDBETWEEN(1,ROWS($D$2:$D$15)),1)</f>
        <v>11</v>
      </c>
      <c r="H114" cm="1">
        <f t="array" aca="1" ref="H114" ca="1">INDEX($D$2:$D$15,RANDBETWEEN(1,ROWS($D$2:$D$15)),1)</f>
        <v>8</v>
      </c>
      <c r="I114" cm="1">
        <f t="array" aca="1" ref="I114" ca="1">INDEX($D$2:$D$15,RANDBETWEEN(1,ROWS($D$2:$D$15)),1)</f>
        <v>13</v>
      </c>
      <c r="J114" cm="1">
        <f t="array" aca="1" ref="J114" ca="1">INDEX($D$2:$D$15,RANDBETWEEN(1,ROWS($D$2:$D$15)),1)</f>
        <v>9</v>
      </c>
      <c r="K114" cm="1">
        <f t="array" aca="1" ref="K114" ca="1">INDEX($D$2:$D$15,RANDBETWEEN(1,ROWS($D$2:$D$15)),1)</f>
        <v>9</v>
      </c>
      <c r="L114" cm="1">
        <f t="array" aca="1" ref="L114" ca="1">INDEX($D$2:$D$15,RANDBETWEEN(1,ROWS($D$2:$D$15)),1)</f>
        <v>4</v>
      </c>
      <c r="M114" cm="1">
        <f t="array" aca="1" ref="M114" ca="1">INDEX($D$2:$D$15,RANDBETWEEN(1,ROWS($D$2:$D$15)),1)</f>
        <v>3</v>
      </c>
      <c r="N114" cm="1">
        <f t="array" aca="1" ref="N114" ca="1">INDEX($D$2:$D$15,RANDBETWEEN(1,ROWS($D$2:$D$15)),1)</f>
        <v>4</v>
      </c>
      <c r="O114" cm="1">
        <f t="array" aca="1" ref="O114" ca="1">INDEX($D$2:$D$15,RANDBETWEEN(1,ROWS($D$2:$D$15)),1)</f>
        <v>9</v>
      </c>
      <c r="P114" cm="1">
        <f t="array" aca="1" ref="P114" ca="1">INDEX($D$2:$D$15,RANDBETWEEN(1,ROWS($D$2:$D$15)),1)</f>
        <v>10</v>
      </c>
      <c r="Q114" cm="1">
        <f t="array" aca="1" ref="Q114" ca="1">INDEX($D$2:$D$15,RANDBETWEEN(1,ROWS($D$2:$D$15)),1)</f>
        <v>11</v>
      </c>
      <c r="R114" cm="1">
        <f t="array" aca="1" ref="R114" ca="1">INDEX($D$2:$D$15,RANDBETWEEN(1,ROWS($D$2:$D$15)),1)</f>
        <v>13</v>
      </c>
      <c r="S114" cm="1">
        <f t="array" aca="1" ref="S114" ca="1">INDEX($D$2:$D$15,RANDBETWEEN(1,ROWS($D$2:$D$15)),1)</f>
        <v>10</v>
      </c>
      <c r="T114" cm="1">
        <f t="array" aca="1" ref="T114" ca="1">INDEX($D$2:$D$15,RANDBETWEEN(1,ROWS($D$2:$D$15)),1)</f>
        <v>11</v>
      </c>
      <c r="W114">
        <f t="shared" ca="1" si="4"/>
        <v>8.6</v>
      </c>
      <c r="X114">
        <f t="shared" ca="1" si="5"/>
        <v>9</v>
      </c>
      <c r="Y114">
        <f t="shared" ca="1" si="6"/>
        <v>5</v>
      </c>
      <c r="Z114">
        <f t="shared" ca="1" si="7"/>
        <v>3.3338094898007755</v>
      </c>
    </row>
    <row r="115" spans="6:26" x14ac:dyDescent="0.35">
      <c r="F115" cm="1">
        <f t="array" aca="1" ref="F115" ca="1">INDEX($D$2:$D$15,RANDBETWEEN(1,ROWS($D$2:$D$15)),1)</f>
        <v>9</v>
      </c>
      <c r="G115" cm="1">
        <f t="array" aca="1" ref="G115" ca="1">INDEX($D$2:$D$15,RANDBETWEEN(1,ROWS($D$2:$D$15)),1)</f>
        <v>9</v>
      </c>
      <c r="H115" cm="1">
        <f t="array" aca="1" ref="H115" ca="1">INDEX($D$2:$D$15,RANDBETWEEN(1,ROWS($D$2:$D$15)),1)</f>
        <v>3</v>
      </c>
      <c r="I115" cm="1">
        <f t="array" aca="1" ref="I115" ca="1">INDEX($D$2:$D$15,RANDBETWEEN(1,ROWS($D$2:$D$15)),1)</f>
        <v>9</v>
      </c>
      <c r="J115" cm="1">
        <f t="array" aca="1" ref="J115" ca="1">INDEX($D$2:$D$15,RANDBETWEEN(1,ROWS($D$2:$D$15)),1)</f>
        <v>10</v>
      </c>
      <c r="K115" cm="1">
        <f t="array" aca="1" ref="K115" ca="1">INDEX($D$2:$D$15,RANDBETWEEN(1,ROWS($D$2:$D$15)),1)</f>
        <v>9</v>
      </c>
      <c r="L115" cm="1">
        <f t="array" aca="1" ref="L115" ca="1">INDEX($D$2:$D$15,RANDBETWEEN(1,ROWS($D$2:$D$15)),1)</f>
        <v>9</v>
      </c>
      <c r="M115" cm="1">
        <f t="array" aca="1" ref="M115" ca="1">INDEX($D$2:$D$15,RANDBETWEEN(1,ROWS($D$2:$D$15)),1)</f>
        <v>9</v>
      </c>
      <c r="N115" cm="1">
        <f t="array" aca="1" ref="N115" ca="1">INDEX($D$2:$D$15,RANDBETWEEN(1,ROWS($D$2:$D$15)),1)</f>
        <v>10</v>
      </c>
      <c r="O115" cm="1">
        <f t="array" aca="1" ref="O115" ca="1">INDEX($D$2:$D$15,RANDBETWEEN(1,ROWS($D$2:$D$15)),1)</f>
        <v>3</v>
      </c>
      <c r="P115" cm="1">
        <f t="array" aca="1" ref="P115" ca="1">INDEX($D$2:$D$15,RANDBETWEEN(1,ROWS($D$2:$D$15)),1)</f>
        <v>2</v>
      </c>
      <c r="Q115" cm="1">
        <f t="array" aca="1" ref="Q115" ca="1">INDEX($D$2:$D$15,RANDBETWEEN(1,ROWS($D$2:$D$15)),1)</f>
        <v>11</v>
      </c>
      <c r="R115" cm="1">
        <f t="array" aca="1" ref="R115" ca="1">INDEX($D$2:$D$15,RANDBETWEEN(1,ROWS($D$2:$D$15)),1)</f>
        <v>9</v>
      </c>
      <c r="S115" cm="1">
        <f t="array" aca="1" ref="S115" ca="1">INDEX($D$2:$D$15,RANDBETWEEN(1,ROWS($D$2:$D$15)),1)</f>
        <v>4</v>
      </c>
      <c r="T115" cm="1">
        <f t="array" aca="1" ref="T115" ca="1">INDEX($D$2:$D$15,RANDBETWEEN(1,ROWS($D$2:$D$15)),1)</f>
        <v>3</v>
      </c>
      <c r="W115">
        <f t="shared" ca="1" si="4"/>
        <v>7.2666666666666666</v>
      </c>
      <c r="X115">
        <f t="shared" ca="1" si="5"/>
        <v>9</v>
      </c>
      <c r="Y115">
        <f t="shared" ca="1" si="6"/>
        <v>5.5</v>
      </c>
      <c r="Z115">
        <f t="shared" ca="1" si="7"/>
        <v>3.1952345468719203</v>
      </c>
    </row>
    <row r="116" spans="6:26" x14ac:dyDescent="0.35">
      <c r="F116" cm="1">
        <f t="array" aca="1" ref="F116" ca="1">INDEX($D$2:$D$15,RANDBETWEEN(1,ROWS($D$2:$D$15)),1)</f>
        <v>11</v>
      </c>
      <c r="G116" cm="1">
        <f t="array" aca="1" ref="G116" ca="1">INDEX($D$2:$D$15,RANDBETWEEN(1,ROWS($D$2:$D$15)),1)</f>
        <v>9</v>
      </c>
      <c r="H116" cm="1">
        <f t="array" aca="1" ref="H116" ca="1">INDEX($D$2:$D$15,RANDBETWEEN(1,ROWS($D$2:$D$15)),1)</f>
        <v>11</v>
      </c>
      <c r="I116" cm="1">
        <f t="array" aca="1" ref="I116" ca="1">INDEX($D$2:$D$15,RANDBETWEEN(1,ROWS($D$2:$D$15)),1)</f>
        <v>2</v>
      </c>
      <c r="J116" cm="1">
        <f t="array" aca="1" ref="J116" ca="1">INDEX($D$2:$D$15,RANDBETWEEN(1,ROWS($D$2:$D$15)),1)</f>
        <v>2</v>
      </c>
      <c r="K116" cm="1">
        <f t="array" aca="1" ref="K116" ca="1">INDEX($D$2:$D$15,RANDBETWEEN(1,ROWS($D$2:$D$15)),1)</f>
        <v>9</v>
      </c>
      <c r="L116" cm="1">
        <f t="array" aca="1" ref="L116" ca="1">INDEX($D$2:$D$15,RANDBETWEEN(1,ROWS($D$2:$D$15)),1)</f>
        <v>8</v>
      </c>
      <c r="M116" cm="1">
        <f t="array" aca="1" ref="M116" ca="1">INDEX($D$2:$D$15,RANDBETWEEN(1,ROWS($D$2:$D$15)),1)</f>
        <v>11</v>
      </c>
      <c r="N116" cm="1">
        <f t="array" aca="1" ref="N116" ca="1">INDEX($D$2:$D$15,RANDBETWEEN(1,ROWS($D$2:$D$15)),1)</f>
        <v>10</v>
      </c>
      <c r="O116" cm="1">
        <f t="array" aca="1" ref="O116" ca="1">INDEX($D$2:$D$15,RANDBETWEEN(1,ROWS($D$2:$D$15)),1)</f>
        <v>12</v>
      </c>
      <c r="P116" cm="1">
        <f t="array" aca="1" ref="P116" ca="1">INDEX($D$2:$D$15,RANDBETWEEN(1,ROWS($D$2:$D$15)),1)</f>
        <v>4</v>
      </c>
      <c r="Q116" cm="1">
        <f t="array" aca="1" ref="Q116" ca="1">INDEX($D$2:$D$15,RANDBETWEEN(1,ROWS($D$2:$D$15)),1)</f>
        <v>9</v>
      </c>
      <c r="R116" cm="1">
        <f t="array" aca="1" ref="R116" ca="1">INDEX($D$2:$D$15,RANDBETWEEN(1,ROWS($D$2:$D$15)),1)</f>
        <v>13</v>
      </c>
      <c r="S116" cm="1">
        <f t="array" aca="1" ref="S116" ca="1">INDEX($D$2:$D$15,RANDBETWEEN(1,ROWS($D$2:$D$15)),1)</f>
        <v>2</v>
      </c>
      <c r="T116" cm="1">
        <f t="array" aca="1" ref="T116" ca="1">INDEX($D$2:$D$15,RANDBETWEEN(1,ROWS($D$2:$D$15)),1)</f>
        <v>12</v>
      </c>
      <c r="W116">
        <f t="shared" ca="1" si="4"/>
        <v>8.3333333333333339</v>
      </c>
      <c r="X116">
        <f t="shared" ca="1" si="5"/>
        <v>9</v>
      </c>
      <c r="Y116">
        <f t="shared" ca="1" si="6"/>
        <v>5</v>
      </c>
      <c r="Z116">
        <f t="shared" ca="1" si="7"/>
        <v>3.9036002917941319</v>
      </c>
    </row>
    <row r="117" spans="6:26" x14ac:dyDescent="0.35">
      <c r="F117" cm="1">
        <f t="array" aca="1" ref="F117" ca="1">INDEX($D$2:$D$15,RANDBETWEEN(1,ROWS($D$2:$D$15)),1)</f>
        <v>4</v>
      </c>
      <c r="G117" cm="1">
        <f t="array" aca="1" ref="G117" ca="1">INDEX($D$2:$D$15,RANDBETWEEN(1,ROWS($D$2:$D$15)),1)</f>
        <v>4</v>
      </c>
      <c r="H117" cm="1">
        <f t="array" aca="1" ref="H117" ca="1">INDEX($D$2:$D$15,RANDBETWEEN(1,ROWS($D$2:$D$15)),1)</f>
        <v>3</v>
      </c>
      <c r="I117" cm="1">
        <f t="array" aca="1" ref="I117" ca="1">INDEX($D$2:$D$15,RANDBETWEEN(1,ROWS($D$2:$D$15)),1)</f>
        <v>4</v>
      </c>
      <c r="J117" cm="1">
        <f t="array" aca="1" ref="J117" ca="1">INDEX($D$2:$D$15,RANDBETWEEN(1,ROWS($D$2:$D$15)),1)</f>
        <v>13</v>
      </c>
      <c r="K117" cm="1">
        <f t="array" aca="1" ref="K117" ca="1">INDEX($D$2:$D$15,RANDBETWEEN(1,ROWS($D$2:$D$15)),1)</f>
        <v>2</v>
      </c>
      <c r="L117" cm="1">
        <f t="array" aca="1" ref="L117" ca="1">INDEX($D$2:$D$15,RANDBETWEEN(1,ROWS($D$2:$D$15)),1)</f>
        <v>9</v>
      </c>
      <c r="M117" cm="1">
        <f t="array" aca="1" ref="M117" ca="1">INDEX($D$2:$D$15,RANDBETWEEN(1,ROWS($D$2:$D$15)),1)</f>
        <v>13</v>
      </c>
      <c r="N117" cm="1">
        <f t="array" aca="1" ref="N117" ca="1">INDEX($D$2:$D$15,RANDBETWEEN(1,ROWS($D$2:$D$15)),1)</f>
        <v>10</v>
      </c>
      <c r="O117" cm="1">
        <f t="array" aca="1" ref="O117" ca="1">INDEX($D$2:$D$15,RANDBETWEEN(1,ROWS($D$2:$D$15)),1)</f>
        <v>9</v>
      </c>
      <c r="P117" cm="1">
        <f t="array" aca="1" ref="P117" ca="1">INDEX($D$2:$D$15,RANDBETWEEN(1,ROWS($D$2:$D$15)),1)</f>
        <v>9</v>
      </c>
      <c r="Q117" cm="1">
        <f t="array" aca="1" ref="Q117" ca="1">INDEX($D$2:$D$15,RANDBETWEEN(1,ROWS($D$2:$D$15)),1)</f>
        <v>4</v>
      </c>
      <c r="R117" cm="1">
        <f t="array" aca="1" ref="R117" ca="1">INDEX($D$2:$D$15,RANDBETWEEN(1,ROWS($D$2:$D$15)),1)</f>
        <v>11</v>
      </c>
      <c r="S117" cm="1">
        <f t="array" aca="1" ref="S117" ca="1">INDEX($D$2:$D$15,RANDBETWEEN(1,ROWS($D$2:$D$15)),1)</f>
        <v>11</v>
      </c>
      <c r="T117" cm="1">
        <f t="array" aca="1" ref="T117" ca="1">INDEX($D$2:$D$15,RANDBETWEEN(1,ROWS($D$2:$D$15)),1)</f>
        <v>11</v>
      </c>
      <c r="W117">
        <f t="shared" ca="1" si="4"/>
        <v>7.8</v>
      </c>
      <c r="X117">
        <f t="shared" ca="1" si="5"/>
        <v>9</v>
      </c>
      <c r="Y117">
        <f t="shared" ca="1" si="6"/>
        <v>7</v>
      </c>
      <c r="Z117">
        <f t="shared" ca="1" si="7"/>
        <v>3.8582009130829729</v>
      </c>
    </row>
    <row r="118" spans="6:26" x14ac:dyDescent="0.35">
      <c r="F118" cm="1">
        <f t="array" aca="1" ref="F118" ca="1">INDEX($D$2:$D$15,RANDBETWEEN(1,ROWS($D$2:$D$15)),1)</f>
        <v>9</v>
      </c>
      <c r="G118" cm="1">
        <f t="array" aca="1" ref="G118" ca="1">INDEX($D$2:$D$15,RANDBETWEEN(1,ROWS($D$2:$D$15)),1)</f>
        <v>9</v>
      </c>
      <c r="H118" cm="1">
        <f t="array" aca="1" ref="H118" ca="1">INDEX($D$2:$D$15,RANDBETWEEN(1,ROWS($D$2:$D$15)),1)</f>
        <v>12</v>
      </c>
      <c r="I118" cm="1">
        <f t="array" aca="1" ref="I118" ca="1">INDEX($D$2:$D$15,RANDBETWEEN(1,ROWS($D$2:$D$15)),1)</f>
        <v>12</v>
      </c>
      <c r="J118" cm="1">
        <f t="array" aca="1" ref="J118" ca="1">INDEX($D$2:$D$15,RANDBETWEEN(1,ROWS($D$2:$D$15)),1)</f>
        <v>4</v>
      </c>
      <c r="K118" cm="1">
        <f t="array" aca="1" ref="K118" ca="1">INDEX($D$2:$D$15,RANDBETWEEN(1,ROWS($D$2:$D$15)),1)</f>
        <v>4</v>
      </c>
      <c r="L118" cm="1">
        <f t="array" aca="1" ref="L118" ca="1">INDEX($D$2:$D$15,RANDBETWEEN(1,ROWS($D$2:$D$15)),1)</f>
        <v>12</v>
      </c>
      <c r="M118" cm="1">
        <f t="array" aca="1" ref="M118" ca="1">INDEX($D$2:$D$15,RANDBETWEEN(1,ROWS($D$2:$D$15)),1)</f>
        <v>9</v>
      </c>
      <c r="N118" cm="1">
        <f t="array" aca="1" ref="N118" ca="1">INDEX($D$2:$D$15,RANDBETWEEN(1,ROWS($D$2:$D$15)),1)</f>
        <v>9</v>
      </c>
      <c r="O118" cm="1">
        <f t="array" aca="1" ref="O118" ca="1">INDEX($D$2:$D$15,RANDBETWEEN(1,ROWS($D$2:$D$15)),1)</f>
        <v>9</v>
      </c>
      <c r="P118" cm="1">
        <f t="array" aca="1" ref="P118" ca="1">INDEX($D$2:$D$15,RANDBETWEEN(1,ROWS($D$2:$D$15)),1)</f>
        <v>4</v>
      </c>
      <c r="Q118" cm="1">
        <f t="array" aca="1" ref="Q118" ca="1">INDEX($D$2:$D$15,RANDBETWEEN(1,ROWS($D$2:$D$15)),1)</f>
        <v>4</v>
      </c>
      <c r="R118" cm="1">
        <f t="array" aca="1" ref="R118" ca="1">INDEX($D$2:$D$15,RANDBETWEEN(1,ROWS($D$2:$D$15)),1)</f>
        <v>8</v>
      </c>
      <c r="S118" cm="1">
        <f t="array" aca="1" ref="S118" ca="1">INDEX($D$2:$D$15,RANDBETWEEN(1,ROWS($D$2:$D$15)),1)</f>
        <v>2</v>
      </c>
      <c r="T118" cm="1">
        <f t="array" aca="1" ref="T118" ca="1">INDEX($D$2:$D$15,RANDBETWEEN(1,ROWS($D$2:$D$15)),1)</f>
        <v>3</v>
      </c>
      <c r="W118">
        <f t="shared" ca="1" si="4"/>
        <v>7.333333333333333</v>
      </c>
      <c r="X118">
        <f t="shared" ca="1" si="5"/>
        <v>9</v>
      </c>
      <c r="Y118">
        <f t="shared" ca="1" si="6"/>
        <v>5</v>
      </c>
      <c r="Z118">
        <f t="shared" ca="1" si="7"/>
        <v>3.4982989063393712</v>
      </c>
    </row>
    <row r="119" spans="6:26" x14ac:dyDescent="0.35">
      <c r="F119" cm="1">
        <f t="array" aca="1" ref="F119" ca="1">INDEX($D$2:$D$15,RANDBETWEEN(1,ROWS($D$2:$D$15)),1)</f>
        <v>12</v>
      </c>
      <c r="G119" cm="1">
        <f t="array" aca="1" ref="G119" ca="1">INDEX($D$2:$D$15,RANDBETWEEN(1,ROWS($D$2:$D$15)),1)</f>
        <v>4</v>
      </c>
      <c r="H119" cm="1">
        <f t="array" aca="1" ref="H119" ca="1">INDEX($D$2:$D$15,RANDBETWEEN(1,ROWS($D$2:$D$15)),1)</f>
        <v>8</v>
      </c>
      <c r="I119" cm="1">
        <f t="array" aca="1" ref="I119" ca="1">INDEX($D$2:$D$15,RANDBETWEEN(1,ROWS($D$2:$D$15)),1)</f>
        <v>12</v>
      </c>
      <c r="J119" cm="1">
        <f t="array" aca="1" ref="J119" ca="1">INDEX($D$2:$D$15,RANDBETWEEN(1,ROWS($D$2:$D$15)),1)</f>
        <v>3</v>
      </c>
      <c r="K119" cm="1">
        <f t="array" aca="1" ref="K119" ca="1">INDEX($D$2:$D$15,RANDBETWEEN(1,ROWS($D$2:$D$15)),1)</f>
        <v>4</v>
      </c>
      <c r="L119" cm="1">
        <f t="array" aca="1" ref="L119" ca="1">INDEX($D$2:$D$15,RANDBETWEEN(1,ROWS($D$2:$D$15)),1)</f>
        <v>2</v>
      </c>
      <c r="M119" cm="1">
        <f t="array" aca="1" ref="M119" ca="1">INDEX($D$2:$D$15,RANDBETWEEN(1,ROWS($D$2:$D$15)),1)</f>
        <v>9</v>
      </c>
      <c r="N119" cm="1">
        <f t="array" aca="1" ref="N119" ca="1">INDEX($D$2:$D$15,RANDBETWEEN(1,ROWS($D$2:$D$15)),1)</f>
        <v>13</v>
      </c>
      <c r="O119" cm="1">
        <f t="array" aca="1" ref="O119" ca="1">INDEX($D$2:$D$15,RANDBETWEEN(1,ROWS($D$2:$D$15)),1)</f>
        <v>10</v>
      </c>
      <c r="P119" cm="1">
        <f t="array" aca="1" ref="P119" ca="1">INDEX($D$2:$D$15,RANDBETWEEN(1,ROWS($D$2:$D$15)),1)</f>
        <v>12</v>
      </c>
      <c r="Q119" cm="1">
        <f t="array" aca="1" ref="Q119" ca="1">INDEX($D$2:$D$15,RANDBETWEEN(1,ROWS($D$2:$D$15)),1)</f>
        <v>9</v>
      </c>
      <c r="R119" cm="1">
        <f t="array" aca="1" ref="R119" ca="1">INDEX($D$2:$D$15,RANDBETWEEN(1,ROWS($D$2:$D$15)),1)</f>
        <v>9</v>
      </c>
      <c r="S119" cm="1">
        <f t="array" aca="1" ref="S119" ca="1">INDEX($D$2:$D$15,RANDBETWEEN(1,ROWS($D$2:$D$15)),1)</f>
        <v>4</v>
      </c>
      <c r="T119" cm="1">
        <f t="array" aca="1" ref="T119" ca="1">INDEX($D$2:$D$15,RANDBETWEEN(1,ROWS($D$2:$D$15)),1)</f>
        <v>11</v>
      </c>
      <c r="W119">
        <f t="shared" ca="1" si="4"/>
        <v>8.1333333333333329</v>
      </c>
      <c r="X119">
        <f t="shared" ca="1" si="5"/>
        <v>9</v>
      </c>
      <c r="Y119">
        <f t="shared" ca="1" si="6"/>
        <v>7.5</v>
      </c>
      <c r="Z119">
        <f t="shared" ca="1" si="7"/>
        <v>3.7581657126595052</v>
      </c>
    </row>
    <row r="120" spans="6:26" x14ac:dyDescent="0.35">
      <c r="F120" cm="1">
        <f t="array" aca="1" ref="F120" ca="1">INDEX($D$2:$D$15,RANDBETWEEN(1,ROWS($D$2:$D$15)),1)</f>
        <v>4</v>
      </c>
      <c r="G120" cm="1">
        <f t="array" aca="1" ref="G120" ca="1">INDEX($D$2:$D$15,RANDBETWEEN(1,ROWS($D$2:$D$15)),1)</f>
        <v>11</v>
      </c>
      <c r="H120" cm="1">
        <f t="array" aca="1" ref="H120" ca="1">INDEX($D$2:$D$15,RANDBETWEEN(1,ROWS($D$2:$D$15)),1)</f>
        <v>4</v>
      </c>
      <c r="I120" cm="1">
        <f t="array" aca="1" ref="I120" ca="1">INDEX($D$2:$D$15,RANDBETWEEN(1,ROWS($D$2:$D$15)),1)</f>
        <v>10</v>
      </c>
      <c r="J120" cm="1">
        <f t="array" aca="1" ref="J120" ca="1">INDEX($D$2:$D$15,RANDBETWEEN(1,ROWS($D$2:$D$15)),1)</f>
        <v>12</v>
      </c>
      <c r="K120" cm="1">
        <f t="array" aca="1" ref="K120" ca="1">INDEX($D$2:$D$15,RANDBETWEEN(1,ROWS($D$2:$D$15)),1)</f>
        <v>10</v>
      </c>
      <c r="L120" cm="1">
        <f t="array" aca="1" ref="L120" ca="1">INDEX($D$2:$D$15,RANDBETWEEN(1,ROWS($D$2:$D$15)),1)</f>
        <v>2</v>
      </c>
      <c r="M120" cm="1">
        <f t="array" aca="1" ref="M120" ca="1">INDEX($D$2:$D$15,RANDBETWEEN(1,ROWS($D$2:$D$15)),1)</f>
        <v>9</v>
      </c>
      <c r="N120" cm="1">
        <f t="array" aca="1" ref="N120" ca="1">INDEX($D$2:$D$15,RANDBETWEEN(1,ROWS($D$2:$D$15)),1)</f>
        <v>9</v>
      </c>
      <c r="O120" cm="1">
        <f t="array" aca="1" ref="O120" ca="1">INDEX($D$2:$D$15,RANDBETWEEN(1,ROWS($D$2:$D$15)),1)</f>
        <v>9</v>
      </c>
      <c r="P120" cm="1">
        <f t="array" aca="1" ref="P120" ca="1">INDEX($D$2:$D$15,RANDBETWEEN(1,ROWS($D$2:$D$15)),1)</f>
        <v>9</v>
      </c>
      <c r="Q120" cm="1">
        <f t="array" aca="1" ref="Q120" ca="1">INDEX($D$2:$D$15,RANDBETWEEN(1,ROWS($D$2:$D$15)),1)</f>
        <v>12</v>
      </c>
      <c r="R120" cm="1">
        <f t="array" aca="1" ref="R120" ca="1">INDEX($D$2:$D$15,RANDBETWEEN(1,ROWS($D$2:$D$15)),1)</f>
        <v>12</v>
      </c>
      <c r="S120" cm="1">
        <f t="array" aca="1" ref="S120" ca="1">INDEX($D$2:$D$15,RANDBETWEEN(1,ROWS($D$2:$D$15)),1)</f>
        <v>4</v>
      </c>
      <c r="T120" cm="1">
        <f t="array" aca="1" ref="T120" ca="1">INDEX($D$2:$D$15,RANDBETWEEN(1,ROWS($D$2:$D$15)),1)</f>
        <v>12</v>
      </c>
      <c r="W120">
        <f t="shared" ca="1" si="4"/>
        <v>8.6</v>
      </c>
      <c r="X120">
        <f t="shared" ca="1" si="5"/>
        <v>9</v>
      </c>
      <c r="Y120">
        <f t="shared" ca="1" si="6"/>
        <v>5</v>
      </c>
      <c r="Z120">
        <f t="shared" ca="1" si="7"/>
        <v>3.4184374040947834</v>
      </c>
    </row>
    <row r="121" spans="6:26" x14ac:dyDescent="0.35">
      <c r="F121" cm="1">
        <f t="array" aca="1" ref="F121" ca="1">INDEX($D$2:$D$15,RANDBETWEEN(1,ROWS($D$2:$D$15)),1)</f>
        <v>11</v>
      </c>
      <c r="G121" cm="1">
        <f t="array" aca="1" ref="G121" ca="1">INDEX($D$2:$D$15,RANDBETWEEN(1,ROWS($D$2:$D$15)),1)</f>
        <v>4</v>
      </c>
      <c r="H121" cm="1">
        <f t="array" aca="1" ref="H121" ca="1">INDEX($D$2:$D$15,RANDBETWEEN(1,ROWS($D$2:$D$15)),1)</f>
        <v>9</v>
      </c>
      <c r="I121" cm="1">
        <f t="array" aca="1" ref="I121" ca="1">INDEX($D$2:$D$15,RANDBETWEEN(1,ROWS($D$2:$D$15)),1)</f>
        <v>8</v>
      </c>
      <c r="J121" cm="1">
        <f t="array" aca="1" ref="J121" ca="1">INDEX($D$2:$D$15,RANDBETWEEN(1,ROWS($D$2:$D$15)),1)</f>
        <v>11</v>
      </c>
      <c r="K121" cm="1">
        <f t="array" aca="1" ref="K121" ca="1">INDEX($D$2:$D$15,RANDBETWEEN(1,ROWS($D$2:$D$15)),1)</f>
        <v>2</v>
      </c>
      <c r="L121" cm="1">
        <f t="array" aca="1" ref="L121" ca="1">INDEX($D$2:$D$15,RANDBETWEEN(1,ROWS($D$2:$D$15)),1)</f>
        <v>4</v>
      </c>
      <c r="M121" cm="1">
        <f t="array" aca="1" ref="M121" ca="1">INDEX($D$2:$D$15,RANDBETWEEN(1,ROWS($D$2:$D$15)),1)</f>
        <v>9</v>
      </c>
      <c r="N121" cm="1">
        <f t="array" aca="1" ref="N121" ca="1">INDEX($D$2:$D$15,RANDBETWEEN(1,ROWS($D$2:$D$15)),1)</f>
        <v>3</v>
      </c>
      <c r="O121" cm="1">
        <f t="array" aca="1" ref="O121" ca="1">INDEX($D$2:$D$15,RANDBETWEEN(1,ROWS($D$2:$D$15)),1)</f>
        <v>4</v>
      </c>
      <c r="P121" cm="1">
        <f t="array" aca="1" ref="P121" ca="1">INDEX($D$2:$D$15,RANDBETWEEN(1,ROWS($D$2:$D$15)),1)</f>
        <v>4</v>
      </c>
      <c r="Q121" cm="1">
        <f t="array" aca="1" ref="Q121" ca="1">INDEX($D$2:$D$15,RANDBETWEEN(1,ROWS($D$2:$D$15)),1)</f>
        <v>13</v>
      </c>
      <c r="R121" cm="1">
        <f t="array" aca="1" ref="R121" ca="1">INDEX($D$2:$D$15,RANDBETWEEN(1,ROWS($D$2:$D$15)),1)</f>
        <v>4</v>
      </c>
      <c r="S121" cm="1">
        <f t="array" aca="1" ref="S121" ca="1">INDEX($D$2:$D$15,RANDBETWEEN(1,ROWS($D$2:$D$15)),1)</f>
        <v>9</v>
      </c>
      <c r="T121" cm="1">
        <f t="array" aca="1" ref="T121" ca="1">INDEX($D$2:$D$15,RANDBETWEEN(1,ROWS($D$2:$D$15)),1)</f>
        <v>4</v>
      </c>
      <c r="W121">
        <f t="shared" ca="1" si="4"/>
        <v>6.6</v>
      </c>
      <c r="X121">
        <f t="shared" ca="1" si="5"/>
        <v>4</v>
      </c>
      <c r="Y121">
        <f t="shared" ca="1" si="6"/>
        <v>5</v>
      </c>
      <c r="Z121">
        <f t="shared" ca="1" si="7"/>
        <v>3.5213633723318023</v>
      </c>
    </row>
    <row r="122" spans="6:26" x14ac:dyDescent="0.35">
      <c r="F122" cm="1">
        <f t="array" aca="1" ref="F122" ca="1">INDEX($D$2:$D$15,RANDBETWEEN(1,ROWS($D$2:$D$15)),1)</f>
        <v>2</v>
      </c>
      <c r="G122" cm="1">
        <f t="array" aca="1" ref="G122" ca="1">INDEX($D$2:$D$15,RANDBETWEEN(1,ROWS($D$2:$D$15)),1)</f>
        <v>4</v>
      </c>
      <c r="H122" cm="1">
        <f t="array" aca="1" ref="H122" ca="1">INDEX($D$2:$D$15,RANDBETWEEN(1,ROWS($D$2:$D$15)),1)</f>
        <v>12</v>
      </c>
      <c r="I122" cm="1">
        <f t="array" aca="1" ref="I122" ca="1">INDEX($D$2:$D$15,RANDBETWEEN(1,ROWS($D$2:$D$15)),1)</f>
        <v>9</v>
      </c>
      <c r="J122" cm="1">
        <f t="array" aca="1" ref="J122" ca="1">INDEX($D$2:$D$15,RANDBETWEEN(1,ROWS($D$2:$D$15)),1)</f>
        <v>13</v>
      </c>
      <c r="K122" cm="1">
        <f t="array" aca="1" ref="K122" ca="1">INDEX($D$2:$D$15,RANDBETWEEN(1,ROWS($D$2:$D$15)),1)</f>
        <v>2</v>
      </c>
      <c r="L122" cm="1">
        <f t="array" aca="1" ref="L122" ca="1">INDEX($D$2:$D$15,RANDBETWEEN(1,ROWS($D$2:$D$15)),1)</f>
        <v>9</v>
      </c>
      <c r="M122" cm="1">
        <f t="array" aca="1" ref="M122" ca="1">INDEX($D$2:$D$15,RANDBETWEEN(1,ROWS($D$2:$D$15)),1)</f>
        <v>4</v>
      </c>
      <c r="N122" cm="1">
        <f t="array" aca="1" ref="N122" ca="1">INDEX($D$2:$D$15,RANDBETWEEN(1,ROWS($D$2:$D$15)),1)</f>
        <v>13</v>
      </c>
      <c r="O122" cm="1">
        <f t="array" aca="1" ref="O122" ca="1">INDEX($D$2:$D$15,RANDBETWEEN(1,ROWS($D$2:$D$15)),1)</f>
        <v>10</v>
      </c>
      <c r="P122" cm="1">
        <f t="array" aca="1" ref="P122" ca="1">INDEX($D$2:$D$15,RANDBETWEEN(1,ROWS($D$2:$D$15)),1)</f>
        <v>4</v>
      </c>
      <c r="Q122" cm="1">
        <f t="array" aca="1" ref="Q122" ca="1">INDEX($D$2:$D$15,RANDBETWEEN(1,ROWS($D$2:$D$15)),1)</f>
        <v>3</v>
      </c>
      <c r="R122" cm="1">
        <f t="array" aca="1" ref="R122" ca="1">INDEX($D$2:$D$15,RANDBETWEEN(1,ROWS($D$2:$D$15)),1)</f>
        <v>2</v>
      </c>
      <c r="S122" cm="1">
        <f t="array" aca="1" ref="S122" ca="1">INDEX($D$2:$D$15,RANDBETWEEN(1,ROWS($D$2:$D$15)),1)</f>
        <v>9</v>
      </c>
      <c r="T122" cm="1">
        <f t="array" aca="1" ref="T122" ca="1">INDEX($D$2:$D$15,RANDBETWEEN(1,ROWS($D$2:$D$15)),1)</f>
        <v>12</v>
      </c>
      <c r="W122">
        <f t="shared" ca="1" si="4"/>
        <v>7.2</v>
      </c>
      <c r="X122">
        <f t="shared" ca="1" si="5"/>
        <v>9</v>
      </c>
      <c r="Y122">
        <f t="shared" ca="1" si="6"/>
        <v>7.5</v>
      </c>
      <c r="Z122">
        <f t="shared" ca="1" si="7"/>
        <v>4.3127717305695645</v>
      </c>
    </row>
    <row r="123" spans="6:26" x14ac:dyDescent="0.35">
      <c r="F123" cm="1">
        <f t="array" aca="1" ref="F123" ca="1">INDEX($D$2:$D$15,RANDBETWEEN(1,ROWS($D$2:$D$15)),1)</f>
        <v>4</v>
      </c>
      <c r="G123" cm="1">
        <f t="array" aca="1" ref="G123" ca="1">INDEX($D$2:$D$15,RANDBETWEEN(1,ROWS($D$2:$D$15)),1)</f>
        <v>8</v>
      </c>
      <c r="H123" cm="1">
        <f t="array" aca="1" ref="H123" ca="1">INDEX($D$2:$D$15,RANDBETWEEN(1,ROWS($D$2:$D$15)),1)</f>
        <v>4</v>
      </c>
      <c r="I123" cm="1">
        <f t="array" aca="1" ref="I123" ca="1">INDEX($D$2:$D$15,RANDBETWEEN(1,ROWS($D$2:$D$15)),1)</f>
        <v>9</v>
      </c>
      <c r="J123" cm="1">
        <f t="array" aca="1" ref="J123" ca="1">INDEX($D$2:$D$15,RANDBETWEEN(1,ROWS($D$2:$D$15)),1)</f>
        <v>9</v>
      </c>
      <c r="K123" cm="1">
        <f t="array" aca="1" ref="K123" ca="1">INDEX($D$2:$D$15,RANDBETWEEN(1,ROWS($D$2:$D$15)),1)</f>
        <v>9</v>
      </c>
      <c r="L123" cm="1">
        <f t="array" aca="1" ref="L123" ca="1">INDEX($D$2:$D$15,RANDBETWEEN(1,ROWS($D$2:$D$15)),1)</f>
        <v>12</v>
      </c>
      <c r="M123" cm="1">
        <f t="array" aca="1" ref="M123" ca="1">INDEX($D$2:$D$15,RANDBETWEEN(1,ROWS($D$2:$D$15)),1)</f>
        <v>9</v>
      </c>
      <c r="N123" cm="1">
        <f t="array" aca="1" ref="N123" ca="1">INDEX($D$2:$D$15,RANDBETWEEN(1,ROWS($D$2:$D$15)),1)</f>
        <v>12</v>
      </c>
      <c r="O123" cm="1">
        <f t="array" aca="1" ref="O123" ca="1">INDEX($D$2:$D$15,RANDBETWEEN(1,ROWS($D$2:$D$15)),1)</f>
        <v>9</v>
      </c>
      <c r="P123" cm="1">
        <f t="array" aca="1" ref="P123" ca="1">INDEX($D$2:$D$15,RANDBETWEEN(1,ROWS($D$2:$D$15)),1)</f>
        <v>12</v>
      </c>
      <c r="Q123" cm="1">
        <f t="array" aca="1" ref="Q123" ca="1">INDEX($D$2:$D$15,RANDBETWEEN(1,ROWS($D$2:$D$15)),1)</f>
        <v>4</v>
      </c>
      <c r="R123" cm="1">
        <f t="array" aca="1" ref="R123" ca="1">INDEX($D$2:$D$15,RANDBETWEEN(1,ROWS($D$2:$D$15)),1)</f>
        <v>9</v>
      </c>
      <c r="S123" cm="1">
        <f t="array" aca="1" ref="S123" ca="1">INDEX($D$2:$D$15,RANDBETWEEN(1,ROWS($D$2:$D$15)),1)</f>
        <v>12</v>
      </c>
      <c r="T123" cm="1">
        <f t="array" aca="1" ref="T123" ca="1">INDEX($D$2:$D$15,RANDBETWEEN(1,ROWS($D$2:$D$15)),1)</f>
        <v>4</v>
      </c>
      <c r="W123">
        <f t="shared" ca="1" si="4"/>
        <v>8.4</v>
      </c>
      <c r="X123">
        <f t="shared" ca="1" si="5"/>
        <v>9</v>
      </c>
      <c r="Y123">
        <f t="shared" ca="1" si="6"/>
        <v>4.5</v>
      </c>
      <c r="Z123">
        <f t="shared" ca="1" si="7"/>
        <v>3.0659419433511772</v>
      </c>
    </row>
    <row r="124" spans="6:26" x14ac:dyDescent="0.35">
      <c r="F124" cm="1">
        <f t="array" aca="1" ref="F124" ca="1">INDEX($D$2:$D$15,RANDBETWEEN(1,ROWS($D$2:$D$15)),1)</f>
        <v>4</v>
      </c>
      <c r="G124" cm="1">
        <f t="array" aca="1" ref="G124" ca="1">INDEX($D$2:$D$15,RANDBETWEEN(1,ROWS($D$2:$D$15)),1)</f>
        <v>4</v>
      </c>
      <c r="H124" cm="1">
        <f t="array" aca="1" ref="H124" ca="1">INDEX($D$2:$D$15,RANDBETWEEN(1,ROWS($D$2:$D$15)),1)</f>
        <v>9</v>
      </c>
      <c r="I124" cm="1">
        <f t="array" aca="1" ref="I124" ca="1">INDEX($D$2:$D$15,RANDBETWEEN(1,ROWS($D$2:$D$15)),1)</f>
        <v>9</v>
      </c>
      <c r="J124" cm="1">
        <f t="array" aca="1" ref="J124" ca="1">INDEX($D$2:$D$15,RANDBETWEEN(1,ROWS($D$2:$D$15)),1)</f>
        <v>4</v>
      </c>
      <c r="K124" cm="1">
        <f t="array" aca="1" ref="K124" ca="1">INDEX($D$2:$D$15,RANDBETWEEN(1,ROWS($D$2:$D$15)),1)</f>
        <v>3</v>
      </c>
      <c r="L124" cm="1">
        <f t="array" aca="1" ref="L124" ca="1">INDEX($D$2:$D$15,RANDBETWEEN(1,ROWS($D$2:$D$15)),1)</f>
        <v>4</v>
      </c>
      <c r="M124" cm="1">
        <f t="array" aca="1" ref="M124" ca="1">INDEX($D$2:$D$15,RANDBETWEEN(1,ROWS($D$2:$D$15)),1)</f>
        <v>4</v>
      </c>
      <c r="N124" cm="1">
        <f t="array" aca="1" ref="N124" ca="1">INDEX($D$2:$D$15,RANDBETWEEN(1,ROWS($D$2:$D$15)),1)</f>
        <v>2</v>
      </c>
      <c r="O124" cm="1">
        <f t="array" aca="1" ref="O124" ca="1">INDEX($D$2:$D$15,RANDBETWEEN(1,ROWS($D$2:$D$15)),1)</f>
        <v>9</v>
      </c>
      <c r="P124" cm="1">
        <f t="array" aca="1" ref="P124" ca="1">INDEX($D$2:$D$15,RANDBETWEEN(1,ROWS($D$2:$D$15)),1)</f>
        <v>12</v>
      </c>
      <c r="Q124" cm="1">
        <f t="array" aca="1" ref="Q124" ca="1">INDEX($D$2:$D$15,RANDBETWEEN(1,ROWS($D$2:$D$15)),1)</f>
        <v>12</v>
      </c>
      <c r="R124" cm="1">
        <f t="array" aca="1" ref="R124" ca="1">INDEX($D$2:$D$15,RANDBETWEEN(1,ROWS($D$2:$D$15)),1)</f>
        <v>12</v>
      </c>
      <c r="S124" cm="1">
        <f t="array" aca="1" ref="S124" ca="1">INDEX($D$2:$D$15,RANDBETWEEN(1,ROWS($D$2:$D$15)),1)</f>
        <v>9</v>
      </c>
      <c r="T124" cm="1">
        <f t="array" aca="1" ref="T124" ca="1">INDEX($D$2:$D$15,RANDBETWEEN(1,ROWS($D$2:$D$15)),1)</f>
        <v>8</v>
      </c>
      <c r="W124">
        <f t="shared" ca="1" si="4"/>
        <v>7</v>
      </c>
      <c r="X124">
        <f t="shared" ca="1" si="5"/>
        <v>8</v>
      </c>
      <c r="Y124">
        <f t="shared" ca="1" si="6"/>
        <v>5</v>
      </c>
      <c r="Z124">
        <f t="shared" ca="1" si="7"/>
        <v>3.5657097069567669</v>
      </c>
    </row>
    <row r="125" spans="6:26" x14ac:dyDescent="0.35">
      <c r="F125" cm="1">
        <f t="array" aca="1" ref="F125" ca="1">INDEX($D$2:$D$15,RANDBETWEEN(1,ROWS($D$2:$D$15)),1)</f>
        <v>9</v>
      </c>
      <c r="G125" cm="1">
        <f t="array" aca="1" ref="G125" ca="1">INDEX($D$2:$D$15,RANDBETWEEN(1,ROWS($D$2:$D$15)),1)</f>
        <v>12</v>
      </c>
      <c r="H125" cm="1">
        <f t="array" aca="1" ref="H125" ca="1">INDEX($D$2:$D$15,RANDBETWEEN(1,ROWS($D$2:$D$15)),1)</f>
        <v>9</v>
      </c>
      <c r="I125" cm="1">
        <f t="array" aca="1" ref="I125" ca="1">INDEX($D$2:$D$15,RANDBETWEEN(1,ROWS($D$2:$D$15)),1)</f>
        <v>13</v>
      </c>
      <c r="J125" cm="1">
        <f t="array" aca="1" ref="J125" ca="1">INDEX($D$2:$D$15,RANDBETWEEN(1,ROWS($D$2:$D$15)),1)</f>
        <v>13</v>
      </c>
      <c r="K125" cm="1">
        <f t="array" aca="1" ref="K125" ca="1">INDEX($D$2:$D$15,RANDBETWEEN(1,ROWS($D$2:$D$15)),1)</f>
        <v>10</v>
      </c>
      <c r="L125" cm="1">
        <f t="array" aca="1" ref="L125" ca="1">INDEX($D$2:$D$15,RANDBETWEEN(1,ROWS($D$2:$D$15)),1)</f>
        <v>12</v>
      </c>
      <c r="M125" cm="1">
        <f t="array" aca="1" ref="M125" ca="1">INDEX($D$2:$D$15,RANDBETWEEN(1,ROWS($D$2:$D$15)),1)</f>
        <v>4</v>
      </c>
      <c r="N125" cm="1">
        <f t="array" aca="1" ref="N125" ca="1">INDEX($D$2:$D$15,RANDBETWEEN(1,ROWS($D$2:$D$15)),1)</f>
        <v>10</v>
      </c>
      <c r="O125" cm="1">
        <f t="array" aca="1" ref="O125" ca="1">INDEX($D$2:$D$15,RANDBETWEEN(1,ROWS($D$2:$D$15)),1)</f>
        <v>4</v>
      </c>
      <c r="P125" cm="1">
        <f t="array" aca="1" ref="P125" ca="1">INDEX($D$2:$D$15,RANDBETWEEN(1,ROWS($D$2:$D$15)),1)</f>
        <v>9</v>
      </c>
      <c r="Q125" cm="1">
        <f t="array" aca="1" ref="Q125" ca="1">INDEX($D$2:$D$15,RANDBETWEEN(1,ROWS($D$2:$D$15)),1)</f>
        <v>9</v>
      </c>
      <c r="R125" cm="1">
        <f t="array" aca="1" ref="R125" ca="1">INDEX($D$2:$D$15,RANDBETWEEN(1,ROWS($D$2:$D$15)),1)</f>
        <v>11</v>
      </c>
      <c r="S125" cm="1">
        <f t="array" aca="1" ref="S125" ca="1">INDEX($D$2:$D$15,RANDBETWEEN(1,ROWS($D$2:$D$15)),1)</f>
        <v>11</v>
      </c>
      <c r="T125" cm="1">
        <f t="array" aca="1" ref="T125" ca="1">INDEX($D$2:$D$15,RANDBETWEEN(1,ROWS($D$2:$D$15)),1)</f>
        <v>4</v>
      </c>
      <c r="W125">
        <f t="shared" ca="1" si="4"/>
        <v>9.3333333333333339</v>
      </c>
      <c r="X125">
        <f t="shared" ca="1" si="5"/>
        <v>10</v>
      </c>
      <c r="Y125">
        <f t="shared" ca="1" si="6"/>
        <v>2.5</v>
      </c>
      <c r="Z125">
        <f t="shared" ca="1" si="7"/>
        <v>3.0860669992418375</v>
      </c>
    </row>
    <row r="126" spans="6:26" x14ac:dyDescent="0.35">
      <c r="F126" cm="1">
        <f t="array" aca="1" ref="F126" ca="1">INDEX($D$2:$D$15,RANDBETWEEN(1,ROWS($D$2:$D$15)),1)</f>
        <v>9</v>
      </c>
      <c r="G126" cm="1">
        <f t="array" aca="1" ref="G126" ca="1">INDEX($D$2:$D$15,RANDBETWEEN(1,ROWS($D$2:$D$15)),1)</f>
        <v>10</v>
      </c>
      <c r="H126" cm="1">
        <f t="array" aca="1" ref="H126" ca="1">INDEX($D$2:$D$15,RANDBETWEEN(1,ROWS($D$2:$D$15)),1)</f>
        <v>13</v>
      </c>
      <c r="I126" cm="1">
        <f t="array" aca="1" ref="I126" ca="1">INDEX($D$2:$D$15,RANDBETWEEN(1,ROWS($D$2:$D$15)),1)</f>
        <v>2</v>
      </c>
      <c r="J126" cm="1">
        <f t="array" aca="1" ref="J126" ca="1">INDEX($D$2:$D$15,RANDBETWEEN(1,ROWS($D$2:$D$15)),1)</f>
        <v>9</v>
      </c>
      <c r="K126" cm="1">
        <f t="array" aca="1" ref="K126" ca="1">INDEX($D$2:$D$15,RANDBETWEEN(1,ROWS($D$2:$D$15)),1)</f>
        <v>12</v>
      </c>
      <c r="L126" cm="1">
        <f t="array" aca="1" ref="L126" ca="1">INDEX($D$2:$D$15,RANDBETWEEN(1,ROWS($D$2:$D$15)),1)</f>
        <v>4</v>
      </c>
      <c r="M126" cm="1">
        <f t="array" aca="1" ref="M126" ca="1">INDEX($D$2:$D$15,RANDBETWEEN(1,ROWS($D$2:$D$15)),1)</f>
        <v>9</v>
      </c>
      <c r="N126" cm="1">
        <f t="array" aca="1" ref="N126" ca="1">INDEX($D$2:$D$15,RANDBETWEEN(1,ROWS($D$2:$D$15)),1)</f>
        <v>3</v>
      </c>
      <c r="O126" cm="1">
        <f t="array" aca="1" ref="O126" ca="1">INDEX($D$2:$D$15,RANDBETWEEN(1,ROWS($D$2:$D$15)),1)</f>
        <v>9</v>
      </c>
      <c r="P126" cm="1">
        <f t="array" aca="1" ref="P126" ca="1">INDEX($D$2:$D$15,RANDBETWEEN(1,ROWS($D$2:$D$15)),1)</f>
        <v>10</v>
      </c>
      <c r="Q126" cm="1">
        <f t="array" aca="1" ref="Q126" ca="1">INDEX($D$2:$D$15,RANDBETWEEN(1,ROWS($D$2:$D$15)),1)</f>
        <v>9</v>
      </c>
      <c r="R126" cm="1">
        <f t="array" aca="1" ref="R126" ca="1">INDEX($D$2:$D$15,RANDBETWEEN(1,ROWS($D$2:$D$15)),1)</f>
        <v>10</v>
      </c>
      <c r="S126" cm="1">
        <f t="array" aca="1" ref="S126" ca="1">INDEX($D$2:$D$15,RANDBETWEEN(1,ROWS($D$2:$D$15)),1)</f>
        <v>9</v>
      </c>
      <c r="T126" cm="1">
        <f t="array" aca="1" ref="T126" ca="1">INDEX($D$2:$D$15,RANDBETWEEN(1,ROWS($D$2:$D$15)),1)</f>
        <v>4</v>
      </c>
      <c r="W126">
        <f t="shared" ca="1" si="4"/>
        <v>8.1333333333333329</v>
      </c>
      <c r="X126">
        <f t="shared" ca="1" si="5"/>
        <v>9</v>
      </c>
      <c r="Y126">
        <f t="shared" ca="1" si="6"/>
        <v>3.5</v>
      </c>
      <c r="Z126">
        <f t="shared" ca="1" si="7"/>
        <v>3.2921262488086995</v>
      </c>
    </row>
    <row r="127" spans="6:26" x14ac:dyDescent="0.35">
      <c r="F127" cm="1">
        <f t="array" aca="1" ref="F127" ca="1">INDEX($D$2:$D$15,RANDBETWEEN(1,ROWS($D$2:$D$15)),1)</f>
        <v>9</v>
      </c>
      <c r="G127" cm="1">
        <f t="array" aca="1" ref="G127" ca="1">INDEX($D$2:$D$15,RANDBETWEEN(1,ROWS($D$2:$D$15)),1)</f>
        <v>10</v>
      </c>
      <c r="H127" cm="1">
        <f t="array" aca="1" ref="H127" ca="1">INDEX($D$2:$D$15,RANDBETWEEN(1,ROWS($D$2:$D$15)),1)</f>
        <v>12</v>
      </c>
      <c r="I127" cm="1">
        <f t="array" aca="1" ref="I127" ca="1">INDEX($D$2:$D$15,RANDBETWEEN(1,ROWS($D$2:$D$15)),1)</f>
        <v>4</v>
      </c>
      <c r="J127" cm="1">
        <f t="array" aca="1" ref="J127" ca="1">INDEX($D$2:$D$15,RANDBETWEEN(1,ROWS($D$2:$D$15)),1)</f>
        <v>4</v>
      </c>
      <c r="K127" cm="1">
        <f t="array" aca="1" ref="K127" ca="1">INDEX($D$2:$D$15,RANDBETWEEN(1,ROWS($D$2:$D$15)),1)</f>
        <v>4</v>
      </c>
      <c r="L127" cm="1">
        <f t="array" aca="1" ref="L127" ca="1">INDEX($D$2:$D$15,RANDBETWEEN(1,ROWS($D$2:$D$15)),1)</f>
        <v>4</v>
      </c>
      <c r="M127" cm="1">
        <f t="array" aca="1" ref="M127" ca="1">INDEX($D$2:$D$15,RANDBETWEEN(1,ROWS($D$2:$D$15)),1)</f>
        <v>9</v>
      </c>
      <c r="N127" cm="1">
        <f t="array" aca="1" ref="N127" ca="1">INDEX($D$2:$D$15,RANDBETWEEN(1,ROWS($D$2:$D$15)),1)</f>
        <v>10</v>
      </c>
      <c r="O127" cm="1">
        <f t="array" aca="1" ref="O127" ca="1">INDEX($D$2:$D$15,RANDBETWEEN(1,ROWS($D$2:$D$15)),1)</f>
        <v>9</v>
      </c>
      <c r="P127" cm="1">
        <f t="array" aca="1" ref="P127" ca="1">INDEX($D$2:$D$15,RANDBETWEEN(1,ROWS($D$2:$D$15)),1)</f>
        <v>11</v>
      </c>
      <c r="Q127" cm="1">
        <f t="array" aca="1" ref="Q127" ca="1">INDEX($D$2:$D$15,RANDBETWEEN(1,ROWS($D$2:$D$15)),1)</f>
        <v>4</v>
      </c>
      <c r="R127" cm="1">
        <f t="array" aca="1" ref="R127" ca="1">INDEX($D$2:$D$15,RANDBETWEEN(1,ROWS($D$2:$D$15)),1)</f>
        <v>11</v>
      </c>
      <c r="S127" cm="1">
        <f t="array" aca="1" ref="S127" ca="1">INDEX($D$2:$D$15,RANDBETWEEN(1,ROWS($D$2:$D$15)),1)</f>
        <v>8</v>
      </c>
      <c r="T127" cm="1">
        <f t="array" aca="1" ref="T127" ca="1">INDEX($D$2:$D$15,RANDBETWEEN(1,ROWS($D$2:$D$15)),1)</f>
        <v>4</v>
      </c>
      <c r="W127">
        <f t="shared" ca="1" si="4"/>
        <v>7.5333333333333332</v>
      </c>
      <c r="X127">
        <f t="shared" ca="1" si="5"/>
        <v>9</v>
      </c>
      <c r="Y127">
        <f t="shared" ca="1" si="6"/>
        <v>6</v>
      </c>
      <c r="Z127">
        <f t="shared" ca="1" si="7"/>
        <v>3.1365738056189971</v>
      </c>
    </row>
    <row r="128" spans="6:26" x14ac:dyDescent="0.35">
      <c r="F128" cm="1">
        <f t="array" aca="1" ref="F128" ca="1">INDEX($D$2:$D$15,RANDBETWEEN(1,ROWS($D$2:$D$15)),1)</f>
        <v>8</v>
      </c>
      <c r="G128" cm="1">
        <f t="array" aca="1" ref="G128" ca="1">INDEX($D$2:$D$15,RANDBETWEEN(1,ROWS($D$2:$D$15)),1)</f>
        <v>4</v>
      </c>
      <c r="H128" cm="1">
        <f t="array" aca="1" ref="H128" ca="1">INDEX($D$2:$D$15,RANDBETWEEN(1,ROWS($D$2:$D$15)),1)</f>
        <v>2</v>
      </c>
      <c r="I128" cm="1">
        <f t="array" aca="1" ref="I128" ca="1">INDEX($D$2:$D$15,RANDBETWEEN(1,ROWS($D$2:$D$15)),1)</f>
        <v>9</v>
      </c>
      <c r="J128" cm="1">
        <f t="array" aca="1" ref="J128" ca="1">INDEX($D$2:$D$15,RANDBETWEEN(1,ROWS($D$2:$D$15)),1)</f>
        <v>8</v>
      </c>
      <c r="K128" cm="1">
        <f t="array" aca="1" ref="K128" ca="1">INDEX($D$2:$D$15,RANDBETWEEN(1,ROWS($D$2:$D$15)),1)</f>
        <v>2</v>
      </c>
      <c r="L128" cm="1">
        <f t="array" aca="1" ref="L128" ca="1">INDEX($D$2:$D$15,RANDBETWEEN(1,ROWS($D$2:$D$15)),1)</f>
        <v>4</v>
      </c>
      <c r="M128" cm="1">
        <f t="array" aca="1" ref="M128" ca="1">INDEX($D$2:$D$15,RANDBETWEEN(1,ROWS($D$2:$D$15)),1)</f>
        <v>10</v>
      </c>
      <c r="N128" cm="1">
        <f t="array" aca="1" ref="N128" ca="1">INDEX($D$2:$D$15,RANDBETWEEN(1,ROWS($D$2:$D$15)),1)</f>
        <v>4</v>
      </c>
      <c r="O128" cm="1">
        <f t="array" aca="1" ref="O128" ca="1">INDEX($D$2:$D$15,RANDBETWEEN(1,ROWS($D$2:$D$15)),1)</f>
        <v>8</v>
      </c>
      <c r="P128" cm="1">
        <f t="array" aca="1" ref="P128" ca="1">INDEX($D$2:$D$15,RANDBETWEEN(1,ROWS($D$2:$D$15)),1)</f>
        <v>3</v>
      </c>
      <c r="Q128" cm="1">
        <f t="array" aca="1" ref="Q128" ca="1">INDEX($D$2:$D$15,RANDBETWEEN(1,ROWS($D$2:$D$15)),1)</f>
        <v>12</v>
      </c>
      <c r="R128" cm="1">
        <f t="array" aca="1" ref="R128" ca="1">INDEX($D$2:$D$15,RANDBETWEEN(1,ROWS($D$2:$D$15)),1)</f>
        <v>9</v>
      </c>
      <c r="S128" cm="1">
        <f t="array" aca="1" ref="S128" ca="1">INDEX($D$2:$D$15,RANDBETWEEN(1,ROWS($D$2:$D$15)),1)</f>
        <v>4</v>
      </c>
      <c r="T128" cm="1">
        <f t="array" aca="1" ref="T128" ca="1">INDEX($D$2:$D$15,RANDBETWEEN(1,ROWS($D$2:$D$15)),1)</f>
        <v>13</v>
      </c>
      <c r="W128">
        <f t="shared" ca="1" si="4"/>
        <v>6.666666666666667</v>
      </c>
      <c r="X128">
        <f t="shared" ca="1" si="5"/>
        <v>8</v>
      </c>
      <c r="Y128">
        <f t="shared" ca="1" si="6"/>
        <v>5</v>
      </c>
      <c r="Z128">
        <f t="shared" ca="1" si="7"/>
        <v>3.5989416433697499</v>
      </c>
    </row>
    <row r="129" spans="6:26" x14ac:dyDescent="0.35">
      <c r="F129" cm="1">
        <f t="array" aca="1" ref="F129" ca="1">INDEX($D$2:$D$15,RANDBETWEEN(1,ROWS($D$2:$D$15)),1)</f>
        <v>4</v>
      </c>
      <c r="G129" cm="1">
        <f t="array" aca="1" ref="G129" ca="1">INDEX($D$2:$D$15,RANDBETWEEN(1,ROWS($D$2:$D$15)),1)</f>
        <v>11</v>
      </c>
      <c r="H129" cm="1">
        <f t="array" aca="1" ref="H129" ca="1">INDEX($D$2:$D$15,RANDBETWEEN(1,ROWS($D$2:$D$15)),1)</f>
        <v>9</v>
      </c>
      <c r="I129" cm="1">
        <f t="array" aca="1" ref="I129" ca="1">INDEX($D$2:$D$15,RANDBETWEEN(1,ROWS($D$2:$D$15)),1)</f>
        <v>8</v>
      </c>
      <c r="J129" cm="1">
        <f t="array" aca="1" ref="J129" ca="1">INDEX($D$2:$D$15,RANDBETWEEN(1,ROWS($D$2:$D$15)),1)</f>
        <v>10</v>
      </c>
      <c r="K129" cm="1">
        <f t="array" aca="1" ref="K129" ca="1">INDEX($D$2:$D$15,RANDBETWEEN(1,ROWS($D$2:$D$15)),1)</f>
        <v>12</v>
      </c>
      <c r="L129" cm="1">
        <f t="array" aca="1" ref="L129" ca="1">INDEX($D$2:$D$15,RANDBETWEEN(1,ROWS($D$2:$D$15)),1)</f>
        <v>4</v>
      </c>
      <c r="M129" cm="1">
        <f t="array" aca="1" ref="M129" ca="1">INDEX($D$2:$D$15,RANDBETWEEN(1,ROWS($D$2:$D$15)),1)</f>
        <v>12</v>
      </c>
      <c r="N129" cm="1">
        <f t="array" aca="1" ref="N129" ca="1">INDEX($D$2:$D$15,RANDBETWEEN(1,ROWS($D$2:$D$15)),1)</f>
        <v>11</v>
      </c>
      <c r="O129" cm="1">
        <f t="array" aca="1" ref="O129" ca="1">INDEX($D$2:$D$15,RANDBETWEEN(1,ROWS($D$2:$D$15)),1)</f>
        <v>12</v>
      </c>
      <c r="P129" cm="1">
        <f t="array" aca="1" ref="P129" ca="1">INDEX($D$2:$D$15,RANDBETWEEN(1,ROWS($D$2:$D$15)),1)</f>
        <v>9</v>
      </c>
      <c r="Q129" cm="1">
        <f t="array" aca="1" ref="Q129" ca="1">INDEX($D$2:$D$15,RANDBETWEEN(1,ROWS($D$2:$D$15)),1)</f>
        <v>3</v>
      </c>
      <c r="R129" cm="1">
        <f t="array" aca="1" ref="R129" ca="1">INDEX($D$2:$D$15,RANDBETWEEN(1,ROWS($D$2:$D$15)),1)</f>
        <v>4</v>
      </c>
      <c r="S129" cm="1">
        <f t="array" aca="1" ref="S129" ca="1">INDEX($D$2:$D$15,RANDBETWEEN(1,ROWS($D$2:$D$15)),1)</f>
        <v>9</v>
      </c>
      <c r="T129" cm="1">
        <f t="array" aca="1" ref="T129" ca="1">INDEX($D$2:$D$15,RANDBETWEEN(1,ROWS($D$2:$D$15)),1)</f>
        <v>9</v>
      </c>
      <c r="W129">
        <f t="shared" ca="1" si="4"/>
        <v>8.4666666666666668</v>
      </c>
      <c r="X129">
        <f t="shared" ca="1" si="5"/>
        <v>9</v>
      </c>
      <c r="Y129">
        <f t="shared" ca="1" si="6"/>
        <v>5</v>
      </c>
      <c r="Z129">
        <f t="shared" ca="1" si="7"/>
        <v>3.2041639575194445</v>
      </c>
    </row>
    <row r="130" spans="6:26" x14ac:dyDescent="0.35">
      <c r="F130" cm="1">
        <f t="array" aca="1" ref="F130" ca="1">INDEX($D$2:$D$15,RANDBETWEEN(1,ROWS($D$2:$D$15)),1)</f>
        <v>13</v>
      </c>
      <c r="G130" cm="1">
        <f t="array" aca="1" ref="G130" ca="1">INDEX($D$2:$D$15,RANDBETWEEN(1,ROWS($D$2:$D$15)),1)</f>
        <v>4</v>
      </c>
      <c r="H130" cm="1">
        <f t="array" aca="1" ref="H130" ca="1">INDEX($D$2:$D$15,RANDBETWEEN(1,ROWS($D$2:$D$15)),1)</f>
        <v>11</v>
      </c>
      <c r="I130" cm="1">
        <f t="array" aca="1" ref="I130" ca="1">INDEX($D$2:$D$15,RANDBETWEEN(1,ROWS($D$2:$D$15)),1)</f>
        <v>9</v>
      </c>
      <c r="J130" cm="1">
        <f t="array" aca="1" ref="J130" ca="1">INDEX($D$2:$D$15,RANDBETWEEN(1,ROWS($D$2:$D$15)),1)</f>
        <v>9</v>
      </c>
      <c r="K130" cm="1">
        <f t="array" aca="1" ref="K130" ca="1">INDEX($D$2:$D$15,RANDBETWEEN(1,ROWS($D$2:$D$15)),1)</f>
        <v>9</v>
      </c>
      <c r="L130" cm="1">
        <f t="array" aca="1" ref="L130" ca="1">INDEX($D$2:$D$15,RANDBETWEEN(1,ROWS($D$2:$D$15)),1)</f>
        <v>4</v>
      </c>
      <c r="M130" cm="1">
        <f t="array" aca="1" ref="M130" ca="1">INDEX($D$2:$D$15,RANDBETWEEN(1,ROWS($D$2:$D$15)),1)</f>
        <v>13</v>
      </c>
      <c r="N130" cm="1">
        <f t="array" aca="1" ref="N130" ca="1">INDEX($D$2:$D$15,RANDBETWEEN(1,ROWS($D$2:$D$15)),1)</f>
        <v>9</v>
      </c>
      <c r="O130" cm="1">
        <f t="array" aca="1" ref="O130" ca="1">INDEX($D$2:$D$15,RANDBETWEEN(1,ROWS($D$2:$D$15)),1)</f>
        <v>11</v>
      </c>
      <c r="P130" cm="1">
        <f t="array" aca="1" ref="P130" ca="1">INDEX($D$2:$D$15,RANDBETWEEN(1,ROWS($D$2:$D$15)),1)</f>
        <v>13</v>
      </c>
      <c r="Q130" cm="1">
        <f t="array" aca="1" ref="Q130" ca="1">INDEX($D$2:$D$15,RANDBETWEEN(1,ROWS($D$2:$D$15)),1)</f>
        <v>12</v>
      </c>
      <c r="R130" cm="1">
        <f t="array" aca="1" ref="R130" ca="1">INDEX($D$2:$D$15,RANDBETWEEN(1,ROWS($D$2:$D$15)),1)</f>
        <v>3</v>
      </c>
      <c r="S130" cm="1">
        <f t="array" aca="1" ref="S130" ca="1">INDEX($D$2:$D$15,RANDBETWEEN(1,ROWS($D$2:$D$15)),1)</f>
        <v>4</v>
      </c>
      <c r="T130" cm="1">
        <f t="array" aca="1" ref="T130" ca="1">INDEX($D$2:$D$15,RANDBETWEEN(1,ROWS($D$2:$D$15)),1)</f>
        <v>9</v>
      </c>
      <c r="W130">
        <f t="shared" ca="1" si="4"/>
        <v>8.8666666666666671</v>
      </c>
      <c r="X130">
        <f t="shared" ca="1" si="5"/>
        <v>9</v>
      </c>
      <c r="Y130">
        <f t="shared" ca="1" si="6"/>
        <v>5</v>
      </c>
      <c r="Z130">
        <f t="shared" ca="1" si="7"/>
        <v>3.5429339469401562</v>
      </c>
    </row>
    <row r="131" spans="6:26" x14ac:dyDescent="0.35">
      <c r="F131" cm="1">
        <f t="array" aca="1" ref="F131" ca="1">INDEX($D$2:$D$15,RANDBETWEEN(1,ROWS($D$2:$D$15)),1)</f>
        <v>4</v>
      </c>
      <c r="G131" cm="1">
        <f t="array" aca="1" ref="G131" ca="1">INDEX($D$2:$D$15,RANDBETWEEN(1,ROWS($D$2:$D$15)),1)</f>
        <v>4</v>
      </c>
      <c r="H131" cm="1">
        <f t="array" aca="1" ref="H131" ca="1">INDEX($D$2:$D$15,RANDBETWEEN(1,ROWS($D$2:$D$15)),1)</f>
        <v>2</v>
      </c>
      <c r="I131" cm="1">
        <f t="array" aca="1" ref="I131" ca="1">INDEX($D$2:$D$15,RANDBETWEEN(1,ROWS($D$2:$D$15)),1)</f>
        <v>4</v>
      </c>
      <c r="J131" cm="1">
        <f t="array" aca="1" ref="J131" ca="1">INDEX($D$2:$D$15,RANDBETWEEN(1,ROWS($D$2:$D$15)),1)</f>
        <v>9</v>
      </c>
      <c r="K131" cm="1">
        <f t="array" aca="1" ref="K131" ca="1">INDEX($D$2:$D$15,RANDBETWEEN(1,ROWS($D$2:$D$15)),1)</f>
        <v>4</v>
      </c>
      <c r="L131" cm="1">
        <f t="array" aca="1" ref="L131" ca="1">INDEX($D$2:$D$15,RANDBETWEEN(1,ROWS($D$2:$D$15)),1)</f>
        <v>9</v>
      </c>
      <c r="M131" cm="1">
        <f t="array" aca="1" ref="M131" ca="1">INDEX($D$2:$D$15,RANDBETWEEN(1,ROWS($D$2:$D$15)),1)</f>
        <v>9</v>
      </c>
      <c r="N131" cm="1">
        <f t="array" aca="1" ref="N131" ca="1">INDEX($D$2:$D$15,RANDBETWEEN(1,ROWS($D$2:$D$15)),1)</f>
        <v>4</v>
      </c>
      <c r="O131" cm="1">
        <f t="array" aca="1" ref="O131" ca="1">INDEX($D$2:$D$15,RANDBETWEEN(1,ROWS($D$2:$D$15)),1)</f>
        <v>12</v>
      </c>
      <c r="P131" cm="1">
        <f t="array" aca="1" ref="P131" ca="1">INDEX($D$2:$D$15,RANDBETWEEN(1,ROWS($D$2:$D$15)),1)</f>
        <v>9</v>
      </c>
      <c r="Q131" cm="1">
        <f t="array" aca="1" ref="Q131" ca="1">INDEX($D$2:$D$15,RANDBETWEEN(1,ROWS($D$2:$D$15)),1)</f>
        <v>4</v>
      </c>
      <c r="R131" cm="1">
        <f t="array" aca="1" ref="R131" ca="1">INDEX($D$2:$D$15,RANDBETWEEN(1,ROWS($D$2:$D$15)),1)</f>
        <v>9</v>
      </c>
      <c r="S131" cm="1">
        <f t="array" aca="1" ref="S131" ca="1">INDEX($D$2:$D$15,RANDBETWEEN(1,ROWS($D$2:$D$15)),1)</f>
        <v>2</v>
      </c>
      <c r="T131" cm="1">
        <f t="array" aca="1" ref="T131" ca="1">INDEX($D$2:$D$15,RANDBETWEEN(1,ROWS($D$2:$D$15)),1)</f>
        <v>12</v>
      </c>
      <c r="W131">
        <f t="shared" ref="W131:W194" ca="1" si="8">AVERAGE(F131:T131)</f>
        <v>6.4666666666666668</v>
      </c>
      <c r="X131">
        <f t="shared" ref="X131:X194" ca="1" si="9">MEDIAN(F131:T131)</f>
        <v>4</v>
      </c>
      <c r="Y131">
        <f t="shared" ref="Y131:Y194" ca="1" si="10">_xlfn.QUARTILE.INC(F131:T131, 3)-_xlfn.QUARTILE.INC(F131:T131,1)</f>
        <v>5</v>
      </c>
      <c r="Z131">
        <f t="shared" ref="Z131:Z194" ca="1" si="11">_xlfn.STDEV.S(F131:T131)</f>
        <v>3.4819261226811697</v>
      </c>
    </row>
    <row r="132" spans="6:26" x14ac:dyDescent="0.35">
      <c r="F132" cm="1">
        <f t="array" aca="1" ref="F132" ca="1">INDEX($D$2:$D$15,RANDBETWEEN(1,ROWS($D$2:$D$15)),1)</f>
        <v>2</v>
      </c>
      <c r="G132" cm="1">
        <f t="array" aca="1" ref="G132" ca="1">INDEX($D$2:$D$15,RANDBETWEEN(1,ROWS($D$2:$D$15)),1)</f>
        <v>3</v>
      </c>
      <c r="H132" cm="1">
        <f t="array" aca="1" ref="H132" ca="1">INDEX($D$2:$D$15,RANDBETWEEN(1,ROWS($D$2:$D$15)),1)</f>
        <v>8</v>
      </c>
      <c r="I132" cm="1">
        <f t="array" aca="1" ref="I132" ca="1">INDEX($D$2:$D$15,RANDBETWEEN(1,ROWS($D$2:$D$15)),1)</f>
        <v>9</v>
      </c>
      <c r="J132" cm="1">
        <f t="array" aca="1" ref="J132" ca="1">INDEX($D$2:$D$15,RANDBETWEEN(1,ROWS($D$2:$D$15)),1)</f>
        <v>8</v>
      </c>
      <c r="K132" cm="1">
        <f t="array" aca="1" ref="K132" ca="1">INDEX($D$2:$D$15,RANDBETWEEN(1,ROWS($D$2:$D$15)),1)</f>
        <v>9</v>
      </c>
      <c r="L132" cm="1">
        <f t="array" aca="1" ref="L132" ca="1">INDEX($D$2:$D$15,RANDBETWEEN(1,ROWS($D$2:$D$15)),1)</f>
        <v>13</v>
      </c>
      <c r="M132" cm="1">
        <f t="array" aca="1" ref="M132" ca="1">INDEX($D$2:$D$15,RANDBETWEEN(1,ROWS($D$2:$D$15)),1)</f>
        <v>3</v>
      </c>
      <c r="N132" cm="1">
        <f t="array" aca="1" ref="N132" ca="1">INDEX($D$2:$D$15,RANDBETWEEN(1,ROWS($D$2:$D$15)),1)</f>
        <v>4</v>
      </c>
      <c r="O132" cm="1">
        <f t="array" aca="1" ref="O132" ca="1">INDEX($D$2:$D$15,RANDBETWEEN(1,ROWS($D$2:$D$15)),1)</f>
        <v>2</v>
      </c>
      <c r="P132" cm="1">
        <f t="array" aca="1" ref="P132" ca="1">INDEX($D$2:$D$15,RANDBETWEEN(1,ROWS($D$2:$D$15)),1)</f>
        <v>9</v>
      </c>
      <c r="Q132" cm="1">
        <f t="array" aca="1" ref="Q132" ca="1">INDEX($D$2:$D$15,RANDBETWEEN(1,ROWS($D$2:$D$15)),1)</f>
        <v>9</v>
      </c>
      <c r="R132" cm="1">
        <f t="array" aca="1" ref="R132" ca="1">INDEX($D$2:$D$15,RANDBETWEEN(1,ROWS($D$2:$D$15)),1)</f>
        <v>4</v>
      </c>
      <c r="S132" cm="1">
        <f t="array" aca="1" ref="S132" ca="1">INDEX($D$2:$D$15,RANDBETWEEN(1,ROWS($D$2:$D$15)),1)</f>
        <v>4</v>
      </c>
      <c r="T132" cm="1">
        <f t="array" aca="1" ref="T132" ca="1">INDEX($D$2:$D$15,RANDBETWEEN(1,ROWS($D$2:$D$15)),1)</f>
        <v>11</v>
      </c>
      <c r="W132">
        <f t="shared" ca="1" si="8"/>
        <v>6.5333333333333332</v>
      </c>
      <c r="X132">
        <f t="shared" ca="1" si="9"/>
        <v>8</v>
      </c>
      <c r="Y132">
        <f t="shared" ca="1" si="10"/>
        <v>5.5</v>
      </c>
      <c r="Z132">
        <f t="shared" ca="1" si="11"/>
        <v>3.5429339469401562</v>
      </c>
    </row>
    <row r="133" spans="6:26" x14ac:dyDescent="0.35">
      <c r="F133" cm="1">
        <f t="array" aca="1" ref="F133" ca="1">INDEX($D$2:$D$15,RANDBETWEEN(1,ROWS($D$2:$D$15)),1)</f>
        <v>11</v>
      </c>
      <c r="G133" cm="1">
        <f t="array" aca="1" ref="G133" ca="1">INDEX($D$2:$D$15,RANDBETWEEN(1,ROWS($D$2:$D$15)),1)</f>
        <v>2</v>
      </c>
      <c r="H133" cm="1">
        <f t="array" aca="1" ref="H133" ca="1">INDEX($D$2:$D$15,RANDBETWEEN(1,ROWS($D$2:$D$15)),1)</f>
        <v>9</v>
      </c>
      <c r="I133" cm="1">
        <f t="array" aca="1" ref="I133" ca="1">INDEX($D$2:$D$15,RANDBETWEEN(1,ROWS($D$2:$D$15)),1)</f>
        <v>3</v>
      </c>
      <c r="J133" cm="1">
        <f t="array" aca="1" ref="J133" ca="1">INDEX($D$2:$D$15,RANDBETWEEN(1,ROWS($D$2:$D$15)),1)</f>
        <v>11</v>
      </c>
      <c r="K133" cm="1">
        <f t="array" aca="1" ref="K133" ca="1">INDEX($D$2:$D$15,RANDBETWEEN(1,ROWS($D$2:$D$15)),1)</f>
        <v>3</v>
      </c>
      <c r="L133" cm="1">
        <f t="array" aca="1" ref="L133" ca="1">INDEX($D$2:$D$15,RANDBETWEEN(1,ROWS($D$2:$D$15)),1)</f>
        <v>4</v>
      </c>
      <c r="M133" cm="1">
        <f t="array" aca="1" ref="M133" ca="1">INDEX($D$2:$D$15,RANDBETWEEN(1,ROWS($D$2:$D$15)),1)</f>
        <v>12</v>
      </c>
      <c r="N133" cm="1">
        <f t="array" aca="1" ref="N133" ca="1">INDEX($D$2:$D$15,RANDBETWEEN(1,ROWS($D$2:$D$15)),1)</f>
        <v>8</v>
      </c>
      <c r="O133" cm="1">
        <f t="array" aca="1" ref="O133" ca="1">INDEX($D$2:$D$15,RANDBETWEEN(1,ROWS($D$2:$D$15)),1)</f>
        <v>11</v>
      </c>
      <c r="P133" cm="1">
        <f t="array" aca="1" ref="P133" ca="1">INDEX($D$2:$D$15,RANDBETWEEN(1,ROWS($D$2:$D$15)),1)</f>
        <v>10</v>
      </c>
      <c r="Q133" cm="1">
        <f t="array" aca="1" ref="Q133" ca="1">INDEX($D$2:$D$15,RANDBETWEEN(1,ROWS($D$2:$D$15)),1)</f>
        <v>12</v>
      </c>
      <c r="R133" cm="1">
        <f t="array" aca="1" ref="R133" ca="1">INDEX($D$2:$D$15,RANDBETWEEN(1,ROWS($D$2:$D$15)),1)</f>
        <v>11</v>
      </c>
      <c r="S133" cm="1">
        <f t="array" aca="1" ref="S133" ca="1">INDEX($D$2:$D$15,RANDBETWEEN(1,ROWS($D$2:$D$15)),1)</f>
        <v>13</v>
      </c>
      <c r="T133" cm="1">
        <f t="array" aca="1" ref="T133" ca="1">INDEX($D$2:$D$15,RANDBETWEEN(1,ROWS($D$2:$D$15)),1)</f>
        <v>12</v>
      </c>
      <c r="W133">
        <f t="shared" ca="1" si="8"/>
        <v>8.8000000000000007</v>
      </c>
      <c r="X133">
        <f t="shared" ca="1" si="9"/>
        <v>11</v>
      </c>
      <c r="Y133">
        <f t="shared" ca="1" si="10"/>
        <v>5.5</v>
      </c>
      <c r="Z133">
        <f t="shared" ca="1" si="11"/>
        <v>3.8396428405331071</v>
      </c>
    </row>
    <row r="134" spans="6:26" x14ac:dyDescent="0.35">
      <c r="F134" cm="1">
        <f t="array" aca="1" ref="F134" ca="1">INDEX($D$2:$D$15,RANDBETWEEN(1,ROWS($D$2:$D$15)),1)</f>
        <v>13</v>
      </c>
      <c r="G134" cm="1">
        <f t="array" aca="1" ref="G134" ca="1">INDEX($D$2:$D$15,RANDBETWEEN(1,ROWS($D$2:$D$15)),1)</f>
        <v>2</v>
      </c>
      <c r="H134" cm="1">
        <f t="array" aca="1" ref="H134" ca="1">INDEX($D$2:$D$15,RANDBETWEEN(1,ROWS($D$2:$D$15)),1)</f>
        <v>10</v>
      </c>
      <c r="I134" cm="1">
        <f t="array" aca="1" ref="I134" ca="1">INDEX($D$2:$D$15,RANDBETWEEN(1,ROWS($D$2:$D$15)),1)</f>
        <v>11</v>
      </c>
      <c r="J134" cm="1">
        <f t="array" aca="1" ref="J134" ca="1">INDEX($D$2:$D$15,RANDBETWEEN(1,ROWS($D$2:$D$15)),1)</f>
        <v>13</v>
      </c>
      <c r="K134" cm="1">
        <f t="array" aca="1" ref="K134" ca="1">INDEX($D$2:$D$15,RANDBETWEEN(1,ROWS($D$2:$D$15)),1)</f>
        <v>12</v>
      </c>
      <c r="L134" cm="1">
        <f t="array" aca="1" ref="L134" ca="1">INDEX($D$2:$D$15,RANDBETWEEN(1,ROWS($D$2:$D$15)),1)</f>
        <v>9</v>
      </c>
      <c r="M134" cm="1">
        <f t="array" aca="1" ref="M134" ca="1">INDEX($D$2:$D$15,RANDBETWEEN(1,ROWS($D$2:$D$15)),1)</f>
        <v>12</v>
      </c>
      <c r="N134" cm="1">
        <f t="array" aca="1" ref="N134" ca="1">INDEX($D$2:$D$15,RANDBETWEEN(1,ROWS($D$2:$D$15)),1)</f>
        <v>9</v>
      </c>
      <c r="O134" cm="1">
        <f t="array" aca="1" ref="O134" ca="1">INDEX($D$2:$D$15,RANDBETWEEN(1,ROWS($D$2:$D$15)),1)</f>
        <v>10</v>
      </c>
      <c r="P134" cm="1">
        <f t="array" aca="1" ref="P134" ca="1">INDEX($D$2:$D$15,RANDBETWEEN(1,ROWS($D$2:$D$15)),1)</f>
        <v>8</v>
      </c>
      <c r="Q134" cm="1">
        <f t="array" aca="1" ref="Q134" ca="1">INDEX($D$2:$D$15,RANDBETWEEN(1,ROWS($D$2:$D$15)),1)</f>
        <v>4</v>
      </c>
      <c r="R134" cm="1">
        <f t="array" aca="1" ref="R134" ca="1">INDEX($D$2:$D$15,RANDBETWEEN(1,ROWS($D$2:$D$15)),1)</f>
        <v>9</v>
      </c>
      <c r="S134" cm="1">
        <f t="array" aca="1" ref="S134" ca="1">INDEX($D$2:$D$15,RANDBETWEEN(1,ROWS($D$2:$D$15)),1)</f>
        <v>13</v>
      </c>
      <c r="T134" cm="1">
        <f t="array" aca="1" ref="T134" ca="1">INDEX($D$2:$D$15,RANDBETWEEN(1,ROWS($D$2:$D$15)),1)</f>
        <v>9</v>
      </c>
      <c r="W134">
        <f t="shared" ca="1" si="8"/>
        <v>9.6</v>
      </c>
      <c r="X134">
        <f t="shared" ca="1" si="9"/>
        <v>10</v>
      </c>
      <c r="Y134">
        <f t="shared" ca="1" si="10"/>
        <v>3</v>
      </c>
      <c r="Z134">
        <f t="shared" ca="1" si="11"/>
        <v>3.1802964821358573</v>
      </c>
    </row>
    <row r="135" spans="6:26" x14ac:dyDescent="0.35">
      <c r="F135" cm="1">
        <f t="array" aca="1" ref="F135" ca="1">INDEX($D$2:$D$15,RANDBETWEEN(1,ROWS($D$2:$D$15)),1)</f>
        <v>13</v>
      </c>
      <c r="G135" cm="1">
        <f t="array" aca="1" ref="G135" ca="1">INDEX($D$2:$D$15,RANDBETWEEN(1,ROWS($D$2:$D$15)),1)</f>
        <v>12</v>
      </c>
      <c r="H135" cm="1">
        <f t="array" aca="1" ref="H135" ca="1">INDEX($D$2:$D$15,RANDBETWEEN(1,ROWS($D$2:$D$15)),1)</f>
        <v>9</v>
      </c>
      <c r="I135" cm="1">
        <f t="array" aca="1" ref="I135" ca="1">INDEX($D$2:$D$15,RANDBETWEEN(1,ROWS($D$2:$D$15)),1)</f>
        <v>2</v>
      </c>
      <c r="J135" cm="1">
        <f t="array" aca="1" ref="J135" ca="1">INDEX($D$2:$D$15,RANDBETWEEN(1,ROWS($D$2:$D$15)),1)</f>
        <v>8</v>
      </c>
      <c r="K135" cm="1">
        <f t="array" aca="1" ref="K135" ca="1">INDEX($D$2:$D$15,RANDBETWEEN(1,ROWS($D$2:$D$15)),1)</f>
        <v>11</v>
      </c>
      <c r="L135" cm="1">
        <f t="array" aca="1" ref="L135" ca="1">INDEX($D$2:$D$15,RANDBETWEEN(1,ROWS($D$2:$D$15)),1)</f>
        <v>4</v>
      </c>
      <c r="M135" cm="1">
        <f t="array" aca="1" ref="M135" ca="1">INDEX($D$2:$D$15,RANDBETWEEN(1,ROWS($D$2:$D$15)),1)</f>
        <v>12</v>
      </c>
      <c r="N135" cm="1">
        <f t="array" aca="1" ref="N135" ca="1">INDEX($D$2:$D$15,RANDBETWEEN(1,ROWS($D$2:$D$15)),1)</f>
        <v>9</v>
      </c>
      <c r="O135" cm="1">
        <f t="array" aca="1" ref="O135" ca="1">INDEX($D$2:$D$15,RANDBETWEEN(1,ROWS($D$2:$D$15)),1)</f>
        <v>9</v>
      </c>
      <c r="P135" cm="1">
        <f t="array" aca="1" ref="P135" ca="1">INDEX($D$2:$D$15,RANDBETWEEN(1,ROWS($D$2:$D$15)),1)</f>
        <v>13</v>
      </c>
      <c r="Q135" cm="1">
        <f t="array" aca="1" ref="Q135" ca="1">INDEX($D$2:$D$15,RANDBETWEEN(1,ROWS($D$2:$D$15)),1)</f>
        <v>9</v>
      </c>
      <c r="R135" cm="1">
        <f t="array" aca="1" ref="R135" ca="1">INDEX($D$2:$D$15,RANDBETWEEN(1,ROWS($D$2:$D$15)),1)</f>
        <v>3</v>
      </c>
      <c r="S135" cm="1">
        <f t="array" aca="1" ref="S135" ca="1">INDEX($D$2:$D$15,RANDBETWEEN(1,ROWS($D$2:$D$15)),1)</f>
        <v>12</v>
      </c>
      <c r="T135" cm="1">
        <f t="array" aca="1" ref="T135" ca="1">INDEX($D$2:$D$15,RANDBETWEEN(1,ROWS($D$2:$D$15)),1)</f>
        <v>11</v>
      </c>
      <c r="W135">
        <f t="shared" ca="1" si="8"/>
        <v>9.1333333333333329</v>
      </c>
      <c r="X135">
        <f t="shared" ca="1" si="9"/>
        <v>9</v>
      </c>
      <c r="Y135">
        <f t="shared" ca="1" si="10"/>
        <v>3.5</v>
      </c>
      <c r="Z135">
        <f t="shared" ca="1" si="11"/>
        <v>3.5630377622526113</v>
      </c>
    </row>
    <row r="136" spans="6:26" x14ac:dyDescent="0.35">
      <c r="F136" cm="1">
        <f t="array" aca="1" ref="F136" ca="1">INDEX($D$2:$D$15,RANDBETWEEN(1,ROWS($D$2:$D$15)),1)</f>
        <v>3</v>
      </c>
      <c r="G136" cm="1">
        <f t="array" aca="1" ref="G136" ca="1">INDEX($D$2:$D$15,RANDBETWEEN(1,ROWS($D$2:$D$15)),1)</f>
        <v>13</v>
      </c>
      <c r="H136" cm="1">
        <f t="array" aca="1" ref="H136" ca="1">INDEX($D$2:$D$15,RANDBETWEEN(1,ROWS($D$2:$D$15)),1)</f>
        <v>4</v>
      </c>
      <c r="I136" cm="1">
        <f t="array" aca="1" ref="I136" ca="1">INDEX($D$2:$D$15,RANDBETWEEN(1,ROWS($D$2:$D$15)),1)</f>
        <v>9</v>
      </c>
      <c r="J136" cm="1">
        <f t="array" aca="1" ref="J136" ca="1">INDEX($D$2:$D$15,RANDBETWEEN(1,ROWS($D$2:$D$15)),1)</f>
        <v>4</v>
      </c>
      <c r="K136" cm="1">
        <f t="array" aca="1" ref="K136" ca="1">INDEX($D$2:$D$15,RANDBETWEEN(1,ROWS($D$2:$D$15)),1)</f>
        <v>8</v>
      </c>
      <c r="L136" cm="1">
        <f t="array" aca="1" ref="L136" ca="1">INDEX($D$2:$D$15,RANDBETWEEN(1,ROWS($D$2:$D$15)),1)</f>
        <v>9</v>
      </c>
      <c r="M136" cm="1">
        <f t="array" aca="1" ref="M136" ca="1">INDEX($D$2:$D$15,RANDBETWEEN(1,ROWS($D$2:$D$15)),1)</f>
        <v>9</v>
      </c>
      <c r="N136" cm="1">
        <f t="array" aca="1" ref="N136" ca="1">INDEX($D$2:$D$15,RANDBETWEEN(1,ROWS($D$2:$D$15)),1)</f>
        <v>9</v>
      </c>
      <c r="O136" cm="1">
        <f t="array" aca="1" ref="O136" ca="1">INDEX($D$2:$D$15,RANDBETWEEN(1,ROWS($D$2:$D$15)),1)</f>
        <v>4</v>
      </c>
      <c r="P136" cm="1">
        <f t="array" aca="1" ref="P136" ca="1">INDEX($D$2:$D$15,RANDBETWEEN(1,ROWS($D$2:$D$15)),1)</f>
        <v>8</v>
      </c>
      <c r="Q136" cm="1">
        <f t="array" aca="1" ref="Q136" ca="1">INDEX($D$2:$D$15,RANDBETWEEN(1,ROWS($D$2:$D$15)),1)</f>
        <v>4</v>
      </c>
      <c r="R136" cm="1">
        <f t="array" aca="1" ref="R136" ca="1">INDEX($D$2:$D$15,RANDBETWEEN(1,ROWS($D$2:$D$15)),1)</f>
        <v>12</v>
      </c>
      <c r="S136" cm="1">
        <f t="array" aca="1" ref="S136" ca="1">INDEX($D$2:$D$15,RANDBETWEEN(1,ROWS($D$2:$D$15)),1)</f>
        <v>12</v>
      </c>
      <c r="T136" cm="1">
        <f t="array" aca="1" ref="T136" ca="1">INDEX($D$2:$D$15,RANDBETWEEN(1,ROWS($D$2:$D$15)),1)</f>
        <v>4</v>
      </c>
      <c r="W136">
        <f t="shared" ca="1" si="8"/>
        <v>7.4666666666666668</v>
      </c>
      <c r="X136">
        <f t="shared" ca="1" si="9"/>
        <v>8</v>
      </c>
      <c r="Y136">
        <f t="shared" ca="1" si="10"/>
        <v>5</v>
      </c>
      <c r="Z136">
        <f t="shared" ca="1" si="11"/>
        <v>3.3988793671416104</v>
      </c>
    </row>
    <row r="137" spans="6:26" x14ac:dyDescent="0.35">
      <c r="F137" cm="1">
        <f t="array" aca="1" ref="F137" ca="1">INDEX($D$2:$D$15,RANDBETWEEN(1,ROWS($D$2:$D$15)),1)</f>
        <v>10</v>
      </c>
      <c r="G137" cm="1">
        <f t="array" aca="1" ref="G137" ca="1">INDEX($D$2:$D$15,RANDBETWEEN(1,ROWS($D$2:$D$15)),1)</f>
        <v>4</v>
      </c>
      <c r="H137" cm="1">
        <f t="array" aca="1" ref="H137" ca="1">INDEX($D$2:$D$15,RANDBETWEEN(1,ROWS($D$2:$D$15)),1)</f>
        <v>9</v>
      </c>
      <c r="I137" cm="1">
        <f t="array" aca="1" ref="I137" ca="1">INDEX($D$2:$D$15,RANDBETWEEN(1,ROWS($D$2:$D$15)),1)</f>
        <v>9</v>
      </c>
      <c r="J137" cm="1">
        <f t="array" aca="1" ref="J137" ca="1">INDEX($D$2:$D$15,RANDBETWEEN(1,ROWS($D$2:$D$15)),1)</f>
        <v>12</v>
      </c>
      <c r="K137" cm="1">
        <f t="array" aca="1" ref="K137" ca="1">INDEX($D$2:$D$15,RANDBETWEEN(1,ROWS($D$2:$D$15)),1)</f>
        <v>9</v>
      </c>
      <c r="L137" cm="1">
        <f t="array" aca="1" ref="L137" ca="1">INDEX($D$2:$D$15,RANDBETWEEN(1,ROWS($D$2:$D$15)),1)</f>
        <v>9</v>
      </c>
      <c r="M137" cm="1">
        <f t="array" aca="1" ref="M137" ca="1">INDEX($D$2:$D$15,RANDBETWEEN(1,ROWS($D$2:$D$15)),1)</f>
        <v>12</v>
      </c>
      <c r="N137" cm="1">
        <f t="array" aca="1" ref="N137" ca="1">INDEX($D$2:$D$15,RANDBETWEEN(1,ROWS($D$2:$D$15)),1)</f>
        <v>10</v>
      </c>
      <c r="O137" cm="1">
        <f t="array" aca="1" ref="O137" ca="1">INDEX($D$2:$D$15,RANDBETWEEN(1,ROWS($D$2:$D$15)),1)</f>
        <v>3</v>
      </c>
      <c r="P137" cm="1">
        <f t="array" aca="1" ref="P137" ca="1">INDEX($D$2:$D$15,RANDBETWEEN(1,ROWS($D$2:$D$15)),1)</f>
        <v>12</v>
      </c>
      <c r="Q137" cm="1">
        <f t="array" aca="1" ref="Q137" ca="1">INDEX($D$2:$D$15,RANDBETWEEN(1,ROWS($D$2:$D$15)),1)</f>
        <v>8</v>
      </c>
      <c r="R137" cm="1">
        <f t="array" aca="1" ref="R137" ca="1">INDEX($D$2:$D$15,RANDBETWEEN(1,ROWS($D$2:$D$15)),1)</f>
        <v>2</v>
      </c>
      <c r="S137" cm="1">
        <f t="array" aca="1" ref="S137" ca="1">INDEX($D$2:$D$15,RANDBETWEEN(1,ROWS($D$2:$D$15)),1)</f>
        <v>9</v>
      </c>
      <c r="T137" cm="1">
        <f t="array" aca="1" ref="T137" ca="1">INDEX($D$2:$D$15,RANDBETWEEN(1,ROWS($D$2:$D$15)),1)</f>
        <v>9</v>
      </c>
      <c r="W137">
        <f t="shared" ca="1" si="8"/>
        <v>8.4666666666666668</v>
      </c>
      <c r="X137">
        <f t="shared" ca="1" si="9"/>
        <v>9</v>
      </c>
      <c r="Y137">
        <f t="shared" ca="1" si="10"/>
        <v>1.5</v>
      </c>
      <c r="Z137">
        <f t="shared" ca="1" si="11"/>
        <v>3.1137177288954914</v>
      </c>
    </row>
    <row r="138" spans="6:26" x14ac:dyDescent="0.35">
      <c r="F138" cm="1">
        <f t="array" aca="1" ref="F138" ca="1">INDEX($D$2:$D$15,RANDBETWEEN(1,ROWS($D$2:$D$15)),1)</f>
        <v>12</v>
      </c>
      <c r="G138" cm="1">
        <f t="array" aca="1" ref="G138" ca="1">INDEX($D$2:$D$15,RANDBETWEEN(1,ROWS($D$2:$D$15)),1)</f>
        <v>9</v>
      </c>
      <c r="H138" cm="1">
        <f t="array" aca="1" ref="H138" ca="1">INDEX($D$2:$D$15,RANDBETWEEN(1,ROWS($D$2:$D$15)),1)</f>
        <v>11</v>
      </c>
      <c r="I138" cm="1">
        <f t="array" aca="1" ref="I138" ca="1">INDEX($D$2:$D$15,RANDBETWEEN(1,ROWS($D$2:$D$15)),1)</f>
        <v>10</v>
      </c>
      <c r="J138" cm="1">
        <f t="array" aca="1" ref="J138" ca="1">INDEX($D$2:$D$15,RANDBETWEEN(1,ROWS($D$2:$D$15)),1)</f>
        <v>2</v>
      </c>
      <c r="K138" cm="1">
        <f t="array" aca="1" ref="K138" ca="1">INDEX($D$2:$D$15,RANDBETWEEN(1,ROWS($D$2:$D$15)),1)</f>
        <v>10</v>
      </c>
      <c r="L138" cm="1">
        <f t="array" aca="1" ref="L138" ca="1">INDEX($D$2:$D$15,RANDBETWEEN(1,ROWS($D$2:$D$15)),1)</f>
        <v>9</v>
      </c>
      <c r="M138" cm="1">
        <f t="array" aca="1" ref="M138" ca="1">INDEX($D$2:$D$15,RANDBETWEEN(1,ROWS($D$2:$D$15)),1)</f>
        <v>10</v>
      </c>
      <c r="N138" cm="1">
        <f t="array" aca="1" ref="N138" ca="1">INDEX($D$2:$D$15,RANDBETWEEN(1,ROWS($D$2:$D$15)),1)</f>
        <v>10</v>
      </c>
      <c r="O138" cm="1">
        <f t="array" aca="1" ref="O138" ca="1">INDEX($D$2:$D$15,RANDBETWEEN(1,ROWS($D$2:$D$15)),1)</f>
        <v>3</v>
      </c>
      <c r="P138" cm="1">
        <f t="array" aca="1" ref="P138" ca="1">INDEX($D$2:$D$15,RANDBETWEEN(1,ROWS($D$2:$D$15)),1)</f>
        <v>9</v>
      </c>
      <c r="Q138" cm="1">
        <f t="array" aca="1" ref="Q138" ca="1">INDEX($D$2:$D$15,RANDBETWEEN(1,ROWS($D$2:$D$15)),1)</f>
        <v>8</v>
      </c>
      <c r="R138" cm="1">
        <f t="array" aca="1" ref="R138" ca="1">INDEX($D$2:$D$15,RANDBETWEEN(1,ROWS($D$2:$D$15)),1)</f>
        <v>12</v>
      </c>
      <c r="S138" cm="1">
        <f t="array" aca="1" ref="S138" ca="1">INDEX($D$2:$D$15,RANDBETWEEN(1,ROWS($D$2:$D$15)),1)</f>
        <v>4</v>
      </c>
      <c r="T138" cm="1">
        <f t="array" aca="1" ref="T138" ca="1">INDEX($D$2:$D$15,RANDBETWEEN(1,ROWS($D$2:$D$15)),1)</f>
        <v>9</v>
      </c>
      <c r="W138">
        <f t="shared" ca="1" si="8"/>
        <v>8.5333333333333332</v>
      </c>
      <c r="X138">
        <f t="shared" ca="1" si="9"/>
        <v>9</v>
      </c>
      <c r="Y138">
        <f t="shared" ca="1" si="10"/>
        <v>1.5</v>
      </c>
      <c r="Z138">
        <f t="shared" ca="1" si="11"/>
        <v>3.0906926331133211</v>
      </c>
    </row>
    <row r="139" spans="6:26" x14ac:dyDescent="0.35">
      <c r="F139" cm="1">
        <f t="array" aca="1" ref="F139" ca="1">INDEX($D$2:$D$15,RANDBETWEEN(1,ROWS($D$2:$D$15)),1)</f>
        <v>4</v>
      </c>
      <c r="G139" cm="1">
        <f t="array" aca="1" ref="G139" ca="1">INDEX($D$2:$D$15,RANDBETWEEN(1,ROWS($D$2:$D$15)),1)</f>
        <v>2</v>
      </c>
      <c r="H139" cm="1">
        <f t="array" aca="1" ref="H139" ca="1">INDEX($D$2:$D$15,RANDBETWEEN(1,ROWS($D$2:$D$15)),1)</f>
        <v>2</v>
      </c>
      <c r="I139" cm="1">
        <f t="array" aca="1" ref="I139" ca="1">INDEX($D$2:$D$15,RANDBETWEEN(1,ROWS($D$2:$D$15)),1)</f>
        <v>9</v>
      </c>
      <c r="J139" cm="1">
        <f t="array" aca="1" ref="J139" ca="1">INDEX($D$2:$D$15,RANDBETWEEN(1,ROWS($D$2:$D$15)),1)</f>
        <v>4</v>
      </c>
      <c r="K139" cm="1">
        <f t="array" aca="1" ref="K139" ca="1">INDEX($D$2:$D$15,RANDBETWEEN(1,ROWS($D$2:$D$15)),1)</f>
        <v>8</v>
      </c>
      <c r="L139" cm="1">
        <f t="array" aca="1" ref="L139" ca="1">INDEX($D$2:$D$15,RANDBETWEEN(1,ROWS($D$2:$D$15)),1)</f>
        <v>11</v>
      </c>
      <c r="M139" cm="1">
        <f t="array" aca="1" ref="M139" ca="1">INDEX($D$2:$D$15,RANDBETWEEN(1,ROWS($D$2:$D$15)),1)</f>
        <v>12</v>
      </c>
      <c r="N139" cm="1">
        <f t="array" aca="1" ref="N139" ca="1">INDEX($D$2:$D$15,RANDBETWEEN(1,ROWS($D$2:$D$15)),1)</f>
        <v>2</v>
      </c>
      <c r="O139" cm="1">
        <f t="array" aca="1" ref="O139" ca="1">INDEX($D$2:$D$15,RANDBETWEEN(1,ROWS($D$2:$D$15)),1)</f>
        <v>9</v>
      </c>
      <c r="P139" cm="1">
        <f t="array" aca="1" ref="P139" ca="1">INDEX($D$2:$D$15,RANDBETWEEN(1,ROWS($D$2:$D$15)),1)</f>
        <v>9</v>
      </c>
      <c r="Q139" cm="1">
        <f t="array" aca="1" ref="Q139" ca="1">INDEX($D$2:$D$15,RANDBETWEEN(1,ROWS($D$2:$D$15)),1)</f>
        <v>4</v>
      </c>
      <c r="R139" cm="1">
        <f t="array" aca="1" ref="R139" ca="1">INDEX($D$2:$D$15,RANDBETWEEN(1,ROWS($D$2:$D$15)),1)</f>
        <v>3</v>
      </c>
      <c r="S139" cm="1">
        <f t="array" aca="1" ref="S139" ca="1">INDEX($D$2:$D$15,RANDBETWEEN(1,ROWS($D$2:$D$15)),1)</f>
        <v>10</v>
      </c>
      <c r="T139" cm="1">
        <f t="array" aca="1" ref="T139" ca="1">INDEX($D$2:$D$15,RANDBETWEEN(1,ROWS($D$2:$D$15)),1)</f>
        <v>8</v>
      </c>
      <c r="W139">
        <f t="shared" ca="1" si="8"/>
        <v>6.4666666666666668</v>
      </c>
      <c r="X139">
        <f t="shared" ca="1" si="9"/>
        <v>8</v>
      </c>
      <c r="Y139">
        <f t="shared" ca="1" si="10"/>
        <v>5.5</v>
      </c>
      <c r="Z139">
        <f t="shared" ca="1" si="11"/>
        <v>3.5630377622526113</v>
      </c>
    </row>
    <row r="140" spans="6:26" x14ac:dyDescent="0.35">
      <c r="F140" cm="1">
        <f t="array" aca="1" ref="F140" ca="1">INDEX($D$2:$D$15,RANDBETWEEN(1,ROWS($D$2:$D$15)),1)</f>
        <v>3</v>
      </c>
      <c r="G140" cm="1">
        <f t="array" aca="1" ref="G140" ca="1">INDEX($D$2:$D$15,RANDBETWEEN(1,ROWS($D$2:$D$15)),1)</f>
        <v>4</v>
      </c>
      <c r="H140" cm="1">
        <f t="array" aca="1" ref="H140" ca="1">INDEX($D$2:$D$15,RANDBETWEEN(1,ROWS($D$2:$D$15)),1)</f>
        <v>10</v>
      </c>
      <c r="I140" cm="1">
        <f t="array" aca="1" ref="I140" ca="1">INDEX($D$2:$D$15,RANDBETWEEN(1,ROWS($D$2:$D$15)),1)</f>
        <v>3</v>
      </c>
      <c r="J140" cm="1">
        <f t="array" aca="1" ref="J140" ca="1">INDEX($D$2:$D$15,RANDBETWEEN(1,ROWS($D$2:$D$15)),1)</f>
        <v>9</v>
      </c>
      <c r="K140" cm="1">
        <f t="array" aca="1" ref="K140" ca="1">INDEX($D$2:$D$15,RANDBETWEEN(1,ROWS($D$2:$D$15)),1)</f>
        <v>12</v>
      </c>
      <c r="L140" cm="1">
        <f t="array" aca="1" ref="L140" ca="1">INDEX($D$2:$D$15,RANDBETWEEN(1,ROWS($D$2:$D$15)),1)</f>
        <v>13</v>
      </c>
      <c r="M140" cm="1">
        <f t="array" aca="1" ref="M140" ca="1">INDEX($D$2:$D$15,RANDBETWEEN(1,ROWS($D$2:$D$15)),1)</f>
        <v>4</v>
      </c>
      <c r="N140" cm="1">
        <f t="array" aca="1" ref="N140" ca="1">INDEX($D$2:$D$15,RANDBETWEEN(1,ROWS($D$2:$D$15)),1)</f>
        <v>12</v>
      </c>
      <c r="O140" cm="1">
        <f t="array" aca="1" ref="O140" ca="1">INDEX($D$2:$D$15,RANDBETWEEN(1,ROWS($D$2:$D$15)),1)</f>
        <v>9</v>
      </c>
      <c r="P140" cm="1">
        <f t="array" aca="1" ref="P140" ca="1">INDEX($D$2:$D$15,RANDBETWEEN(1,ROWS($D$2:$D$15)),1)</f>
        <v>2</v>
      </c>
      <c r="Q140" cm="1">
        <f t="array" aca="1" ref="Q140" ca="1">INDEX($D$2:$D$15,RANDBETWEEN(1,ROWS($D$2:$D$15)),1)</f>
        <v>9</v>
      </c>
      <c r="R140" cm="1">
        <f t="array" aca="1" ref="R140" ca="1">INDEX($D$2:$D$15,RANDBETWEEN(1,ROWS($D$2:$D$15)),1)</f>
        <v>11</v>
      </c>
      <c r="S140" cm="1">
        <f t="array" aca="1" ref="S140" ca="1">INDEX($D$2:$D$15,RANDBETWEEN(1,ROWS($D$2:$D$15)),1)</f>
        <v>9</v>
      </c>
      <c r="T140" cm="1">
        <f t="array" aca="1" ref="T140" ca="1">INDEX($D$2:$D$15,RANDBETWEEN(1,ROWS($D$2:$D$15)),1)</f>
        <v>2</v>
      </c>
      <c r="W140">
        <f t="shared" ca="1" si="8"/>
        <v>7.4666666666666668</v>
      </c>
      <c r="X140">
        <f t="shared" ca="1" si="9"/>
        <v>9</v>
      </c>
      <c r="Y140">
        <f t="shared" ca="1" si="10"/>
        <v>7</v>
      </c>
      <c r="Z140">
        <f t="shared" ca="1" si="11"/>
        <v>3.9976183385801578</v>
      </c>
    </row>
    <row r="141" spans="6:26" x14ac:dyDescent="0.35">
      <c r="F141" cm="1">
        <f t="array" aca="1" ref="F141" ca="1">INDEX($D$2:$D$15,RANDBETWEEN(1,ROWS($D$2:$D$15)),1)</f>
        <v>10</v>
      </c>
      <c r="G141" cm="1">
        <f t="array" aca="1" ref="G141" ca="1">INDEX($D$2:$D$15,RANDBETWEEN(1,ROWS($D$2:$D$15)),1)</f>
        <v>4</v>
      </c>
      <c r="H141" cm="1">
        <f t="array" aca="1" ref="H141" ca="1">INDEX($D$2:$D$15,RANDBETWEEN(1,ROWS($D$2:$D$15)),1)</f>
        <v>2</v>
      </c>
      <c r="I141" cm="1">
        <f t="array" aca="1" ref="I141" ca="1">INDEX($D$2:$D$15,RANDBETWEEN(1,ROWS($D$2:$D$15)),1)</f>
        <v>10</v>
      </c>
      <c r="J141" cm="1">
        <f t="array" aca="1" ref="J141" ca="1">INDEX($D$2:$D$15,RANDBETWEEN(1,ROWS($D$2:$D$15)),1)</f>
        <v>4</v>
      </c>
      <c r="K141" cm="1">
        <f t="array" aca="1" ref="K141" ca="1">INDEX($D$2:$D$15,RANDBETWEEN(1,ROWS($D$2:$D$15)),1)</f>
        <v>2</v>
      </c>
      <c r="L141" cm="1">
        <f t="array" aca="1" ref="L141" ca="1">INDEX($D$2:$D$15,RANDBETWEEN(1,ROWS($D$2:$D$15)),1)</f>
        <v>9</v>
      </c>
      <c r="M141" cm="1">
        <f t="array" aca="1" ref="M141" ca="1">INDEX($D$2:$D$15,RANDBETWEEN(1,ROWS($D$2:$D$15)),1)</f>
        <v>4</v>
      </c>
      <c r="N141" cm="1">
        <f t="array" aca="1" ref="N141" ca="1">INDEX($D$2:$D$15,RANDBETWEEN(1,ROWS($D$2:$D$15)),1)</f>
        <v>3</v>
      </c>
      <c r="O141" cm="1">
        <f t="array" aca="1" ref="O141" ca="1">INDEX($D$2:$D$15,RANDBETWEEN(1,ROWS($D$2:$D$15)),1)</f>
        <v>12</v>
      </c>
      <c r="P141" cm="1">
        <f t="array" aca="1" ref="P141" ca="1">INDEX($D$2:$D$15,RANDBETWEEN(1,ROWS($D$2:$D$15)),1)</f>
        <v>11</v>
      </c>
      <c r="Q141" cm="1">
        <f t="array" aca="1" ref="Q141" ca="1">INDEX($D$2:$D$15,RANDBETWEEN(1,ROWS($D$2:$D$15)),1)</f>
        <v>3</v>
      </c>
      <c r="R141" cm="1">
        <f t="array" aca="1" ref="R141" ca="1">INDEX($D$2:$D$15,RANDBETWEEN(1,ROWS($D$2:$D$15)),1)</f>
        <v>2</v>
      </c>
      <c r="S141" cm="1">
        <f t="array" aca="1" ref="S141" ca="1">INDEX($D$2:$D$15,RANDBETWEEN(1,ROWS($D$2:$D$15)),1)</f>
        <v>3</v>
      </c>
      <c r="T141" cm="1">
        <f t="array" aca="1" ref="T141" ca="1">INDEX($D$2:$D$15,RANDBETWEEN(1,ROWS($D$2:$D$15)),1)</f>
        <v>12</v>
      </c>
      <c r="W141">
        <f t="shared" ca="1" si="8"/>
        <v>6.0666666666666664</v>
      </c>
      <c r="X141">
        <f t="shared" ca="1" si="9"/>
        <v>4</v>
      </c>
      <c r="Y141">
        <f t="shared" ca="1" si="10"/>
        <v>7</v>
      </c>
      <c r="Z141">
        <f t="shared" ca="1" si="11"/>
        <v>4.00832467081531</v>
      </c>
    </row>
    <row r="142" spans="6:26" x14ac:dyDescent="0.35">
      <c r="F142" cm="1">
        <f t="array" aca="1" ref="F142" ca="1">INDEX($D$2:$D$15,RANDBETWEEN(1,ROWS($D$2:$D$15)),1)</f>
        <v>4</v>
      </c>
      <c r="G142" cm="1">
        <f t="array" aca="1" ref="G142" ca="1">INDEX($D$2:$D$15,RANDBETWEEN(1,ROWS($D$2:$D$15)),1)</f>
        <v>9</v>
      </c>
      <c r="H142" cm="1">
        <f t="array" aca="1" ref="H142" ca="1">INDEX($D$2:$D$15,RANDBETWEEN(1,ROWS($D$2:$D$15)),1)</f>
        <v>4</v>
      </c>
      <c r="I142" cm="1">
        <f t="array" aca="1" ref="I142" ca="1">INDEX($D$2:$D$15,RANDBETWEEN(1,ROWS($D$2:$D$15)),1)</f>
        <v>9</v>
      </c>
      <c r="J142" cm="1">
        <f t="array" aca="1" ref="J142" ca="1">INDEX($D$2:$D$15,RANDBETWEEN(1,ROWS($D$2:$D$15)),1)</f>
        <v>4</v>
      </c>
      <c r="K142" cm="1">
        <f t="array" aca="1" ref="K142" ca="1">INDEX($D$2:$D$15,RANDBETWEEN(1,ROWS($D$2:$D$15)),1)</f>
        <v>12</v>
      </c>
      <c r="L142" cm="1">
        <f t="array" aca="1" ref="L142" ca="1">INDEX($D$2:$D$15,RANDBETWEEN(1,ROWS($D$2:$D$15)),1)</f>
        <v>12</v>
      </c>
      <c r="M142" cm="1">
        <f t="array" aca="1" ref="M142" ca="1">INDEX($D$2:$D$15,RANDBETWEEN(1,ROWS($D$2:$D$15)),1)</f>
        <v>10</v>
      </c>
      <c r="N142" cm="1">
        <f t="array" aca="1" ref="N142" ca="1">INDEX($D$2:$D$15,RANDBETWEEN(1,ROWS($D$2:$D$15)),1)</f>
        <v>3</v>
      </c>
      <c r="O142" cm="1">
        <f t="array" aca="1" ref="O142" ca="1">INDEX($D$2:$D$15,RANDBETWEEN(1,ROWS($D$2:$D$15)),1)</f>
        <v>12</v>
      </c>
      <c r="P142" cm="1">
        <f t="array" aca="1" ref="P142" ca="1">INDEX($D$2:$D$15,RANDBETWEEN(1,ROWS($D$2:$D$15)),1)</f>
        <v>11</v>
      </c>
      <c r="Q142" cm="1">
        <f t="array" aca="1" ref="Q142" ca="1">INDEX($D$2:$D$15,RANDBETWEEN(1,ROWS($D$2:$D$15)),1)</f>
        <v>4</v>
      </c>
      <c r="R142" cm="1">
        <f t="array" aca="1" ref="R142" ca="1">INDEX($D$2:$D$15,RANDBETWEEN(1,ROWS($D$2:$D$15)),1)</f>
        <v>4</v>
      </c>
      <c r="S142" cm="1">
        <f t="array" aca="1" ref="S142" ca="1">INDEX($D$2:$D$15,RANDBETWEEN(1,ROWS($D$2:$D$15)),1)</f>
        <v>9</v>
      </c>
      <c r="T142" cm="1">
        <f t="array" aca="1" ref="T142" ca="1">INDEX($D$2:$D$15,RANDBETWEEN(1,ROWS($D$2:$D$15)),1)</f>
        <v>12</v>
      </c>
      <c r="W142">
        <f t="shared" ca="1" si="8"/>
        <v>7.9333333333333336</v>
      </c>
      <c r="X142">
        <f t="shared" ca="1" si="9"/>
        <v>9</v>
      </c>
      <c r="Y142">
        <f t="shared" ca="1" si="10"/>
        <v>7.5</v>
      </c>
      <c r="Z142">
        <f t="shared" ca="1" si="11"/>
        <v>3.6344908597386518</v>
      </c>
    </row>
    <row r="143" spans="6:26" x14ac:dyDescent="0.35">
      <c r="F143" cm="1">
        <f t="array" aca="1" ref="F143" ca="1">INDEX($D$2:$D$15,RANDBETWEEN(1,ROWS($D$2:$D$15)),1)</f>
        <v>3</v>
      </c>
      <c r="G143" cm="1">
        <f t="array" aca="1" ref="G143" ca="1">INDEX($D$2:$D$15,RANDBETWEEN(1,ROWS($D$2:$D$15)),1)</f>
        <v>2</v>
      </c>
      <c r="H143" cm="1">
        <f t="array" aca="1" ref="H143" ca="1">INDEX($D$2:$D$15,RANDBETWEEN(1,ROWS($D$2:$D$15)),1)</f>
        <v>9</v>
      </c>
      <c r="I143" cm="1">
        <f t="array" aca="1" ref="I143" ca="1">INDEX($D$2:$D$15,RANDBETWEEN(1,ROWS($D$2:$D$15)),1)</f>
        <v>4</v>
      </c>
      <c r="J143" cm="1">
        <f t="array" aca="1" ref="J143" ca="1">INDEX($D$2:$D$15,RANDBETWEEN(1,ROWS($D$2:$D$15)),1)</f>
        <v>10</v>
      </c>
      <c r="K143" cm="1">
        <f t="array" aca="1" ref="K143" ca="1">INDEX($D$2:$D$15,RANDBETWEEN(1,ROWS($D$2:$D$15)),1)</f>
        <v>12</v>
      </c>
      <c r="L143" cm="1">
        <f t="array" aca="1" ref="L143" ca="1">INDEX($D$2:$D$15,RANDBETWEEN(1,ROWS($D$2:$D$15)),1)</f>
        <v>12</v>
      </c>
      <c r="M143" cm="1">
        <f t="array" aca="1" ref="M143" ca="1">INDEX($D$2:$D$15,RANDBETWEEN(1,ROWS($D$2:$D$15)),1)</f>
        <v>12</v>
      </c>
      <c r="N143" cm="1">
        <f t="array" aca="1" ref="N143" ca="1">INDEX($D$2:$D$15,RANDBETWEEN(1,ROWS($D$2:$D$15)),1)</f>
        <v>12</v>
      </c>
      <c r="O143" cm="1">
        <f t="array" aca="1" ref="O143" ca="1">INDEX($D$2:$D$15,RANDBETWEEN(1,ROWS($D$2:$D$15)),1)</f>
        <v>8</v>
      </c>
      <c r="P143" cm="1">
        <f t="array" aca="1" ref="P143" ca="1">INDEX($D$2:$D$15,RANDBETWEEN(1,ROWS($D$2:$D$15)),1)</f>
        <v>13</v>
      </c>
      <c r="Q143" cm="1">
        <f t="array" aca="1" ref="Q143" ca="1">INDEX($D$2:$D$15,RANDBETWEEN(1,ROWS($D$2:$D$15)),1)</f>
        <v>9</v>
      </c>
      <c r="R143" cm="1">
        <f t="array" aca="1" ref="R143" ca="1">INDEX($D$2:$D$15,RANDBETWEEN(1,ROWS($D$2:$D$15)),1)</f>
        <v>3</v>
      </c>
      <c r="S143" cm="1">
        <f t="array" aca="1" ref="S143" ca="1">INDEX($D$2:$D$15,RANDBETWEEN(1,ROWS($D$2:$D$15)),1)</f>
        <v>9</v>
      </c>
      <c r="T143" cm="1">
        <f t="array" aca="1" ref="T143" ca="1">INDEX($D$2:$D$15,RANDBETWEEN(1,ROWS($D$2:$D$15)),1)</f>
        <v>4</v>
      </c>
      <c r="W143">
        <f t="shared" ca="1" si="8"/>
        <v>8.1333333333333329</v>
      </c>
      <c r="X143">
        <f t="shared" ca="1" si="9"/>
        <v>9</v>
      </c>
      <c r="Y143">
        <f t="shared" ca="1" si="10"/>
        <v>8</v>
      </c>
      <c r="Z143">
        <f t="shared" ca="1" si="11"/>
        <v>3.9072582032246945</v>
      </c>
    </row>
    <row r="144" spans="6:26" x14ac:dyDescent="0.35">
      <c r="F144" cm="1">
        <f t="array" aca="1" ref="F144" ca="1">INDEX($D$2:$D$15,RANDBETWEEN(1,ROWS($D$2:$D$15)),1)</f>
        <v>4</v>
      </c>
      <c r="G144" cm="1">
        <f t="array" aca="1" ref="G144" ca="1">INDEX($D$2:$D$15,RANDBETWEEN(1,ROWS($D$2:$D$15)),1)</f>
        <v>4</v>
      </c>
      <c r="H144" cm="1">
        <f t="array" aca="1" ref="H144" ca="1">INDEX($D$2:$D$15,RANDBETWEEN(1,ROWS($D$2:$D$15)),1)</f>
        <v>2</v>
      </c>
      <c r="I144" cm="1">
        <f t="array" aca="1" ref="I144" ca="1">INDEX($D$2:$D$15,RANDBETWEEN(1,ROWS($D$2:$D$15)),1)</f>
        <v>4</v>
      </c>
      <c r="J144" cm="1">
        <f t="array" aca="1" ref="J144" ca="1">INDEX($D$2:$D$15,RANDBETWEEN(1,ROWS($D$2:$D$15)),1)</f>
        <v>4</v>
      </c>
      <c r="K144" cm="1">
        <f t="array" aca="1" ref="K144" ca="1">INDEX($D$2:$D$15,RANDBETWEEN(1,ROWS($D$2:$D$15)),1)</f>
        <v>2</v>
      </c>
      <c r="L144" cm="1">
        <f t="array" aca="1" ref="L144" ca="1">INDEX($D$2:$D$15,RANDBETWEEN(1,ROWS($D$2:$D$15)),1)</f>
        <v>11</v>
      </c>
      <c r="M144" cm="1">
        <f t="array" aca="1" ref="M144" ca="1">INDEX($D$2:$D$15,RANDBETWEEN(1,ROWS($D$2:$D$15)),1)</f>
        <v>4</v>
      </c>
      <c r="N144" cm="1">
        <f t="array" aca="1" ref="N144" ca="1">INDEX($D$2:$D$15,RANDBETWEEN(1,ROWS($D$2:$D$15)),1)</f>
        <v>13</v>
      </c>
      <c r="O144" cm="1">
        <f t="array" aca="1" ref="O144" ca="1">INDEX($D$2:$D$15,RANDBETWEEN(1,ROWS($D$2:$D$15)),1)</f>
        <v>3</v>
      </c>
      <c r="P144" cm="1">
        <f t="array" aca="1" ref="P144" ca="1">INDEX($D$2:$D$15,RANDBETWEEN(1,ROWS($D$2:$D$15)),1)</f>
        <v>4</v>
      </c>
      <c r="Q144" cm="1">
        <f t="array" aca="1" ref="Q144" ca="1">INDEX($D$2:$D$15,RANDBETWEEN(1,ROWS($D$2:$D$15)),1)</f>
        <v>4</v>
      </c>
      <c r="R144" cm="1">
        <f t="array" aca="1" ref="R144" ca="1">INDEX($D$2:$D$15,RANDBETWEEN(1,ROWS($D$2:$D$15)),1)</f>
        <v>9</v>
      </c>
      <c r="S144" cm="1">
        <f t="array" aca="1" ref="S144" ca="1">INDEX($D$2:$D$15,RANDBETWEEN(1,ROWS($D$2:$D$15)),1)</f>
        <v>4</v>
      </c>
      <c r="T144" cm="1">
        <f t="array" aca="1" ref="T144" ca="1">INDEX($D$2:$D$15,RANDBETWEEN(1,ROWS($D$2:$D$15)),1)</f>
        <v>11</v>
      </c>
      <c r="W144">
        <f t="shared" ca="1" si="8"/>
        <v>5.5333333333333332</v>
      </c>
      <c r="X144">
        <f t="shared" ca="1" si="9"/>
        <v>4</v>
      </c>
      <c r="Y144">
        <f t="shared" ca="1" si="10"/>
        <v>2.5</v>
      </c>
      <c r="Z144">
        <f t="shared" ca="1" si="11"/>
        <v>3.5630377622526113</v>
      </c>
    </row>
    <row r="145" spans="6:26" x14ac:dyDescent="0.35">
      <c r="F145" cm="1">
        <f t="array" aca="1" ref="F145" ca="1">INDEX($D$2:$D$15,RANDBETWEEN(1,ROWS($D$2:$D$15)),1)</f>
        <v>4</v>
      </c>
      <c r="G145" cm="1">
        <f t="array" aca="1" ref="G145" ca="1">INDEX($D$2:$D$15,RANDBETWEEN(1,ROWS($D$2:$D$15)),1)</f>
        <v>12</v>
      </c>
      <c r="H145" cm="1">
        <f t="array" aca="1" ref="H145" ca="1">INDEX($D$2:$D$15,RANDBETWEEN(1,ROWS($D$2:$D$15)),1)</f>
        <v>9</v>
      </c>
      <c r="I145" cm="1">
        <f t="array" aca="1" ref="I145" ca="1">INDEX($D$2:$D$15,RANDBETWEEN(1,ROWS($D$2:$D$15)),1)</f>
        <v>4</v>
      </c>
      <c r="J145" cm="1">
        <f t="array" aca="1" ref="J145" ca="1">INDEX($D$2:$D$15,RANDBETWEEN(1,ROWS($D$2:$D$15)),1)</f>
        <v>4</v>
      </c>
      <c r="K145" cm="1">
        <f t="array" aca="1" ref="K145" ca="1">INDEX($D$2:$D$15,RANDBETWEEN(1,ROWS($D$2:$D$15)),1)</f>
        <v>10</v>
      </c>
      <c r="L145" cm="1">
        <f t="array" aca="1" ref="L145" ca="1">INDEX($D$2:$D$15,RANDBETWEEN(1,ROWS($D$2:$D$15)),1)</f>
        <v>12</v>
      </c>
      <c r="M145" cm="1">
        <f t="array" aca="1" ref="M145" ca="1">INDEX($D$2:$D$15,RANDBETWEEN(1,ROWS($D$2:$D$15)),1)</f>
        <v>4</v>
      </c>
      <c r="N145" cm="1">
        <f t="array" aca="1" ref="N145" ca="1">INDEX($D$2:$D$15,RANDBETWEEN(1,ROWS($D$2:$D$15)),1)</f>
        <v>10</v>
      </c>
      <c r="O145" cm="1">
        <f t="array" aca="1" ref="O145" ca="1">INDEX($D$2:$D$15,RANDBETWEEN(1,ROWS($D$2:$D$15)),1)</f>
        <v>3</v>
      </c>
      <c r="P145" cm="1">
        <f t="array" aca="1" ref="P145" ca="1">INDEX($D$2:$D$15,RANDBETWEEN(1,ROWS($D$2:$D$15)),1)</f>
        <v>2</v>
      </c>
      <c r="Q145" cm="1">
        <f t="array" aca="1" ref="Q145" ca="1">INDEX($D$2:$D$15,RANDBETWEEN(1,ROWS($D$2:$D$15)),1)</f>
        <v>12</v>
      </c>
      <c r="R145" cm="1">
        <f t="array" aca="1" ref="R145" ca="1">INDEX($D$2:$D$15,RANDBETWEEN(1,ROWS($D$2:$D$15)),1)</f>
        <v>3</v>
      </c>
      <c r="S145" cm="1">
        <f t="array" aca="1" ref="S145" ca="1">INDEX($D$2:$D$15,RANDBETWEEN(1,ROWS($D$2:$D$15)),1)</f>
        <v>4</v>
      </c>
      <c r="T145" cm="1">
        <f t="array" aca="1" ref="T145" ca="1">INDEX($D$2:$D$15,RANDBETWEEN(1,ROWS($D$2:$D$15)),1)</f>
        <v>3</v>
      </c>
      <c r="W145">
        <f t="shared" ca="1" si="8"/>
        <v>6.4</v>
      </c>
      <c r="X145">
        <f t="shared" ca="1" si="9"/>
        <v>4</v>
      </c>
      <c r="Y145">
        <f t="shared" ca="1" si="10"/>
        <v>6.5</v>
      </c>
      <c r="Z145">
        <f t="shared" ca="1" si="11"/>
        <v>3.8692930325097596</v>
      </c>
    </row>
    <row r="146" spans="6:26" x14ac:dyDescent="0.35">
      <c r="F146" cm="1">
        <f t="array" aca="1" ref="F146" ca="1">INDEX($D$2:$D$15,RANDBETWEEN(1,ROWS($D$2:$D$15)),1)</f>
        <v>4</v>
      </c>
      <c r="G146" cm="1">
        <f t="array" aca="1" ref="G146" ca="1">INDEX($D$2:$D$15,RANDBETWEEN(1,ROWS($D$2:$D$15)),1)</f>
        <v>4</v>
      </c>
      <c r="H146" cm="1">
        <f t="array" aca="1" ref="H146" ca="1">INDEX($D$2:$D$15,RANDBETWEEN(1,ROWS($D$2:$D$15)),1)</f>
        <v>9</v>
      </c>
      <c r="I146" cm="1">
        <f t="array" aca="1" ref="I146" ca="1">INDEX($D$2:$D$15,RANDBETWEEN(1,ROWS($D$2:$D$15)),1)</f>
        <v>8</v>
      </c>
      <c r="J146" cm="1">
        <f t="array" aca="1" ref="J146" ca="1">INDEX($D$2:$D$15,RANDBETWEEN(1,ROWS($D$2:$D$15)),1)</f>
        <v>2</v>
      </c>
      <c r="K146" cm="1">
        <f t="array" aca="1" ref="K146" ca="1">INDEX($D$2:$D$15,RANDBETWEEN(1,ROWS($D$2:$D$15)),1)</f>
        <v>8</v>
      </c>
      <c r="L146" cm="1">
        <f t="array" aca="1" ref="L146" ca="1">INDEX($D$2:$D$15,RANDBETWEEN(1,ROWS($D$2:$D$15)),1)</f>
        <v>12</v>
      </c>
      <c r="M146" cm="1">
        <f t="array" aca="1" ref="M146" ca="1">INDEX($D$2:$D$15,RANDBETWEEN(1,ROWS($D$2:$D$15)),1)</f>
        <v>9</v>
      </c>
      <c r="N146" cm="1">
        <f t="array" aca="1" ref="N146" ca="1">INDEX($D$2:$D$15,RANDBETWEEN(1,ROWS($D$2:$D$15)),1)</f>
        <v>11</v>
      </c>
      <c r="O146" cm="1">
        <f t="array" aca="1" ref="O146" ca="1">INDEX($D$2:$D$15,RANDBETWEEN(1,ROWS($D$2:$D$15)),1)</f>
        <v>4</v>
      </c>
      <c r="P146" cm="1">
        <f t="array" aca="1" ref="P146" ca="1">INDEX($D$2:$D$15,RANDBETWEEN(1,ROWS($D$2:$D$15)),1)</f>
        <v>8</v>
      </c>
      <c r="Q146" cm="1">
        <f t="array" aca="1" ref="Q146" ca="1">INDEX($D$2:$D$15,RANDBETWEEN(1,ROWS($D$2:$D$15)),1)</f>
        <v>12</v>
      </c>
      <c r="R146" cm="1">
        <f t="array" aca="1" ref="R146" ca="1">INDEX($D$2:$D$15,RANDBETWEEN(1,ROWS($D$2:$D$15)),1)</f>
        <v>9</v>
      </c>
      <c r="S146" cm="1">
        <f t="array" aca="1" ref="S146" ca="1">INDEX($D$2:$D$15,RANDBETWEEN(1,ROWS($D$2:$D$15)),1)</f>
        <v>2</v>
      </c>
      <c r="T146" cm="1">
        <f t="array" aca="1" ref="T146" ca="1">INDEX($D$2:$D$15,RANDBETWEEN(1,ROWS($D$2:$D$15)),1)</f>
        <v>10</v>
      </c>
      <c r="W146">
        <f t="shared" ca="1" si="8"/>
        <v>7.4666666666666668</v>
      </c>
      <c r="X146">
        <f t="shared" ca="1" si="9"/>
        <v>8</v>
      </c>
      <c r="Y146">
        <f t="shared" ca="1" si="10"/>
        <v>5.5</v>
      </c>
      <c r="Z146">
        <f t="shared" ca="1" si="11"/>
        <v>3.4198301266639102</v>
      </c>
    </row>
    <row r="147" spans="6:26" x14ac:dyDescent="0.35">
      <c r="F147" cm="1">
        <f t="array" aca="1" ref="F147" ca="1">INDEX($D$2:$D$15,RANDBETWEEN(1,ROWS($D$2:$D$15)),1)</f>
        <v>12</v>
      </c>
      <c r="G147" cm="1">
        <f t="array" aca="1" ref="G147" ca="1">INDEX($D$2:$D$15,RANDBETWEEN(1,ROWS($D$2:$D$15)),1)</f>
        <v>12</v>
      </c>
      <c r="H147" cm="1">
        <f t="array" aca="1" ref="H147" ca="1">INDEX($D$2:$D$15,RANDBETWEEN(1,ROWS($D$2:$D$15)),1)</f>
        <v>9</v>
      </c>
      <c r="I147" cm="1">
        <f t="array" aca="1" ref="I147" ca="1">INDEX($D$2:$D$15,RANDBETWEEN(1,ROWS($D$2:$D$15)),1)</f>
        <v>4</v>
      </c>
      <c r="J147" cm="1">
        <f t="array" aca="1" ref="J147" ca="1">INDEX($D$2:$D$15,RANDBETWEEN(1,ROWS($D$2:$D$15)),1)</f>
        <v>13</v>
      </c>
      <c r="K147" cm="1">
        <f t="array" aca="1" ref="K147" ca="1">INDEX($D$2:$D$15,RANDBETWEEN(1,ROWS($D$2:$D$15)),1)</f>
        <v>8</v>
      </c>
      <c r="L147" cm="1">
        <f t="array" aca="1" ref="L147" ca="1">INDEX($D$2:$D$15,RANDBETWEEN(1,ROWS($D$2:$D$15)),1)</f>
        <v>9</v>
      </c>
      <c r="M147" cm="1">
        <f t="array" aca="1" ref="M147" ca="1">INDEX($D$2:$D$15,RANDBETWEEN(1,ROWS($D$2:$D$15)),1)</f>
        <v>3</v>
      </c>
      <c r="N147" cm="1">
        <f t="array" aca="1" ref="N147" ca="1">INDEX($D$2:$D$15,RANDBETWEEN(1,ROWS($D$2:$D$15)),1)</f>
        <v>12</v>
      </c>
      <c r="O147" cm="1">
        <f t="array" aca="1" ref="O147" ca="1">INDEX($D$2:$D$15,RANDBETWEEN(1,ROWS($D$2:$D$15)),1)</f>
        <v>3</v>
      </c>
      <c r="P147" cm="1">
        <f t="array" aca="1" ref="P147" ca="1">INDEX($D$2:$D$15,RANDBETWEEN(1,ROWS($D$2:$D$15)),1)</f>
        <v>3</v>
      </c>
      <c r="Q147" cm="1">
        <f t="array" aca="1" ref="Q147" ca="1">INDEX($D$2:$D$15,RANDBETWEEN(1,ROWS($D$2:$D$15)),1)</f>
        <v>3</v>
      </c>
      <c r="R147" cm="1">
        <f t="array" aca="1" ref="R147" ca="1">INDEX($D$2:$D$15,RANDBETWEEN(1,ROWS($D$2:$D$15)),1)</f>
        <v>4</v>
      </c>
      <c r="S147" cm="1">
        <f t="array" aca="1" ref="S147" ca="1">INDEX($D$2:$D$15,RANDBETWEEN(1,ROWS($D$2:$D$15)),1)</f>
        <v>12</v>
      </c>
      <c r="T147" cm="1">
        <f t="array" aca="1" ref="T147" ca="1">INDEX($D$2:$D$15,RANDBETWEEN(1,ROWS($D$2:$D$15)),1)</f>
        <v>9</v>
      </c>
      <c r="W147">
        <f t="shared" ca="1" si="8"/>
        <v>7.7333333333333334</v>
      </c>
      <c r="X147">
        <f t="shared" ca="1" si="9"/>
        <v>9</v>
      </c>
      <c r="Y147">
        <f t="shared" ca="1" si="10"/>
        <v>8.5</v>
      </c>
      <c r="Z147">
        <f t="shared" ca="1" si="11"/>
        <v>3.9904648255321735</v>
      </c>
    </row>
    <row r="148" spans="6:26" x14ac:dyDescent="0.35">
      <c r="F148" cm="1">
        <f t="array" aca="1" ref="F148" ca="1">INDEX($D$2:$D$15,RANDBETWEEN(1,ROWS($D$2:$D$15)),1)</f>
        <v>2</v>
      </c>
      <c r="G148" cm="1">
        <f t="array" aca="1" ref="G148" ca="1">INDEX($D$2:$D$15,RANDBETWEEN(1,ROWS($D$2:$D$15)),1)</f>
        <v>13</v>
      </c>
      <c r="H148" cm="1">
        <f t="array" aca="1" ref="H148" ca="1">INDEX($D$2:$D$15,RANDBETWEEN(1,ROWS($D$2:$D$15)),1)</f>
        <v>9</v>
      </c>
      <c r="I148" cm="1">
        <f t="array" aca="1" ref="I148" ca="1">INDEX($D$2:$D$15,RANDBETWEEN(1,ROWS($D$2:$D$15)),1)</f>
        <v>2</v>
      </c>
      <c r="J148" cm="1">
        <f t="array" aca="1" ref="J148" ca="1">INDEX($D$2:$D$15,RANDBETWEEN(1,ROWS($D$2:$D$15)),1)</f>
        <v>13</v>
      </c>
      <c r="K148" cm="1">
        <f t="array" aca="1" ref="K148" ca="1">INDEX($D$2:$D$15,RANDBETWEEN(1,ROWS($D$2:$D$15)),1)</f>
        <v>2</v>
      </c>
      <c r="L148" cm="1">
        <f t="array" aca="1" ref="L148" ca="1">INDEX($D$2:$D$15,RANDBETWEEN(1,ROWS($D$2:$D$15)),1)</f>
        <v>4</v>
      </c>
      <c r="M148" cm="1">
        <f t="array" aca="1" ref="M148" ca="1">INDEX($D$2:$D$15,RANDBETWEEN(1,ROWS($D$2:$D$15)),1)</f>
        <v>8</v>
      </c>
      <c r="N148" cm="1">
        <f t="array" aca="1" ref="N148" ca="1">INDEX($D$2:$D$15,RANDBETWEEN(1,ROWS($D$2:$D$15)),1)</f>
        <v>9</v>
      </c>
      <c r="O148" cm="1">
        <f t="array" aca="1" ref="O148" ca="1">INDEX($D$2:$D$15,RANDBETWEEN(1,ROWS($D$2:$D$15)),1)</f>
        <v>4</v>
      </c>
      <c r="P148" cm="1">
        <f t="array" aca="1" ref="P148" ca="1">INDEX($D$2:$D$15,RANDBETWEEN(1,ROWS($D$2:$D$15)),1)</f>
        <v>4</v>
      </c>
      <c r="Q148" cm="1">
        <f t="array" aca="1" ref="Q148" ca="1">INDEX($D$2:$D$15,RANDBETWEEN(1,ROWS($D$2:$D$15)),1)</f>
        <v>11</v>
      </c>
      <c r="R148" cm="1">
        <f t="array" aca="1" ref="R148" ca="1">INDEX($D$2:$D$15,RANDBETWEEN(1,ROWS($D$2:$D$15)),1)</f>
        <v>2</v>
      </c>
      <c r="S148" cm="1">
        <f t="array" aca="1" ref="S148" ca="1">INDEX($D$2:$D$15,RANDBETWEEN(1,ROWS($D$2:$D$15)),1)</f>
        <v>13</v>
      </c>
      <c r="T148" cm="1">
        <f t="array" aca="1" ref="T148" ca="1">INDEX($D$2:$D$15,RANDBETWEEN(1,ROWS($D$2:$D$15)),1)</f>
        <v>11</v>
      </c>
      <c r="W148">
        <f t="shared" ca="1" si="8"/>
        <v>7.1333333333333337</v>
      </c>
      <c r="X148">
        <f t="shared" ca="1" si="9"/>
        <v>8</v>
      </c>
      <c r="Y148">
        <f t="shared" ca="1" si="10"/>
        <v>8</v>
      </c>
      <c r="Z148">
        <f t="shared" ca="1" si="11"/>
        <v>4.4379317362075428</v>
      </c>
    </row>
    <row r="149" spans="6:26" x14ac:dyDescent="0.35">
      <c r="F149" cm="1">
        <f t="array" aca="1" ref="F149" ca="1">INDEX($D$2:$D$15,RANDBETWEEN(1,ROWS($D$2:$D$15)),1)</f>
        <v>9</v>
      </c>
      <c r="G149" cm="1">
        <f t="array" aca="1" ref="G149" ca="1">INDEX($D$2:$D$15,RANDBETWEEN(1,ROWS($D$2:$D$15)),1)</f>
        <v>3</v>
      </c>
      <c r="H149" cm="1">
        <f t="array" aca="1" ref="H149" ca="1">INDEX($D$2:$D$15,RANDBETWEEN(1,ROWS($D$2:$D$15)),1)</f>
        <v>13</v>
      </c>
      <c r="I149" cm="1">
        <f t="array" aca="1" ref="I149" ca="1">INDEX($D$2:$D$15,RANDBETWEEN(1,ROWS($D$2:$D$15)),1)</f>
        <v>13</v>
      </c>
      <c r="J149" cm="1">
        <f t="array" aca="1" ref="J149" ca="1">INDEX($D$2:$D$15,RANDBETWEEN(1,ROWS($D$2:$D$15)),1)</f>
        <v>2</v>
      </c>
      <c r="K149" cm="1">
        <f t="array" aca="1" ref="K149" ca="1">INDEX($D$2:$D$15,RANDBETWEEN(1,ROWS($D$2:$D$15)),1)</f>
        <v>12</v>
      </c>
      <c r="L149" cm="1">
        <f t="array" aca="1" ref="L149" ca="1">INDEX($D$2:$D$15,RANDBETWEEN(1,ROWS($D$2:$D$15)),1)</f>
        <v>13</v>
      </c>
      <c r="M149" cm="1">
        <f t="array" aca="1" ref="M149" ca="1">INDEX($D$2:$D$15,RANDBETWEEN(1,ROWS($D$2:$D$15)),1)</f>
        <v>2</v>
      </c>
      <c r="N149" cm="1">
        <f t="array" aca="1" ref="N149" ca="1">INDEX($D$2:$D$15,RANDBETWEEN(1,ROWS($D$2:$D$15)),1)</f>
        <v>13</v>
      </c>
      <c r="O149" cm="1">
        <f t="array" aca="1" ref="O149" ca="1">INDEX($D$2:$D$15,RANDBETWEEN(1,ROWS($D$2:$D$15)),1)</f>
        <v>2</v>
      </c>
      <c r="P149" cm="1">
        <f t="array" aca="1" ref="P149" ca="1">INDEX($D$2:$D$15,RANDBETWEEN(1,ROWS($D$2:$D$15)),1)</f>
        <v>12</v>
      </c>
      <c r="Q149" cm="1">
        <f t="array" aca="1" ref="Q149" ca="1">INDEX($D$2:$D$15,RANDBETWEEN(1,ROWS($D$2:$D$15)),1)</f>
        <v>13</v>
      </c>
      <c r="R149" cm="1">
        <f t="array" aca="1" ref="R149" ca="1">INDEX($D$2:$D$15,RANDBETWEEN(1,ROWS($D$2:$D$15)),1)</f>
        <v>12</v>
      </c>
      <c r="S149" cm="1">
        <f t="array" aca="1" ref="S149" ca="1">INDEX($D$2:$D$15,RANDBETWEEN(1,ROWS($D$2:$D$15)),1)</f>
        <v>8</v>
      </c>
      <c r="T149" cm="1">
        <f t="array" aca="1" ref="T149" ca="1">INDEX($D$2:$D$15,RANDBETWEEN(1,ROWS($D$2:$D$15)),1)</f>
        <v>9</v>
      </c>
      <c r="W149">
        <f t="shared" ca="1" si="8"/>
        <v>9.0666666666666664</v>
      </c>
      <c r="X149">
        <f t="shared" ca="1" si="9"/>
        <v>12</v>
      </c>
      <c r="Y149">
        <f t="shared" ca="1" si="10"/>
        <v>7.5</v>
      </c>
      <c r="Z149">
        <f t="shared" ca="1" si="11"/>
        <v>4.5586129887228184</v>
      </c>
    </row>
    <row r="150" spans="6:26" x14ac:dyDescent="0.35">
      <c r="F150" cm="1">
        <f t="array" aca="1" ref="F150" ca="1">INDEX($D$2:$D$15,RANDBETWEEN(1,ROWS($D$2:$D$15)),1)</f>
        <v>4</v>
      </c>
      <c r="G150" cm="1">
        <f t="array" aca="1" ref="G150" ca="1">INDEX($D$2:$D$15,RANDBETWEEN(1,ROWS($D$2:$D$15)),1)</f>
        <v>10</v>
      </c>
      <c r="H150" cm="1">
        <f t="array" aca="1" ref="H150" ca="1">INDEX($D$2:$D$15,RANDBETWEEN(1,ROWS($D$2:$D$15)),1)</f>
        <v>10</v>
      </c>
      <c r="I150" cm="1">
        <f t="array" aca="1" ref="I150" ca="1">INDEX($D$2:$D$15,RANDBETWEEN(1,ROWS($D$2:$D$15)),1)</f>
        <v>11</v>
      </c>
      <c r="J150" cm="1">
        <f t="array" aca="1" ref="J150" ca="1">INDEX($D$2:$D$15,RANDBETWEEN(1,ROWS($D$2:$D$15)),1)</f>
        <v>4</v>
      </c>
      <c r="K150" cm="1">
        <f t="array" aca="1" ref="K150" ca="1">INDEX($D$2:$D$15,RANDBETWEEN(1,ROWS($D$2:$D$15)),1)</f>
        <v>9</v>
      </c>
      <c r="L150" cm="1">
        <f t="array" aca="1" ref="L150" ca="1">INDEX($D$2:$D$15,RANDBETWEEN(1,ROWS($D$2:$D$15)),1)</f>
        <v>12</v>
      </c>
      <c r="M150" cm="1">
        <f t="array" aca="1" ref="M150" ca="1">INDEX($D$2:$D$15,RANDBETWEEN(1,ROWS($D$2:$D$15)),1)</f>
        <v>9</v>
      </c>
      <c r="N150" cm="1">
        <f t="array" aca="1" ref="N150" ca="1">INDEX($D$2:$D$15,RANDBETWEEN(1,ROWS($D$2:$D$15)),1)</f>
        <v>11</v>
      </c>
      <c r="O150" cm="1">
        <f t="array" aca="1" ref="O150" ca="1">INDEX($D$2:$D$15,RANDBETWEEN(1,ROWS($D$2:$D$15)),1)</f>
        <v>8</v>
      </c>
      <c r="P150" cm="1">
        <f t="array" aca="1" ref="P150" ca="1">INDEX($D$2:$D$15,RANDBETWEEN(1,ROWS($D$2:$D$15)),1)</f>
        <v>4</v>
      </c>
      <c r="Q150" cm="1">
        <f t="array" aca="1" ref="Q150" ca="1">INDEX($D$2:$D$15,RANDBETWEEN(1,ROWS($D$2:$D$15)),1)</f>
        <v>12</v>
      </c>
      <c r="R150" cm="1">
        <f t="array" aca="1" ref="R150" ca="1">INDEX($D$2:$D$15,RANDBETWEEN(1,ROWS($D$2:$D$15)),1)</f>
        <v>9</v>
      </c>
      <c r="S150" cm="1">
        <f t="array" aca="1" ref="S150" ca="1">INDEX($D$2:$D$15,RANDBETWEEN(1,ROWS($D$2:$D$15)),1)</f>
        <v>3</v>
      </c>
      <c r="T150" cm="1">
        <f t="array" aca="1" ref="T150" ca="1">INDEX($D$2:$D$15,RANDBETWEEN(1,ROWS($D$2:$D$15)),1)</f>
        <v>8</v>
      </c>
      <c r="W150">
        <f t="shared" ca="1" si="8"/>
        <v>8.2666666666666675</v>
      </c>
      <c r="X150">
        <f t="shared" ca="1" si="9"/>
        <v>9</v>
      </c>
      <c r="Y150">
        <f t="shared" ca="1" si="10"/>
        <v>4.5</v>
      </c>
      <c r="Z150">
        <f t="shared" ca="1" si="11"/>
        <v>3.0814344217000786</v>
      </c>
    </row>
    <row r="151" spans="6:26" x14ac:dyDescent="0.35">
      <c r="F151" cm="1">
        <f t="array" aca="1" ref="F151" ca="1">INDEX($D$2:$D$15,RANDBETWEEN(1,ROWS($D$2:$D$15)),1)</f>
        <v>13</v>
      </c>
      <c r="G151" cm="1">
        <f t="array" aca="1" ref="G151" ca="1">INDEX($D$2:$D$15,RANDBETWEEN(1,ROWS($D$2:$D$15)),1)</f>
        <v>12</v>
      </c>
      <c r="H151" cm="1">
        <f t="array" aca="1" ref="H151" ca="1">INDEX($D$2:$D$15,RANDBETWEEN(1,ROWS($D$2:$D$15)),1)</f>
        <v>11</v>
      </c>
      <c r="I151" cm="1">
        <f t="array" aca="1" ref="I151" ca="1">INDEX($D$2:$D$15,RANDBETWEEN(1,ROWS($D$2:$D$15)),1)</f>
        <v>12</v>
      </c>
      <c r="J151" cm="1">
        <f t="array" aca="1" ref="J151" ca="1">INDEX($D$2:$D$15,RANDBETWEEN(1,ROWS($D$2:$D$15)),1)</f>
        <v>9</v>
      </c>
      <c r="K151" cm="1">
        <f t="array" aca="1" ref="K151" ca="1">INDEX($D$2:$D$15,RANDBETWEEN(1,ROWS($D$2:$D$15)),1)</f>
        <v>4</v>
      </c>
      <c r="L151" cm="1">
        <f t="array" aca="1" ref="L151" ca="1">INDEX($D$2:$D$15,RANDBETWEEN(1,ROWS($D$2:$D$15)),1)</f>
        <v>9</v>
      </c>
      <c r="M151" cm="1">
        <f t="array" aca="1" ref="M151" ca="1">INDEX($D$2:$D$15,RANDBETWEEN(1,ROWS($D$2:$D$15)),1)</f>
        <v>9</v>
      </c>
      <c r="N151" cm="1">
        <f t="array" aca="1" ref="N151" ca="1">INDEX($D$2:$D$15,RANDBETWEEN(1,ROWS($D$2:$D$15)),1)</f>
        <v>3</v>
      </c>
      <c r="O151" cm="1">
        <f t="array" aca="1" ref="O151" ca="1">INDEX($D$2:$D$15,RANDBETWEEN(1,ROWS($D$2:$D$15)),1)</f>
        <v>3</v>
      </c>
      <c r="P151" cm="1">
        <f t="array" aca="1" ref="P151" ca="1">INDEX($D$2:$D$15,RANDBETWEEN(1,ROWS($D$2:$D$15)),1)</f>
        <v>8</v>
      </c>
      <c r="Q151" cm="1">
        <f t="array" aca="1" ref="Q151" ca="1">INDEX($D$2:$D$15,RANDBETWEEN(1,ROWS($D$2:$D$15)),1)</f>
        <v>9</v>
      </c>
      <c r="R151" cm="1">
        <f t="array" aca="1" ref="R151" ca="1">INDEX($D$2:$D$15,RANDBETWEEN(1,ROWS($D$2:$D$15)),1)</f>
        <v>4</v>
      </c>
      <c r="S151" cm="1">
        <f t="array" aca="1" ref="S151" ca="1">INDEX($D$2:$D$15,RANDBETWEEN(1,ROWS($D$2:$D$15)),1)</f>
        <v>4</v>
      </c>
      <c r="T151" cm="1">
        <f t="array" aca="1" ref="T151" ca="1">INDEX($D$2:$D$15,RANDBETWEEN(1,ROWS($D$2:$D$15)),1)</f>
        <v>10</v>
      </c>
      <c r="W151">
        <f t="shared" ca="1" si="8"/>
        <v>8</v>
      </c>
      <c r="X151">
        <f t="shared" ca="1" si="9"/>
        <v>9</v>
      </c>
      <c r="Y151">
        <f t="shared" ca="1" si="10"/>
        <v>6.5</v>
      </c>
      <c r="Z151">
        <f t="shared" ca="1" si="11"/>
        <v>3.5050983275386565</v>
      </c>
    </row>
    <row r="152" spans="6:26" x14ac:dyDescent="0.35">
      <c r="F152" cm="1">
        <f t="array" aca="1" ref="F152" ca="1">INDEX($D$2:$D$15,RANDBETWEEN(1,ROWS($D$2:$D$15)),1)</f>
        <v>2</v>
      </c>
      <c r="G152" cm="1">
        <f t="array" aca="1" ref="G152" ca="1">INDEX($D$2:$D$15,RANDBETWEEN(1,ROWS($D$2:$D$15)),1)</f>
        <v>12</v>
      </c>
      <c r="H152" cm="1">
        <f t="array" aca="1" ref="H152" ca="1">INDEX($D$2:$D$15,RANDBETWEEN(1,ROWS($D$2:$D$15)),1)</f>
        <v>10</v>
      </c>
      <c r="I152" cm="1">
        <f t="array" aca="1" ref="I152" ca="1">INDEX($D$2:$D$15,RANDBETWEEN(1,ROWS($D$2:$D$15)),1)</f>
        <v>9</v>
      </c>
      <c r="J152" cm="1">
        <f t="array" aca="1" ref="J152" ca="1">INDEX($D$2:$D$15,RANDBETWEEN(1,ROWS($D$2:$D$15)),1)</f>
        <v>4</v>
      </c>
      <c r="K152" cm="1">
        <f t="array" aca="1" ref="K152" ca="1">INDEX($D$2:$D$15,RANDBETWEEN(1,ROWS($D$2:$D$15)),1)</f>
        <v>2</v>
      </c>
      <c r="L152" cm="1">
        <f t="array" aca="1" ref="L152" ca="1">INDEX($D$2:$D$15,RANDBETWEEN(1,ROWS($D$2:$D$15)),1)</f>
        <v>2</v>
      </c>
      <c r="M152" cm="1">
        <f t="array" aca="1" ref="M152" ca="1">INDEX($D$2:$D$15,RANDBETWEEN(1,ROWS($D$2:$D$15)),1)</f>
        <v>2</v>
      </c>
      <c r="N152" cm="1">
        <f t="array" aca="1" ref="N152" ca="1">INDEX($D$2:$D$15,RANDBETWEEN(1,ROWS($D$2:$D$15)),1)</f>
        <v>12</v>
      </c>
      <c r="O152" cm="1">
        <f t="array" aca="1" ref="O152" ca="1">INDEX($D$2:$D$15,RANDBETWEEN(1,ROWS($D$2:$D$15)),1)</f>
        <v>13</v>
      </c>
      <c r="P152" cm="1">
        <f t="array" aca="1" ref="P152" ca="1">INDEX($D$2:$D$15,RANDBETWEEN(1,ROWS($D$2:$D$15)),1)</f>
        <v>8</v>
      </c>
      <c r="Q152" cm="1">
        <f t="array" aca="1" ref="Q152" ca="1">INDEX($D$2:$D$15,RANDBETWEEN(1,ROWS($D$2:$D$15)),1)</f>
        <v>9</v>
      </c>
      <c r="R152" cm="1">
        <f t="array" aca="1" ref="R152" ca="1">INDEX($D$2:$D$15,RANDBETWEEN(1,ROWS($D$2:$D$15)),1)</f>
        <v>12</v>
      </c>
      <c r="S152" cm="1">
        <f t="array" aca="1" ref="S152" ca="1">INDEX($D$2:$D$15,RANDBETWEEN(1,ROWS($D$2:$D$15)),1)</f>
        <v>9</v>
      </c>
      <c r="T152" cm="1">
        <f t="array" aca="1" ref="T152" ca="1">INDEX($D$2:$D$15,RANDBETWEEN(1,ROWS($D$2:$D$15)),1)</f>
        <v>3</v>
      </c>
      <c r="W152">
        <f t="shared" ca="1" si="8"/>
        <v>7.2666666666666666</v>
      </c>
      <c r="X152">
        <f t="shared" ca="1" si="9"/>
        <v>9</v>
      </c>
      <c r="Y152">
        <f t="shared" ca="1" si="10"/>
        <v>8.5</v>
      </c>
      <c r="Z152">
        <f t="shared" ca="1" si="11"/>
        <v>4.2839678981501423</v>
      </c>
    </row>
    <row r="153" spans="6:26" x14ac:dyDescent="0.35">
      <c r="F153" cm="1">
        <f t="array" aca="1" ref="F153" ca="1">INDEX($D$2:$D$15,RANDBETWEEN(1,ROWS($D$2:$D$15)),1)</f>
        <v>4</v>
      </c>
      <c r="G153" cm="1">
        <f t="array" aca="1" ref="G153" ca="1">INDEX($D$2:$D$15,RANDBETWEEN(1,ROWS($D$2:$D$15)),1)</f>
        <v>2</v>
      </c>
      <c r="H153" cm="1">
        <f t="array" aca="1" ref="H153" ca="1">INDEX($D$2:$D$15,RANDBETWEEN(1,ROWS($D$2:$D$15)),1)</f>
        <v>9</v>
      </c>
      <c r="I153" cm="1">
        <f t="array" aca="1" ref="I153" ca="1">INDEX($D$2:$D$15,RANDBETWEEN(1,ROWS($D$2:$D$15)),1)</f>
        <v>4</v>
      </c>
      <c r="J153" cm="1">
        <f t="array" aca="1" ref="J153" ca="1">INDEX($D$2:$D$15,RANDBETWEEN(1,ROWS($D$2:$D$15)),1)</f>
        <v>12</v>
      </c>
      <c r="K153" cm="1">
        <f t="array" aca="1" ref="K153" ca="1">INDEX($D$2:$D$15,RANDBETWEEN(1,ROWS($D$2:$D$15)),1)</f>
        <v>3</v>
      </c>
      <c r="L153" cm="1">
        <f t="array" aca="1" ref="L153" ca="1">INDEX($D$2:$D$15,RANDBETWEEN(1,ROWS($D$2:$D$15)),1)</f>
        <v>11</v>
      </c>
      <c r="M153" cm="1">
        <f t="array" aca="1" ref="M153" ca="1">INDEX($D$2:$D$15,RANDBETWEEN(1,ROWS($D$2:$D$15)),1)</f>
        <v>3</v>
      </c>
      <c r="N153" cm="1">
        <f t="array" aca="1" ref="N153" ca="1">INDEX($D$2:$D$15,RANDBETWEEN(1,ROWS($D$2:$D$15)),1)</f>
        <v>9</v>
      </c>
      <c r="O153" cm="1">
        <f t="array" aca="1" ref="O153" ca="1">INDEX($D$2:$D$15,RANDBETWEEN(1,ROWS($D$2:$D$15)),1)</f>
        <v>2</v>
      </c>
      <c r="P153" cm="1">
        <f t="array" aca="1" ref="P153" ca="1">INDEX($D$2:$D$15,RANDBETWEEN(1,ROWS($D$2:$D$15)),1)</f>
        <v>8</v>
      </c>
      <c r="Q153" cm="1">
        <f t="array" aca="1" ref="Q153" ca="1">INDEX($D$2:$D$15,RANDBETWEEN(1,ROWS($D$2:$D$15)),1)</f>
        <v>11</v>
      </c>
      <c r="R153" cm="1">
        <f t="array" aca="1" ref="R153" ca="1">INDEX($D$2:$D$15,RANDBETWEEN(1,ROWS($D$2:$D$15)),1)</f>
        <v>4</v>
      </c>
      <c r="S153" cm="1">
        <f t="array" aca="1" ref="S153" ca="1">INDEX($D$2:$D$15,RANDBETWEEN(1,ROWS($D$2:$D$15)),1)</f>
        <v>12</v>
      </c>
      <c r="T153" cm="1">
        <f t="array" aca="1" ref="T153" ca="1">INDEX($D$2:$D$15,RANDBETWEEN(1,ROWS($D$2:$D$15)),1)</f>
        <v>11</v>
      </c>
      <c r="W153">
        <f t="shared" ca="1" si="8"/>
        <v>7</v>
      </c>
      <c r="X153">
        <f t="shared" ca="1" si="9"/>
        <v>8</v>
      </c>
      <c r="Y153">
        <f t="shared" ca="1" si="10"/>
        <v>7.5</v>
      </c>
      <c r="Z153">
        <f t="shared" ca="1" si="11"/>
        <v>3.927922024247863</v>
      </c>
    </row>
    <row r="154" spans="6:26" x14ac:dyDescent="0.35">
      <c r="F154" cm="1">
        <f t="array" aca="1" ref="F154" ca="1">INDEX($D$2:$D$15,RANDBETWEEN(1,ROWS($D$2:$D$15)),1)</f>
        <v>12</v>
      </c>
      <c r="G154" cm="1">
        <f t="array" aca="1" ref="G154" ca="1">INDEX($D$2:$D$15,RANDBETWEEN(1,ROWS($D$2:$D$15)),1)</f>
        <v>9</v>
      </c>
      <c r="H154" cm="1">
        <f t="array" aca="1" ref="H154" ca="1">INDEX($D$2:$D$15,RANDBETWEEN(1,ROWS($D$2:$D$15)),1)</f>
        <v>8</v>
      </c>
      <c r="I154" cm="1">
        <f t="array" aca="1" ref="I154" ca="1">INDEX($D$2:$D$15,RANDBETWEEN(1,ROWS($D$2:$D$15)),1)</f>
        <v>2</v>
      </c>
      <c r="J154" cm="1">
        <f t="array" aca="1" ref="J154" ca="1">INDEX($D$2:$D$15,RANDBETWEEN(1,ROWS($D$2:$D$15)),1)</f>
        <v>10</v>
      </c>
      <c r="K154" cm="1">
        <f t="array" aca="1" ref="K154" ca="1">INDEX($D$2:$D$15,RANDBETWEEN(1,ROWS($D$2:$D$15)),1)</f>
        <v>4</v>
      </c>
      <c r="L154" cm="1">
        <f t="array" aca="1" ref="L154" ca="1">INDEX($D$2:$D$15,RANDBETWEEN(1,ROWS($D$2:$D$15)),1)</f>
        <v>4</v>
      </c>
      <c r="M154" cm="1">
        <f t="array" aca="1" ref="M154" ca="1">INDEX($D$2:$D$15,RANDBETWEEN(1,ROWS($D$2:$D$15)),1)</f>
        <v>4</v>
      </c>
      <c r="N154" cm="1">
        <f t="array" aca="1" ref="N154" ca="1">INDEX($D$2:$D$15,RANDBETWEEN(1,ROWS($D$2:$D$15)),1)</f>
        <v>11</v>
      </c>
      <c r="O154" cm="1">
        <f t="array" aca="1" ref="O154" ca="1">INDEX($D$2:$D$15,RANDBETWEEN(1,ROWS($D$2:$D$15)),1)</f>
        <v>9</v>
      </c>
      <c r="P154" cm="1">
        <f t="array" aca="1" ref="P154" ca="1">INDEX($D$2:$D$15,RANDBETWEEN(1,ROWS($D$2:$D$15)),1)</f>
        <v>12</v>
      </c>
      <c r="Q154" cm="1">
        <f t="array" aca="1" ref="Q154" ca="1">INDEX($D$2:$D$15,RANDBETWEEN(1,ROWS($D$2:$D$15)),1)</f>
        <v>2</v>
      </c>
      <c r="R154" cm="1">
        <f t="array" aca="1" ref="R154" ca="1">INDEX($D$2:$D$15,RANDBETWEEN(1,ROWS($D$2:$D$15)),1)</f>
        <v>4</v>
      </c>
      <c r="S154" cm="1">
        <f t="array" aca="1" ref="S154" ca="1">INDEX($D$2:$D$15,RANDBETWEEN(1,ROWS($D$2:$D$15)),1)</f>
        <v>12</v>
      </c>
      <c r="T154" cm="1">
        <f t="array" aca="1" ref="T154" ca="1">INDEX($D$2:$D$15,RANDBETWEEN(1,ROWS($D$2:$D$15)),1)</f>
        <v>2</v>
      </c>
      <c r="W154">
        <f t="shared" ca="1" si="8"/>
        <v>7</v>
      </c>
      <c r="X154">
        <f t="shared" ca="1" si="9"/>
        <v>8</v>
      </c>
      <c r="Y154">
        <f t="shared" ca="1" si="10"/>
        <v>6.5</v>
      </c>
      <c r="Z154">
        <f t="shared" ca="1" si="11"/>
        <v>3.9641248358604595</v>
      </c>
    </row>
    <row r="155" spans="6:26" x14ac:dyDescent="0.35">
      <c r="F155" cm="1">
        <f t="array" aca="1" ref="F155" ca="1">INDEX($D$2:$D$15,RANDBETWEEN(1,ROWS($D$2:$D$15)),1)</f>
        <v>4</v>
      </c>
      <c r="G155" cm="1">
        <f t="array" aca="1" ref="G155" ca="1">INDEX($D$2:$D$15,RANDBETWEEN(1,ROWS($D$2:$D$15)),1)</f>
        <v>10</v>
      </c>
      <c r="H155" cm="1">
        <f t="array" aca="1" ref="H155" ca="1">INDEX($D$2:$D$15,RANDBETWEEN(1,ROWS($D$2:$D$15)),1)</f>
        <v>4</v>
      </c>
      <c r="I155" cm="1">
        <f t="array" aca="1" ref="I155" ca="1">INDEX($D$2:$D$15,RANDBETWEEN(1,ROWS($D$2:$D$15)),1)</f>
        <v>3</v>
      </c>
      <c r="J155" cm="1">
        <f t="array" aca="1" ref="J155" ca="1">INDEX($D$2:$D$15,RANDBETWEEN(1,ROWS($D$2:$D$15)),1)</f>
        <v>11</v>
      </c>
      <c r="K155" cm="1">
        <f t="array" aca="1" ref="K155" ca="1">INDEX($D$2:$D$15,RANDBETWEEN(1,ROWS($D$2:$D$15)),1)</f>
        <v>13</v>
      </c>
      <c r="L155" cm="1">
        <f t="array" aca="1" ref="L155" ca="1">INDEX($D$2:$D$15,RANDBETWEEN(1,ROWS($D$2:$D$15)),1)</f>
        <v>11</v>
      </c>
      <c r="M155" cm="1">
        <f t="array" aca="1" ref="M155" ca="1">INDEX($D$2:$D$15,RANDBETWEEN(1,ROWS($D$2:$D$15)),1)</f>
        <v>2</v>
      </c>
      <c r="N155" cm="1">
        <f t="array" aca="1" ref="N155" ca="1">INDEX($D$2:$D$15,RANDBETWEEN(1,ROWS($D$2:$D$15)),1)</f>
        <v>8</v>
      </c>
      <c r="O155" cm="1">
        <f t="array" aca="1" ref="O155" ca="1">INDEX($D$2:$D$15,RANDBETWEEN(1,ROWS($D$2:$D$15)),1)</f>
        <v>8</v>
      </c>
      <c r="P155" cm="1">
        <f t="array" aca="1" ref="P155" ca="1">INDEX($D$2:$D$15,RANDBETWEEN(1,ROWS($D$2:$D$15)),1)</f>
        <v>12</v>
      </c>
      <c r="Q155" cm="1">
        <f t="array" aca="1" ref="Q155" ca="1">INDEX($D$2:$D$15,RANDBETWEEN(1,ROWS($D$2:$D$15)),1)</f>
        <v>12</v>
      </c>
      <c r="R155" cm="1">
        <f t="array" aca="1" ref="R155" ca="1">INDEX($D$2:$D$15,RANDBETWEEN(1,ROWS($D$2:$D$15)),1)</f>
        <v>2</v>
      </c>
      <c r="S155" cm="1">
        <f t="array" aca="1" ref="S155" ca="1">INDEX($D$2:$D$15,RANDBETWEEN(1,ROWS($D$2:$D$15)),1)</f>
        <v>11</v>
      </c>
      <c r="T155" cm="1">
        <f t="array" aca="1" ref="T155" ca="1">INDEX($D$2:$D$15,RANDBETWEEN(1,ROWS($D$2:$D$15)),1)</f>
        <v>9</v>
      </c>
      <c r="W155">
        <f t="shared" ca="1" si="8"/>
        <v>8</v>
      </c>
      <c r="X155">
        <f t="shared" ca="1" si="9"/>
        <v>9</v>
      </c>
      <c r="Y155">
        <f t="shared" ca="1" si="10"/>
        <v>7</v>
      </c>
      <c r="Z155">
        <f t="shared" ca="1" si="11"/>
        <v>3.9460649476951808</v>
      </c>
    </row>
    <row r="156" spans="6:26" x14ac:dyDescent="0.35">
      <c r="F156" cm="1">
        <f t="array" aca="1" ref="F156" ca="1">INDEX($D$2:$D$15,RANDBETWEEN(1,ROWS($D$2:$D$15)),1)</f>
        <v>9</v>
      </c>
      <c r="G156" cm="1">
        <f t="array" aca="1" ref="G156" ca="1">INDEX($D$2:$D$15,RANDBETWEEN(1,ROWS($D$2:$D$15)),1)</f>
        <v>13</v>
      </c>
      <c r="H156" cm="1">
        <f t="array" aca="1" ref="H156" ca="1">INDEX($D$2:$D$15,RANDBETWEEN(1,ROWS($D$2:$D$15)),1)</f>
        <v>9</v>
      </c>
      <c r="I156" cm="1">
        <f t="array" aca="1" ref="I156" ca="1">INDEX($D$2:$D$15,RANDBETWEEN(1,ROWS($D$2:$D$15)),1)</f>
        <v>9</v>
      </c>
      <c r="J156" cm="1">
        <f t="array" aca="1" ref="J156" ca="1">INDEX($D$2:$D$15,RANDBETWEEN(1,ROWS($D$2:$D$15)),1)</f>
        <v>4</v>
      </c>
      <c r="K156" cm="1">
        <f t="array" aca="1" ref="K156" ca="1">INDEX($D$2:$D$15,RANDBETWEEN(1,ROWS($D$2:$D$15)),1)</f>
        <v>8</v>
      </c>
      <c r="L156" cm="1">
        <f t="array" aca="1" ref="L156" ca="1">INDEX($D$2:$D$15,RANDBETWEEN(1,ROWS($D$2:$D$15)),1)</f>
        <v>8</v>
      </c>
      <c r="M156" cm="1">
        <f t="array" aca="1" ref="M156" ca="1">INDEX($D$2:$D$15,RANDBETWEEN(1,ROWS($D$2:$D$15)),1)</f>
        <v>4</v>
      </c>
      <c r="N156" cm="1">
        <f t="array" aca="1" ref="N156" ca="1">INDEX($D$2:$D$15,RANDBETWEEN(1,ROWS($D$2:$D$15)),1)</f>
        <v>9</v>
      </c>
      <c r="O156" cm="1">
        <f t="array" aca="1" ref="O156" ca="1">INDEX($D$2:$D$15,RANDBETWEEN(1,ROWS($D$2:$D$15)),1)</f>
        <v>11</v>
      </c>
      <c r="P156" cm="1">
        <f t="array" aca="1" ref="P156" ca="1">INDEX($D$2:$D$15,RANDBETWEEN(1,ROWS($D$2:$D$15)),1)</f>
        <v>11</v>
      </c>
      <c r="Q156" cm="1">
        <f t="array" aca="1" ref="Q156" ca="1">INDEX($D$2:$D$15,RANDBETWEEN(1,ROWS($D$2:$D$15)),1)</f>
        <v>4</v>
      </c>
      <c r="R156" cm="1">
        <f t="array" aca="1" ref="R156" ca="1">INDEX($D$2:$D$15,RANDBETWEEN(1,ROWS($D$2:$D$15)),1)</f>
        <v>12</v>
      </c>
      <c r="S156" cm="1">
        <f t="array" aca="1" ref="S156" ca="1">INDEX($D$2:$D$15,RANDBETWEEN(1,ROWS($D$2:$D$15)),1)</f>
        <v>11</v>
      </c>
      <c r="T156" cm="1">
        <f t="array" aca="1" ref="T156" ca="1">INDEX($D$2:$D$15,RANDBETWEEN(1,ROWS($D$2:$D$15)),1)</f>
        <v>10</v>
      </c>
      <c r="W156">
        <f t="shared" ca="1" si="8"/>
        <v>8.8000000000000007</v>
      </c>
      <c r="X156">
        <f t="shared" ca="1" si="9"/>
        <v>9</v>
      </c>
      <c r="Y156">
        <f t="shared" ca="1" si="10"/>
        <v>3</v>
      </c>
      <c r="Z156">
        <f t="shared" ca="1" si="11"/>
        <v>2.8585710716070323</v>
      </c>
    </row>
    <row r="157" spans="6:26" x14ac:dyDescent="0.35">
      <c r="F157" cm="1">
        <f t="array" aca="1" ref="F157" ca="1">INDEX($D$2:$D$15,RANDBETWEEN(1,ROWS($D$2:$D$15)),1)</f>
        <v>9</v>
      </c>
      <c r="G157" cm="1">
        <f t="array" aca="1" ref="G157" ca="1">INDEX($D$2:$D$15,RANDBETWEEN(1,ROWS($D$2:$D$15)),1)</f>
        <v>12</v>
      </c>
      <c r="H157" cm="1">
        <f t="array" aca="1" ref="H157" ca="1">INDEX($D$2:$D$15,RANDBETWEEN(1,ROWS($D$2:$D$15)),1)</f>
        <v>3</v>
      </c>
      <c r="I157" cm="1">
        <f t="array" aca="1" ref="I157" ca="1">INDEX($D$2:$D$15,RANDBETWEEN(1,ROWS($D$2:$D$15)),1)</f>
        <v>9</v>
      </c>
      <c r="J157" cm="1">
        <f t="array" aca="1" ref="J157" ca="1">INDEX($D$2:$D$15,RANDBETWEEN(1,ROWS($D$2:$D$15)),1)</f>
        <v>13</v>
      </c>
      <c r="K157" cm="1">
        <f t="array" aca="1" ref="K157" ca="1">INDEX($D$2:$D$15,RANDBETWEEN(1,ROWS($D$2:$D$15)),1)</f>
        <v>12</v>
      </c>
      <c r="L157" cm="1">
        <f t="array" aca="1" ref="L157" ca="1">INDEX($D$2:$D$15,RANDBETWEEN(1,ROWS($D$2:$D$15)),1)</f>
        <v>4</v>
      </c>
      <c r="M157" cm="1">
        <f t="array" aca="1" ref="M157" ca="1">INDEX($D$2:$D$15,RANDBETWEEN(1,ROWS($D$2:$D$15)),1)</f>
        <v>11</v>
      </c>
      <c r="N157" cm="1">
        <f t="array" aca="1" ref="N157" ca="1">INDEX($D$2:$D$15,RANDBETWEEN(1,ROWS($D$2:$D$15)),1)</f>
        <v>4</v>
      </c>
      <c r="O157" cm="1">
        <f t="array" aca="1" ref="O157" ca="1">INDEX($D$2:$D$15,RANDBETWEEN(1,ROWS($D$2:$D$15)),1)</f>
        <v>9</v>
      </c>
      <c r="P157" cm="1">
        <f t="array" aca="1" ref="P157" ca="1">INDEX($D$2:$D$15,RANDBETWEEN(1,ROWS($D$2:$D$15)),1)</f>
        <v>10</v>
      </c>
      <c r="Q157" cm="1">
        <f t="array" aca="1" ref="Q157" ca="1">INDEX($D$2:$D$15,RANDBETWEEN(1,ROWS($D$2:$D$15)),1)</f>
        <v>13</v>
      </c>
      <c r="R157" cm="1">
        <f t="array" aca="1" ref="R157" ca="1">INDEX($D$2:$D$15,RANDBETWEEN(1,ROWS($D$2:$D$15)),1)</f>
        <v>9</v>
      </c>
      <c r="S157" cm="1">
        <f t="array" aca="1" ref="S157" ca="1">INDEX($D$2:$D$15,RANDBETWEEN(1,ROWS($D$2:$D$15)),1)</f>
        <v>4</v>
      </c>
      <c r="T157" cm="1">
        <f t="array" aca="1" ref="T157" ca="1">INDEX($D$2:$D$15,RANDBETWEEN(1,ROWS($D$2:$D$15)),1)</f>
        <v>12</v>
      </c>
      <c r="W157">
        <f t="shared" ca="1" si="8"/>
        <v>8.9333333333333336</v>
      </c>
      <c r="X157">
        <f t="shared" ca="1" si="9"/>
        <v>9</v>
      </c>
      <c r="Y157">
        <f t="shared" ca="1" si="10"/>
        <v>5.5</v>
      </c>
      <c r="Z157">
        <f t="shared" ca="1" si="11"/>
        <v>3.5348604067541478</v>
      </c>
    </row>
    <row r="158" spans="6:26" x14ac:dyDescent="0.35">
      <c r="F158" cm="1">
        <f t="array" aca="1" ref="F158" ca="1">INDEX($D$2:$D$15,RANDBETWEEN(1,ROWS($D$2:$D$15)),1)</f>
        <v>3</v>
      </c>
      <c r="G158" cm="1">
        <f t="array" aca="1" ref="G158" ca="1">INDEX($D$2:$D$15,RANDBETWEEN(1,ROWS($D$2:$D$15)),1)</f>
        <v>12</v>
      </c>
      <c r="H158" cm="1">
        <f t="array" aca="1" ref="H158" ca="1">INDEX($D$2:$D$15,RANDBETWEEN(1,ROWS($D$2:$D$15)),1)</f>
        <v>10</v>
      </c>
      <c r="I158" cm="1">
        <f t="array" aca="1" ref="I158" ca="1">INDEX($D$2:$D$15,RANDBETWEEN(1,ROWS($D$2:$D$15)),1)</f>
        <v>8</v>
      </c>
      <c r="J158" cm="1">
        <f t="array" aca="1" ref="J158" ca="1">INDEX($D$2:$D$15,RANDBETWEEN(1,ROWS($D$2:$D$15)),1)</f>
        <v>11</v>
      </c>
      <c r="K158" cm="1">
        <f t="array" aca="1" ref="K158" ca="1">INDEX($D$2:$D$15,RANDBETWEEN(1,ROWS($D$2:$D$15)),1)</f>
        <v>12</v>
      </c>
      <c r="L158" cm="1">
        <f t="array" aca="1" ref="L158" ca="1">INDEX($D$2:$D$15,RANDBETWEEN(1,ROWS($D$2:$D$15)),1)</f>
        <v>12</v>
      </c>
      <c r="M158" cm="1">
        <f t="array" aca="1" ref="M158" ca="1">INDEX($D$2:$D$15,RANDBETWEEN(1,ROWS($D$2:$D$15)),1)</f>
        <v>4</v>
      </c>
      <c r="N158" cm="1">
        <f t="array" aca="1" ref="N158" ca="1">INDEX($D$2:$D$15,RANDBETWEEN(1,ROWS($D$2:$D$15)),1)</f>
        <v>8</v>
      </c>
      <c r="O158" cm="1">
        <f t="array" aca="1" ref="O158" ca="1">INDEX($D$2:$D$15,RANDBETWEEN(1,ROWS($D$2:$D$15)),1)</f>
        <v>9</v>
      </c>
      <c r="P158" cm="1">
        <f t="array" aca="1" ref="P158" ca="1">INDEX($D$2:$D$15,RANDBETWEEN(1,ROWS($D$2:$D$15)),1)</f>
        <v>4</v>
      </c>
      <c r="Q158" cm="1">
        <f t="array" aca="1" ref="Q158" ca="1">INDEX($D$2:$D$15,RANDBETWEEN(1,ROWS($D$2:$D$15)),1)</f>
        <v>4</v>
      </c>
      <c r="R158" cm="1">
        <f t="array" aca="1" ref="R158" ca="1">INDEX($D$2:$D$15,RANDBETWEEN(1,ROWS($D$2:$D$15)),1)</f>
        <v>13</v>
      </c>
      <c r="S158" cm="1">
        <f t="array" aca="1" ref="S158" ca="1">INDEX($D$2:$D$15,RANDBETWEEN(1,ROWS($D$2:$D$15)),1)</f>
        <v>10</v>
      </c>
      <c r="T158" cm="1">
        <f t="array" aca="1" ref="T158" ca="1">INDEX($D$2:$D$15,RANDBETWEEN(1,ROWS($D$2:$D$15)),1)</f>
        <v>2</v>
      </c>
      <c r="W158">
        <f t="shared" ca="1" si="8"/>
        <v>8.1333333333333329</v>
      </c>
      <c r="X158">
        <f t="shared" ca="1" si="9"/>
        <v>9</v>
      </c>
      <c r="Y158">
        <f t="shared" ca="1" si="10"/>
        <v>7.5</v>
      </c>
      <c r="Z158">
        <f t="shared" ca="1" si="11"/>
        <v>3.7771241264574118</v>
      </c>
    </row>
    <row r="159" spans="6:26" x14ac:dyDescent="0.35">
      <c r="F159" cm="1">
        <f t="array" aca="1" ref="F159" ca="1">INDEX($D$2:$D$15,RANDBETWEEN(1,ROWS($D$2:$D$15)),1)</f>
        <v>4</v>
      </c>
      <c r="G159" cm="1">
        <f t="array" aca="1" ref="G159" ca="1">INDEX($D$2:$D$15,RANDBETWEEN(1,ROWS($D$2:$D$15)),1)</f>
        <v>10</v>
      </c>
      <c r="H159" cm="1">
        <f t="array" aca="1" ref="H159" ca="1">INDEX($D$2:$D$15,RANDBETWEEN(1,ROWS($D$2:$D$15)),1)</f>
        <v>11</v>
      </c>
      <c r="I159" cm="1">
        <f t="array" aca="1" ref="I159" ca="1">INDEX($D$2:$D$15,RANDBETWEEN(1,ROWS($D$2:$D$15)),1)</f>
        <v>4</v>
      </c>
      <c r="J159" cm="1">
        <f t="array" aca="1" ref="J159" ca="1">INDEX($D$2:$D$15,RANDBETWEEN(1,ROWS($D$2:$D$15)),1)</f>
        <v>12</v>
      </c>
      <c r="K159" cm="1">
        <f t="array" aca="1" ref="K159" ca="1">INDEX($D$2:$D$15,RANDBETWEEN(1,ROWS($D$2:$D$15)),1)</f>
        <v>4</v>
      </c>
      <c r="L159" cm="1">
        <f t="array" aca="1" ref="L159" ca="1">INDEX($D$2:$D$15,RANDBETWEEN(1,ROWS($D$2:$D$15)),1)</f>
        <v>13</v>
      </c>
      <c r="M159" cm="1">
        <f t="array" aca="1" ref="M159" ca="1">INDEX($D$2:$D$15,RANDBETWEEN(1,ROWS($D$2:$D$15)),1)</f>
        <v>4</v>
      </c>
      <c r="N159" cm="1">
        <f t="array" aca="1" ref="N159" ca="1">INDEX($D$2:$D$15,RANDBETWEEN(1,ROWS($D$2:$D$15)),1)</f>
        <v>11</v>
      </c>
      <c r="O159" cm="1">
        <f t="array" aca="1" ref="O159" ca="1">INDEX($D$2:$D$15,RANDBETWEEN(1,ROWS($D$2:$D$15)),1)</f>
        <v>11</v>
      </c>
      <c r="P159" cm="1">
        <f t="array" aca="1" ref="P159" ca="1">INDEX($D$2:$D$15,RANDBETWEEN(1,ROWS($D$2:$D$15)),1)</f>
        <v>4</v>
      </c>
      <c r="Q159" cm="1">
        <f t="array" aca="1" ref="Q159" ca="1">INDEX($D$2:$D$15,RANDBETWEEN(1,ROWS($D$2:$D$15)),1)</f>
        <v>11</v>
      </c>
      <c r="R159" cm="1">
        <f t="array" aca="1" ref="R159" ca="1">INDEX($D$2:$D$15,RANDBETWEEN(1,ROWS($D$2:$D$15)),1)</f>
        <v>9</v>
      </c>
      <c r="S159" cm="1">
        <f t="array" aca="1" ref="S159" ca="1">INDEX($D$2:$D$15,RANDBETWEEN(1,ROWS($D$2:$D$15)),1)</f>
        <v>4</v>
      </c>
      <c r="T159" cm="1">
        <f t="array" aca="1" ref="T159" ca="1">INDEX($D$2:$D$15,RANDBETWEEN(1,ROWS($D$2:$D$15)),1)</f>
        <v>3</v>
      </c>
      <c r="W159">
        <f t="shared" ca="1" si="8"/>
        <v>7.666666666666667</v>
      </c>
      <c r="X159">
        <f t="shared" ca="1" si="9"/>
        <v>9</v>
      </c>
      <c r="Y159">
        <f t="shared" ca="1" si="10"/>
        <v>7</v>
      </c>
      <c r="Z159">
        <f t="shared" ca="1" si="11"/>
        <v>3.7922226175361042</v>
      </c>
    </row>
    <row r="160" spans="6:26" x14ac:dyDescent="0.35">
      <c r="F160" cm="1">
        <f t="array" aca="1" ref="F160" ca="1">INDEX($D$2:$D$15,RANDBETWEEN(1,ROWS($D$2:$D$15)),1)</f>
        <v>2</v>
      </c>
      <c r="G160" cm="1">
        <f t="array" aca="1" ref="G160" ca="1">INDEX($D$2:$D$15,RANDBETWEEN(1,ROWS($D$2:$D$15)),1)</f>
        <v>4</v>
      </c>
      <c r="H160" cm="1">
        <f t="array" aca="1" ref="H160" ca="1">INDEX($D$2:$D$15,RANDBETWEEN(1,ROWS($D$2:$D$15)),1)</f>
        <v>13</v>
      </c>
      <c r="I160" cm="1">
        <f t="array" aca="1" ref="I160" ca="1">INDEX($D$2:$D$15,RANDBETWEEN(1,ROWS($D$2:$D$15)),1)</f>
        <v>4</v>
      </c>
      <c r="J160" cm="1">
        <f t="array" aca="1" ref="J160" ca="1">INDEX($D$2:$D$15,RANDBETWEEN(1,ROWS($D$2:$D$15)),1)</f>
        <v>12</v>
      </c>
      <c r="K160" cm="1">
        <f t="array" aca="1" ref="K160" ca="1">INDEX($D$2:$D$15,RANDBETWEEN(1,ROWS($D$2:$D$15)),1)</f>
        <v>10</v>
      </c>
      <c r="L160" cm="1">
        <f t="array" aca="1" ref="L160" ca="1">INDEX($D$2:$D$15,RANDBETWEEN(1,ROWS($D$2:$D$15)),1)</f>
        <v>9</v>
      </c>
      <c r="M160" cm="1">
        <f t="array" aca="1" ref="M160" ca="1">INDEX($D$2:$D$15,RANDBETWEEN(1,ROWS($D$2:$D$15)),1)</f>
        <v>11</v>
      </c>
      <c r="N160" cm="1">
        <f t="array" aca="1" ref="N160" ca="1">INDEX($D$2:$D$15,RANDBETWEEN(1,ROWS($D$2:$D$15)),1)</f>
        <v>12</v>
      </c>
      <c r="O160" cm="1">
        <f t="array" aca="1" ref="O160" ca="1">INDEX($D$2:$D$15,RANDBETWEEN(1,ROWS($D$2:$D$15)),1)</f>
        <v>9</v>
      </c>
      <c r="P160" cm="1">
        <f t="array" aca="1" ref="P160" ca="1">INDEX($D$2:$D$15,RANDBETWEEN(1,ROWS($D$2:$D$15)),1)</f>
        <v>4</v>
      </c>
      <c r="Q160" cm="1">
        <f t="array" aca="1" ref="Q160" ca="1">INDEX($D$2:$D$15,RANDBETWEEN(1,ROWS($D$2:$D$15)),1)</f>
        <v>9</v>
      </c>
      <c r="R160" cm="1">
        <f t="array" aca="1" ref="R160" ca="1">INDEX($D$2:$D$15,RANDBETWEEN(1,ROWS($D$2:$D$15)),1)</f>
        <v>13</v>
      </c>
      <c r="S160" cm="1">
        <f t="array" aca="1" ref="S160" ca="1">INDEX($D$2:$D$15,RANDBETWEEN(1,ROWS($D$2:$D$15)),1)</f>
        <v>3</v>
      </c>
      <c r="T160" cm="1">
        <f t="array" aca="1" ref="T160" ca="1">INDEX($D$2:$D$15,RANDBETWEEN(1,ROWS($D$2:$D$15)),1)</f>
        <v>9</v>
      </c>
      <c r="W160">
        <f t="shared" ca="1" si="8"/>
        <v>8.2666666666666675</v>
      </c>
      <c r="X160">
        <f t="shared" ca="1" si="9"/>
        <v>9</v>
      </c>
      <c r="Y160">
        <f t="shared" ca="1" si="10"/>
        <v>7.5</v>
      </c>
      <c r="Z160">
        <f t="shared" ca="1" si="11"/>
        <v>3.8446004188930201</v>
      </c>
    </row>
    <row r="161" spans="6:26" x14ac:dyDescent="0.35">
      <c r="F161" cm="1">
        <f t="array" aca="1" ref="F161" ca="1">INDEX($D$2:$D$15,RANDBETWEEN(1,ROWS($D$2:$D$15)),1)</f>
        <v>9</v>
      </c>
      <c r="G161" cm="1">
        <f t="array" aca="1" ref="G161" ca="1">INDEX($D$2:$D$15,RANDBETWEEN(1,ROWS($D$2:$D$15)),1)</f>
        <v>4</v>
      </c>
      <c r="H161" cm="1">
        <f t="array" aca="1" ref="H161" ca="1">INDEX($D$2:$D$15,RANDBETWEEN(1,ROWS($D$2:$D$15)),1)</f>
        <v>10</v>
      </c>
      <c r="I161" cm="1">
        <f t="array" aca="1" ref="I161" ca="1">INDEX($D$2:$D$15,RANDBETWEEN(1,ROWS($D$2:$D$15)),1)</f>
        <v>2</v>
      </c>
      <c r="J161" cm="1">
        <f t="array" aca="1" ref="J161" ca="1">INDEX($D$2:$D$15,RANDBETWEEN(1,ROWS($D$2:$D$15)),1)</f>
        <v>12</v>
      </c>
      <c r="K161" cm="1">
        <f t="array" aca="1" ref="K161" ca="1">INDEX($D$2:$D$15,RANDBETWEEN(1,ROWS($D$2:$D$15)),1)</f>
        <v>12</v>
      </c>
      <c r="L161" cm="1">
        <f t="array" aca="1" ref="L161" ca="1">INDEX($D$2:$D$15,RANDBETWEEN(1,ROWS($D$2:$D$15)),1)</f>
        <v>11</v>
      </c>
      <c r="M161" cm="1">
        <f t="array" aca="1" ref="M161" ca="1">INDEX($D$2:$D$15,RANDBETWEEN(1,ROWS($D$2:$D$15)),1)</f>
        <v>12</v>
      </c>
      <c r="N161" cm="1">
        <f t="array" aca="1" ref="N161" ca="1">INDEX($D$2:$D$15,RANDBETWEEN(1,ROWS($D$2:$D$15)),1)</f>
        <v>3</v>
      </c>
      <c r="O161" cm="1">
        <f t="array" aca="1" ref="O161" ca="1">INDEX($D$2:$D$15,RANDBETWEEN(1,ROWS($D$2:$D$15)),1)</f>
        <v>10</v>
      </c>
      <c r="P161" cm="1">
        <f t="array" aca="1" ref="P161" ca="1">INDEX($D$2:$D$15,RANDBETWEEN(1,ROWS($D$2:$D$15)),1)</f>
        <v>9</v>
      </c>
      <c r="Q161" cm="1">
        <f t="array" aca="1" ref="Q161" ca="1">INDEX($D$2:$D$15,RANDBETWEEN(1,ROWS($D$2:$D$15)),1)</f>
        <v>4</v>
      </c>
      <c r="R161" cm="1">
        <f t="array" aca="1" ref="R161" ca="1">INDEX($D$2:$D$15,RANDBETWEEN(1,ROWS($D$2:$D$15)),1)</f>
        <v>8</v>
      </c>
      <c r="S161" cm="1">
        <f t="array" aca="1" ref="S161" ca="1">INDEX($D$2:$D$15,RANDBETWEEN(1,ROWS($D$2:$D$15)),1)</f>
        <v>8</v>
      </c>
      <c r="T161" cm="1">
        <f t="array" aca="1" ref="T161" ca="1">INDEX($D$2:$D$15,RANDBETWEEN(1,ROWS($D$2:$D$15)),1)</f>
        <v>4</v>
      </c>
      <c r="W161">
        <f t="shared" ca="1" si="8"/>
        <v>7.8666666666666663</v>
      </c>
      <c r="X161">
        <f t="shared" ca="1" si="9"/>
        <v>9</v>
      </c>
      <c r="Y161">
        <f t="shared" ca="1" si="10"/>
        <v>6.5</v>
      </c>
      <c r="Z161">
        <f t="shared" ca="1" si="11"/>
        <v>3.5429339469401562</v>
      </c>
    </row>
    <row r="162" spans="6:26" x14ac:dyDescent="0.35">
      <c r="F162" cm="1">
        <f t="array" aca="1" ref="F162" ca="1">INDEX($D$2:$D$15,RANDBETWEEN(1,ROWS($D$2:$D$15)),1)</f>
        <v>9</v>
      </c>
      <c r="G162" cm="1">
        <f t="array" aca="1" ref="G162" ca="1">INDEX($D$2:$D$15,RANDBETWEEN(1,ROWS($D$2:$D$15)),1)</f>
        <v>13</v>
      </c>
      <c r="H162" cm="1">
        <f t="array" aca="1" ref="H162" ca="1">INDEX($D$2:$D$15,RANDBETWEEN(1,ROWS($D$2:$D$15)),1)</f>
        <v>13</v>
      </c>
      <c r="I162" cm="1">
        <f t="array" aca="1" ref="I162" ca="1">INDEX($D$2:$D$15,RANDBETWEEN(1,ROWS($D$2:$D$15)),1)</f>
        <v>10</v>
      </c>
      <c r="J162" cm="1">
        <f t="array" aca="1" ref="J162" ca="1">INDEX($D$2:$D$15,RANDBETWEEN(1,ROWS($D$2:$D$15)),1)</f>
        <v>10</v>
      </c>
      <c r="K162" cm="1">
        <f t="array" aca="1" ref="K162" ca="1">INDEX($D$2:$D$15,RANDBETWEEN(1,ROWS($D$2:$D$15)),1)</f>
        <v>2</v>
      </c>
      <c r="L162" cm="1">
        <f t="array" aca="1" ref="L162" ca="1">INDEX($D$2:$D$15,RANDBETWEEN(1,ROWS($D$2:$D$15)),1)</f>
        <v>3</v>
      </c>
      <c r="M162" cm="1">
        <f t="array" aca="1" ref="M162" ca="1">INDEX($D$2:$D$15,RANDBETWEEN(1,ROWS($D$2:$D$15)),1)</f>
        <v>13</v>
      </c>
      <c r="N162" cm="1">
        <f t="array" aca="1" ref="N162" ca="1">INDEX($D$2:$D$15,RANDBETWEEN(1,ROWS($D$2:$D$15)),1)</f>
        <v>4</v>
      </c>
      <c r="O162" cm="1">
        <f t="array" aca="1" ref="O162" ca="1">INDEX($D$2:$D$15,RANDBETWEEN(1,ROWS($D$2:$D$15)),1)</f>
        <v>11</v>
      </c>
      <c r="P162" cm="1">
        <f t="array" aca="1" ref="P162" ca="1">INDEX($D$2:$D$15,RANDBETWEEN(1,ROWS($D$2:$D$15)),1)</f>
        <v>12</v>
      </c>
      <c r="Q162" cm="1">
        <f t="array" aca="1" ref="Q162" ca="1">INDEX($D$2:$D$15,RANDBETWEEN(1,ROWS($D$2:$D$15)),1)</f>
        <v>9</v>
      </c>
      <c r="R162" cm="1">
        <f t="array" aca="1" ref="R162" ca="1">INDEX($D$2:$D$15,RANDBETWEEN(1,ROWS($D$2:$D$15)),1)</f>
        <v>13</v>
      </c>
      <c r="S162" cm="1">
        <f t="array" aca="1" ref="S162" ca="1">INDEX($D$2:$D$15,RANDBETWEEN(1,ROWS($D$2:$D$15)),1)</f>
        <v>4</v>
      </c>
      <c r="T162" cm="1">
        <f t="array" aca="1" ref="T162" ca="1">INDEX($D$2:$D$15,RANDBETWEEN(1,ROWS($D$2:$D$15)),1)</f>
        <v>9</v>
      </c>
      <c r="W162">
        <f t="shared" ca="1" si="8"/>
        <v>9</v>
      </c>
      <c r="X162">
        <f t="shared" ca="1" si="9"/>
        <v>10</v>
      </c>
      <c r="Y162">
        <f t="shared" ca="1" si="10"/>
        <v>6</v>
      </c>
      <c r="Z162">
        <f t="shared" ca="1" si="11"/>
        <v>3.9096949095440028</v>
      </c>
    </row>
    <row r="163" spans="6:26" x14ac:dyDescent="0.35">
      <c r="F163" cm="1">
        <f t="array" aca="1" ref="F163" ca="1">INDEX($D$2:$D$15,RANDBETWEEN(1,ROWS($D$2:$D$15)),1)</f>
        <v>12</v>
      </c>
      <c r="G163" cm="1">
        <f t="array" aca="1" ref="G163" ca="1">INDEX($D$2:$D$15,RANDBETWEEN(1,ROWS($D$2:$D$15)),1)</f>
        <v>9</v>
      </c>
      <c r="H163" cm="1">
        <f t="array" aca="1" ref="H163" ca="1">INDEX($D$2:$D$15,RANDBETWEEN(1,ROWS($D$2:$D$15)),1)</f>
        <v>10</v>
      </c>
      <c r="I163" cm="1">
        <f t="array" aca="1" ref="I163" ca="1">INDEX($D$2:$D$15,RANDBETWEEN(1,ROWS($D$2:$D$15)),1)</f>
        <v>8</v>
      </c>
      <c r="J163" cm="1">
        <f t="array" aca="1" ref="J163" ca="1">INDEX($D$2:$D$15,RANDBETWEEN(1,ROWS($D$2:$D$15)),1)</f>
        <v>12</v>
      </c>
      <c r="K163" cm="1">
        <f t="array" aca="1" ref="K163" ca="1">INDEX($D$2:$D$15,RANDBETWEEN(1,ROWS($D$2:$D$15)),1)</f>
        <v>12</v>
      </c>
      <c r="L163" cm="1">
        <f t="array" aca="1" ref="L163" ca="1">INDEX($D$2:$D$15,RANDBETWEEN(1,ROWS($D$2:$D$15)),1)</f>
        <v>12</v>
      </c>
      <c r="M163" cm="1">
        <f t="array" aca="1" ref="M163" ca="1">INDEX($D$2:$D$15,RANDBETWEEN(1,ROWS($D$2:$D$15)),1)</f>
        <v>4</v>
      </c>
      <c r="N163" cm="1">
        <f t="array" aca="1" ref="N163" ca="1">INDEX($D$2:$D$15,RANDBETWEEN(1,ROWS($D$2:$D$15)),1)</f>
        <v>8</v>
      </c>
      <c r="O163" cm="1">
        <f t="array" aca="1" ref="O163" ca="1">INDEX($D$2:$D$15,RANDBETWEEN(1,ROWS($D$2:$D$15)),1)</f>
        <v>12</v>
      </c>
      <c r="P163" cm="1">
        <f t="array" aca="1" ref="P163" ca="1">INDEX($D$2:$D$15,RANDBETWEEN(1,ROWS($D$2:$D$15)),1)</f>
        <v>9</v>
      </c>
      <c r="Q163" cm="1">
        <f t="array" aca="1" ref="Q163" ca="1">INDEX($D$2:$D$15,RANDBETWEEN(1,ROWS($D$2:$D$15)),1)</f>
        <v>9</v>
      </c>
      <c r="R163" cm="1">
        <f t="array" aca="1" ref="R163" ca="1">INDEX($D$2:$D$15,RANDBETWEEN(1,ROWS($D$2:$D$15)),1)</f>
        <v>8</v>
      </c>
      <c r="S163" cm="1">
        <f t="array" aca="1" ref="S163" ca="1">INDEX($D$2:$D$15,RANDBETWEEN(1,ROWS($D$2:$D$15)),1)</f>
        <v>3</v>
      </c>
      <c r="T163" cm="1">
        <f t="array" aca="1" ref="T163" ca="1">INDEX($D$2:$D$15,RANDBETWEEN(1,ROWS($D$2:$D$15)),1)</f>
        <v>9</v>
      </c>
      <c r="W163">
        <f t="shared" ca="1" si="8"/>
        <v>9.1333333333333329</v>
      </c>
      <c r="X163">
        <f t="shared" ca="1" si="9"/>
        <v>9</v>
      </c>
      <c r="Y163">
        <f t="shared" ca="1" si="10"/>
        <v>4</v>
      </c>
      <c r="Z163">
        <f t="shared" ca="1" si="11"/>
        <v>2.799659843283687</v>
      </c>
    </row>
    <row r="164" spans="6:26" x14ac:dyDescent="0.35">
      <c r="F164" cm="1">
        <f t="array" aca="1" ref="F164" ca="1">INDEX($D$2:$D$15,RANDBETWEEN(1,ROWS($D$2:$D$15)),1)</f>
        <v>9</v>
      </c>
      <c r="G164" cm="1">
        <f t="array" aca="1" ref="G164" ca="1">INDEX($D$2:$D$15,RANDBETWEEN(1,ROWS($D$2:$D$15)),1)</f>
        <v>10</v>
      </c>
      <c r="H164" cm="1">
        <f t="array" aca="1" ref="H164" ca="1">INDEX($D$2:$D$15,RANDBETWEEN(1,ROWS($D$2:$D$15)),1)</f>
        <v>4</v>
      </c>
      <c r="I164" cm="1">
        <f t="array" aca="1" ref="I164" ca="1">INDEX($D$2:$D$15,RANDBETWEEN(1,ROWS($D$2:$D$15)),1)</f>
        <v>11</v>
      </c>
      <c r="J164" cm="1">
        <f t="array" aca="1" ref="J164" ca="1">INDEX($D$2:$D$15,RANDBETWEEN(1,ROWS($D$2:$D$15)),1)</f>
        <v>4</v>
      </c>
      <c r="K164" cm="1">
        <f t="array" aca="1" ref="K164" ca="1">INDEX($D$2:$D$15,RANDBETWEEN(1,ROWS($D$2:$D$15)),1)</f>
        <v>3</v>
      </c>
      <c r="L164" cm="1">
        <f t="array" aca="1" ref="L164" ca="1">INDEX($D$2:$D$15,RANDBETWEEN(1,ROWS($D$2:$D$15)),1)</f>
        <v>8</v>
      </c>
      <c r="M164" cm="1">
        <f t="array" aca="1" ref="M164" ca="1">INDEX($D$2:$D$15,RANDBETWEEN(1,ROWS($D$2:$D$15)),1)</f>
        <v>8</v>
      </c>
      <c r="N164" cm="1">
        <f t="array" aca="1" ref="N164" ca="1">INDEX($D$2:$D$15,RANDBETWEEN(1,ROWS($D$2:$D$15)),1)</f>
        <v>10</v>
      </c>
      <c r="O164" cm="1">
        <f t="array" aca="1" ref="O164" ca="1">INDEX($D$2:$D$15,RANDBETWEEN(1,ROWS($D$2:$D$15)),1)</f>
        <v>9</v>
      </c>
      <c r="P164" cm="1">
        <f t="array" aca="1" ref="P164" ca="1">INDEX($D$2:$D$15,RANDBETWEEN(1,ROWS($D$2:$D$15)),1)</f>
        <v>4</v>
      </c>
      <c r="Q164" cm="1">
        <f t="array" aca="1" ref="Q164" ca="1">INDEX($D$2:$D$15,RANDBETWEEN(1,ROWS($D$2:$D$15)),1)</f>
        <v>3</v>
      </c>
      <c r="R164" cm="1">
        <f t="array" aca="1" ref="R164" ca="1">INDEX($D$2:$D$15,RANDBETWEEN(1,ROWS($D$2:$D$15)),1)</f>
        <v>12</v>
      </c>
      <c r="S164" cm="1">
        <f t="array" aca="1" ref="S164" ca="1">INDEX($D$2:$D$15,RANDBETWEEN(1,ROWS($D$2:$D$15)),1)</f>
        <v>8</v>
      </c>
      <c r="T164" cm="1">
        <f t="array" aca="1" ref="T164" ca="1">INDEX($D$2:$D$15,RANDBETWEEN(1,ROWS($D$2:$D$15)),1)</f>
        <v>13</v>
      </c>
      <c r="W164">
        <f t="shared" ca="1" si="8"/>
        <v>7.7333333333333334</v>
      </c>
      <c r="X164">
        <f t="shared" ca="1" si="9"/>
        <v>8</v>
      </c>
      <c r="Y164">
        <f t="shared" ca="1" si="10"/>
        <v>6</v>
      </c>
      <c r="Z164">
        <f t="shared" ca="1" si="11"/>
        <v>3.348062694981055</v>
      </c>
    </row>
    <row r="165" spans="6:26" x14ac:dyDescent="0.35">
      <c r="F165" cm="1">
        <f t="array" aca="1" ref="F165" ca="1">INDEX($D$2:$D$15,RANDBETWEEN(1,ROWS($D$2:$D$15)),1)</f>
        <v>9</v>
      </c>
      <c r="G165" cm="1">
        <f t="array" aca="1" ref="G165" ca="1">INDEX($D$2:$D$15,RANDBETWEEN(1,ROWS($D$2:$D$15)),1)</f>
        <v>13</v>
      </c>
      <c r="H165" cm="1">
        <f t="array" aca="1" ref="H165" ca="1">INDEX($D$2:$D$15,RANDBETWEEN(1,ROWS($D$2:$D$15)),1)</f>
        <v>9</v>
      </c>
      <c r="I165" cm="1">
        <f t="array" aca="1" ref="I165" ca="1">INDEX($D$2:$D$15,RANDBETWEEN(1,ROWS($D$2:$D$15)),1)</f>
        <v>4</v>
      </c>
      <c r="J165" cm="1">
        <f t="array" aca="1" ref="J165" ca="1">INDEX($D$2:$D$15,RANDBETWEEN(1,ROWS($D$2:$D$15)),1)</f>
        <v>9</v>
      </c>
      <c r="K165" cm="1">
        <f t="array" aca="1" ref="K165" ca="1">INDEX($D$2:$D$15,RANDBETWEEN(1,ROWS($D$2:$D$15)),1)</f>
        <v>4</v>
      </c>
      <c r="L165" cm="1">
        <f t="array" aca="1" ref="L165" ca="1">INDEX($D$2:$D$15,RANDBETWEEN(1,ROWS($D$2:$D$15)),1)</f>
        <v>10</v>
      </c>
      <c r="M165" cm="1">
        <f t="array" aca="1" ref="M165" ca="1">INDEX($D$2:$D$15,RANDBETWEEN(1,ROWS($D$2:$D$15)),1)</f>
        <v>10</v>
      </c>
      <c r="N165" cm="1">
        <f t="array" aca="1" ref="N165" ca="1">INDEX($D$2:$D$15,RANDBETWEEN(1,ROWS($D$2:$D$15)),1)</f>
        <v>12</v>
      </c>
      <c r="O165" cm="1">
        <f t="array" aca="1" ref="O165" ca="1">INDEX($D$2:$D$15,RANDBETWEEN(1,ROWS($D$2:$D$15)),1)</f>
        <v>3</v>
      </c>
      <c r="P165" cm="1">
        <f t="array" aca="1" ref="P165" ca="1">INDEX($D$2:$D$15,RANDBETWEEN(1,ROWS($D$2:$D$15)),1)</f>
        <v>4</v>
      </c>
      <c r="Q165" cm="1">
        <f t="array" aca="1" ref="Q165" ca="1">INDEX($D$2:$D$15,RANDBETWEEN(1,ROWS($D$2:$D$15)),1)</f>
        <v>2</v>
      </c>
      <c r="R165" cm="1">
        <f t="array" aca="1" ref="R165" ca="1">INDEX($D$2:$D$15,RANDBETWEEN(1,ROWS($D$2:$D$15)),1)</f>
        <v>11</v>
      </c>
      <c r="S165" cm="1">
        <f t="array" aca="1" ref="S165" ca="1">INDEX($D$2:$D$15,RANDBETWEEN(1,ROWS($D$2:$D$15)),1)</f>
        <v>9</v>
      </c>
      <c r="T165" cm="1">
        <f t="array" aca="1" ref="T165" ca="1">INDEX($D$2:$D$15,RANDBETWEEN(1,ROWS($D$2:$D$15)),1)</f>
        <v>9</v>
      </c>
      <c r="W165">
        <f t="shared" ca="1" si="8"/>
        <v>7.8666666666666663</v>
      </c>
      <c r="X165">
        <f t="shared" ca="1" si="9"/>
        <v>9</v>
      </c>
      <c r="Y165">
        <f t="shared" ca="1" si="10"/>
        <v>6</v>
      </c>
      <c r="Z165">
        <f t="shared" ca="1" si="11"/>
        <v>3.5023801430836525</v>
      </c>
    </row>
    <row r="166" spans="6:26" x14ac:dyDescent="0.35">
      <c r="F166" cm="1">
        <f t="array" aca="1" ref="F166" ca="1">INDEX($D$2:$D$15,RANDBETWEEN(1,ROWS($D$2:$D$15)),1)</f>
        <v>9</v>
      </c>
      <c r="G166" cm="1">
        <f t="array" aca="1" ref="G166" ca="1">INDEX($D$2:$D$15,RANDBETWEEN(1,ROWS($D$2:$D$15)),1)</f>
        <v>4</v>
      </c>
      <c r="H166" cm="1">
        <f t="array" aca="1" ref="H166" ca="1">INDEX($D$2:$D$15,RANDBETWEEN(1,ROWS($D$2:$D$15)),1)</f>
        <v>9</v>
      </c>
      <c r="I166" cm="1">
        <f t="array" aca="1" ref="I166" ca="1">INDEX($D$2:$D$15,RANDBETWEEN(1,ROWS($D$2:$D$15)),1)</f>
        <v>3</v>
      </c>
      <c r="J166" cm="1">
        <f t="array" aca="1" ref="J166" ca="1">INDEX($D$2:$D$15,RANDBETWEEN(1,ROWS($D$2:$D$15)),1)</f>
        <v>12</v>
      </c>
      <c r="K166" cm="1">
        <f t="array" aca="1" ref="K166" ca="1">INDEX($D$2:$D$15,RANDBETWEEN(1,ROWS($D$2:$D$15)),1)</f>
        <v>8</v>
      </c>
      <c r="L166" cm="1">
        <f t="array" aca="1" ref="L166" ca="1">INDEX($D$2:$D$15,RANDBETWEEN(1,ROWS($D$2:$D$15)),1)</f>
        <v>10</v>
      </c>
      <c r="M166" cm="1">
        <f t="array" aca="1" ref="M166" ca="1">INDEX($D$2:$D$15,RANDBETWEEN(1,ROWS($D$2:$D$15)),1)</f>
        <v>2</v>
      </c>
      <c r="N166" cm="1">
        <f t="array" aca="1" ref="N166" ca="1">INDEX($D$2:$D$15,RANDBETWEEN(1,ROWS($D$2:$D$15)),1)</f>
        <v>9</v>
      </c>
      <c r="O166" cm="1">
        <f t="array" aca="1" ref="O166" ca="1">INDEX($D$2:$D$15,RANDBETWEEN(1,ROWS($D$2:$D$15)),1)</f>
        <v>4</v>
      </c>
      <c r="P166" cm="1">
        <f t="array" aca="1" ref="P166" ca="1">INDEX($D$2:$D$15,RANDBETWEEN(1,ROWS($D$2:$D$15)),1)</f>
        <v>9</v>
      </c>
      <c r="Q166" cm="1">
        <f t="array" aca="1" ref="Q166" ca="1">INDEX($D$2:$D$15,RANDBETWEEN(1,ROWS($D$2:$D$15)),1)</f>
        <v>4</v>
      </c>
      <c r="R166" cm="1">
        <f t="array" aca="1" ref="R166" ca="1">INDEX($D$2:$D$15,RANDBETWEEN(1,ROWS($D$2:$D$15)),1)</f>
        <v>2</v>
      </c>
      <c r="S166" cm="1">
        <f t="array" aca="1" ref="S166" ca="1">INDEX($D$2:$D$15,RANDBETWEEN(1,ROWS($D$2:$D$15)),1)</f>
        <v>11</v>
      </c>
      <c r="T166" cm="1">
        <f t="array" aca="1" ref="T166" ca="1">INDEX($D$2:$D$15,RANDBETWEEN(1,ROWS($D$2:$D$15)),1)</f>
        <v>12</v>
      </c>
      <c r="W166">
        <f t="shared" ca="1" si="8"/>
        <v>7.2</v>
      </c>
      <c r="X166">
        <f t="shared" ca="1" si="9"/>
        <v>9</v>
      </c>
      <c r="Y166">
        <f t="shared" ca="1" si="10"/>
        <v>5.5</v>
      </c>
      <c r="Z166">
        <f t="shared" ca="1" si="11"/>
        <v>3.629246281451366</v>
      </c>
    </row>
    <row r="167" spans="6:26" x14ac:dyDescent="0.35">
      <c r="F167" cm="1">
        <f t="array" aca="1" ref="F167" ca="1">INDEX($D$2:$D$15,RANDBETWEEN(1,ROWS($D$2:$D$15)),1)</f>
        <v>4</v>
      </c>
      <c r="G167" cm="1">
        <f t="array" aca="1" ref="G167" ca="1">INDEX($D$2:$D$15,RANDBETWEEN(1,ROWS($D$2:$D$15)),1)</f>
        <v>12</v>
      </c>
      <c r="H167" cm="1">
        <f t="array" aca="1" ref="H167" ca="1">INDEX($D$2:$D$15,RANDBETWEEN(1,ROWS($D$2:$D$15)),1)</f>
        <v>10</v>
      </c>
      <c r="I167" cm="1">
        <f t="array" aca="1" ref="I167" ca="1">INDEX($D$2:$D$15,RANDBETWEEN(1,ROWS($D$2:$D$15)),1)</f>
        <v>4</v>
      </c>
      <c r="J167" cm="1">
        <f t="array" aca="1" ref="J167" ca="1">INDEX($D$2:$D$15,RANDBETWEEN(1,ROWS($D$2:$D$15)),1)</f>
        <v>12</v>
      </c>
      <c r="K167" cm="1">
        <f t="array" aca="1" ref="K167" ca="1">INDEX($D$2:$D$15,RANDBETWEEN(1,ROWS($D$2:$D$15)),1)</f>
        <v>4</v>
      </c>
      <c r="L167" cm="1">
        <f t="array" aca="1" ref="L167" ca="1">INDEX($D$2:$D$15,RANDBETWEEN(1,ROWS($D$2:$D$15)),1)</f>
        <v>2</v>
      </c>
      <c r="M167" cm="1">
        <f t="array" aca="1" ref="M167" ca="1">INDEX($D$2:$D$15,RANDBETWEEN(1,ROWS($D$2:$D$15)),1)</f>
        <v>12</v>
      </c>
      <c r="N167" cm="1">
        <f t="array" aca="1" ref="N167" ca="1">INDEX($D$2:$D$15,RANDBETWEEN(1,ROWS($D$2:$D$15)),1)</f>
        <v>4</v>
      </c>
      <c r="O167" cm="1">
        <f t="array" aca="1" ref="O167" ca="1">INDEX($D$2:$D$15,RANDBETWEEN(1,ROWS($D$2:$D$15)),1)</f>
        <v>8</v>
      </c>
      <c r="P167" cm="1">
        <f t="array" aca="1" ref="P167" ca="1">INDEX($D$2:$D$15,RANDBETWEEN(1,ROWS($D$2:$D$15)),1)</f>
        <v>9</v>
      </c>
      <c r="Q167" cm="1">
        <f t="array" aca="1" ref="Q167" ca="1">INDEX($D$2:$D$15,RANDBETWEEN(1,ROWS($D$2:$D$15)),1)</f>
        <v>13</v>
      </c>
      <c r="R167" cm="1">
        <f t="array" aca="1" ref="R167" ca="1">INDEX($D$2:$D$15,RANDBETWEEN(1,ROWS($D$2:$D$15)),1)</f>
        <v>3</v>
      </c>
      <c r="S167" cm="1">
        <f t="array" aca="1" ref="S167" ca="1">INDEX($D$2:$D$15,RANDBETWEEN(1,ROWS($D$2:$D$15)),1)</f>
        <v>3</v>
      </c>
      <c r="T167" cm="1">
        <f t="array" aca="1" ref="T167" ca="1">INDEX($D$2:$D$15,RANDBETWEEN(1,ROWS($D$2:$D$15)),1)</f>
        <v>4</v>
      </c>
      <c r="W167">
        <f t="shared" ca="1" si="8"/>
        <v>6.9333333333333336</v>
      </c>
      <c r="X167">
        <f t="shared" ca="1" si="9"/>
        <v>4</v>
      </c>
      <c r="Y167">
        <f t="shared" ca="1" si="10"/>
        <v>7</v>
      </c>
      <c r="Z167">
        <f t="shared" ca="1" si="11"/>
        <v>4.0261052904170063</v>
      </c>
    </row>
    <row r="168" spans="6:26" x14ac:dyDescent="0.35">
      <c r="F168" cm="1">
        <f t="array" aca="1" ref="F168" ca="1">INDEX($D$2:$D$15,RANDBETWEEN(1,ROWS($D$2:$D$15)),1)</f>
        <v>3</v>
      </c>
      <c r="G168" cm="1">
        <f t="array" aca="1" ref="G168" ca="1">INDEX($D$2:$D$15,RANDBETWEEN(1,ROWS($D$2:$D$15)),1)</f>
        <v>3</v>
      </c>
      <c r="H168" cm="1">
        <f t="array" aca="1" ref="H168" ca="1">INDEX($D$2:$D$15,RANDBETWEEN(1,ROWS($D$2:$D$15)),1)</f>
        <v>2</v>
      </c>
      <c r="I168" cm="1">
        <f t="array" aca="1" ref="I168" ca="1">INDEX($D$2:$D$15,RANDBETWEEN(1,ROWS($D$2:$D$15)),1)</f>
        <v>8</v>
      </c>
      <c r="J168" cm="1">
        <f t="array" aca="1" ref="J168" ca="1">INDEX($D$2:$D$15,RANDBETWEEN(1,ROWS($D$2:$D$15)),1)</f>
        <v>3</v>
      </c>
      <c r="K168" cm="1">
        <f t="array" aca="1" ref="K168" ca="1">INDEX($D$2:$D$15,RANDBETWEEN(1,ROWS($D$2:$D$15)),1)</f>
        <v>4</v>
      </c>
      <c r="L168" cm="1">
        <f t="array" aca="1" ref="L168" ca="1">INDEX($D$2:$D$15,RANDBETWEEN(1,ROWS($D$2:$D$15)),1)</f>
        <v>13</v>
      </c>
      <c r="M168" cm="1">
        <f t="array" aca="1" ref="M168" ca="1">INDEX($D$2:$D$15,RANDBETWEEN(1,ROWS($D$2:$D$15)),1)</f>
        <v>12</v>
      </c>
      <c r="N168" cm="1">
        <f t="array" aca="1" ref="N168" ca="1">INDEX($D$2:$D$15,RANDBETWEEN(1,ROWS($D$2:$D$15)),1)</f>
        <v>4</v>
      </c>
      <c r="O168" cm="1">
        <f t="array" aca="1" ref="O168" ca="1">INDEX($D$2:$D$15,RANDBETWEEN(1,ROWS($D$2:$D$15)),1)</f>
        <v>9</v>
      </c>
      <c r="P168" cm="1">
        <f t="array" aca="1" ref="P168" ca="1">INDEX($D$2:$D$15,RANDBETWEEN(1,ROWS($D$2:$D$15)),1)</f>
        <v>9</v>
      </c>
      <c r="Q168" cm="1">
        <f t="array" aca="1" ref="Q168" ca="1">INDEX($D$2:$D$15,RANDBETWEEN(1,ROWS($D$2:$D$15)),1)</f>
        <v>4</v>
      </c>
      <c r="R168" cm="1">
        <f t="array" aca="1" ref="R168" ca="1">INDEX($D$2:$D$15,RANDBETWEEN(1,ROWS($D$2:$D$15)),1)</f>
        <v>13</v>
      </c>
      <c r="S168" cm="1">
        <f t="array" aca="1" ref="S168" ca="1">INDEX($D$2:$D$15,RANDBETWEEN(1,ROWS($D$2:$D$15)),1)</f>
        <v>4</v>
      </c>
      <c r="T168" cm="1">
        <f t="array" aca="1" ref="T168" ca="1">INDEX($D$2:$D$15,RANDBETWEEN(1,ROWS($D$2:$D$15)),1)</f>
        <v>2</v>
      </c>
      <c r="W168">
        <f t="shared" ca="1" si="8"/>
        <v>6.2</v>
      </c>
      <c r="X168">
        <f t="shared" ca="1" si="9"/>
        <v>4</v>
      </c>
      <c r="Y168">
        <f t="shared" ca="1" si="10"/>
        <v>6</v>
      </c>
      <c r="Z168">
        <f t="shared" ca="1" si="11"/>
        <v>4.0567404226968797</v>
      </c>
    </row>
    <row r="169" spans="6:26" x14ac:dyDescent="0.35">
      <c r="F169" cm="1">
        <f t="array" aca="1" ref="F169" ca="1">INDEX($D$2:$D$15,RANDBETWEEN(1,ROWS($D$2:$D$15)),1)</f>
        <v>9</v>
      </c>
      <c r="G169" cm="1">
        <f t="array" aca="1" ref="G169" ca="1">INDEX($D$2:$D$15,RANDBETWEEN(1,ROWS($D$2:$D$15)),1)</f>
        <v>9</v>
      </c>
      <c r="H169" cm="1">
        <f t="array" aca="1" ref="H169" ca="1">INDEX($D$2:$D$15,RANDBETWEEN(1,ROWS($D$2:$D$15)),1)</f>
        <v>8</v>
      </c>
      <c r="I169" cm="1">
        <f t="array" aca="1" ref="I169" ca="1">INDEX($D$2:$D$15,RANDBETWEEN(1,ROWS($D$2:$D$15)),1)</f>
        <v>12</v>
      </c>
      <c r="J169" cm="1">
        <f t="array" aca="1" ref="J169" ca="1">INDEX($D$2:$D$15,RANDBETWEEN(1,ROWS($D$2:$D$15)),1)</f>
        <v>9</v>
      </c>
      <c r="K169" cm="1">
        <f t="array" aca="1" ref="K169" ca="1">INDEX($D$2:$D$15,RANDBETWEEN(1,ROWS($D$2:$D$15)),1)</f>
        <v>12</v>
      </c>
      <c r="L169" cm="1">
        <f t="array" aca="1" ref="L169" ca="1">INDEX($D$2:$D$15,RANDBETWEEN(1,ROWS($D$2:$D$15)),1)</f>
        <v>3</v>
      </c>
      <c r="M169" cm="1">
        <f t="array" aca="1" ref="M169" ca="1">INDEX($D$2:$D$15,RANDBETWEEN(1,ROWS($D$2:$D$15)),1)</f>
        <v>4</v>
      </c>
      <c r="N169" cm="1">
        <f t="array" aca="1" ref="N169" ca="1">INDEX($D$2:$D$15,RANDBETWEEN(1,ROWS($D$2:$D$15)),1)</f>
        <v>2</v>
      </c>
      <c r="O169" cm="1">
        <f t="array" aca="1" ref="O169" ca="1">INDEX($D$2:$D$15,RANDBETWEEN(1,ROWS($D$2:$D$15)),1)</f>
        <v>4</v>
      </c>
      <c r="P169" cm="1">
        <f t="array" aca="1" ref="P169" ca="1">INDEX($D$2:$D$15,RANDBETWEEN(1,ROWS($D$2:$D$15)),1)</f>
        <v>10</v>
      </c>
      <c r="Q169" cm="1">
        <f t="array" aca="1" ref="Q169" ca="1">INDEX($D$2:$D$15,RANDBETWEEN(1,ROWS($D$2:$D$15)),1)</f>
        <v>9</v>
      </c>
      <c r="R169" cm="1">
        <f t="array" aca="1" ref="R169" ca="1">INDEX($D$2:$D$15,RANDBETWEEN(1,ROWS($D$2:$D$15)),1)</f>
        <v>3</v>
      </c>
      <c r="S169" cm="1">
        <f t="array" aca="1" ref="S169" ca="1">INDEX($D$2:$D$15,RANDBETWEEN(1,ROWS($D$2:$D$15)),1)</f>
        <v>12</v>
      </c>
      <c r="T169" cm="1">
        <f t="array" aca="1" ref="T169" ca="1">INDEX($D$2:$D$15,RANDBETWEEN(1,ROWS($D$2:$D$15)),1)</f>
        <v>12</v>
      </c>
      <c r="W169">
        <f t="shared" ca="1" si="8"/>
        <v>7.8666666666666663</v>
      </c>
      <c r="X169">
        <f t="shared" ca="1" si="9"/>
        <v>9</v>
      </c>
      <c r="Y169">
        <f t="shared" ca="1" si="10"/>
        <v>7</v>
      </c>
      <c r="Z169">
        <f t="shared" ca="1" si="11"/>
        <v>3.6813558578845584</v>
      </c>
    </row>
    <row r="170" spans="6:26" x14ac:dyDescent="0.35">
      <c r="F170" cm="1">
        <f t="array" aca="1" ref="F170" ca="1">INDEX($D$2:$D$15,RANDBETWEEN(1,ROWS($D$2:$D$15)),1)</f>
        <v>4</v>
      </c>
      <c r="G170" cm="1">
        <f t="array" aca="1" ref="G170" ca="1">INDEX($D$2:$D$15,RANDBETWEEN(1,ROWS($D$2:$D$15)),1)</f>
        <v>13</v>
      </c>
      <c r="H170" cm="1">
        <f t="array" aca="1" ref="H170" ca="1">INDEX($D$2:$D$15,RANDBETWEEN(1,ROWS($D$2:$D$15)),1)</f>
        <v>9</v>
      </c>
      <c r="I170" cm="1">
        <f t="array" aca="1" ref="I170" ca="1">INDEX($D$2:$D$15,RANDBETWEEN(1,ROWS($D$2:$D$15)),1)</f>
        <v>13</v>
      </c>
      <c r="J170" cm="1">
        <f t="array" aca="1" ref="J170" ca="1">INDEX($D$2:$D$15,RANDBETWEEN(1,ROWS($D$2:$D$15)),1)</f>
        <v>11</v>
      </c>
      <c r="K170" cm="1">
        <f t="array" aca="1" ref="K170" ca="1">INDEX($D$2:$D$15,RANDBETWEEN(1,ROWS($D$2:$D$15)),1)</f>
        <v>13</v>
      </c>
      <c r="L170" cm="1">
        <f t="array" aca="1" ref="L170" ca="1">INDEX($D$2:$D$15,RANDBETWEEN(1,ROWS($D$2:$D$15)),1)</f>
        <v>2</v>
      </c>
      <c r="M170" cm="1">
        <f t="array" aca="1" ref="M170" ca="1">INDEX($D$2:$D$15,RANDBETWEEN(1,ROWS($D$2:$D$15)),1)</f>
        <v>2</v>
      </c>
      <c r="N170" cm="1">
        <f t="array" aca="1" ref="N170" ca="1">INDEX($D$2:$D$15,RANDBETWEEN(1,ROWS($D$2:$D$15)),1)</f>
        <v>9</v>
      </c>
      <c r="O170" cm="1">
        <f t="array" aca="1" ref="O170" ca="1">INDEX($D$2:$D$15,RANDBETWEEN(1,ROWS($D$2:$D$15)),1)</f>
        <v>9</v>
      </c>
      <c r="P170" cm="1">
        <f t="array" aca="1" ref="P170" ca="1">INDEX($D$2:$D$15,RANDBETWEEN(1,ROWS($D$2:$D$15)),1)</f>
        <v>2</v>
      </c>
      <c r="Q170" cm="1">
        <f t="array" aca="1" ref="Q170" ca="1">INDEX($D$2:$D$15,RANDBETWEEN(1,ROWS($D$2:$D$15)),1)</f>
        <v>11</v>
      </c>
      <c r="R170" cm="1">
        <f t="array" aca="1" ref="R170" ca="1">INDEX($D$2:$D$15,RANDBETWEEN(1,ROWS($D$2:$D$15)),1)</f>
        <v>12</v>
      </c>
      <c r="S170" cm="1">
        <f t="array" aca="1" ref="S170" ca="1">INDEX($D$2:$D$15,RANDBETWEEN(1,ROWS($D$2:$D$15)),1)</f>
        <v>9</v>
      </c>
      <c r="T170" cm="1">
        <f t="array" aca="1" ref="T170" ca="1">INDEX($D$2:$D$15,RANDBETWEEN(1,ROWS($D$2:$D$15)),1)</f>
        <v>12</v>
      </c>
      <c r="W170">
        <f t="shared" ca="1" si="8"/>
        <v>8.7333333333333325</v>
      </c>
      <c r="X170">
        <f t="shared" ca="1" si="9"/>
        <v>9</v>
      </c>
      <c r="Y170">
        <f t="shared" ca="1" si="10"/>
        <v>5.5</v>
      </c>
      <c r="Z170">
        <f t="shared" ca="1" si="11"/>
        <v>4.1827309374663466</v>
      </c>
    </row>
    <row r="171" spans="6:26" x14ac:dyDescent="0.35">
      <c r="F171" cm="1">
        <f t="array" aca="1" ref="F171" ca="1">INDEX($D$2:$D$15,RANDBETWEEN(1,ROWS($D$2:$D$15)),1)</f>
        <v>12</v>
      </c>
      <c r="G171" cm="1">
        <f t="array" aca="1" ref="G171" ca="1">INDEX($D$2:$D$15,RANDBETWEEN(1,ROWS($D$2:$D$15)),1)</f>
        <v>3</v>
      </c>
      <c r="H171" cm="1">
        <f t="array" aca="1" ref="H171" ca="1">INDEX($D$2:$D$15,RANDBETWEEN(1,ROWS($D$2:$D$15)),1)</f>
        <v>4</v>
      </c>
      <c r="I171" cm="1">
        <f t="array" aca="1" ref="I171" ca="1">INDEX($D$2:$D$15,RANDBETWEEN(1,ROWS($D$2:$D$15)),1)</f>
        <v>10</v>
      </c>
      <c r="J171" cm="1">
        <f t="array" aca="1" ref="J171" ca="1">INDEX($D$2:$D$15,RANDBETWEEN(1,ROWS($D$2:$D$15)),1)</f>
        <v>8</v>
      </c>
      <c r="K171" cm="1">
        <f t="array" aca="1" ref="K171" ca="1">INDEX($D$2:$D$15,RANDBETWEEN(1,ROWS($D$2:$D$15)),1)</f>
        <v>9</v>
      </c>
      <c r="L171" cm="1">
        <f t="array" aca="1" ref="L171" ca="1">INDEX($D$2:$D$15,RANDBETWEEN(1,ROWS($D$2:$D$15)),1)</f>
        <v>11</v>
      </c>
      <c r="M171" cm="1">
        <f t="array" aca="1" ref="M171" ca="1">INDEX($D$2:$D$15,RANDBETWEEN(1,ROWS($D$2:$D$15)),1)</f>
        <v>8</v>
      </c>
      <c r="N171" cm="1">
        <f t="array" aca="1" ref="N171" ca="1">INDEX($D$2:$D$15,RANDBETWEEN(1,ROWS($D$2:$D$15)),1)</f>
        <v>2</v>
      </c>
      <c r="O171" cm="1">
        <f t="array" aca="1" ref="O171" ca="1">INDEX($D$2:$D$15,RANDBETWEEN(1,ROWS($D$2:$D$15)),1)</f>
        <v>12</v>
      </c>
      <c r="P171" cm="1">
        <f t="array" aca="1" ref="P171" ca="1">INDEX($D$2:$D$15,RANDBETWEEN(1,ROWS($D$2:$D$15)),1)</f>
        <v>8</v>
      </c>
      <c r="Q171" cm="1">
        <f t="array" aca="1" ref="Q171" ca="1">INDEX($D$2:$D$15,RANDBETWEEN(1,ROWS($D$2:$D$15)),1)</f>
        <v>12</v>
      </c>
      <c r="R171" cm="1">
        <f t="array" aca="1" ref="R171" ca="1">INDEX($D$2:$D$15,RANDBETWEEN(1,ROWS($D$2:$D$15)),1)</f>
        <v>12</v>
      </c>
      <c r="S171" cm="1">
        <f t="array" aca="1" ref="S171" ca="1">INDEX($D$2:$D$15,RANDBETWEEN(1,ROWS($D$2:$D$15)),1)</f>
        <v>11</v>
      </c>
      <c r="T171" cm="1">
        <f t="array" aca="1" ref="T171" ca="1">INDEX($D$2:$D$15,RANDBETWEEN(1,ROWS($D$2:$D$15)),1)</f>
        <v>2</v>
      </c>
      <c r="W171">
        <f t="shared" ca="1" si="8"/>
        <v>8.2666666666666675</v>
      </c>
      <c r="X171">
        <f t="shared" ca="1" si="9"/>
        <v>9</v>
      </c>
      <c r="Y171">
        <f t="shared" ca="1" si="10"/>
        <v>5.5</v>
      </c>
      <c r="Z171">
        <f t="shared" ca="1" si="11"/>
        <v>3.7695522027853405</v>
      </c>
    </row>
    <row r="172" spans="6:26" x14ac:dyDescent="0.35">
      <c r="F172" cm="1">
        <f t="array" aca="1" ref="F172" ca="1">INDEX($D$2:$D$15,RANDBETWEEN(1,ROWS($D$2:$D$15)),1)</f>
        <v>4</v>
      </c>
      <c r="G172" cm="1">
        <f t="array" aca="1" ref="G172" ca="1">INDEX($D$2:$D$15,RANDBETWEEN(1,ROWS($D$2:$D$15)),1)</f>
        <v>9</v>
      </c>
      <c r="H172" cm="1">
        <f t="array" aca="1" ref="H172" ca="1">INDEX($D$2:$D$15,RANDBETWEEN(1,ROWS($D$2:$D$15)),1)</f>
        <v>12</v>
      </c>
      <c r="I172" cm="1">
        <f t="array" aca="1" ref="I172" ca="1">INDEX($D$2:$D$15,RANDBETWEEN(1,ROWS($D$2:$D$15)),1)</f>
        <v>12</v>
      </c>
      <c r="J172" cm="1">
        <f t="array" aca="1" ref="J172" ca="1">INDEX($D$2:$D$15,RANDBETWEEN(1,ROWS($D$2:$D$15)),1)</f>
        <v>8</v>
      </c>
      <c r="K172" cm="1">
        <f t="array" aca="1" ref="K172" ca="1">INDEX($D$2:$D$15,RANDBETWEEN(1,ROWS($D$2:$D$15)),1)</f>
        <v>12</v>
      </c>
      <c r="L172" cm="1">
        <f t="array" aca="1" ref="L172" ca="1">INDEX($D$2:$D$15,RANDBETWEEN(1,ROWS($D$2:$D$15)),1)</f>
        <v>12</v>
      </c>
      <c r="M172" cm="1">
        <f t="array" aca="1" ref="M172" ca="1">INDEX($D$2:$D$15,RANDBETWEEN(1,ROWS($D$2:$D$15)),1)</f>
        <v>4</v>
      </c>
      <c r="N172" cm="1">
        <f t="array" aca="1" ref="N172" ca="1">INDEX($D$2:$D$15,RANDBETWEEN(1,ROWS($D$2:$D$15)),1)</f>
        <v>12</v>
      </c>
      <c r="O172" cm="1">
        <f t="array" aca="1" ref="O172" ca="1">INDEX($D$2:$D$15,RANDBETWEEN(1,ROWS($D$2:$D$15)),1)</f>
        <v>9</v>
      </c>
      <c r="P172" cm="1">
        <f t="array" aca="1" ref="P172" ca="1">INDEX($D$2:$D$15,RANDBETWEEN(1,ROWS($D$2:$D$15)),1)</f>
        <v>8</v>
      </c>
      <c r="Q172" cm="1">
        <f t="array" aca="1" ref="Q172" ca="1">INDEX($D$2:$D$15,RANDBETWEEN(1,ROWS($D$2:$D$15)),1)</f>
        <v>4</v>
      </c>
      <c r="R172" cm="1">
        <f t="array" aca="1" ref="R172" ca="1">INDEX($D$2:$D$15,RANDBETWEEN(1,ROWS($D$2:$D$15)),1)</f>
        <v>11</v>
      </c>
      <c r="S172" cm="1">
        <f t="array" aca="1" ref="S172" ca="1">INDEX($D$2:$D$15,RANDBETWEEN(1,ROWS($D$2:$D$15)),1)</f>
        <v>9</v>
      </c>
      <c r="T172" cm="1">
        <f t="array" aca="1" ref="T172" ca="1">INDEX($D$2:$D$15,RANDBETWEEN(1,ROWS($D$2:$D$15)),1)</f>
        <v>12</v>
      </c>
      <c r="W172">
        <f t="shared" ca="1" si="8"/>
        <v>9.1999999999999993</v>
      </c>
      <c r="X172">
        <f t="shared" ca="1" si="9"/>
        <v>9</v>
      </c>
      <c r="Y172">
        <f t="shared" ca="1" si="10"/>
        <v>4</v>
      </c>
      <c r="Z172">
        <f t="shared" ca="1" si="11"/>
        <v>3.0983866769659345</v>
      </c>
    </row>
    <row r="173" spans="6:26" x14ac:dyDescent="0.35">
      <c r="F173" cm="1">
        <f t="array" aca="1" ref="F173" ca="1">INDEX($D$2:$D$15,RANDBETWEEN(1,ROWS($D$2:$D$15)),1)</f>
        <v>9</v>
      </c>
      <c r="G173" cm="1">
        <f t="array" aca="1" ref="G173" ca="1">INDEX($D$2:$D$15,RANDBETWEEN(1,ROWS($D$2:$D$15)),1)</f>
        <v>10</v>
      </c>
      <c r="H173" cm="1">
        <f t="array" aca="1" ref="H173" ca="1">INDEX($D$2:$D$15,RANDBETWEEN(1,ROWS($D$2:$D$15)),1)</f>
        <v>9</v>
      </c>
      <c r="I173" cm="1">
        <f t="array" aca="1" ref="I173" ca="1">INDEX($D$2:$D$15,RANDBETWEEN(1,ROWS($D$2:$D$15)),1)</f>
        <v>9</v>
      </c>
      <c r="J173" cm="1">
        <f t="array" aca="1" ref="J173" ca="1">INDEX($D$2:$D$15,RANDBETWEEN(1,ROWS($D$2:$D$15)),1)</f>
        <v>10</v>
      </c>
      <c r="K173" cm="1">
        <f t="array" aca="1" ref="K173" ca="1">INDEX($D$2:$D$15,RANDBETWEEN(1,ROWS($D$2:$D$15)),1)</f>
        <v>4</v>
      </c>
      <c r="L173" cm="1">
        <f t="array" aca="1" ref="L173" ca="1">INDEX($D$2:$D$15,RANDBETWEEN(1,ROWS($D$2:$D$15)),1)</f>
        <v>2</v>
      </c>
      <c r="M173" cm="1">
        <f t="array" aca="1" ref="M173" ca="1">INDEX($D$2:$D$15,RANDBETWEEN(1,ROWS($D$2:$D$15)),1)</f>
        <v>10</v>
      </c>
      <c r="N173" cm="1">
        <f t="array" aca="1" ref="N173" ca="1">INDEX($D$2:$D$15,RANDBETWEEN(1,ROWS($D$2:$D$15)),1)</f>
        <v>2</v>
      </c>
      <c r="O173" cm="1">
        <f t="array" aca="1" ref="O173" ca="1">INDEX($D$2:$D$15,RANDBETWEEN(1,ROWS($D$2:$D$15)),1)</f>
        <v>9</v>
      </c>
      <c r="P173" cm="1">
        <f t="array" aca="1" ref="P173" ca="1">INDEX($D$2:$D$15,RANDBETWEEN(1,ROWS($D$2:$D$15)),1)</f>
        <v>12</v>
      </c>
      <c r="Q173" cm="1">
        <f t="array" aca="1" ref="Q173" ca="1">INDEX($D$2:$D$15,RANDBETWEEN(1,ROWS($D$2:$D$15)),1)</f>
        <v>3</v>
      </c>
      <c r="R173" cm="1">
        <f t="array" aca="1" ref="R173" ca="1">INDEX($D$2:$D$15,RANDBETWEEN(1,ROWS($D$2:$D$15)),1)</f>
        <v>13</v>
      </c>
      <c r="S173" cm="1">
        <f t="array" aca="1" ref="S173" ca="1">INDEX($D$2:$D$15,RANDBETWEEN(1,ROWS($D$2:$D$15)),1)</f>
        <v>3</v>
      </c>
      <c r="T173" cm="1">
        <f t="array" aca="1" ref="T173" ca="1">INDEX($D$2:$D$15,RANDBETWEEN(1,ROWS($D$2:$D$15)),1)</f>
        <v>12</v>
      </c>
      <c r="W173">
        <f t="shared" ca="1" si="8"/>
        <v>7.8</v>
      </c>
      <c r="X173">
        <f t="shared" ca="1" si="9"/>
        <v>9</v>
      </c>
      <c r="Y173">
        <f t="shared" ca="1" si="10"/>
        <v>6.5</v>
      </c>
      <c r="Z173">
        <f t="shared" ca="1" si="11"/>
        <v>3.8766701469910263</v>
      </c>
    </row>
    <row r="174" spans="6:26" x14ac:dyDescent="0.35">
      <c r="F174" cm="1">
        <f t="array" aca="1" ref="F174" ca="1">INDEX($D$2:$D$15,RANDBETWEEN(1,ROWS($D$2:$D$15)),1)</f>
        <v>9</v>
      </c>
      <c r="G174" cm="1">
        <f t="array" aca="1" ref="G174" ca="1">INDEX($D$2:$D$15,RANDBETWEEN(1,ROWS($D$2:$D$15)),1)</f>
        <v>4</v>
      </c>
      <c r="H174" cm="1">
        <f t="array" aca="1" ref="H174" ca="1">INDEX($D$2:$D$15,RANDBETWEEN(1,ROWS($D$2:$D$15)),1)</f>
        <v>4</v>
      </c>
      <c r="I174" cm="1">
        <f t="array" aca="1" ref="I174" ca="1">INDEX($D$2:$D$15,RANDBETWEEN(1,ROWS($D$2:$D$15)),1)</f>
        <v>4</v>
      </c>
      <c r="J174" cm="1">
        <f t="array" aca="1" ref="J174" ca="1">INDEX($D$2:$D$15,RANDBETWEEN(1,ROWS($D$2:$D$15)),1)</f>
        <v>4</v>
      </c>
      <c r="K174" cm="1">
        <f t="array" aca="1" ref="K174" ca="1">INDEX($D$2:$D$15,RANDBETWEEN(1,ROWS($D$2:$D$15)),1)</f>
        <v>13</v>
      </c>
      <c r="L174" cm="1">
        <f t="array" aca="1" ref="L174" ca="1">INDEX($D$2:$D$15,RANDBETWEEN(1,ROWS($D$2:$D$15)),1)</f>
        <v>9</v>
      </c>
      <c r="M174" cm="1">
        <f t="array" aca="1" ref="M174" ca="1">INDEX($D$2:$D$15,RANDBETWEEN(1,ROWS($D$2:$D$15)),1)</f>
        <v>13</v>
      </c>
      <c r="N174" cm="1">
        <f t="array" aca="1" ref="N174" ca="1">INDEX($D$2:$D$15,RANDBETWEEN(1,ROWS($D$2:$D$15)),1)</f>
        <v>2</v>
      </c>
      <c r="O174" cm="1">
        <f t="array" aca="1" ref="O174" ca="1">INDEX($D$2:$D$15,RANDBETWEEN(1,ROWS($D$2:$D$15)),1)</f>
        <v>10</v>
      </c>
      <c r="P174" cm="1">
        <f t="array" aca="1" ref="P174" ca="1">INDEX($D$2:$D$15,RANDBETWEEN(1,ROWS($D$2:$D$15)),1)</f>
        <v>2</v>
      </c>
      <c r="Q174" cm="1">
        <f t="array" aca="1" ref="Q174" ca="1">INDEX($D$2:$D$15,RANDBETWEEN(1,ROWS($D$2:$D$15)),1)</f>
        <v>2</v>
      </c>
      <c r="R174" cm="1">
        <f t="array" aca="1" ref="R174" ca="1">INDEX($D$2:$D$15,RANDBETWEEN(1,ROWS($D$2:$D$15)),1)</f>
        <v>8</v>
      </c>
      <c r="S174" cm="1">
        <f t="array" aca="1" ref="S174" ca="1">INDEX($D$2:$D$15,RANDBETWEEN(1,ROWS($D$2:$D$15)),1)</f>
        <v>13</v>
      </c>
      <c r="T174" cm="1">
        <f t="array" aca="1" ref="T174" ca="1">INDEX($D$2:$D$15,RANDBETWEEN(1,ROWS($D$2:$D$15)),1)</f>
        <v>9</v>
      </c>
      <c r="W174">
        <f t="shared" ca="1" si="8"/>
        <v>7.0666666666666664</v>
      </c>
      <c r="X174">
        <f t="shared" ca="1" si="9"/>
        <v>8</v>
      </c>
      <c r="Y174">
        <f t="shared" ca="1" si="10"/>
        <v>5.5</v>
      </c>
      <c r="Z174">
        <f t="shared" ca="1" si="11"/>
        <v>4.1484363089631504</v>
      </c>
    </row>
    <row r="175" spans="6:26" x14ac:dyDescent="0.35">
      <c r="F175" cm="1">
        <f t="array" aca="1" ref="F175" ca="1">INDEX($D$2:$D$15,RANDBETWEEN(1,ROWS($D$2:$D$15)),1)</f>
        <v>10</v>
      </c>
      <c r="G175" cm="1">
        <f t="array" aca="1" ref="G175" ca="1">INDEX($D$2:$D$15,RANDBETWEEN(1,ROWS($D$2:$D$15)),1)</f>
        <v>3</v>
      </c>
      <c r="H175" cm="1">
        <f t="array" aca="1" ref="H175" ca="1">INDEX($D$2:$D$15,RANDBETWEEN(1,ROWS($D$2:$D$15)),1)</f>
        <v>10</v>
      </c>
      <c r="I175" cm="1">
        <f t="array" aca="1" ref="I175" ca="1">INDEX($D$2:$D$15,RANDBETWEEN(1,ROWS($D$2:$D$15)),1)</f>
        <v>12</v>
      </c>
      <c r="J175" cm="1">
        <f t="array" aca="1" ref="J175" ca="1">INDEX($D$2:$D$15,RANDBETWEEN(1,ROWS($D$2:$D$15)),1)</f>
        <v>3</v>
      </c>
      <c r="K175" cm="1">
        <f t="array" aca="1" ref="K175" ca="1">INDEX($D$2:$D$15,RANDBETWEEN(1,ROWS($D$2:$D$15)),1)</f>
        <v>4</v>
      </c>
      <c r="L175" cm="1">
        <f t="array" aca="1" ref="L175" ca="1">INDEX($D$2:$D$15,RANDBETWEEN(1,ROWS($D$2:$D$15)),1)</f>
        <v>2</v>
      </c>
      <c r="M175" cm="1">
        <f t="array" aca="1" ref="M175" ca="1">INDEX($D$2:$D$15,RANDBETWEEN(1,ROWS($D$2:$D$15)),1)</f>
        <v>8</v>
      </c>
      <c r="N175" cm="1">
        <f t="array" aca="1" ref="N175" ca="1">INDEX($D$2:$D$15,RANDBETWEEN(1,ROWS($D$2:$D$15)),1)</f>
        <v>8</v>
      </c>
      <c r="O175" cm="1">
        <f t="array" aca="1" ref="O175" ca="1">INDEX($D$2:$D$15,RANDBETWEEN(1,ROWS($D$2:$D$15)),1)</f>
        <v>10</v>
      </c>
      <c r="P175" cm="1">
        <f t="array" aca="1" ref="P175" ca="1">INDEX($D$2:$D$15,RANDBETWEEN(1,ROWS($D$2:$D$15)),1)</f>
        <v>12</v>
      </c>
      <c r="Q175" cm="1">
        <f t="array" aca="1" ref="Q175" ca="1">INDEX($D$2:$D$15,RANDBETWEEN(1,ROWS($D$2:$D$15)),1)</f>
        <v>12</v>
      </c>
      <c r="R175" cm="1">
        <f t="array" aca="1" ref="R175" ca="1">INDEX($D$2:$D$15,RANDBETWEEN(1,ROWS($D$2:$D$15)),1)</f>
        <v>3</v>
      </c>
      <c r="S175" cm="1">
        <f t="array" aca="1" ref="S175" ca="1">INDEX($D$2:$D$15,RANDBETWEEN(1,ROWS($D$2:$D$15)),1)</f>
        <v>4</v>
      </c>
      <c r="T175" cm="1">
        <f t="array" aca="1" ref="T175" ca="1">INDEX($D$2:$D$15,RANDBETWEEN(1,ROWS($D$2:$D$15)),1)</f>
        <v>10</v>
      </c>
      <c r="W175">
        <f t="shared" ca="1" si="8"/>
        <v>7.4</v>
      </c>
      <c r="X175">
        <f t="shared" ca="1" si="9"/>
        <v>8</v>
      </c>
      <c r="Y175">
        <f t="shared" ca="1" si="10"/>
        <v>6.5</v>
      </c>
      <c r="Z175">
        <f t="shared" ca="1" si="11"/>
        <v>3.7947331922020555</v>
      </c>
    </row>
    <row r="176" spans="6:26" x14ac:dyDescent="0.35">
      <c r="F176" cm="1">
        <f t="array" aca="1" ref="F176" ca="1">INDEX($D$2:$D$15,RANDBETWEEN(1,ROWS($D$2:$D$15)),1)</f>
        <v>10</v>
      </c>
      <c r="G176" cm="1">
        <f t="array" aca="1" ref="G176" ca="1">INDEX($D$2:$D$15,RANDBETWEEN(1,ROWS($D$2:$D$15)),1)</f>
        <v>4</v>
      </c>
      <c r="H176" cm="1">
        <f t="array" aca="1" ref="H176" ca="1">INDEX($D$2:$D$15,RANDBETWEEN(1,ROWS($D$2:$D$15)),1)</f>
        <v>9</v>
      </c>
      <c r="I176" cm="1">
        <f t="array" aca="1" ref="I176" ca="1">INDEX($D$2:$D$15,RANDBETWEEN(1,ROWS($D$2:$D$15)),1)</f>
        <v>13</v>
      </c>
      <c r="J176" cm="1">
        <f t="array" aca="1" ref="J176" ca="1">INDEX($D$2:$D$15,RANDBETWEEN(1,ROWS($D$2:$D$15)),1)</f>
        <v>12</v>
      </c>
      <c r="K176" cm="1">
        <f t="array" aca="1" ref="K176" ca="1">INDEX($D$2:$D$15,RANDBETWEEN(1,ROWS($D$2:$D$15)),1)</f>
        <v>10</v>
      </c>
      <c r="L176" cm="1">
        <f t="array" aca="1" ref="L176" ca="1">INDEX($D$2:$D$15,RANDBETWEEN(1,ROWS($D$2:$D$15)),1)</f>
        <v>3</v>
      </c>
      <c r="M176" cm="1">
        <f t="array" aca="1" ref="M176" ca="1">INDEX($D$2:$D$15,RANDBETWEEN(1,ROWS($D$2:$D$15)),1)</f>
        <v>13</v>
      </c>
      <c r="N176" cm="1">
        <f t="array" aca="1" ref="N176" ca="1">INDEX($D$2:$D$15,RANDBETWEEN(1,ROWS($D$2:$D$15)),1)</f>
        <v>12</v>
      </c>
      <c r="O176" cm="1">
        <f t="array" aca="1" ref="O176" ca="1">INDEX($D$2:$D$15,RANDBETWEEN(1,ROWS($D$2:$D$15)),1)</f>
        <v>9</v>
      </c>
      <c r="P176" cm="1">
        <f t="array" aca="1" ref="P176" ca="1">INDEX($D$2:$D$15,RANDBETWEEN(1,ROWS($D$2:$D$15)),1)</f>
        <v>13</v>
      </c>
      <c r="Q176" cm="1">
        <f t="array" aca="1" ref="Q176" ca="1">INDEX($D$2:$D$15,RANDBETWEEN(1,ROWS($D$2:$D$15)),1)</f>
        <v>9</v>
      </c>
      <c r="R176" cm="1">
        <f t="array" aca="1" ref="R176" ca="1">INDEX($D$2:$D$15,RANDBETWEEN(1,ROWS($D$2:$D$15)),1)</f>
        <v>11</v>
      </c>
      <c r="S176" cm="1">
        <f t="array" aca="1" ref="S176" ca="1">INDEX($D$2:$D$15,RANDBETWEEN(1,ROWS($D$2:$D$15)),1)</f>
        <v>3</v>
      </c>
      <c r="T176" cm="1">
        <f t="array" aca="1" ref="T176" ca="1">INDEX($D$2:$D$15,RANDBETWEEN(1,ROWS($D$2:$D$15)),1)</f>
        <v>9</v>
      </c>
      <c r="W176">
        <f t="shared" ca="1" si="8"/>
        <v>9.3333333333333339</v>
      </c>
      <c r="X176">
        <f t="shared" ca="1" si="9"/>
        <v>10</v>
      </c>
      <c r="Y176">
        <f t="shared" ca="1" si="10"/>
        <v>3</v>
      </c>
      <c r="Z176">
        <f t="shared" ca="1" si="11"/>
        <v>3.4572215654165048</v>
      </c>
    </row>
    <row r="177" spans="6:26" x14ac:dyDescent="0.35">
      <c r="F177" cm="1">
        <f t="array" aca="1" ref="F177" ca="1">INDEX($D$2:$D$15,RANDBETWEEN(1,ROWS($D$2:$D$15)),1)</f>
        <v>13</v>
      </c>
      <c r="G177" cm="1">
        <f t="array" aca="1" ref="G177" ca="1">INDEX($D$2:$D$15,RANDBETWEEN(1,ROWS($D$2:$D$15)),1)</f>
        <v>9</v>
      </c>
      <c r="H177" cm="1">
        <f t="array" aca="1" ref="H177" ca="1">INDEX($D$2:$D$15,RANDBETWEEN(1,ROWS($D$2:$D$15)),1)</f>
        <v>13</v>
      </c>
      <c r="I177" cm="1">
        <f t="array" aca="1" ref="I177" ca="1">INDEX($D$2:$D$15,RANDBETWEEN(1,ROWS($D$2:$D$15)),1)</f>
        <v>8</v>
      </c>
      <c r="J177" cm="1">
        <f t="array" aca="1" ref="J177" ca="1">INDEX($D$2:$D$15,RANDBETWEEN(1,ROWS($D$2:$D$15)),1)</f>
        <v>11</v>
      </c>
      <c r="K177" cm="1">
        <f t="array" aca="1" ref="K177" ca="1">INDEX($D$2:$D$15,RANDBETWEEN(1,ROWS($D$2:$D$15)),1)</f>
        <v>8</v>
      </c>
      <c r="L177" cm="1">
        <f t="array" aca="1" ref="L177" ca="1">INDEX($D$2:$D$15,RANDBETWEEN(1,ROWS($D$2:$D$15)),1)</f>
        <v>8</v>
      </c>
      <c r="M177" cm="1">
        <f t="array" aca="1" ref="M177" ca="1">INDEX($D$2:$D$15,RANDBETWEEN(1,ROWS($D$2:$D$15)),1)</f>
        <v>9</v>
      </c>
      <c r="N177" cm="1">
        <f t="array" aca="1" ref="N177" ca="1">INDEX($D$2:$D$15,RANDBETWEEN(1,ROWS($D$2:$D$15)),1)</f>
        <v>3</v>
      </c>
      <c r="O177" cm="1">
        <f t="array" aca="1" ref="O177" ca="1">INDEX($D$2:$D$15,RANDBETWEEN(1,ROWS($D$2:$D$15)),1)</f>
        <v>11</v>
      </c>
      <c r="P177" cm="1">
        <f t="array" aca="1" ref="P177" ca="1">INDEX($D$2:$D$15,RANDBETWEEN(1,ROWS($D$2:$D$15)),1)</f>
        <v>4</v>
      </c>
      <c r="Q177" cm="1">
        <f t="array" aca="1" ref="Q177" ca="1">INDEX($D$2:$D$15,RANDBETWEEN(1,ROWS($D$2:$D$15)),1)</f>
        <v>2</v>
      </c>
      <c r="R177" cm="1">
        <f t="array" aca="1" ref="R177" ca="1">INDEX($D$2:$D$15,RANDBETWEEN(1,ROWS($D$2:$D$15)),1)</f>
        <v>4</v>
      </c>
      <c r="S177" cm="1">
        <f t="array" aca="1" ref="S177" ca="1">INDEX($D$2:$D$15,RANDBETWEEN(1,ROWS($D$2:$D$15)),1)</f>
        <v>12</v>
      </c>
      <c r="T177" cm="1">
        <f t="array" aca="1" ref="T177" ca="1">INDEX($D$2:$D$15,RANDBETWEEN(1,ROWS($D$2:$D$15)),1)</f>
        <v>10</v>
      </c>
      <c r="W177">
        <f t="shared" ca="1" si="8"/>
        <v>8.3333333333333339</v>
      </c>
      <c r="X177">
        <f t="shared" ca="1" si="9"/>
        <v>9</v>
      </c>
      <c r="Y177">
        <f t="shared" ca="1" si="10"/>
        <v>5</v>
      </c>
      <c r="Z177">
        <f t="shared" ca="1" si="11"/>
        <v>3.5989416433697485</v>
      </c>
    </row>
    <row r="178" spans="6:26" x14ac:dyDescent="0.35">
      <c r="F178" cm="1">
        <f t="array" aca="1" ref="F178" ca="1">INDEX($D$2:$D$15,RANDBETWEEN(1,ROWS($D$2:$D$15)),1)</f>
        <v>11</v>
      </c>
      <c r="G178" cm="1">
        <f t="array" aca="1" ref="G178" ca="1">INDEX($D$2:$D$15,RANDBETWEEN(1,ROWS($D$2:$D$15)),1)</f>
        <v>10</v>
      </c>
      <c r="H178" cm="1">
        <f t="array" aca="1" ref="H178" ca="1">INDEX($D$2:$D$15,RANDBETWEEN(1,ROWS($D$2:$D$15)),1)</f>
        <v>9</v>
      </c>
      <c r="I178" cm="1">
        <f t="array" aca="1" ref="I178" ca="1">INDEX($D$2:$D$15,RANDBETWEEN(1,ROWS($D$2:$D$15)),1)</f>
        <v>11</v>
      </c>
      <c r="J178" cm="1">
        <f t="array" aca="1" ref="J178" ca="1">INDEX($D$2:$D$15,RANDBETWEEN(1,ROWS($D$2:$D$15)),1)</f>
        <v>4</v>
      </c>
      <c r="K178" cm="1">
        <f t="array" aca="1" ref="K178" ca="1">INDEX($D$2:$D$15,RANDBETWEEN(1,ROWS($D$2:$D$15)),1)</f>
        <v>9</v>
      </c>
      <c r="L178" cm="1">
        <f t="array" aca="1" ref="L178" ca="1">INDEX($D$2:$D$15,RANDBETWEEN(1,ROWS($D$2:$D$15)),1)</f>
        <v>4</v>
      </c>
      <c r="M178" cm="1">
        <f t="array" aca="1" ref="M178" ca="1">INDEX($D$2:$D$15,RANDBETWEEN(1,ROWS($D$2:$D$15)),1)</f>
        <v>9</v>
      </c>
      <c r="N178" cm="1">
        <f t="array" aca="1" ref="N178" ca="1">INDEX($D$2:$D$15,RANDBETWEEN(1,ROWS($D$2:$D$15)),1)</f>
        <v>2</v>
      </c>
      <c r="O178" cm="1">
        <f t="array" aca="1" ref="O178" ca="1">INDEX($D$2:$D$15,RANDBETWEEN(1,ROWS($D$2:$D$15)),1)</f>
        <v>12</v>
      </c>
      <c r="P178" cm="1">
        <f t="array" aca="1" ref="P178" ca="1">INDEX($D$2:$D$15,RANDBETWEEN(1,ROWS($D$2:$D$15)),1)</f>
        <v>11</v>
      </c>
      <c r="Q178" cm="1">
        <f t="array" aca="1" ref="Q178" ca="1">INDEX($D$2:$D$15,RANDBETWEEN(1,ROWS($D$2:$D$15)),1)</f>
        <v>11</v>
      </c>
      <c r="R178" cm="1">
        <f t="array" aca="1" ref="R178" ca="1">INDEX($D$2:$D$15,RANDBETWEEN(1,ROWS($D$2:$D$15)),1)</f>
        <v>12</v>
      </c>
      <c r="S178" cm="1">
        <f t="array" aca="1" ref="S178" ca="1">INDEX($D$2:$D$15,RANDBETWEEN(1,ROWS($D$2:$D$15)),1)</f>
        <v>9</v>
      </c>
      <c r="T178" cm="1">
        <f t="array" aca="1" ref="T178" ca="1">INDEX($D$2:$D$15,RANDBETWEEN(1,ROWS($D$2:$D$15)),1)</f>
        <v>10</v>
      </c>
      <c r="W178">
        <f t="shared" ca="1" si="8"/>
        <v>8.9333333333333336</v>
      </c>
      <c r="X178">
        <f t="shared" ca="1" si="9"/>
        <v>10</v>
      </c>
      <c r="Y178">
        <f t="shared" ca="1" si="10"/>
        <v>2</v>
      </c>
      <c r="Z178">
        <f t="shared" ca="1" si="11"/>
        <v>3.1045281828476359</v>
      </c>
    </row>
    <row r="179" spans="6:26" x14ac:dyDescent="0.35">
      <c r="F179" cm="1">
        <f t="array" aca="1" ref="F179" ca="1">INDEX($D$2:$D$15,RANDBETWEEN(1,ROWS($D$2:$D$15)),1)</f>
        <v>9</v>
      </c>
      <c r="G179" cm="1">
        <f t="array" aca="1" ref="G179" ca="1">INDEX($D$2:$D$15,RANDBETWEEN(1,ROWS($D$2:$D$15)),1)</f>
        <v>12</v>
      </c>
      <c r="H179" cm="1">
        <f t="array" aca="1" ref="H179" ca="1">INDEX($D$2:$D$15,RANDBETWEEN(1,ROWS($D$2:$D$15)),1)</f>
        <v>4</v>
      </c>
      <c r="I179" cm="1">
        <f t="array" aca="1" ref="I179" ca="1">INDEX($D$2:$D$15,RANDBETWEEN(1,ROWS($D$2:$D$15)),1)</f>
        <v>2</v>
      </c>
      <c r="J179" cm="1">
        <f t="array" aca="1" ref="J179" ca="1">INDEX($D$2:$D$15,RANDBETWEEN(1,ROWS($D$2:$D$15)),1)</f>
        <v>8</v>
      </c>
      <c r="K179" cm="1">
        <f t="array" aca="1" ref="K179" ca="1">INDEX($D$2:$D$15,RANDBETWEEN(1,ROWS($D$2:$D$15)),1)</f>
        <v>4</v>
      </c>
      <c r="L179" cm="1">
        <f t="array" aca="1" ref="L179" ca="1">INDEX($D$2:$D$15,RANDBETWEEN(1,ROWS($D$2:$D$15)),1)</f>
        <v>8</v>
      </c>
      <c r="M179" cm="1">
        <f t="array" aca="1" ref="M179" ca="1">INDEX($D$2:$D$15,RANDBETWEEN(1,ROWS($D$2:$D$15)),1)</f>
        <v>3</v>
      </c>
      <c r="N179" cm="1">
        <f t="array" aca="1" ref="N179" ca="1">INDEX($D$2:$D$15,RANDBETWEEN(1,ROWS($D$2:$D$15)),1)</f>
        <v>9</v>
      </c>
      <c r="O179" cm="1">
        <f t="array" aca="1" ref="O179" ca="1">INDEX($D$2:$D$15,RANDBETWEEN(1,ROWS($D$2:$D$15)),1)</f>
        <v>13</v>
      </c>
      <c r="P179" cm="1">
        <f t="array" aca="1" ref="P179" ca="1">INDEX($D$2:$D$15,RANDBETWEEN(1,ROWS($D$2:$D$15)),1)</f>
        <v>12</v>
      </c>
      <c r="Q179" cm="1">
        <f t="array" aca="1" ref="Q179" ca="1">INDEX($D$2:$D$15,RANDBETWEEN(1,ROWS($D$2:$D$15)),1)</f>
        <v>9</v>
      </c>
      <c r="R179" cm="1">
        <f t="array" aca="1" ref="R179" ca="1">INDEX($D$2:$D$15,RANDBETWEEN(1,ROWS($D$2:$D$15)),1)</f>
        <v>2</v>
      </c>
      <c r="S179" cm="1">
        <f t="array" aca="1" ref="S179" ca="1">INDEX($D$2:$D$15,RANDBETWEEN(1,ROWS($D$2:$D$15)),1)</f>
        <v>4</v>
      </c>
      <c r="T179" cm="1">
        <f t="array" aca="1" ref="T179" ca="1">INDEX($D$2:$D$15,RANDBETWEEN(1,ROWS($D$2:$D$15)),1)</f>
        <v>10</v>
      </c>
      <c r="W179">
        <f t="shared" ca="1" si="8"/>
        <v>7.2666666666666666</v>
      </c>
      <c r="X179">
        <f t="shared" ca="1" si="9"/>
        <v>8</v>
      </c>
      <c r="Y179">
        <f t="shared" ca="1" si="10"/>
        <v>5.5</v>
      </c>
      <c r="Z179">
        <f t="shared" ca="1" si="11"/>
        <v>3.7884536360342262</v>
      </c>
    </row>
    <row r="180" spans="6:26" x14ac:dyDescent="0.35">
      <c r="F180" cm="1">
        <f t="array" aca="1" ref="F180" ca="1">INDEX($D$2:$D$15,RANDBETWEEN(1,ROWS($D$2:$D$15)),1)</f>
        <v>9</v>
      </c>
      <c r="G180" cm="1">
        <f t="array" aca="1" ref="G180" ca="1">INDEX($D$2:$D$15,RANDBETWEEN(1,ROWS($D$2:$D$15)),1)</f>
        <v>4</v>
      </c>
      <c r="H180" cm="1">
        <f t="array" aca="1" ref="H180" ca="1">INDEX($D$2:$D$15,RANDBETWEEN(1,ROWS($D$2:$D$15)),1)</f>
        <v>2</v>
      </c>
      <c r="I180" cm="1">
        <f t="array" aca="1" ref="I180" ca="1">INDEX($D$2:$D$15,RANDBETWEEN(1,ROWS($D$2:$D$15)),1)</f>
        <v>10</v>
      </c>
      <c r="J180" cm="1">
        <f t="array" aca="1" ref="J180" ca="1">INDEX($D$2:$D$15,RANDBETWEEN(1,ROWS($D$2:$D$15)),1)</f>
        <v>4</v>
      </c>
      <c r="K180" cm="1">
        <f t="array" aca="1" ref="K180" ca="1">INDEX($D$2:$D$15,RANDBETWEEN(1,ROWS($D$2:$D$15)),1)</f>
        <v>4</v>
      </c>
      <c r="L180" cm="1">
        <f t="array" aca="1" ref="L180" ca="1">INDEX($D$2:$D$15,RANDBETWEEN(1,ROWS($D$2:$D$15)),1)</f>
        <v>11</v>
      </c>
      <c r="M180" cm="1">
        <f t="array" aca="1" ref="M180" ca="1">INDEX($D$2:$D$15,RANDBETWEEN(1,ROWS($D$2:$D$15)),1)</f>
        <v>4</v>
      </c>
      <c r="N180" cm="1">
        <f t="array" aca="1" ref="N180" ca="1">INDEX($D$2:$D$15,RANDBETWEEN(1,ROWS($D$2:$D$15)),1)</f>
        <v>12</v>
      </c>
      <c r="O180" cm="1">
        <f t="array" aca="1" ref="O180" ca="1">INDEX($D$2:$D$15,RANDBETWEEN(1,ROWS($D$2:$D$15)),1)</f>
        <v>2</v>
      </c>
      <c r="P180" cm="1">
        <f t="array" aca="1" ref="P180" ca="1">INDEX($D$2:$D$15,RANDBETWEEN(1,ROWS($D$2:$D$15)),1)</f>
        <v>11</v>
      </c>
      <c r="Q180" cm="1">
        <f t="array" aca="1" ref="Q180" ca="1">INDEX($D$2:$D$15,RANDBETWEEN(1,ROWS($D$2:$D$15)),1)</f>
        <v>11</v>
      </c>
      <c r="R180" cm="1">
        <f t="array" aca="1" ref="R180" ca="1">INDEX($D$2:$D$15,RANDBETWEEN(1,ROWS($D$2:$D$15)),1)</f>
        <v>3</v>
      </c>
      <c r="S180" cm="1">
        <f t="array" aca="1" ref="S180" ca="1">INDEX($D$2:$D$15,RANDBETWEEN(1,ROWS($D$2:$D$15)),1)</f>
        <v>9</v>
      </c>
      <c r="T180" cm="1">
        <f t="array" aca="1" ref="T180" ca="1">INDEX($D$2:$D$15,RANDBETWEEN(1,ROWS($D$2:$D$15)),1)</f>
        <v>8</v>
      </c>
      <c r="W180">
        <f t="shared" ca="1" si="8"/>
        <v>6.9333333333333336</v>
      </c>
      <c r="X180">
        <f t="shared" ca="1" si="9"/>
        <v>8</v>
      </c>
      <c r="Y180">
        <f t="shared" ca="1" si="10"/>
        <v>6.5</v>
      </c>
      <c r="Z180">
        <f t="shared" ca="1" si="11"/>
        <v>3.7122705155945162</v>
      </c>
    </row>
    <row r="181" spans="6:26" x14ac:dyDescent="0.35">
      <c r="F181" cm="1">
        <f t="array" aca="1" ref="F181" ca="1">INDEX($D$2:$D$15,RANDBETWEEN(1,ROWS($D$2:$D$15)),1)</f>
        <v>3</v>
      </c>
      <c r="G181" cm="1">
        <f t="array" aca="1" ref="G181" ca="1">INDEX($D$2:$D$15,RANDBETWEEN(1,ROWS($D$2:$D$15)),1)</f>
        <v>3</v>
      </c>
      <c r="H181" cm="1">
        <f t="array" aca="1" ref="H181" ca="1">INDEX($D$2:$D$15,RANDBETWEEN(1,ROWS($D$2:$D$15)),1)</f>
        <v>4</v>
      </c>
      <c r="I181" cm="1">
        <f t="array" aca="1" ref="I181" ca="1">INDEX($D$2:$D$15,RANDBETWEEN(1,ROWS($D$2:$D$15)),1)</f>
        <v>9</v>
      </c>
      <c r="J181" cm="1">
        <f t="array" aca="1" ref="J181" ca="1">INDEX($D$2:$D$15,RANDBETWEEN(1,ROWS($D$2:$D$15)),1)</f>
        <v>12</v>
      </c>
      <c r="K181" cm="1">
        <f t="array" aca="1" ref="K181" ca="1">INDEX($D$2:$D$15,RANDBETWEEN(1,ROWS($D$2:$D$15)),1)</f>
        <v>4</v>
      </c>
      <c r="L181" cm="1">
        <f t="array" aca="1" ref="L181" ca="1">INDEX($D$2:$D$15,RANDBETWEEN(1,ROWS($D$2:$D$15)),1)</f>
        <v>12</v>
      </c>
      <c r="M181" cm="1">
        <f t="array" aca="1" ref="M181" ca="1">INDEX($D$2:$D$15,RANDBETWEEN(1,ROWS($D$2:$D$15)),1)</f>
        <v>9</v>
      </c>
      <c r="N181" cm="1">
        <f t="array" aca="1" ref="N181" ca="1">INDEX($D$2:$D$15,RANDBETWEEN(1,ROWS($D$2:$D$15)),1)</f>
        <v>12</v>
      </c>
      <c r="O181" cm="1">
        <f t="array" aca="1" ref="O181" ca="1">INDEX($D$2:$D$15,RANDBETWEEN(1,ROWS($D$2:$D$15)),1)</f>
        <v>13</v>
      </c>
      <c r="P181" cm="1">
        <f t="array" aca="1" ref="P181" ca="1">INDEX($D$2:$D$15,RANDBETWEEN(1,ROWS($D$2:$D$15)),1)</f>
        <v>9</v>
      </c>
      <c r="Q181" cm="1">
        <f t="array" aca="1" ref="Q181" ca="1">INDEX($D$2:$D$15,RANDBETWEEN(1,ROWS($D$2:$D$15)),1)</f>
        <v>13</v>
      </c>
      <c r="R181" cm="1">
        <f t="array" aca="1" ref="R181" ca="1">INDEX($D$2:$D$15,RANDBETWEEN(1,ROWS($D$2:$D$15)),1)</f>
        <v>12</v>
      </c>
      <c r="S181" cm="1">
        <f t="array" aca="1" ref="S181" ca="1">INDEX($D$2:$D$15,RANDBETWEEN(1,ROWS($D$2:$D$15)),1)</f>
        <v>2</v>
      </c>
      <c r="T181" cm="1">
        <f t="array" aca="1" ref="T181" ca="1">INDEX($D$2:$D$15,RANDBETWEEN(1,ROWS($D$2:$D$15)),1)</f>
        <v>2</v>
      </c>
      <c r="W181">
        <f t="shared" ca="1" si="8"/>
        <v>7.9333333333333336</v>
      </c>
      <c r="X181">
        <f t="shared" ca="1" si="9"/>
        <v>9</v>
      </c>
      <c r="Y181">
        <f t="shared" ca="1" si="10"/>
        <v>8.5</v>
      </c>
      <c r="Z181">
        <f t="shared" ca="1" si="11"/>
        <v>4.3991341139343492</v>
      </c>
    </row>
    <row r="182" spans="6:26" x14ac:dyDescent="0.35">
      <c r="F182" cm="1">
        <f t="array" aca="1" ref="F182" ca="1">INDEX($D$2:$D$15,RANDBETWEEN(1,ROWS($D$2:$D$15)),1)</f>
        <v>9</v>
      </c>
      <c r="G182" cm="1">
        <f t="array" aca="1" ref="G182" ca="1">INDEX($D$2:$D$15,RANDBETWEEN(1,ROWS($D$2:$D$15)),1)</f>
        <v>8</v>
      </c>
      <c r="H182" cm="1">
        <f t="array" aca="1" ref="H182" ca="1">INDEX($D$2:$D$15,RANDBETWEEN(1,ROWS($D$2:$D$15)),1)</f>
        <v>13</v>
      </c>
      <c r="I182" cm="1">
        <f t="array" aca="1" ref="I182" ca="1">INDEX($D$2:$D$15,RANDBETWEEN(1,ROWS($D$2:$D$15)),1)</f>
        <v>2</v>
      </c>
      <c r="J182" cm="1">
        <f t="array" aca="1" ref="J182" ca="1">INDEX($D$2:$D$15,RANDBETWEEN(1,ROWS($D$2:$D$15)),1)</f>
        <v>9</v>
      </c>
      <c r="K182" cm="1">
        <f t="array" aca="1" ref="K182" ca="1">INDEX($D$2:$D$15,RANDBETWEEN(1,ROWS($D$2:$D$15)),1)</f>
        <v>8</v>
      </c>
      <c r="L182" cm="1">
        <f t="array" aca="1" ref="L182" ca="1">INDEX($D$2:$D$15,RANDBETWEEN(1,ROWS($D$2:$D$15)),1)</f>
        <v>2</v>
      </c>
      <c r="M182" cm="1">
        <f t="array" aca="1" ref="M182" ca="1">INDEX($D$2:$D$15,RANDBETWEEN(1,ROWS($D$2:$D$15)),1)</f>
        <v>9</v>
      </c>
      <c r="N182" cm="1">
        <f t="array" aca="1" ref="N182" ca="1">INDEX($D$2:$D$15,RANDBETWEEN(1,ROWS($D$2:$D$15)),1)</f>
        <v>10</v>
      </c>
      <c r="O182" cm="1">
        <f t="array" aca="1" ref="O182" ca="1">INDEX($D$2:$D$15,RANDBETWEEN(1,ROWS($D$2:$D$15)),1)</f>
        <v>9</v>
      </c>
      <c r="P182" cm="1">
        <f t="array" aca="1" ref="P182" ca="1">INDEX($D$2:$D$15,RANDBETWEEN(1,ROWS($D$2:$D$15)),1)</f>
        <v>9</v>
      </c>
      <c r="Q182" cm="1">
        <f t="array" aca="1" ref="Q182" ca="1">INDEX($D$2:$D$15,RANDBETWEEN(1,ROWS($D$2:$D$15)),1)</f>
        <v>4</v>
      </c>
      <c r="R182" cm="1">
        <f t="array" aca="1" ref="R182" ca="1">INDEX($D$2:$D$15,RANDBETWEEN(1,ROWS($D$2:$D$15)),1)</f>
        <v>8</v>
      </c>
      <c r="S182" cm="1">
        <f t="array" aca="1" ref="S182" ca="1">INDEX($D$2:$D$15,RANDBETWEEN(1,ROWS($D$2:$D$15)),1)</f>
        <v>10</v>
      </c>
      <c r="T182" cm="1">
        <f t="array" aca="1" ref="T182" ca="1">INDEX($D$2:$D$15,RANDBETWEEN(1,ROWS($D$2:$D$15)),1)</f>
        <v>10</v>
      </c>
      <c r="W182">
        <f t="shared" ca="1" si="8"/>
        <v>8</v>
      </c>
      <c r="X182">
        <f t="shared" ca="1" si="9"/>
        <v>9</v>
      </c>
      <c r="Y182">
        <f t="shared" ca="1" si="10"/>
        <v>1.5</v>
      </c>
      <c r="Z182">
        <f t="shared" ca="1" si="11"/>
        <v>3.0472470011002204</v>
      </c>
    </row>
    <row r="183" spans="6:26" x14ac:dyDescent="0.35">
      <c r="F183" cm="1">
        <f t="array" aca="1" ref="F183" ca="1">INDEX($D$2:$D$15,RANDBETWEEN(1,ROWS($D$2:$D$15)),1)</f>
        <v>10</v>
      </c>
      <c r="G183" cm="1">
        <f t="array" aca="1" ref="G183" ca="1">INDEX($D$2:$D$15,RANDBETWEEN(1,ROWS($D$2:$D$15)),1)</f>
        <v>10</v>
      </c>
      <c r="H183" cm="1">
        <f t="array" aca="1" ref="H183" ca="1">INDEX($D$2:$D$15,RANDBETWEEN(1,ROWS($D$2:$D$15)),1)</f>
        <v>3</v>
      </c>
      <c r="I183" cm="1">
        <f t="array" aca="1" ref="I183" ca="1">INDEX($D$2:$D$15,RANDBETWEEN(1,ROWS($D$2:$D$15)),1)</f>
        <v>9</v>
      </c>
      <c r="J183" cm="1">
        <f t="array" aca="1" ref="J183" ca="1">INDEX($D$2:$D$15,RANDBETWEEN(1,ROWS($D$2:$D$15)),1)</f>
        <v>2</v>
      </c>
      <c r="K183" cm="1">
        <f t="array" aca="1" ref="K183" ca="1">INDEX($D$2:$D$15,RANDBETWEEN(1,ROWS($D$2:$D$15)),1)</f>
        <v>9</v>
      </c>
      <c r="L183" cm="1">
        <f t="array" aca="1" ref="L183" ca="1">INDEX($D$2:$D$15,RANDBETWEEN(1,ROWS($D$2:$D$15)),1)</f>
        <v>12</v>
      </c>
      <c r="M183" cm="1">
        <f t="array" aca="1" ref="M183" ca="1">INDEX($D$2:$D$15,RANDBETWEEN(1,ROWS($D$2:$D$15)),1)</f>
        <v>9</v>
      </c>
      <c r="N183" cm="1">
        <f t="array" aca="1" ref="N183" ca="1">INDEX($D$2:$D$15,RANDBETWEEN(1,ROWS($D$2:$D$15)),1)</f>
        <v>9</v>
      </c>
      <c r="O183" cm="1">
        <f t="array" aca="1" ref="O183" ca="1">INDEX($D$2:$D$15,RANDBETWEEN(1,ROWS($D$2:$D$15)),1)</f>
        <v>9</v>
      </c>
      <c r="P183" cm="1">
        <f t="array" aca="1" ref="P183" ca="1">INDEX($D$2:$D$15,RANDBETWEEN(1,ROWS($D$2:$D$15)),1)</f>
        <v>10</v>
      </c>
      <c r="Q183" cm="1">
        <f t="array" aca="1" ref="Q183" ca="1">INDEX($D$2:$D$15,RANDBETWEEN(1,ROWS($D$2:$D$15)),1)</f>
        <v>3</v>
      </c>
      <c r="R183" cm="1">
        <f t="array" aca="1" ref="R183" ca="1">INDEX($D$2:$D$15,RANDBETWEEN(1,ROWS($D$2:$D$15)),1)</f>
        <v>4</v>
      </c>
      <c r="S183" cm="1">
        <f t="array" aca="1" ref="S183" ca="1">INDEX($D$2:$D$15,RANDBETWEEN(1,ROWS($D$2:$D$15)),1)</f>
        <v>9</v>
      </c>
      <c r="T183" cm="1">
        <f t="array" aca="1" ref="T183" ca="1">INDEX($D$2:$D$15,RANDBETWEEN(1,ROWS($D$2:$D$15)),1)</f>
        <v>10</v>
      </c>
      <c r="W183">
        <f t="shared" ca="1" si="8"/>
        <v>7.8666666666666663</v>
      </c>
      <c r="X183">
        <f t="shared" ca="1" si="9"/>
        <v>9</v>
      </c>
      <c r="Y183">
        <f t="shared" ca="1" si="10"/>
        <v>3.5</v>
      </c>
      <c r="Z183">
        <f t="shared" ca="1" si="11"/>
        <v>3.1592645316516919</v>
      </c>
    </row>
    <row r="184" spans="6:26" x14ac:dyDescent="0.35">
      <c r="F184" cm="1">
        <f t="array" aca="1" ref="F184" ca="1">INDEX($D$2:$D$15,RANDBETWEEN(1,ROWS($D$2:$D$15)),1)</f>
        <v>4</v>
      </c>
      <c r="G184" cm="1">
        <f t="array" aca="1" ref="G184" ca="1">INDEX($D$2:$D$15,RANDBETWEEN(1,ROWS($D$2:$D$15)),1)</f>
        <v>9</v>
      </c>
      <c r="H184" cm="1">
        <f t="array" aca="1" ref="H184" ca="1">INDEX($D$2:$D$15,RANDBETWEEN(1,ROWS($D$2:$D$15)),1)</f>
        <v>12</v>
      </c>
      <c r="I184" cm="1">
        <f t="array" aca="1" ref="I184" ca="1">INDEX($D$2:$D$15,RANDBETWEEN(1,ROWS($D$2:$D$15)),1)</f>
        <v>2</v>
      </c>
      <c r="J184" cm="1">
        <f t="array" aca="1" ref="J184" ca="1">INDEX($D$2:$D$15,RANDBETWEEN(1,ROWS($D$2:$D$15)),1)</f>
        <v>12</v>
      </c>
      <c r="K184" cm="1">
        <f t="array" aca="1" ref="K184" ca="1">INDEX($D$2:$D$15,RANDBETWEEN(1,ROWS($D$2:$D$15)),1)</f>
        <v>3</v>
      </c>
      <c r="L184" cm="1">
        <f t="array" aca="1" ref="L184" ca="1">INDEX($D$2:$D$15,RANDBETWEEN(1,ROWS($D$2:$D$15)),1)</f>
        <v>3</v>
      </c>
      <c r="M184" cm="1">
        <f t="array" aca="1" ref="M184" ca="1">INDEX($D$2:$D$15,RANDBETWEEN(1,ROWS($D$2:$D$15)),1)</f>
        <v>3</v>
      </c>
      <c r="N184" cm="1">
        <f t="array" aca="1" ref="N184" ca="1">INDEX($D$2:$D$15,RANDBETWEEN(1,ROWS($D$2:$D$15)),1)</f>
        <v>12</v>
      </c>
      <c r="O184" cm="1">
        <f t="array" aca="1" ref="O184" ca="1">INDEX($D$2:$D$15,RANDBETWEEN(1,ROWS($D$2:$D$15)),1)</f>
        <v>11</v>
      </c>
      <c r="P184" cm="1">
        <f t="array" aca="1" ref="P184" ca="1">INDEX($D$2:$D$15,RANDBETWEEN(1,ROWS($D$2:$D$15)),1)</f>
        <v>9</v>
      </c>
      <c r="Q184" cm="1">
        <f t="array" aca="1" ref="Q184" ca="1">INDEX($D$2:$D$15,RANDBETWEEN(1,ROWS($D$2:$D$15)),1)</f>
        <v>9</v>
      </c>
      <c r="R184" cm="1">
        <f t="array" aca="1" ref="R184" ca="1">INDEX($D$2:$D$15,RANDBETWEEN(1,ROWS($D$2:$D$15)),1)</f>
        <v>4</v>
      </c>
      <c r="S184" cm="1">
        <f t="array" aca="1" ref="S184" ca="1">INDEX($D$2:$D$15,RANDBETWEEN(1,ROWS($D$2:$D$15)),1)</f>
        <v>11</v>
      </c>
      <c r="T184" cm="1">
        <f t="array" aca="1" ref="T184" ca="1">INDEX($D$2:$D$15,RANDBETWEEN(1,ROWS($D$2:$D$15)),1)</f>
        <v>3</v>
      </c>
      <c r="W184">
        <f t="shared" ca="1" si="8"/>
        <v>7.1333333333333337</v>
      </c>
      <c r="X184">
        <f t="shared" ca="1" si="9"/>
        <v>9</v>
      </c>
      <c r="Y184">
        <f t="shared" ca="1" si="10"/>
        <v>8</v>
      </c>
      <c r="Z184">
        <f t="shared" ca="1" si="11"/>
        <v>4.0154463666956781</v>
      </c>
    </row>
    <row r="185" spans="6:26" x14ac:dyDescent="0.35">
      <c r="F185" cm="1">
        <f t="array" aca="1" ref="F185" ca="1">INDEX($D$2:$D$15,RANDBETWEEN(1,ROWS($D$2:$D$15)),1)</f>
        <v>12</v>
      </c>
      <c r="G185" cm="1">
        <f t="array" aca="1" ref="G185" ca="1">INDEX($D$2:$D$15,RANDBETWEEN(1,ROWS($D$2:$D$15)),1)</f>
        <v>13</v>
      </c>
      <c r="H185" cm="1">
        <f t="array" aca="1" ref="H185" ca="1">INDEX($D$2:$D$15,RANDBETWEEN(1,ROWS($D$2:$D$15)),1)</f>
        <v>4</v>
      </c>
      <c r="I185" cm="1">
        <f t="array" aca="1" ref="I185" ca="1">INDEX($D$2:$D$15,RANDBETWEEN(1,ROWS($D$2:$D$15)),1)</f>
        <v>9</v>
      </c>
      <c r="J185" cm="1">
        <f t="array" aca="1" ref="J185" ca="1">INDEX($D$2:$D$15,RANDBETWEEN(1,ROWS($D$2:$D$15)),1)</f>
        <v>9</v>
      </c>
      <c r="K185" cm="1">
        <f t="array" aca="1" ref="K185" ca="1">INDEX($D$2:$D$15,RANDBETWEEN(1,ROWS($D$2:$D$15)),1)</f>
        <v>4</v>
      </c>
      <c r="L185" cm="1">
        <f t="array" aca="1" ref="L185" ca="1">INDEX($D$2:$D$15,RANDBETWEEN(1,ROWS($D$2:$D$15)),1)</f>
        <v>4</v>
      </c>
      <c r="M185" cm="1">
        <f t="array" aca="1" ref="M185" ca="1">INDEX($D$2:$D$15,RANDBETWEEN(1,ROWS($D$2:$D$15)),1)</f>
        <v>13</v>
      </c>
      <c r="N185" cm="1">
        <f t="array" aca="1" ref="N185" ca="1">INDEX($D$2:$D$15,RANDBETWEEN(1,ROWS($D$2:$D$15)),1)</f>
        <v>12</v>
      </c>
      <c r="O185" cm="1">
        <f t="array" aca="1" ref="O185" ca="1">INDEX($D$2:$D$15,RANDBETWEEN(1,ROWS($D$2:$D$15)),1)</f>
        <v>10</v>
      </c>
      <c r="P185" cm="1">
        <f t="array" aca="1" ref="P185" ca="1">INDEX($D$2:$D$15,RANDBETWEEN(1,ROWS($D$2:$D$15)),1)</f>
        <v>8</v>
      </c>
      <c r="Q185" cm="1">
        <f t="array" aca="1" ref="Q185" ca="1">INDEX($D$2:$D$15,RANDBETWEEN(1,ROWS($D$2:$D$15)),1)</f>
        <v>12</v>
      </c>
      <c r="R185" cm="1">
        <f t="array" aca="1" ref="R185" ca="1">INDEX($D$2:$D$15,RANDBETWEEN(1,ROWS($D$2:$D$15)),1)</f>
        <v>9</v>
      </c>
      <c r="S185" cm="1">
        <f t="array" aca="1" ref="S185" ca="1">INDEX($D$2:$D$15,RANDBETWEEN(1,ROWS($D$2:$D$15)),1)</f>
        <v>12</v>
      </c>
      <c r="T185" cm="1">
        <f t="array" aca="1" ref="T185" ca="1">INDEX($D$2:$D$15,RANDBETWEEN(1,ROWS($D$2:$D$15)),1)</f>
        <v>2</v>
      </c>
      <c r="W185">
        <f t="shared" ca="1" si="8"/>
        <v>8.8666666666666671</v>
      </c>
      <c r="X185">
        <f t="shared" ca="1" si="9"/>
        <v>9</v>
      </c>
      <c r="Y185">
        <f t="shared" ca="1" si="10"/>
        <v>6</v>
      </c>
      <c r="Z185">
        <f t="shared" ca="1" si="11"/>
        <v>3.7199590371528606</v>
      </c>
    </row>
    <row r="186" spans="6:26" x14ac:dyDescent="0.35">
      <c r="F186" cm="1">
        <f t="array" aca="1" ref="F186" ca="1">INDEX($D$2:$D$15,RANDBETWEEN(1,ROWS($D$2:$D$15)),1)</f>
        <v>4</v>
      </c>
      <c r="G186" cm="1">
        <f t="array" aca="1" ref="G186" ca="1">INDEX($D$2:$D$15,RANDBETWEEN(1,ROWS($D$2:$D$15)),1)</f>
        <v>9</v>
      </c>
      <c r="H186" cm="1">
        <f t="array" aca="1" ref="H186" ca="1">INDEX($D$2:$D$15,RANDBETWEEN(1,ROWS($D$2:$D$15)),1)</f>
        <v>12</v>
      </c>
      <c r="I186" cm="1">
        <f t="array" aca="1" ref="I186" ca="1">INDEX($D$2:$D$15,RANDBETWEEN(1,ROWS($D$2:$D$15)),1)</f>
        <v>10</v>
      </c>
      <c r="J186" cm="1">
        <f t="array" aca="1" ref="J186" ca="1">INDEX($D$2:$D$15,RANDBETWEEN(1,ROWS($D$2:$D$15)),1)</f>
        <v>12</v>
      </c>
      <c r="K186" cm="1">
        <f t="array" aca="1" ref="K186" ca="1">INDEX($D$2:$D$15,RANDBETWEEN(1,ROWS($D$2:$D$15)),1)</f>
        <v>3</v>
      </c>
      <c r="L186" cm="1">
        <f t="array" aca="1" ref="L186" ca="1">INDEX($D$2:$D$15,RANDBETWEEN(1,ROWS($D$2:$D$15)),1)</f>
        <v>12</v>
      </c>
      <c r="M186" cm="1">
        <f t="array" aca="1" ref="M186" ca="1">INDEX($D$2:$D$15,RANDBETWEEN(1,ROWS($D$2:$D$15)),1)</f>
        <v>4</v>
      </c>
      <c r="N186" cm="1">
        <f t="array" aca="1" ref="N186" ca="1">INDEX($D$2:$D$15,RANDBETWEEN(1,ROWS($D$2:$D$15)),1)</f>
        <v>10</v>
      </c>
      <c r="O186" cm="1">
        <f t="array" aca="1" ref="O186" ca="1">INDEX($D$2:$D$15,RANDBETWEEN(1,ROWS($D$2:$D$15)),1)</f>
        <v>4</v>
      </c>
      <c r="P186" cm="1">
        <f t="array" aca="1" ref="P186" ca="1">INDEX($D$2:$D$15,RANDBETWEEN(1,ROWS($D$2:$D$15)),1)</f>
        <v>8</v>
      </c>
      <c r="Q186" cm="1">
        <f t="array" aca="1" ref="Q186" ca="1">INDEX($D$2:$D$15,RANDBETWEEN(1,ROWS($D$2:$D$15)),1)</f>
        <v>9</v>
      </c>
      <c r="R186" cm="1">
        <f t="array" aca="1" ref="R186" ca="1">INDEX($D$2:$D$15,RANDBETWEEN(1,ROWS($D$2:$D$15)),1)</f>
        <v>12</v>
      </c>
      <c r="S186" cm="1">
        <f t="array" aca="1" ref="S186" ca="1">INDEX($D$2:$D$15,RANDBETWEEN(1,ROWS($D$2:$D$15)),1)</f>
        <v>4</v>
      </c>
      <c r="T186" cm="1">
        <f t="array" aca="1" ref="T186" ca="1">INDEX($D$2:$D$15,RANDBETWEEN(1,ROWS($D$2:$D$15)),1)</f>
        <v>11</v>
      </c>
      <c r="W186">
        <f t="shared" ca="1" si="8"/>
        <v>8.2666666666666675</v>
      </c>
      <c r="X186">
        <f t="shared" ca="1" si="9"/>
        <v>9</v>
      </c>
      <c r="Y186">
        <f t="shared" ca="1" si="10"/>
        <v>7.5</v>
      </c>
      <c r="Z186">
        <f t="shared" ca="1" si="11"/>
        <v>3.4942129027184095</v>
      </c>
    </row>
    <row r="187" spans="6:26" x14ac:dyDescent="0.35">
      <c r="F187" cm="1">
        <f t="array" aca="1" ref="F187" ca="1">INDEX($D$2:$D$15,RANDBETWEEN(1,ROWS($D$2:$D$15)),1)</f>
        <v>3</v>
      </c>
      <c r="G187" cm="1">
        <f t="array" aca="1" ref="G187" ca="1">INDEX($D$2:$D$15,RANDBETWEEN(1,ROWS($D$2:$D$15)),1)</f>
        <v>4</v>
      </c>
      <c r="H187" cm="1">
        <f t="array" aca="1" ref="H187" ca="1">INDEX($D$2:$D$15,RANDBETWEEN(1,ROWS($D$2:$D$15)),1)</f>
        <v>2</v>
      </c>
      <c r="I187" cm="1">
        <f t="array" aca="1" ref="I187" ca="1">INDEX($D$2:$D$15,RANDBETWEEN(1,ROWS($D$2:$D$15)),1)</f>
        <v>9</v>
      </c>
      <c r="J187" cm="1">
        <f t="array" aca="1" ref="J187" ca="1">INDEX($D$2:$D$15,RANDBETWEEN(1,ROWS($D$2:$D$15)),1)</f>
        <v>11</v>
      </c>
      <c r="K187" cm="1">
        <f t="array" aca="1" ref="K187" ca="1">INDEX($D$2:$D$15,RANDBETWEEN(1,ROWS($D$2:$D$15)),1)</f>
        <v>3</v>
      </c>
      <c r="L187" cm="1">
        <f t="array" aca="1" ref="L187" ca="1">INDEX($D$2:$D$15,RANDBETWEEN(1,ROWS($D$2:$D$15)),1)</f>
        <v>4</v>
      </c>
      <c r="M187" cm="1">
        <f t="array" aca="1" ref="M187" ca="1">INDEX($D$2:$D$15,RANDBETWEEN(1,ROWS($D$2:$D$15)),1)</f>
        <v>9</v>
      </c>
      <c r="N187" cm="1">
        <f t="array" aca="1" ref="N187" ca="1">INDEX($D$2:$D$15,RANDBETWEEN(1,ROWS($D$2:$D$15)),1)</f>
        <v>12</v>
      </c>
      <c r="O187" cm="1">
        <f t="array" aca="1" ref="O187" ca="1">INDEX($D$2:$D$15,RANDBETWEEN(1,ROWS($D$2:$D$15)),1)</f>
        <v>4</v>
      </c>
      <c r="P187" cm="1">
        <f t="array" aca="1" ref="P187" ca="1">INDEX($D$2:$D$15,RANDBETWEEN(1,ROWS($D$2:$D$15)),1)</f>
        <v>8</v>
      </c>
      <c r="Q187" cm="1">
        <f t="array" aca="1" ref="Q187" ca="1">INDEX($D$2:$D$15,RANDBETWEEN(1,ROWS($D$2:$D$15)),1)</f>
        <v>9</v>
      </c>
      <c r="R187" cm="1">
        <f t="array" aca="1" ref="R187" ca="1">INDEX($D$2:$D$15,RANDBETWEEN(1,ROWS($D$2:$D$15)),1)</f>
        <v>10</v>
      </c>
      <c r="S187" cm="1">
        <f t="array" aca="1" ref="S187" ca="1">INDEX($D$2:$D$15,RANDBETWEEN(1,ROWS($D$2:$D$15)),1)</f>
        <v>11</v>
      </c>
      <c r="T187" cm="1">
        <f t="array" aca="1" ref="T187" ca="1">INDEX($D$2:$D$15,RANDBETWEEN(1,ROWS($D$2:$D$15)),1)</f>
        <v>11</v>
      </c>
      <c r="W187">
        <f t="shared" ca="1" si="8"/>
        <v>7.333333333333333</v>
      </c>
      <c r="X187">
        <f t="shared" ca="1" si="9"/>
        <v>9</v>
      </c>
      <c r="Y187">
        <f t="shared" ca="1" si="10"/>
        <v>6.5</v>
      </c>
      <c r="Z187">
        <f t="shared" ca="1" si="11"/>
        <v>3.5590260840104375</v>
      </c>
    </row>
    <row r="188" spans="6:26" x14ac:dyDescent="0.35">
      <c r="F188" cm="1">
        <f t="array" aca="1" ref="F188" ca="1">INDEX($D$2:$D$15,RANDBETWEEN(1,ROWS($D$2:$D$15)),1)</f>
        <v>9</v>
      </c>
      <c r="G188" cm="1">
        <f t="array" aca="1" ref="G188" ca="1">INDEX($D$2:$D$15,RANDBETWEEN(1,ROWS($D$2:$D$15)),1)</f>
        <v>9</v>
      </c>
      <c r="H188" cm="1">
        <f t="array" aca="1" ref="H188" ca="1">INDEX($D$2:$D$15,RANDBETWEEN(1,ROWS($D$2:$D$15)),1)</f>
        <v>4</v>
      </c>
      <c r="I188" cm="1">
        <f t="array" aca="1" ref="I188" ca="1">INDEX($D$2:$D$15,RANDBETWEEN(1,ROWS($D$2:$D$15)),1)</f>
        <v>12</v>
      </c>
      <c r="J188" cm="1">
        <f t="array" aca="1" ref="J188" ca="1">INDEX($D$2:$D$15,RANDBETWEEN(1,ROWS($D$2:$D$15)),1)</f>
        <v>4</v>
      </c>
      <c r="K188" cm="1">
        <f t="array" aca="1" ref="K188" ca="1">INDEX($D$2:$D$15,RANDBETWEEN(1,ROWS($D$2:$D$15)),1)</f>
        <v>10</v>
      </c>
      <c r="L188" cm="1">
        <f t="array" aca="1" ref="L188" ca="1">INDEX($D$2:$D$15,RANDBETWEEN(1,ROWS($D$2:$D$15)),1)</f>
        <v>8</v>
      </c>
      <c r="M188" cm="1">
        <f t="array" aca="1" ref="M188" ca="1">INDEX($D$2:$D$15,RANDBETWEEN(1,ROWS($D$2:$D$15)),1)</f>
        <v>11</v>
      </c>
      <c r="N188" cm="1">
        <f t="array" aca="1" ref="N188" ca="1">INDEX($D$2:$D$15,RANDBETWEEN(1,ROWS($D$2:$D$15)),1)</f>
        <v>12</v>
      </c>
      <c r="O188" cm="1">
        <f t="array" aca="1" ref="O188" ca="1">INDEX($D$2:$D$15,RANDBETWEEN(1,ROWS($D$2:$D$15)),1)</f>
        <v>4</v>
      </c>
      <c r="P188" cm="1">
        <f t="array" aca="1" ref="P188" ca="1">INDEX($D$2:$D$15,RANDBETWEEN(1,ROWS($D$2:$D$15)),1)</f>
        <v>8</v>
      </c>
      <c r="Q188" cm="1">
        <f t="array" aca="1" ref="Q188" ca="1">INDEX($D$2:$D$15,RANDBETWEEN(1,ROWS($D$2:$D$15)),1)</f>
        <v>2</v>
      </c>
      <c r="R188" cm="1">
        <f t="array" aca="1" ref="R188" ca="1">INDEX($D$2:$D$15,RANDBETWEEN(1,ROWS($D$2:$D$15)),1)</f>
        <v>11</v>
      </c>
      <c r="S188" cm="1">
        <f t="array" aca="1" ref="S188" ca="1">INDEX($D$2:$D$15,RANDBETWEEN(1,ROWS($D$2:$D$15)),1)</f>
        <v>9</v>
      </c>
      <c r="T188" cm="1">
        <f t="array" aca="1" ref="T188" ca="1">INDEX($D$2:$D$15,RANDBETWEEN(1,ROWS($D$2:$D$15)),1)</f>
        <v>4</v>
      </c>
      <c r="W188">
        <f t="shared" ca="1" si="8"/>
        <v>7.8</v>
      </c>
      <c r="X188">
        <f t="shared" ca="1" si="9"/>
        <v>9</v>
      </c>
      <c r="Y188">
        <f t="shared" ca="1" si="10"/>
        <v>6.5</v>
      </c>
      <c r="Z188">
        <f t="shared" ca="1" si="11"/>
        <v>3.3423687066852108</v>
      </c>
    </row>
    <row r="189" spans="6:26" x14ac:dyDescent="0.35">
      <c r="F189" cm="1">
        <f t="array" aca="1" ref="F189" ca="1">INDEX($D$2:$D$15,RANDBETWEEN(1,ROWS($D$2:$D$15)),1)</f>
        <v>4</v>
      </c>
      <c r="G189" cm="1">
        <f t="array" aca="1" ref="G189" ca="1">INDEX($D$2:$D$15,RANDBETWEEN(1,ROWS($D$2:$D$15)),1)</f>
        <v>13</v>
      </c>
      <c r="H189" cm="1">
        <f t="array" aca="1" ref="H189" ca="1">INDEX($D$2:$D$15,RANDBETWEEN(1,ROWS($D$2:$D$15)),1)</f>
        <v>4</v>
      </c>
      <c r="I189" cm="1">
        <f t="array" aca="1" ref="I189" ca="1">INDEX($D$2:$D$15,RANDBETWEEN(1,ROWS($D$2:$D$15)),1)</f>
        <v>4</v>
      </c>
      <c r="J189" cm="1">
        <f t="array" aca="1" ref="J189" ca="1">INDEX($D$2:$D$15,RANDBETWEEN(1,ROWS($D$2:$D$15)),1)</f>
        <v>8</v>
      </c>
      <c r="K189" cm="1">
        <f t="array" aca="1" ref="K189" ca="1">INDEX($D$2:$D$15,RANDBETWEEN(1,ROWS($D$2:$D$15)),1)</f>
        <v>13</v>
      </c>
      <c r="L189" cm="1">
        <f t="array" aca="1" ref="L189" ca="1">INDEX($D$2:$D$15,RANDBETWEEN(1,ROWS($D$2:$D$15)),1)</f>
        <v>9</v>
      </c>
      <c r="M189" cm="1">
        <f t="array" aca="1" ref="M189" ca="1">INDEX($D$2:$D$15,RANDBETWEEN(1,ROWS($D$2:$D$15)),1)</f>
        <v>11</v>
      </c>
      <c r="N189" cm="1">
        <f t="array" aca="1" ref="N189" ca="1">INDEX($D$2:$D$15,RANDBETWEEN(1,ROWS($D$2:$D$15)),1)</f>
        <v>4</v>
      </c>
      <c r="O189" cm="1">
        <f t="array" aca="1" ref="O189" ca="1">INDEX($D$2:$D$15,RANDBETWEEN(1,ROWS($D$2:$D$15)),1)</f>
        <v>4</v>
      </c>
      <c r="P189" cm="1">
        <f t="array" aca="1" ref="P189" ca="1">INDEX($D$2:$D$15,RANDBETWEEN(1,ROWS($D$2:$D$15)),1)</f>
        <v>8</v>
      </c>
      <c r="Q189" cm="1">
        <f t="array" aca="1" ref="Q189" ca="1">INDEX($D$2:$D$15,RANDBETWEEN(1,ROWS($D$2:$D$15)),1)</f>
        <v>9</v>
      </c>
      <c r="R189" cm="1">
        <f t="array" aca="1" ref="R189" ca="1">INDEX($D$2:$D$15,RANDBETWEEN(1,ROWS($D$2:$D$15)),1)</f>
        <v>10</v>
      </c>
      <c r="S189" cm="1">
        <f t="array" aca="1" ref="S189" ca="1">INDEX($D$2:$D$15,RANDBETWEEN(1,ROWS($D$2:$D$15)),1)</f>
        <v>13</v>
      </c>
      <c r="T189" cm="1">
        <f t="array" aca="1" ref="T189" ca="1">INDEX($D$2:$D$15,RANDBETWEEN(1,ROWS($D$2:$D$15)),1)</f>
        <v>13</v>
      </c>
      <c r="W189">
        <f t="shared" ca="1" si="8"/>
        <v>8.4666666666666668</v>
      </c>
      <c r="X189">
        <f t="shared" ca="1" si="9"/>
        <v>9</v>
      </c>
      <c r="Y189">
        <f t="shared" ca="1" si="10"/>
        <v>8</v>
      </c>
      <c r="Z189">
        <f t="shared" ca="1" si="11"/>
        <v>3.7007077830109871</v>
      </c>
    </row>
    <row r="190" spans="6:26" x14ac:dyDescent="0.35">
      <c r="F190" cm="1">
        <f t="array" aca="1" ref="F190" ca="1">INDEX($D$2:$D$15,RANDBETWEEN(1,ROWS($D$2:$D$15)),1)</f>
        <v>12</v>
      </c>
      <c r="G190" cm="1">
        <f t="array" aca="1" ref="G190" ca="1">INDEX($D$2:$D$15,RANDBETWEEN(1,ROWS($D$2:$D$15)),1)</f>
        <v>9</v>
      </c>
      <c r="H190" cm="1">
        <f t="array" aca="1" ref="H190" ca="1">INDEX($D$2:$D$15,RANDBETWEEN(1,ROWS($D$2:$D$15)),1)</f>
        <v>9</v>
      </c>
      <c r="I190" cm="1">
        <f t="array" aca="1" ref="I190" ca="1">INDEX($D$2:$D$15,RANDBETWEEN(1,ROWS($D$2:$D$15)),1)</f>
        <v>9</v>
      </c>
      <c r="J190" cm="1">
        <f t="array" aca="1" ref="J190" ca="1">INDEX($D$2:$D$15,RANDBETWEEN(1,ROWS($D$2:$D$15)),1)</f>
        <v>4</v>
      </c>
      <c r="K190" cm="1">
        <f t="array" aca="1" ref="K190" ca="1">INDEX($D$2:$D$15,RANDBETWEEN(1,ROWS($D$2:$D$15)),1)</f>
        <v>4</v>
      </c>
      <c r="L190" cm="1">
        <f t="array" aca="1" ref="L190" ca="1">INDEX($D$2:$D$15,RANDBETWEEN(1,ROWS($D$2:$D$15)),1)</f>
        <v>8</v>
      </c>
      <c r="M190" cm="1">
        <f t="array" aca="1" ref="M190" ca="1">INDEX($D$2:$D$15,RANDBETWEEN(1,ROWS($D$2:$D$15)),1)</f>
        <v>4</v>
      </c>
      <c r="N190" cm="1">
        <f t="array" aca="1" ref="N190" ca="1">INDEX($D$2:$D$15,RANDBETWEEN(1,ROWS($D$2:$D$15)),1)</f>
        <v>3</v>
      </c>
      <c r="O190" cm="1">
        <f t="array" aca="1" ref="O190" ca="1">INDEX($D$2:$D$15,RANDBETWEEN(1,ROWS($D$2:$D$15)),1)</f>
        <v>4</v>
      </c>
      <c r="P190" cm="1">
        <f t="array" aca="1" ref="P190" ca="1">INDEX($D$2:$D$15,RANDBETWEEN(1,ROWS($D$2:$D$15)),1)</f>
        <v>9</v>
      </c>
      <c r="Q190" cm="1">
        <f t="array" aca="1" ref="Q190" ca="1">INDEX($D$2:$D$15,RANDBETWEEN(1,ROWS($D$2:$D$15)),1)</f>
        <v>3</v>
      </c>
      <c r="R190" cm="1">
        <f t="array" aca="1" ref="R190" ca="1">INDEX($D$2:$D$15,RANDBETWEEN(1,ROWS($D$2:$D$15)),1)</f>
        <v>10</v>
      </c>
      <c r="S190" cm="1">
        <f t="array" aca="1" ref="S190" ca="1">INDEX($D$2:$D$15,RANDBETWEEN(1,ROWS($D$2:$D$15)),1)</f>
        <v>9</v>
      </c>
      <c r="T190" cm="1">
        <f t="array" aca="1" ref="T190" ca="1">INDEX($D$2:$D$15,RANDBETWEEN(1,ROWS($D$2:$D$15)),1)</f>
        <v>3</v>
      </c>
      <c r="W190">
        <f t="shared" ca="1" si="8"/>
        <v>6.666666666666667</v>
      </c>
      <c r="X190">
        <f t="shared" ca="1" si="9"/>
        <v>8</v>
      </c>
      <c r="Y190">
        <f t="shared" ca="1" si="10"/>
        <v>5</v>
      </c>
      <c r="Z190">
        <f t="shared" ca="1" si="11"/>
        <v>3.1320159337914952</v>
      </c>
    </row>
    <row r="191" spans="6:26" x14ac:dyDescent="0.35">
      <c r="F191" cm="1">
        <f t="array" aca="1" ref="F191" ca="1">INDEX($D$2:$D$15,RANDBETWEEN(1,ROWS($D$2:$D$15)),1)</f>
        <v>11</v>
      </c>
      <c r="G191" cm="1">
        <f t="array" aca="1" ref="G191" ca="1">INDEX($D$2:$D$15,RANDBETWEEN(1,ROWS($D$2:$D$15)),1)</f>
        <v>4</v>
      </c>
      <c r="H191" cm="1">
        <f t="array" aca="1" ref="H191" ca="1">INDEX($D$2:$D$15,RANDBETWEEN(1,ROWS($D$2:$D$15)),1)</f>
        <v>2</v>
      </c>
      <c r="I191" cm="1">
        <f t="array" aca="1" ref="I191" ca="1">INDEX($D$2:$D$15,RANDBETWEEN(1,ROWS($D$2:$D$15)),1)</f>
        <v>4</v>
      </c>
      <c r="J191" cm="1">
        <f t="array" aca="1" ref="J191" ca="1">INDEX($D$2:$D$15,RANDBETWEEN(1,ROWS($D$2:$D$15)),1)</f>
        <v>10</v>
      </c>
      <c r="K191" cm="1">
        <f t="array" aca="1" ref="K191" ca="1">INDEX($D$2:$D$15,RANDBETWEEN(1,ROWS($D$2:$D$15)),1)</f>
        <v>2</v>
      </c>
      <c r="L191" cm="1">
        <f t="array" aca="1" ref="L191" ca="1">INDEX($D$2:$D$15,RANDBETWEEN(1,ROWS($D$2:$D$15)),1)</f>
        <v>3</v>
      </c>
      <c r="M191" cm="1">
        <f t="array" aca="1" ref="M191" ca="1">INDEX($D$2:$D$15,RANDBETWEEN(1,ROWS($D$2:$D$15)),1)</f>
        <v>12</v>
      </c>
      <c r="N191" cm="1">
        <f t="array" aca="1" ref="N191" ca="1">INDEX($D$2:$D$15,RANDBETWEEN(1,ROWS($D$2:$D$15)),1)</f>
        <v>4</v>
      </c>
      <c r="O191" cm="1">
        <f t="array" aca="1" ref="O191" ca="1">INDEX($D$2:$D$15,RANDBETWEEN(1,ROWS($D$2:$D$15)),1)</f>
        <v>4</v>
      </c>
      <c r="P191" cm="1">
        <f t="array" aca="1" ref="P191" ca="1">INDEX($D$2:$D$15,RANDBETWEEN(1,ROWS($D$2:$D$15)),1)</f>
        <v>9</v>
      </c>
      <c r="Q191" cm="1">
        <f t="array" aca="1" ref="Q191" ca="1">INDEX($D$2:$D$15,RANDBETWEEN(1,ROWS($D$2:$D$15)),1)</f>
        <v>9</v>
      </c>
      <c r="R191" cm="1">
        <f t="array" aca="1" ref="R191" ca="1">INDEX($D$2:$D$15,RANDBETWEEN(1,ROWS($D$2:$D$15)),1)</f>
        <v>9</v>
      </c>
      <c r="S191" cm="1">
        <f t="array" aca="1" ref="S191" ca="1">INDEX($D$2:$D$15,RANDBETWEEN(1,ROWS($D$2:$D$15)),1)</f>
        <v>9</v>
      </c>
      <c r="T191" cm="1">
        <f t="array" aca="1" ref="T191" ca="1">INDEX($D$2:$D$15,RANDBETWEEN(1,ROWS($D$2:$D$15)),1)</f>
        <v>2</v>
      </c>
      <c r="W191">
        <f t="shared" ca="1" si="8"/>
        <v>6.2666666666666666</v>
      </c>
      <c r="X191">
        <f t="shared" ca="1" si="9"/>
        <v>4</v>
      </c>
      <c r="Y191">
        <f t="shared" ca="1" si="10"/>
        <v>5.5</v>
      </c>
      <c r="Z191">
        <f t="shared" ca="1" si="11"/>
        <v>3.6344908597386518</v>
      </c>
    </row>
    <row r="192" spans="6:26" x14ac:dyDescent="0.35">
      <c r="F192" cm="1">
        <f t="array" aca="1" ref="F192" ca="1">INDEX($D$2:$D$15,RANDBETWEEN(1,ROWS($D$2:$D$15)),1)</f>
        <v>12</v>
      </c>
      <c r="G192" cm="1">
        <f t="array" aca="1" ref="G192" ca="1">INDEX($D$2:$D$15,RANDBETWEEN(1,ROWS($D$2:$D$15)),1)</f>
        <v>12</v>
      </c>
      <c r="H192" cm="1">
        <f t="array" aca="1" ref="H192" ca="1">INDEX($D$2:$D$15,RANDBETWEEN(1,ROWS($D$2:$D$15)),1)</f>
        <v>4</v>
      </c>
      <c r="I192" cm="1">
        <f t="array" aca="1" ref="I192" ca="1">INDEX($D$2:$D$15,RANDBETWEEN(1,ROWS($D$2:$D$15)),1)</f>
        <v>4</v>
      </c>
      <c r="J192" cm="1">
        <f t="array" aca="1" ref="J192" ca="1">INDEX($D$2:$D$15,RANDBETWEEN(1,ROWS($D$2:$D$15)),1)</f>
        <v>12</v>
      </c>
      <c r="K192" cm="1">
        <f t="array" aca="1" ref="K192" ca="1">INDEX($D$2:$D$15,RANDBETWEEN(1,ROWS($D$2:$D$15)),1)</f>
        <v>3</v>
      </c>
      <c r="L192" cm="1">
        <f t="array" aca="1" ref="L192" ca="1">INDEX($D$2:$D$15,RANDBETWEEN(1,ROWS($D$2:$D$15)),1)</f>
        <v>4</v>
      </c>
      <c r="M192" cm="1">
        <f t="array" aca="1" ref="M192" ca="1">INDEX($D$2:$D$15,RANDBETWEEN(1,ROWS($D$2:$D$15)),1)</f>
        <v>9</v>
      </c>
      <c r="N192" cm="1">
        <f t="array" aca="1" ref="N192" ca="1">INDEX($D$2:$D$15,RANDBETWEEN(1,ROWS($D$2:$D$15)),1)</f>
        <v>8</v>
      </c>
      <c r="O192" cm="1">
        <f t="array" aca="1" ref="O192" ca="1">INDEX($D$2:$D$15,RANDBETWEEN(1,ROWS($D$2:$D$15)),1)</f>
        <v>4</v>
      </c>
      <c r="P192" cm="1">
        <f t="array" aca="1" ref="P192" ca="1">INDEX($D$2:$D$15,RANDBETWEEN(1,ROWS($D$2:$D$15)),1)</f>
        <v>12</v>
      </c>
      <c r="Q192" cm="1">
        <f t="array" aca="1" ref="Q192" ca="1">INDEX($D$2:$D$15,RANDBETWEEN(1,ROWS($D$2:$D$15)),1)</f>
        <v>9</v>
      </c>
      <c r="R192" cm="1">
        <f t="array" aca="1" ref="R192" ca="1">INDEX($D$2:$D$15,RANDBETWEEN(1,ROWS($D$2:$D$15)),1)</f>
        <v>2</v>
      </c>
      <c r="S192" cm="1">
        <f t="array" aca="1" ref="S192" ca="1">INDEX($D$2:$D$15,RANDBETWEEN(1,ROWS($D$2:$D$15)),1)</f>
        <v>9</v>
      </c>
      <c r="T192" cm="1">
        <f t="array" aca="1" ref="T192" ca="1">INDEX($D$2:$D$15,RANDBETWEEN(1,ROWS($D$2:$D$15)),1)</f>
        <v>10</v>
      </c>
      <c r="W192">
        <f t="shared" ca="1" si="8"/>
        <v>7.6</v>
      </c>
      <c r="X192">
        <f t="shared" ca="1" si="9"/>
        <v>9</v>
      </c>
      <c r="Y192">
        <f t="shared" ca="1" si="10"/>
        <v>7</v>
      </c>
      <c r="Z192">
        <f t="shared" ca="1" si="11"/>
        <v>3.7186787208054732</v>
      </c>
    </row>
    <row r="193" spans="6:26" x14ac:dyDescent="0.35">
      <c r="F193" cm="1">
        <f t="array" aca="1" ref="F193" ca="1">INDEX($D$2:$D$15,RANDBETWEEN(1,ROWS($D$2:$D$15)),1)</f>
        <v>3</v>
      </c>
      <c r="G193" cm="1">
        <f t="array" aca="1" ref="G193" ca="1">INDEX($D$2:$D$15,RANDBETWEEN(1,ROWS($D$2:$D$15)),1)</f>
        <v>4</v>
      </c>
      <c r="H193" cm="1">
        <f t="array" aca="1" ref="H193" ca="1">INDEX($D$2:$D$15,RANDBETWEEN(1,ROWS($D$2:$D$15)),1)</f>
        <v>4</v>
      </c>
      <c r="I193" cm="1">
        <f t="array" aca="1" ref="I193" ca="1">INDEX($D$2:$D$15,RANDBETWEEN(1,ROWS($D$2:$D$15)),1)</f>
        <v>4</v>
      </c>
      <c r="J193" cm="1">
        <f t="array" aca="1" ref="J193" ca="1">INDEX($D$2:$D$15,RANDBETWEEN(1,ROWS($D$2:$D$15)),1)</f>
        <v>11</v>
      </c>
      <c r="K193" cm="1">
        <f t="array" aca="1" ref="K193" ca="1">INDEX($D$2:$D$15,RANDBETWEEN(1,ROWS($D$2:$D$15)),1)</f>
        <v>3</v>
      </c>
      <c r="L193" cm="1">
        <f t="array" aca="1" ref="L193" ca="1">INDEX($D$2:$D$15,RANDBETWEEN(1,ROWS($D$2:$D$15)),1)</f>
        <v>4</v>
      </c>
      <c r="M193" cm="1">
        <f t="array" aca="1" ref="M193" ca="1">INDEX($D$2:$D$15,RANDBETWEEN(1,ROWS($D$2:$D$15)),1)</f>
        <v>4</v>
      </c>
      <c r="N193" cm="1">
        <f t="array" aca="1" ref="N193" ca="1">INDEX($D$2:$D$15,RANDBETWEEN(1,ROWS($D$2:$D$15)),1)</f>
        <v>10</v>
      </c>
      <c r="O193" cm="1">
        <f t="array" aca="1" ref="O193" ca="1">INDEX($D$2:$D$15,RANDBETWEEN(1,ROWS($D$2:$D$15)),1)</f>
        <v>9</v>
      </c>
      <c r="P193" cm="1">
        <f t="array" aca="1" ref="P193" ca="1">INDEX($D$2:$D$15,RANDBETWEEN(1,ROWS($D$2:$D$15)),1)</f>
        <v>9</v>
      </c>
      <c r="Q193" cm="1">
        <f t="array" aca="1" ref="Q193" ca="1">INDEX($D$2:$D$15,RANDBETWEEN(1,ROWS($D$2:$D$15)),1)</f>
        <v>9</v>
      </c>
      <c r="R193" cm="1">
        <f t="array" aca="1" ref="R193" ca="1">INDEX($D$2:$D$15,RANDBETWEEN(1,ROWS($D$2:$D$15)),1)</f>
        <v>8</v>
      </c>
      <c r="S193" cm="1">
        <f t="array" aca="1" ref="S193" ca="1">INDEX($D$2:$D$15,RANDBETWEEN(1,ROWS($D$2:$D$15)),1)</f>
        <v>9</v>
      </c>
      <c r="T193" cm="1">
        <f t="array" aca="1" ref="T193" ca="1">INDEX($D$2:$D$15,RANDBETWEEN(1,ROWS($D$2:$D$15)),1)</f>
        <v>4</v>
      </c>
      <c r="W193">
        <f t="shared" ca="1" si="8"/>
        <v>6.333333333333333</v>
      </c>
      <c r="X193">
        <f t="shared" ca="1" si="9"/>
        <v>4</v>
      </c>
      <c r="Y193">
        <f t="shared" ca="1" si="10"/>
        <v>5</v>
      </c>
      <c r="Z193">
        <f t="shared" ca="1" si="11"/>
        <v>2.9439202887759492</v>
      </c>
    </row>
    <row r="194" spans="6:26" x14ac:dyDescent="0.35">
      <c r="F194" cm="1">
        <f t="array" aca="1" ref="F194" ca="1">INDEX($D$2:$D$15,RANDBETWEEN(1,ROWS($D$2:$D$15)),1)</f>
        <v>4</v>
      </c>
      <c r="G194" cm="1">
        <f t="array" aca="1" ref="G194" ca="1">INDEX($D$2:$D$15,RANDBETWEEN(1,ROWS($D$2:$D$15)),1)</f>
        <v>11</v>
      </c>
      <c r="H194" cm="1">
        <f t="array" aca="1" ref="H194" ca="1">INDEX($D$2:$D$15,RANDBETWEEN(1,ROWS($D$2:$D$15)),1)</f>
        <v>3</v>
      </c>
      <c r="I194" cm="1">
        <f t="array" aca="1" ref="I194" ca="1">INDEX($D$2:$D$15,RANDBETWEEN(1,ROWS($D$2:$D$15)),1)</f>
        <v>10</v>
      </c>
      <c r="J194" cm="1">
        <f t="array" aca="1" ref="J194" ca="1">INDEX($D$2:$D$15,RANDBETWEEN(1,ROWS($D$2:$D$15)),1)</f>
        <v>4</v>
      </c>
      <c r="K194" cm="1">
        <f t="array" aca="1" ref="K194" ca="1">INDEX($D$2:$D$15,RANDBETWEEN(1,ROWS($D$2:$D$15)),1)</f>
        <v>8</v>
      </c>
      <c r="L194" cm="1">
        <f t="array" aca="1" ref="L194" ca="1">INDEX($D$2:$D$15,RANDBETWEEN(1,ROWS($D$2:$D$15)),1)</f>
        <v>4</v>
      </c>
      <c r="M194" cm="1">
        <f t="array" aca="1" ref="M194" ca="1">INDEX($D$2:$D$15,RANDBETWEEN(1,ROWS($D$2:$D$15)),1)</f>
        <v>12</v>
      </c>
      <c r="N194" cm="1">
        <f t="array" aca="1" ref="N194" ca="1">INDEX($D$2:$D$15,RANDBETWEEN(1,ROWS($D$2:$D$15)),1)</f>
        <v>11</v>
      </c>
      <c r="O194" cm="1">
        <f t="array" aca="1" ref="O194" ca="1">INDEX($D$2:$D$15,RANDBETWEEN(1,ROWS($D$2:$D$15)),1)</f>
        <v>4</v>
      </c>
      <c r="P194" cm="1">
        <f t="array" aca="1" ref="P194" ca="1">INDEX($D$2:$D$15,RANDBETWEEN(1,ROWS($D$2:$D$15)),1)</f>
        <v>9</v>
      </c>
      <c r="Q194" cm="1">
        <f t="array" aca="1" ref="Q194" ca="1">INDEX($D$2:$D$15,RANDBETWEEN(1,ROWS($D$2:$D$15)),1)</f>
        <v>13</v>
      </c>
      <c r="R194" cm="1">
        <f t="array" aca="1" ref="R194" ca="1">INDEX($D$2:$D$15,RANDBETWEEN(1,ROWS($D$2:$D$15)),1)</f>
        <v>9</v>
      </c>
      <c r="S194" cm="1">
        <f t="array" aca="1" ref="S194" ca="1">INDEX($D$2:$D$15,RANDBETWEEN(1,ROWS($D$2:$D$15)),1)</f>
        <v>4</v>
      </c>
      <c r="T194" cm="1">
        <f t="array" aca="1" ref="T194" ca="1">INDEX($D$2:$D$15,RANDBETWEEN(1,ROWS($D$2:$D$15)),1)</f>
        <v>12</v>
      </c>
      <c r="W194">
        <f t="shared" ca="1" si="8"/>
        <v>7.8666666666666663</v>
      </c>
      <c r="X194">
        <f t="shared" ca="1" si="9"/>
        <v>9</v>
      </c>
      <c r="Y194">
        <f t="shared" ca="1" si="10"/>
        <v>7</v>
      </c>
      <c r="Z194">
        <f t="shared" ca="1" si="11"/>
        <v>3.642343567906063</v>
      </c>
    </row>
    <row r="195" spans="6:26" x14ac:dyDescent="0.35">
      <c r="F195" cm="1">
        <f t="array" aca="1" ref="F195" ca="1">INDEX($D$2:$D$15,RANDBETWEEN(1,ROWS($D$2:$D$15)),1)</f>
        <v>10</v>
      </c>
      <c r="G195" cm="1">
        <f t="array" aca="1" ref="G195" ca="1">INDEX($D$2:$D$15,RANDBETWEEN(1,ROWS($D$2:$D$15)),1)</f>
        <v>8</v>
      </c>
      <c r="H195" cm="1">
        <f t="array" aca="1" ref="H195" ca="1">INDEX($D$2:$D$15,RANDBETWEEN(1,ROWS($D$2:$D$15)),1)</f>
        <v>9</v>
      </c>
      <c r="I195" cm="1">
        <f t="array" aca="1" ref="I195" ca="1">INDEX($D$2:$D$15,RANDBETWEEN(1,ROWS($D$2:$D$15)),1)</f>
        <v>9</v>
      </c>
      <c r="J195" cm="1">
        <f t="array" aca="1" ref="J195" ca="1">INDEX($D$2:$D$15,RANDBETWEEN(1,ROWS($D$2:$D$15)),1)</f>
        <v>12</v>
      </c>
      <c r="K195" cm="1">
        <f t="array" aca="1" ref="K195" ca="1">INDEX($D$2:$D$15,RANDBETWEEN(1,ROWS($D$2:$D$15)),1)</f>
        <v>4</v>
      </c>
      <c r="L195" cm="1">
        <f t="array" aca="1" ref="L195" ca="1">INDEX($D$2:$D$15,RANDBETWEEN(1,ROWS($D$2:$D$15)),1)</f>
        <v>3</v>
      </c>
      <c r="M195" cm="1">
        <f t="array" aca="1" ref="M195" ca="1">INDEX($D$2:$D$15,RANDBETWEEN(1,ROWS($D$2:$D$15)),1)</f>
        <v>10</v>
      </c>
      <c r="N195" cm="1">
        <f t="array" aca="1" ref="N195" ca="1">INDEX($D$2:$D$15,RANDBETWEEN(1,ROWS($D$2:$D$15)),1)</f>
        <v>12</v>
      </c>
      <c r="O195" cm="1">
        <f t="array" aca="1" ref="O195" ca="1">INDEX($D$2:$D$15,RANDBETWEEN(1,ROWS($D$2:$D$15)),1)</f>
        <v>13</v>
      </c>
      <c r="P195" cm="1">
        <f t="array" aca="1" ref="P195" ca="1">INDEX($D$2:$D$15,RANDBETWEEN(1,ROWS($D$2:$D$15)),1)</f>
        <v>8</v>
      </c>
      <c r="Q195" cm="1">
        <f t="array" aca="1" ref="Q195" ca="1">INDEX($D$2:$D$15,RANDBETWEEN(1,ROWS($D$2:$D$15)),1)</f>
        <v>4</v>
      </c>
      <c r="R195" cm="1">
        <f t="array" aca="1" ref="R195" ca="1">INDEX($D$2:$D$15,RANDBETWEEN(1,ROWS($D$2:$D$15)),1)</f>
        <v>3</v>
      </c>
      <c r="S195" cm="1">
        <f t="array" aca="1" ref="S195" ca="1">INDEX($D$2:$D$15,RANDBETWEEN(1,ROWS($D$2:$D$15)),1)</f>
        <v>12</v>
      </c>
      <c r="T195" cm="1">
        <f t="array" aca="1" ref="T195" ca="1">INDEX($D$2:$D$15,RANDBETWEEN(1,ROWS($D$2:$D$15)),1)</f>
        <v>13</v>
      </c>
      <c r="W195">
        <f t="shared" ref="W195:W258" ca="1" si="12">AVERAGE(F195:T195)</f>
        <v>8.6666666666666661</v>
      </c>
      <c r="X195">
        <f t="shared" ref="X195:X258" ca="1" si="13">MEDIAN(F195:T195)</f>
        <v>9</v>
      </c>
      <c r="Y195">
        <f t="shared" ref="Y195:Y258" ca="1" si="14">_xlfn.QUARTILE.INC(F195:T195, 3)-_xlfn.QUARTILE.INC(F195:T195,1)</f>
        <v>6</v>
      </c>
      <c r="Z195">
        <f t="shared" ref="Z195:Z258" ca="1" si="15">_xlfn.STDEV.S(F195:T195)</f>
        <v>3.6187343222787285</v>
      </c>
    </row>
    <row r="196" spans="6:26" x14ac:dyDescent="0.35">
      <c r="F196" cm="1">
        <f t="array" aca="1" ref="F196" ca="1">INDEX($D$2:$D$15,RANDBETWEEN(1,ROWS($D$2:$D$15)),1)</f>
        <v>12</v>
      </c>
      <c r="G196" cm="1">
        <f t="array" aca="1" ref="G196" ca="1">INDEX($D$2:$D$15,RANDBETWEEN(1,ROWS($D$2:$D$15)),1)</f>
        <v>10</v>
      </c>
      <c r="H196" cm="1">
        <f t="array" aca="1" ref="H196" ca="1">INDEX($D$2:$D$15,RANDBETWEEN(1,ROWS($D$2:$D$15)),1)</f>
        <v>8</v>
      </c>
      <c r="I196" cm="1">
        <f t="array" aca="1" ref="I196" ca="1">INDEX($D$2:$D$15,RANDBETWEEN(1,ROWS($D$2:$D$15)),1)</f>
        <v>3</v>
      </c>
      <c r="J196" cm="1">
        <f t="array" aca="1" ref="J196" ca="1">INDEX($D$2:$D$15,RANDBETWEEN(1,ROWS($D$2:$D$15)),1)</f>
        <v>12</v>
      </c>
      <c r="K196" cm="1">
        <f t="array" aca="1" ref="K196" ca="1">INDEX($D$2:$D$15,RANDBETWEEN(1,ROWS($D$2:$D$15)),1)</f>
        <v>9</v>
      </c>
      <c r="L196" cm="1">
        <f t="array" aca="1" ref="L196" ca="1">INDEX($D$2:$D$15,RANDBETWEEN(1,ROWS($D$2:$D$15)),1)</f>
        <v>4</v>
      </c>
      <c r="M196" cm="1">
        <f t="array" aca="1" ref="M196" ca="1">INDEX($D$2:$D$15,RANDBETWEEN(1,ROWS($D$2:$D$15)),1)</f>
        <v>8</v>
      </c>
      <c r="N196" cm="1">
        <f t="array" aca="1" ref="N196" ca="1">INDEX($D$2:$D$15,RANDBETWEEN(1,ROWS($D$2:$D$15)),1)</f>
        <v>4</v>
      </c>
      <c r="O196" cm="1">
        <f t="array" aca="1" ref="O196" ca="1">INDEX($D$2:$D$15,RANDBETWEEN(1,ROWS($D$2:$D$15)),1)</f>
        <v>9</v>
      </c>
      <c r="P196" cm="1">
        <f t="array" aca="1" ref="P196" ca="1">INDEX($D$2:$D$15,RANDBETWEEN(1,ROWS($D$2:$D$15)),1)</f>
        <v>13</v>
      </c>
      <c r="Q196" cm="1">
        <f t="array" aca="1" ref="Q196" ca="1">INDEX($D$2:$D$15,RANDBETWEEN(1,ROWS($D$2:$D$15)),1)</f>
        <v>4</v>
      </c>
      <c r="R196" cm="1">
        <f t="array" aca="1" ref="R196" ca="1">INDEX($D$2:$D$15,RANDBETWEEN(1,ROWS($D$2:$D$15)),1)</f>
        <v>4</v>
      </c>
      <c r="S196" cm="1">
        <f t="array" aca="1" ref="S196" ca="1">INDEX($D$2:$D$15,RANDBETWEEN(1,ROWS($D$2:$D$15)),1)</f>
        <v>9</v>
      </c>
      <c r="T196" cm="1">
        <f t="array" aca="1" ref="T196" ca="1">INDEX($D$2:$D$15,RANDBETWEEN(1,ROWS($D$2:$D$15)),1)</f>
        <v>4</v>
      </c>
      <c r="W196">
        <f t="shared" ca="1" si="12"/>
        <v>7.5333333333333332</v>
      </c>
      <c r="X196">
        <f t="shared" ca="1" si="13"/>
        <v>8</v>
      </c>
      <c r="Y196">
        <f t="shared" ca="1" si="14"/>
        <v>5.5</v>
      </c>
      <c r="Z196">
        <f t="shared" ca="1" si="15"/>
        <v>3.4406533155921477</v>
      </c>
    </row>
    <row r="197" spans="6:26" x14ac:dyDescent="0.35">
      <c r="F197" cm="1">
        <f t="array" aca="1" ref="F197" ca="1">INDEX($D$2:$D$15,RANDBETWEEN(1,ROWS($D$2:$D$15)),1)</f>
        <v>4</v>
      </c>
      <c r="G197" cm="1">
        <f t="array" aca="1" ref="G197" ca="1">INDEX($D$2:$D$15,RANDBETWEEN(1,ROWS($D$2:$D$15)),1)</f>
        <v>4</v>
      </c>
      <c r="H197" cm="1">
        <f t="array" aca="1" ref="H197" ca="1">INDEX($D$2:$D$15,RANDBETWEEN(1,ROWS($D$2:$D$15)),1)</f>
        <v>12</v>
      </c>
      <c r="I197" cm="1">
        <f t="array" aca="1" ref="I197" ca="1">INDEX($D$2:$D$15,RANDBETWEEN(1,ROWS($D$2:$D$15)),1)</f>
        <v>4</v>
      </c>
      <c r="J197" cm="1">
        <f t="array" aca="1" ref="J197" ca="1">INDEX($D$2:$D$15,RANDBETWEEN(1,ROWS($D$2:$D$15)),1)</f>
        <v>10</v>
      </c>
      <c r="K197" cm="1">
        <f t="array" aca="1" ref="K197" ca="1">INDEX($D$2:$D$15,RANDBETWEEN(1,ROWS($D$2:$D$15)),1)</f>
        <v>4</v>
      </c>
      <c r="L197" cm="1">
        <f t="array" aca="1" ref="L197" ca="1">INDEX($D$2:$D$15,RANDBETWEEN(1,ROWS($D$2:$D$15)),1)</f>
        <v>10</v>
      </c>
      <c r="M197" cm="1">
        <f t="array" aca="1" ref="M197" ca="1">INDEX($D$2:$D$15,RANDBETWEEN(1,ROWS($D$2:$D$15)),1)</f>
        <v>13</v>
      </c>
      <c r="N197" cm="1">
        <f t="array" aca="1" ref="N197" ca="1">INDEX($D$2:$D$15,RANDBETWEEN(1,ROWS($D$2:$D$15)),1)</f>
        <v>2</v>
      </c>
      <c r="O197" cm="1">
        <f t="array" aca="1" ref="O197" ca="1">INDEX($D$2:$D$15,RANDBETWEEN(1,ROWS($D$2:$D$15)),1)</f>
        <v>9</v>
      </c>
      <c r="P197" cm="1">
        <f t="array" aca="1" ref="P197" ca="1">INDEX($D$2:$D$15,RANDBETWEEN(1,ROWS($D$2:$D$15)),1)</f>
        <v>4</v>
      </c>
      <c r="Q197" cm="1">
        <f t="array" aca="1" ref="Q197" ca="1">INDEX($D$2:$D$15,RANDBETWEEN(1,ROWS($D$2:$D$15)),1)</f>
        <v>12</v>
      </c>
      <c r="R197" cm="1">
        <f t="array" aca="1" ref="R197" ca="1">INDEX($D$2:$D$15,RANDBETWEEN(1,ROWS($D$2:$D$15)),1)</f>
        <v>4</v>
      </c>
      <c r="S197" cm="1">
        <f t="array" aca="1" ref="S197" ca="1">INDEX($D$2:$D$15,RANDBETWEEN(1,ROWS($D$2:$D$15)),1)</f>
        <v>10</v>
      </c>
      <c r="T197" cm="1">
        <f t="array" aca="1" ref="T197" ca="1">INDEX($D$2:$D$15,RANDBETWEEN(1,ROWS($D$2:$D$15)),1)</f>
        <v>11</v>
      </c>
      <c r="W197">
        <f t="shared" ca="1" si="12"/>
        <v>7.5333333333333332</v>
      </c>
      <c r="X197">
        <f t="shared" ca="1" si="13"/>
        <v>9</v>
      </c>
      <c r="Y197">
        <f t="shared" ca="1" si="14"/>
        <v>6.5</v>
      </c>
      <c r="Z197">
        <f t="shared" ca="1" si="15"/>
        <v>3.8520248231411021</v>
      </c>
    </row>
    <row r="198" spans="6:26" x14ac:dyDescent="0.35">
      <c r="F198" cm="1">
        <f t="array" aca="1" ref="F198" ca="1">INDEX($D$2:$D$15,RANDBETWEEN(1,ROWS($D$2:$D$15)),1)</f>
        <v>2</v>
      </c>
      <c r="G198" cm="1">
        <f t="array" aca="1" ref="G198" ca="1">INDEX($D$2:$D$15,RANDBETWEEN(1,ROWS($D$2:$D$15)),1)</f>
        <v>9</v>
      </c>
      <c r="H198" cm="1">
        <f t="array" aca="1" ref="H198" ca="1">INDEX($D$2:$D$15,RANDBETWEEN(1,ROWS($D$2:$D$15)),1)</f>
        <v>4</v>
      </c>
      <c r="I198" cm="1">
        <f t="array" aca="1" ref="I198" ca="1">INDEX($D$2:$D$15,RANDBETWEEN(1,ROWS($D$2:$D$15)),1)</f>
        <v>2</v>
      </c>
      <c r="J198" cm="1">
        <f t="array" aca="1" ref="J198" ca="1">INDEX($D$2:$D$15,RANDBETWEEN(1,ROWS($D$2:$D$15)),1)</f>
        <v>4</v>
      </c>
      <c r="K198" cm="1">
        <f t="array" aca="1" ref="K198" ca="1">INDEX($D$2:$D$15,RANDBETWEEN(1,ROWS($D$2:$D$15)),1)</f>
        <v>3</v>
      </c>
      <c r="L198" cm="1">
        <f t="array" aca="1" ref="L198" ca="1">INDEX($D$2:$D$15,RANDBETWEEN(1,ROWS($D$2:$D$15)),1)</f>
        <v>2</v>
      </c>
      <c r="M198" cm="1">
        <f t="array" aca="1" ref="M198" ca="1">INDEX($D$2:$D$15,RANDBETWEEN(1,ROWS($D$2:$D$15)),1)</f>
        <v>8</v>
      </c>
      <c r="N198" cm="1">
        <f t="array" aca="1" ref="N198" ca="1">INDEX($D$2:$D$15,RANDBETWEEN(1,ROWS($D$2:$D$15)),1)</f>
        <v>10</v>
      </c>
      <c r="O198" cm="1">
        <f t="array" aca="1" ref="O198" ca="1">INDEX($D$2:$D$15,RANDBETWEEN(1,ROWS($D$2:$D$15)),1)</f>
        <v>4</v>
      </c>
      <c r="P198" cm="1">
        <f t="array" aca="1" ref="P198" ca="1">INDEX($D$2:$D$15,RANDBETWEEN(1,ROWS($D$2:$D$15)),1)</f>
        <v>12</v>
      </c>
      <c r="Q198" cm="1">
        <f t="array" aca="1" ref="Q198" ca="1">INDEX($D$2:$D$15,RANDBETWEEN(1,ROWS($D$2:$D$15)),1)</f>
        <v>4</v>
      </c>
      <c r="R198" cm="1">
        <f t="array" aca="1" ref="R198" ca="1">INDEX($D$2:$D$15,RANDBETWEEN(1,ROWS($D$2:$D$15)),1)</f>
        <v>3</v>
      </c>
      <c r="S198" cm="1">
        <f t="array" aca="1" ref="S198" ca="1">INDEX($D$2:$D$15,RANDBETWEEN(1,ROWS($D$2:$D$15)),1)</f>
        <v>12</v>
      </c>
      <c r="T198" cm="1">
        <f t="array" aca="1" ref="T198" ca="1">INDEX($D$2:$D$15,RANDBETWEEN(1,ROWS($D$2:$D$15)),1)</f>
        <v>13</v>
      </c>
      <c r="W198">
        <f t="shared" ca="1" si="12"/>
        <v>6.1333333333333337</v>
      </c>
      <c r="X198">
        <f t="shared" ca="1" si="13"/>
        <v>4</v>
      </c>
      <c r="Y198">
        <f t="shared" ca="1" si="14"/>
        <v>6.5</v>
      </c>
      <c r="Z198">
        <f t="shared" ca="1" si="15"/>
        <v>4.0684617427697356</v>
      </c>
    </row>
    <row r="199" spans="6:26" x14ac:dyDescent="0.35">
      <c r="F199" cm="1">
        <f t="array" aca="1" ref="F199" ca="1">INDEX($D$2:$D$15,RANDBETWEEN(1,ROWS($D$2:$D$15)),1)</f>
        <v>2</v>
      </c>
      <c r="G199" cm="1">
        <f t="array" aca="1" ref="G199" ca="1">INDEX($D$2:$D$15,RANDBETWEEN(1,ROWS($D$2:$D$15)),1)</f>
        <v>4</v>
      </c>
      <c r="H199" cm="1">
        <f t="array" aca="1" ref="H199" ca="1">INDEX($D$2:$D$15,RANDBETWEEN(1,ROWS($D$2:$D$15)),1)</f>
        <v>9</v>
      </c>
      <c r="I199" cm="1">
        <f t="array" aca="1" ref="I199" ca="1">INDEX($D$2:$D$15,RANDBETWEEN(1,ROWS($D$2:$D$15)),1)</f>
        <v>9</v>
      </c>
      <c r="J199" cm="1">
        <f t="array" aca="1" ref="J199" ca="1">INDEX($D$2:$D$15,RANDBETWEEN(1,ROWS($D$2:$D$15)),1)</f>
        <v>4</v>
      </c>
      <c r="K199" cm="1">
        <f t="array" aca="1" ref="K199" ca="1">INDEX($D$2:$D$15,RANDBETWEEN(1,ROWS($D$2:$D$15)),1)</f>
        <v>4</v>
      </c>
      <c r="L199" cm="1">
        <f t="array" aca="1" ref="L199" ca="1">INDEX($D$2:$D$15,RANDBETWEEN(1,ROWS($D$2:$D$15)),1)</f>
        <v>4</v>
      </c>
      <c r="M199" cm="1">
        <f t="array" aca="1" ref="M199" ca="1">INDEX($D$2:$D$15,RANDBETWEEN(1,ROWS($D$2:$D$15)),1)</f>
        <v>12</v>
      </c>
      <c r="N199" cm="1">
        <f t="array" aca="1" ref="N199" ca="1">INDEX($D$2:$D$15,RANDBETWEEN(1,ROWS($D$2:$D$15)),1)</f>
        <v>4</v>
      </c>
      <c r="O199" cm="1">
        <f t="array" aca="1" ref="O199" ca="1">INDEX($D$2:$D$15,RANDBETWEEN(1,ROWS($D$2:$D$15)),1)</f>
        <v>2</v>
      </c>
      <c r="P199" cm="1">
        <f t="array" aca="1" ref="P199" ca="1">INDEX($D$2:$D$15,RANDBETWEEN(1,ROWS($D$2:$D$15)),1)</f>
        <v>2</v>
      </c>
      <c r="Q199" cm="1">
        <f t="array" aca="1" ref="Q199" ca="1">INDEX($D$2:$D$15,RANDBETWEEN(1,ROWS($D$2:$D$15)),1)</f>
        <v>9</v>
      </c>
      <c r="R199" cm="1">
        <f t="array" aca="1" ref="R199" ca="1">INDEX($D$2:$D$15,RANDBETWEEN(1,ROWS($D$2:$D$15)),1)</f>
        <v>11</v>
      </c>
      <c r="S199" cm="1">
        <f t="array" aca="1" ref="S199" ca="1">INDEX($D$2:$D$15,RANDBETWEEN(1,ROWS($D$2:$D$15)),1)</f>
        <v>9</v>
      </c>
      <c r="T199" cm="1">
        <f t="array" aca="1" ref="T199" ca="1">INDEX($D$2:$D$15,RANDBETWEEN(1,ROWS($D$2:$D$15)),1)</f>
        <v>10</v>
      </c>
      <c r="W199">
        <f t="shared" ca="1" si="12"/>
        <v>6.333333333333333</v>
      </c>
      <c r="X199">
        <f t="shared" ca="1" si="13"/>
        <v>4</v>
      </c>
      <c r="Y199">
        <f t="shared" ca="1" si="14"/>
        <v>5</v>
      </c>
      <c r="Z199">
        <f t="shared" ca="1" si="15"/>
        <v>3.5790395093549625</v>
      </c>
    </row>
    <row r="200" spans="6:26" x14ac:dyDescent="0.35">
      <c r="F200" cm="1">
        <f t="array" aca="1" ref="F200" ca="1">INDEX($D$2:$D$15,RANDBETWEEN(1,ROWS($D$2:$D$15)),1)</f>
        <v>4</v>
      </c>
      <c r="G200" cm="1">
        <f t="array" aca="1" ref="G200" ca="1">INDEX($D$2:$D$15,RANDBETWEEN(1,ROWS($D$2:$D$15)),1)</f>
        <v>8</v>
      </c>
      <c r="H200" cm="1">
        <f t="array" aca="1" ref="H200" ca="1">INDEX($D$2:$D$15,RANDBETWEEN(1,ROWS($D$2:$D$15)),1)</f>
        <v>13</v>
      </c>
      <c r="I200" cm="1">
        <f t="array" aca="1" ref="I200" ca="1">INDEX($D$2:$D$15,RANDBETWEEN(1,ROWS($D$2:$D$15)),1)</f>
        <v>2</v>
      </c>
      <c r="J200" cm="1">
        <f t="array" aca="1" ref="J200" ca="1">INDEX($D$2:$D$15,RANDBETWEEN(1,ROWS($D$2:$D$15)),1)</f>
        <v>12</v>
      </c>
      <c r="K200" cm="1">
        <f t="array" aca="1" ref="K200" ca="1">INDEX($D$2:$D$15,RANDBETWEEN(1,ROWS($D$2:$D$15)),1)</f>
        <v>9</v>
      </c>
      <c r="L200" cm="1">
        <f t="array" aca="1" ref="L200" ca="1">INDEX($D$2:$D$15,RANDBETWEEN(1,ROWS($D$2:$D$15)),1)</f>
        <v>11</v>
      </c>
      <c r="M200" cm="1">
        <f t="array" aca="1" ref="M200" ca="1">INDEX($D$2:$D$15,RANDBETWEEN(1,ROWS($D$2:$D$15)),1)</f>
        <v>9</v>
      </c>
      <c r="N200" cm="1">
        <f t="array" aca="1" ref="N200" ca="1">INDEX($D$2:$D$15,RANDBETWEEN(1,ROWS($D$2:$D$15)),1)</f>
        <v>4</v>
      </c>
      <c r="O200" cm="1">
        <f t="array" aca="1" ref="O200" ca="1">INDEX($D$2:$D$15,RANDBETWEEN(1,ROWS($D$2:$D$15)),1)</f>
        <v>10</v>
      </c>
      <c r="P200" cm="1">
        <f t="array" aca="1" ref="P200" ca="1">INDEX($D$2:$D$15,RANDBETWEEN(1,ROWS($D$2:$D$15)),1)</f>
        <v>13</v>
      </c>
      <c r="Q200" cm="1">
        <f t="array" aca="1" ref="Q200" ca="1">INDEX($D$2:$D$15,RANDBETWEEN(1,ROWS($D$2:$D$15)),1)</f>
        <v>12</v>
      </c>
      <c r="R200" cm="1">
        <f t="array" aca="1" ref="R200" ca="1">INDEX($D$2:$D$15,RANDBETWEEN(1,ROWS($D$2:$D$15)),1)</f>
        <v>2</v>
      </c>
      <c r="S200" cm="1">
        <f t="array" aca="1" ref="S200" ca="1">INDEX($D$2:$D$15,RANDBETWEEN(1,ROWS($D$2:$D$15)),1)</f>
        <v>9</v>
      </c>
      <c r="T200" cm="1">
        <f t="array" aca="1" ref="T200" ca="1">INDEX($D$2:$D$15,RANDBETWEEN(1,ROWS($D$2:$D$15)),1)</f>
        <v>9</v>
      </c>
      <c r="W200">
        <f t="shared" ca="1" si="12"/>
        <v>8.4666666666666668</v>
      </c>
      <c r="X200">
        <f t="shared" ca="1" si="13"/>
        <v>9</v>
      </c>
      <c r="Y200">
        <f t="shared" ca="1" si="14"/>
        <v>5.5</v>
      </c>
      <c r="Z200">
        <f t="shared" ca="1" si="15"/>
        <v>3.7771241264574118</v>
      </c>
    </row>
    <row r="201" spans="6:26" x14ac:dyDescent="0.35">
      <c r="F201" cm="1">
        <f t="array" aca="1" ref="F201" ca="1">INDEX($D$2:$D$15,RANDBETWEEN(1,ROWS($D$2:$D$15)),1)</f>
        <v>8</v>
      </c>
      <c r="G201" cm="1">
        <f t="array" aca="1" ref="G201" ca="1">INDEX($D$2:$D$15,RANDBETWEEN(1,ROWS($D$2:$D$15)),1)</f>
        <v>11</v>
      </c>
      <c r="H201" cm="1">
        <f t="array" aca="1" ref="H201" ca="1">INDEX($D$2:$D$15,RANDBETWEEN(1,ROWS($D$2:$D$15)),1)</f>
        <v>8</v>
      </c>
      <c r="I201" cm="1">
        <f t="array" aca="1" ref="I201" ca="1">INDEX($D$2:$D$15,RANDBETWEEN(1,ROWS($D$2:$D$15)),1)</f>
        <v>8</v>
      </c>
      <c r="J201" cm="1">
        <f t="array" aca="1" ref="J201" ca="1">INDEX($D$2:$D$15,RANDBETWEEN(1,ROWS($D$2:$D$15)),1)</f>
        <v>4</v>
      </c>
      <c r="K201" cm="1">
        <f t="array" aca="1" ref="K201" ca="1">INDEX($D$2:$D$15,RANDBETWEEN(1,ROWS($D$2:$D$15)),1)</f>
        <v>4</v>
      </c>
      <c r="L201" cm="1">
        <f t="array" aca="1" ref="L201" ca="1">INDEX($D$2:$D$15,RANDBETWEEN(1,ROWS($D$2:$D$15)),1)</f>
        <v>11</v>
      </c>
      <c r="M201" cm="1">
        <f t="array" aca="1" ref="M201" ca="1">INDEX($D$2:$D$15,RANDBETWEEN(1,ROWS($D$2:$D$15)),1)</f>
        <v>4</v>
      </c>
      <c r="N201" cm="1">
        <f t="array" aca="1" ref="N201" ca="1">INDEX($D$2:$D$15,RANDBETWEEN(1,ROWS($D$2:$D$15)),1)</f>
        <v>9</v>
      </c>
      <c r="O201" cm="1">
        <f t="array" aca="1" ref="O201" ca="1">INDEX($D$2:$D$15,RANDBETWEEN(1,ROWS($D$2:$D$15)),1)</f>
        <v>4</v>
      </c>
      <c r="P201" cm="1">
        <f t="array" aca="1" ref="P201" ca="1">INDEX($D$2:$D$15,RANDBETWEEN(1,ROWS($D$2:$D$15)),1)</f>
        <v>9</v>
      </c>
      <c r="Q201" cm="1">
        <f t="array" aca="1" ref="Q201" ca="1">INDEX($D$2:$D$15,RANDBETWEEN(1,ROWS($D$2:$D$15)),1)</f>
        <v>4</v>
      </c>
      <c r="R201" cm="1">
        <f t="array" aca="1" ref="R201" ca="1">INDEX($D$2:$D$15,RANDBETWEEN(1,ROWS($D$2:$D$15)),1)</f>
        <v>12</v>
      </c>
      <c r="S201" cm="1">
        <f t="array" aca="1" ref="S201" ca="1">INDEX($D$2:$D$15,RANDBETWEEN(1,ROWS($D$2:$D$15)),1)</f>
        <v>4</v>
      </c>
      <c r="T201" cm="1">
        <f t="array" aca="1" ref="T201" ca="1">INDEX($D$2:$D$15,RANDBETWEEN(1,ROWS($D$2:$D$15)),1)</f>
        <v>4</v>
      </c>
      <c r="W201">
        <f t="shared" ca="1" si="12"/>
        <v>6.9333333333333336</v>
      </c>
      <c r="X201">
        <f t="shared" ca="1" si="13"/>
        <v>8</v>
      </c>
      <c r="Y201">
        <f t="shared" ca="1" si="14"/>
        <v>5</v>
      </c>
      <c r="Z201">
        <f t="shared" ca="1" si="15"/>
        <v>3.0581662728473331</v>
      </c>
    </row>
    <row r="202" spans="6:26" x14ac:dyDescent="0.35">
      <c r="F202" cm="1">
        <f t="array" aca="1" ref="F202" ca="1">INDEX($D$2:$D$15,RANDBETWEEN(1,ROWS($D$2:$D$15)),1)</f>
        <v>2</v>
      </c>
      <c r="G202" cm="1">
        <f t="array" aca="1" ref="G202" ca="1">INDEX($D$2:$D$15,RANDBETWEEN(1,ROWS($D$2:$D$15)),1)</f>
        <v>9</v>
      </c>
      <c r="H202" cm="1">
        <f t="array" aca="1" ref="H202" ca="1">INDEX($D$2:$D$15,RANDBETWEEN(1,ROWS($D$2:$D$15)),1)</f>
        <v>10</v>
      </c>
      <c r="I202" cm="1">
        <f t="array" aca="1" ref="I202" ca="1">INDEX($D$2:$D$15,RANDBETWEEN(1,ROWS($D$2:$D$15)),1)</f>
        <v>9</v>
      </c>
      <c r="J202" cm="1">
        <f t="array" aca="1" ref="J202" ca="1">INDEX($D$2:$D$15,RANDBETWEEN(1,ROWS($D$2:$D$15)),1)</f>
        <v>12</v>
      </c>
      <c r="K202" cm="1">
        <f t="array" aca="1" ref="K202" ca="1">INDEX($D$2:$D$15,RANDBETWEEN(1,ROWS($D$2:$D$15)),1)</f>
        <v>9</v>
      </c>
      <c r="L202" cm="1">
        <f t="array" aca="1" ref="L202" ca="1">INDEX($D$2:$D$15,RANDBETWEEN(1,ROWS($D$2:$D$15)),1)</f>
        <v>13</v>
      </c>
      <c r="M202" cm="1">
        <f t="array" aca="1" ref="M202" ca="1">INDEX($D$2:$D$15,RANDBETWEEN(1,ROWS($D$2:$D$15)),1)</f>
        <v>8</v>
      </c>
      <c r="N202" cm="1">
        <f t="array" aca="1" ref="N202" ca="1">INDEX($D$2:$D$15,RANDBETWEEN(1,ROWS($D$2:$D$15)),1)</f>
        <v>12</v>
      </c>
      <c r="O202" cm="1">
        <f t="array" aca="1" ref="O202" ca="1">INDEX($D$2:$D$15,RANDBETWEEN(1,ROWS($D$2:$D$15)),1)</f>
        <v>3</v>
      </c>
      <c r="P202" cm="1">
        <f t="array" aca="1" ref="P202" ca="1">INDEX($D$2:$D$15,RANDBETWEEN(1,ROWS($D$2:$D$15)),1)</f>
        <v>12</v>
      </c>
      <c r="Q202" cm="1">
        <f t="array" aca="1" ref="Q202" ca="1">INDEX($D$2:$D$15,RANDBETWEEN(1,ROWS($D$2:$D$15)),1)</f>
        <v>4</v>
      </c>
      <c r="R202" cm="1">
        <f t="array" aca="1" ref="R202" ca="1">INDEX($D$2:$D$15,RANDBETWEEN(1,ROWS($D$2:$D$15)),1)</f>
        <v>9</v>
      </c>
      <c r="S202" cm="1">
        <f t="array" aca="1" ref="S202" ca="1">INDEX($D$2:$D$15,RANDBETWEEN(1,ROWS($D$2:$D$15)),1)</f>
        <v>8</v>
      </c>
      <c r="T202" cm="1">
        <f t="array" aca="1" ref="T202" ca="1">INDEX($D$2:$D$15,RANDBETWEEN(1,ROWS($D$2:$D$15)),1)</f>
        <v>4</v>
      </c>
      <c r="W202">
        <f t="shared" ca="1" si="12"/>
        <v>8.2666666666666675</v>
      </c>
      <c r="X202">
        <f t="shared" ca="1" si="13"/>
        <v>9</v>
      </c>
      <c r="Y202">
        <f t="shared" ca="1" si="14"/>
        <v>5</v>
      </c>
      <c r="Z202">
        <f t="shared" ca="1" si="15"/>
        <v>3.5145954180219601</v>
      </c>
    </row>
    <row r="203" spans="6:26" x14ac:dyDescent="0.35">
      <c r="F203" cm="1">
        <f t="array" aca="1" ref="F203" ca="1">INDEX($D$2:$D$15,RANDBETWEEN(1,ROWS($D$2:$D$15)),1)</f>
        <v>4</v>
      </c>
      <c r="G203" cm="1">
        <f t="array" aca="1" ref="G203" ca="1">INDEX($D$2:$D$15,RANDBETWEEN(1,ROWS($D$2:$D$15)),1)</f>
        <v>9</v>
      </c>
      <c r="H203" cm="1">
        <f t="array" aca="1" ref="H203" ca="1">INDEX($D$2:$D$15,RANDBETWEEN(1,ROWS($D$2:$D$15)),1)</f>
        <v>9</v>
      </c>
      <c r="I203" cm="1">
        <f t="array" aca="1" ref="I203" ca="1">INDEX($D$2:$D$15,RANDBETWEEN(1,ROWS($D$2:$D$15)),1)</f>
        <v>8</v>
      </c>
      <c r="J203" cm="1">
        <f t="array" aca="1" ref="J203" ca="1">INDEX($D$2:$D$15,RANDBETWEEN(1,ROWS($D$2:$D$15)),1)</f>
        <v>9</v>
      </c>
      <c r="K203" cm="1">
        <f t="array" aca="1" ref="K203" ca="1">INDEX($D$2:$D$15,RANDBETWEEN(1,ROWS($D$2:$D$15)),1)</f>
        <v>8</v>
      </c>
      <c r="L203" cm="1">
        <f t="array" aca="1" ref="L203" ca="1">INDEX($D$2:$D$15,RANDBETWEEN(1,ROWS($D$2:$D$15)),1)</f>
        <v>4</v>
      </c>
      <c r="M203" cm="1">
        <f t="array" aca="1" ref="M203" ca="1">INDEX($D$2:$D$15,RANDBETWEEN(1,ROWS($D$2:$D$15)),1)</f>
        <v>11</v>
      </c>
      <c r="N203" cm="1">
        <f t="array" aca="1" ref="N203" ca="1">INDEX($D$2:$D$15,RANDBETWEEN(1,ROWS($D$2:$D$15)),1)</f>
        <v>12</v>
      </c>
      <c r="O203" cm="1">
        <f t="array" aca="1" ref="O203" ca="1">INDEX($D$2:$D$15,RANDBETWEEN(1,ROWS($D$2:$D$15)),1)</f>
        <v>4</v>
      </c>
      <c r="P203" cm="1">
        <f t="array" aca="1" ref="P203" ca="1">INDEX($D$2:$D$15,RANDBETWEEN(1,ROWS($D$2:$D$15)),1)</f>
        <v>4</v>
      </c>
      <c r="Q203" cm="1">
        <f t="array" aca="1" ref="Q203" ca="1">INDEX($D$2:$D$15,RANDBETWEEN(1,ROWS($D$2:$D$15)),1)</f>
        <v>13</v>
      </c>
      <c r="R203" cm="1">
        <f t="array" aca="1" ref="R203" ca="1">INDEX($D$2:$D$15,RANDBETWEEN(1,ROWS($D$2:$D$15)),1)</f>
        <v>12</v>
      </c>
      <c r="S203" cm="1">
        <f t="array" aca="1" ref="S203" ca="1">INDEX($D$2:$D$15,RANDBETWEEN(1,ROWS($D$2:$D$15)),1)</f>
        <v>3</v>
      </c>
      <c r="T203" cm="1">
        <f t="array" aca="1" ref="T203" ca="1">INDEX($D$2:$D$15,RANDBETWEEN(1,ROWS($D$2:$D$15)),1)</f>
        <v>12</v>
      </c>
      <c r="W203">
        <f t="shared" ca="1" si="12"/>
        <v>8.1333333333333329</v>
      </c>
      <c r="X203">
        <f t="shared" ca="1" si="13"/>
        <v>9</v>
      </c>
      <c r="Y203">
        <f t="shared" ca="1" si="14"/>
        <v>7.5</v>
      </c>
      <c r="Z203">
        <f t="shared" ca="1" si="15"/>
        <v>3.5227154028566954</v>
      </c>
    </row>
    <row r="204" spans="6:26" x14ac:dyDescent="0.35">
      <c r="F204" cm="1">
        <f t="array" aca="1" ref="F204" ca="1">INDEX($D$2:$D$15,RANDBETWEEN(1,ROWS($D$2:$D$15)),1)</f>
        <v>9</v>
      </c>
      <c r="G204" cm="1">
        <f t="array" aca="1" ref="G204" ca="1">INDEX($D$2:$D$15,RANDBETWEEN(1,ROWS($D$2:$D$15)),1)</f>
        <v>9</v>
      </c>
      <c r="H204" cm="1">
        <f t="array" aca="1" ref="H204" ca="1">INDEX($D$2:$D$15,RANDBETWEEN(1,ROWS($D$2:$D$15)),1)</f>
        <v>13</v>
      </c>
      <c r="I204" cm="1">
        <f t="array" aca="1" ref="I204" ca="1">INDEX($D$2:$D$15,RANDBETWEEN(1,ROWS($D$2:$D$15)),1)</f>
        <v>12</v>
      </c>
      <c r="J204" cm="1">
        <f t="array" aca="1" ref="J204" ca="1">INDEX($D$2:$D$15,RANDBETWEEN(1,ROWS($D$2:$D$15)),1)</f>
        <v>9</v>
      </c>
      <c r="K204" cm="1">
        <f t="array" aca="1" ref="K204" ca="1">INDEX($D$2:$D$15,RANDBETWEEN(1,ROWS($D$2:$D$15)),1)</f>
        <v>8</v>
      </c>
      <c r="L204" cm="1">
        <f t="array" aca="1" ref="L204" ca="1">INDEX($D$2:$D$15,RANDBETWEEN(1,ROWS($D$2:$D$15)),1)</f>
        <v>10</v>
      </c>
      <c r="M204" cm="1">
        <f t="array" aca="1" ref="M204" ca="1">INDEX($D$2:$D$15,RANDBETWEEN(1,ROWS($D$2:$D$15)),1)</f>
        <v>12</v>
      </c>
      <c r="N204" cm="1">
        <f t="array" aca="1" ref="N204" ca="1">INDEX($D$2:$D$15,RANDBETWEEN(1,ROWS($D$2:$D$15)),1)</f>
        <v>9</v>
      </c>
      <c r="O204" cm="1">
        <f t="array" aca="1" ref="O204" ca="1">INDEX($D$2:$D$15,RANDBETWEEN(1,ROWS($D$2:$D$15)),1)</f>
        <v>12</v>
      </c>
      <c r="P204" cm="1">
        <f t="array" aca="1" ref="P204" ca="1">INDEX($D$2:$D$15,RANDBETWEEN(1,ROWS($D$2:$D$15)),1)</f>
        <v>2</v>
      </c>
      <c r="Q204" cm="1">
        <f t="array" aca="1" ref="Q204" ca="1">INDEX($D$2:$D$15,RANDBETWEEN(1,ROWS($D$2:$D$15)),1)</f>
        <v>11</v>
      </c>
      <c r="R204" cm="1">
        <f t="array" aca="1" ref="R204" ca="1">INDEX($D$2:$D$15,RANDBETWEEN(1,ROWS($D$2:$D$15)),1)</f>
        <v>4</v>
      </c>
      <c r="S204" cm="1">
        <f t="array" aca="1" ref="S204" ca="1">INDEX($D$2:$D$15,RANDBETWEEN(1,ROWS($D$2:$D$15)),1)</f>
        <v>12</v>
      </c>
      <c r="T204" cm="1">
        <f t="array" aca="1" ref="T204" ca="1">INDEX($D$2:$D$15,RANDBETWEEN(1,ROWS($D$2:$D$15)),1)</f>
        <v>11</v>
      </c>
      <c r="W204">
        <f t="shared" ca="1" si="12"/>
        <v>9.5333333333333332</v>
      </c>
      <c r="X204">
        <f t="shared" ca="1" si="13"/>
        <v>10</v>
      </c>
      <c r="Y204">
        <f t="shared" ca="1" si="14"/>
        <v>3</v>
      </c>
      <c r="Z204">
        <f t="shared" ca="1" si="15"/>
        <v>3.0674947122242622</v>
      </c>
    </row>
    <row r="205" spans="6:26" x14ac:dyDescent="0.35">
      <c r="F205" cm="1">
        <f t="array" aca="1" ref="F205" ca="1">INDEX($D$2:$D$15,RANDBETWEEN(1,ROWS($D$2:$D$15)),1)</f>
        <v>4</v>
      </c>
      <c r="G205" cm="1">
        <f t="array" aca="1" ref="G205" ca="1">INDEX($D$2:$D$15,RANDBETWEEN(1,ROWS($D$2:$D$15)),1)</f>
        <v>3</v>
      </c>
      <c r="H205" cm="1">
        <f t="array" aca="1" ref="H205" ca="1">INDEX($D$2:$D$15,RANDBETWEEN(1,ROWS($D$2:$D$15)),1)</f>
        <v>8</v>
      </c>
      <c r="I205" cm="1">
        <f t="array" aca="1" ref="I205" ca="1">INDEX($D$2:$D$15,RANDBETWEEN(1,ROWS($D$2:$D$15)),1)</f>
        <v>8</v>
      </c>
      <c r="J205" cm="1">
        <f t="array" aca="1" ref="J205" ca="1">INDEX($D$2:$D$15,RANDBETWEEN(1,ROWS($D$2:$D$15)),1)</f>
        <v>11</v>
      </c>
      <c r="K205" cm="1">
        <f t="array" aca="1" ref="K205" ca="1">INDEX($D$2:$D$15,RANDBETWEEN(1,ROWS($D$2:$D$15)),1)</f>
        <v>2</v>
      </c>
      <c r="L205" cm="1">
        <f t="array" aca="1" ref="L205" ca="1">INDEX($D$2:$D$15,RANDBETWEEN(1,ROWS($D$2:$D$15)),1)</f>
        <v>9</v>
      </c>
      <c r="M205" cm="1">
        <f t="array" aca="1" ref="M205" ca="1">INDEX($D$2:$D$15,RANDBETWEEN(1,ROWS($D$2:$D$15)),1)</f>
        <v>8</v>
      </c>
      <c r="N205" cm="1">
        <f t="array" aca="1" ref="N205" ca="1">INDEX($D$2:$D$15,RANDBETWEEN(1,ROWS($D$2:$D$15)),1)</f>
        <v>11</v>
      </c>
      <c r="O205" cm="1">
        <f t="array" aca="1" ref="O205" ca="1">INDEX($D$2:$D$15,RANDBETWEEN(1,ROWS($D$2:$D$15)),1)</f>
        <v>4</v>
      </c>
      <c r="P205" cm="1">
        <f t="array" aca="1" ref="P205" ca="1">INDEX($D$2:$D$15,RANDBETWEEN(1,ROWS($D$2:$D$15)),1)</f>
        <v>3</v>
      </c>
      <c r="Q205" cm="1">
        <f t="array" aca="1" ref="Q205" ca="1">INDEX($D$2:$D$15,RANDBETWEEN(1,ROWS($D$2:$D$15)),1)</f>
        <v>2</v>
      </c>
      <c r="R205" cm="1">
        <f t="array" aca="1" ref="R205" ca="1">INDEX($D$2:$D$15,RANDBETWEEN(1,ROWS($D$2:$D$15)),1)</f>
        <v>11</v>
      </c>
      <c r="S205" cm="1">
        <f t="array" aca="1" ref="S205" ca="1">INDEX($D$2:$D$15,RANDBETWEEN(1,ROWS($D$2:$D$15)),1)</f>
        <v>12</v>
      </c>
      <c r="T205" cm="1">
        <f t="array" aca="1" ref="T205" ca="1">INDEX($D$2:$D$15,RANDBETWEEN(1,ROWS($D$2:$D$15)),1)</f>
        <v>4</v>
      </c>
      <c r="W205">
        <f t="shared" ca="1" si="12"/>
        <v>6.666666666666667</v>
      </c>
      <c r="X205">
        <f t="shared" ca="1" si="13"/>
        <v>8</v>
      </c>
      <c r="Y205">
        <f t="shared" ca="1" si="14"/>
        <v>6.5</v>
      </c>
      <c r="Z205">
        <f t="shared" ca="1" si="15"/>
        <v>3.6579984118302162</v>
      </c>
    </row>
    <row r="206" spans="6:26" x14ac:dyDescent="0.35">
      <c r="F206" cm="1">
        <f t="array" aca="1" ref="F206" ca="1">INDEX($D$2:$D$15,RANDBETWEEN(1,ROWS($D$2:$D$15)),1)</f>
        <v>4</v>
      </c>
      <c r="G206" cm="1">
        <f t="array" aca="1" ref="G206" ca="1">INDEX($D$2:$D$15,RANDBETWEEN(1,ROWS($D$2:$D$15)),1)</f>
        <v>12</v>
      </c>
      <c r="H206" cm="1">
        <f t="array" aca="1" ref="H206" ca="1">INDEX($D$2:$D$15,RANDBETWEEN(1,ROWS($D$2:$D$15)),1)</f>
        <v>4</v>
      </c>
      <c r="I206" cm="1">
        <f t="array" aca="1" ref="I206" ca="1">INDEX($D$2:$D$15,RANDBETWEEN(1,ROWS($D$2:$D$15)),1)</f>
        <v>8</v>
      </c>
      <c r="J206" cm="1">
        <f t="array" aca="1" ref="J206" ca="1">INDEX($D$2:$D$15,RANDBETWEEN(1,ROWS($D$2:$D$15)),1)</f>
        <v>2</v>
      </c>
      <c r="K206" cm="1">
        <f t="array" aca="1" ref="K206" ca="1">INDEX($D$2:$D$15,RANDBETWEEN(1,ROWS($D$2:$D$15)),1)</f>
        <v>12</v>
      </c>
      <c r="L206" cm="1">
        <f t="array" aca="1" ref="L206" ca="1">INDEX($D$2:$D$15,RANDBETWEEN(1,ROWS($D$2:$D$15)),1)</f>
        <v>4</v>
      </c>
      <c r="M206" cm="1">
        <f t="array" aca="1" ref="M206" ca="1">INDEX($D$2:$D$15,RANDBETWEEN(1,ROWS($D$2:$D$15)),1)</f>
        <v>13</v>
      </c>
      <c r="N206" cm="1">
        <f t="array" aca="1" ref="N206" ca="1">INDEX($D$2:$D$15,RANDBETWEEN(1,ROWS($D$2:$D$15)),1)</f>
        <v>12</v>
      </c>
      <c r="O206" cm="1">
        <f t="array" aca="1" ref="O206" ca="1">INDEX($D$2:$D$15,RANDBETWEEN(1,ROWS($D$2:$D$15)),1)</f>
        <v>2</v>
      </c>
      <c r="P206" cm="1">
        <f t="array" aca="1" ref="P206" ca="1">INDEX($D$2:$D$15,RANDBETWEEN(1,ROWS($D$2:$D$15)),1)</f>
        <v>4</v>
      </c>
      <c r="Q206" cm="1">
        <f t="array" aca="1" ref="Q206" ca="1">INDEX($D$2:$D$15,RANDBETWEEN(1,ROWS($D$2:$D$15)),1)</f>
        <v>10</v>
      </c>
      <c r="R206" cm="1">
        <f t="array" aca="1" ref="R206" ca="1">INDEX($D$2:$D$15,RANDBETWEEN(1,ROWS($D$2:$D$15)),1)</f>
        <v>9</v>
      </c>
      <c r="S206" cm="1">
        <f t="array" aca="1" ref="S206" ca="1">INDEX($D$2:$D$15,RANDBETWEEN(1,ROWS($D$2:$D$15)),1)</f>
        <v>2</v>
      </c>
      <c r="T206" cm="1">
        <f t="array" aca="1" ref="T206" ca="1">INDEX($D$2:$D$15,RANDBETWEEN(1,ROWS($D$2:$D$15)),1)</f>
        <v>12</v>
      </c>
      <c r="W206">
        <f t="shared" ca="1" si="12"/>
        <v>7.333333333333333</v>
      </c>
      <c r="X206">
        <f t="shared" ca="1" si="13"/>
        <v>8</v>
      </c>
      <c r="Y206">
        <f t="shared" ca="1" si="14"/>
        <v>8</v>
      </c>
      <c r="Z206">
        <f t="shared" ca="1" si="15"/>
        <v>4.303929544475551</v>
      </c>
    </row>
    <row r="207" spans="6:26" x14ac:dyDescent="0.35">
      <c r="F207" cm="1">
        <f t="array" aca="1" ref="F207" ca="1">INDEX($D$2:$D$15,RANDBETWEEN(1,ROWS($D$2:$D$15)),1)</f>
        <v>9</v>
      </c>
      <c r="G207" cm="1">
        <f t="array" aca="1" ref="G207" ca="1">INDEX($D$2:$D$15,RANDBETWEEN(1,ROWS($D$2:$D$15)),1)</f>
        <v>3</v>
      </c>
      <c r="H207" cm="1">
        <f t="array" aca="1" ref="H207" ca="1">INDEX($D$2:$D$15,RANDBETWEEN(1,ROWS($D$2:$D$15)),1)</f>
        <v>9</v>
      </c>
      <c r="I207" cm="1">
        <f t="array" aca="1" ref="I207" ca="1">INDEX($D$2:$D$15,RANDBETWEEN(1,ROWS($D$2:$D$15)),1)</f>
        <v>9</v>
      </c>
      <c r="J207" cm="1">
        <f t="array" aca="1" ref="J207" ca="1">INDEX($D$2:$D$15,RANDBETWEEN(1,ROWS($D$2:$D$15)),1)</f>
        <v>11</v>
      </c>
      <c r="K207" cm="1">
        <f t="array" aca="1" ref="K207" ca="1">INDEX($D$2:$D$15,RANDBETWEEN(1,ROWS($D$2:$D$15)),1)</f>
        <v>3</v>
      </c>
      <c r="L207" cm="1">
        <f t="array" aca="1" ref="L207" ca="1">INDEX($D$2:$D$15,RANDBETWEEN(1,ROWS($D$2:$D$15)),1)</f>
        <v>13</v>
      </c>
      <c r="M207" cm="1">
        <f t="array" aca="1" ref="M207" ca="1">INDEX($D$2:$D$15,RANDBETWEEN(1,ROWS($D$2:$D$15)),1)</f>
        <v>11</v>
      </c>
      <c r="N207" cm="1">
        <f t="array" aca="1" ref="N207" ca="1">INDEX($D$2:$D$15,RANDBETWEEN(1,ROWS($D$2:$D$15)),1)</f>
        <v>9</v>
      </c>
      <c r="O207" cm="1">
        <f t="array" aca="1" ref="O207" ca="1">INDEX($D$2:$D$15,RANDBETWEEN(1,ROWS($D$2:$D$15)),1)</f>
        <v>4</v>
      </c>
      <c r="P207" cm="1">
        <f t="array" aca="1" ref="P207" ca="1">INDEX($D$2:$D$15,RANDBETWEEN(1,ROWS($D$2:$D$15)),1)</f>
        <v>8</v>
      </c>
      <c r="Q207" cm="1">
        <f t="array" aca="1" ref="Q207" ca="1">INDEX($D$2:$D$15,RANDBETWEEN(1,ROWS($D$2:$D$15)),1)</f>
        <v>8</v>
      </c>
      <c r="R207" cm="1">
        <f t="array" aca="1" ref="R207" ca="1">INDEX($D$2:$D$15,RANDBETWEEN(1,ROWS($D$2:$D$15)),1)</f>
        <v>9</v>
      </c>
      <c r="S207" cm="1">
        <f t="array" aca="1" ref="S207" ca="1">INDEX($D$2:$D$15,RANDBETWEEN(1,ROWS($D$2:$D$15)),1)</f>
        <v>12</v>
      </c>
      <c r="T207" cm="1">
        <f t="array" aca="1" ref="T207" ca="1">INDEX($D$2:$D$15,RANDBETWEEN(1,ROWS($D$2:$D$15)),1)</f>
        <v>9</v>
      </c>
      <c r="W207">
        <f t="shared" ca="1" si="12"/>
        <v>8.4666666666666668</v>
      </c>
      <c r="X207">
        <f t="shared" ca="1" si="13"/>
        <v>9</v>
      </c>
      <c r="Y207">
        <f t="shared" ca="1" si="14"/>
        <v>2</v>
      </c>
      <c r="Z207">
        <f t="shared" ca="1" si="15"/>
        <v>3.0205644379502194</v>
      </c>
    </row>
    <row r="208" spans="6:26" x14ac:dyDescent="0.35">
      <c r="F208" cm="1">
        <f t="array" aca="1" ref="F208" ca="1">INDEX($D$2:$D$15,RANDBETWEEN(1,ROWS($D$2:$D$15)),1)</f>
        <v>11</v>
      </c>
      <c r="G208" cm="1">
        <f t="array" aca="1" ref="G208" ca="1">INDEX($D$2:$D$15,RANDBETWEEN(1,ROWS($D$2:$D$15)),1)</f>
        <v>2</v>
      </c>
      <c r="H208" cm="1">
        <f t="array" aca="1" ref="H208" ca="1">INDEX($D$2:$D$15,RANDBETWEEN(1,ROWS($D$2:$D$15)),1)</f>
        <v>9</v>
      </c>
      <c r="I208" cm="1">
        <f t="array" aca="1" ref="I208" ca="1">INDEX($D$2:$D$15,RANDBETWEEN(1,ROWS($D$2:$D$15)),1)</f>
        <v>13</v>
      </c>
      <c r="J208" cm="1">
        <f t="array" aca="1" ref="J208" ca="1">INDEX($D$2:$D$15,RANDBETWEEN(1,ROWS($D$2:$D$15)),1)</f>
        <v>12</v>
      </c>
      <c r="K208" cm="1">
        <f t="array" aca="1" ref="K208" ca="1">INDEX($D$2:$D$15,RANDBETWEEN(1,ROWS($D$2:$D$15)),1)</f>
        <v>9</v>
      </c>
      <c r="L208" cm="1">
        <f t="array" aca="1" ref="L208" ca="1">INDEX($D$2:$D$15,RANDBETWEEN(1,ROWS($D$2:$D$15)),1)</f>
        <v>9</v>
      </c>
      <c r="M208" cm="1">
        <f t="array" aca="1" ref="M208" ca="1">INDEX($D$2:$D$15,RANDBETWEEN(1,ROWS($D$2:$D$15)),1)</f>
        <v>4</v>
      </c>
      <c r="N208" cm="1">
        <f t="array" aca="1" ref="N208" ca="1">INDEX($D$2:$D$15,RANDBETWEEN(1,ROWS($D$2:$D$15)),1)</f>
        <v>4</v>
      </c>
      <c r="O208" cm="1">
        <f t="array" aca="1" ref="O208" ca="1">INDEX($D$2:$D$15,RANDBETWEEN(1,ROWS($D$2:$D$15)),1)</f>
        <v>9</v>
      </c>
      <c r="P208" cm="1">
        <f t="array" aca="1" ref="P208" ca="1">INDEX($D$2:$D$15,RANDBETWEEN(1,ROWS($D$2:$D$15)),1)</f>
        <v>12</v>
      </c>
      <c r="Q208" cm="1">
        <f t="array" aca="1" ref="Q208" ca="1">INDEX($D$2:$D$15,RANDBETWEEN(1,ROWS($D$2:$D$15)),1)</f>
        <v>9</v>
      </c>
      <c r="R208" cm="1">
        <f t="array" aca="1" ref="R208" ca="1">INDEX($D$2:$D$15,RANDBETWEEN(1,ROWS($D$2:$D$15)),1)</f>
        <v>12</v>
      </c>
      <c r="S208" cm="1">
        <f t="array" aca="1" ref="S208" ca="1">INDEX($D$2:$D$15,RANDBETWEEN(1,ROWS($D$2:$D$15)),1)</f>
        <v>10</v>
      </c>
      <c r="T208" cm="1">
        <f t="array" aca="1" ref="T208" ca="1">INDEX($D$2:$D$15,RANDBETWEEN(1,ROWS($D$2:$D$15)),1)</f>
        <v>4</v>
      </c>
      <c r="W208">
        <f t="shared" ca="1" si="12"/>
        <v>8.6</v>
      </c>
      <c r="X208">
        <f t="shared" ca="1" si="13"/>
        <v>9</v>
      </c>
      <c r="Y208">
        <f t="shared" ca="1" si="14"/>
        <v>5</v>
      </c>
      <c r="Z208">
        <f t="shared" ca="1" si="15"/>
        <v>3.4805582475065271</v>
      </c>
    </row>
    <row r="209" spans="6:26" x14ac:dyDescent="0.35">
      <c r="F209" cm="1">
        <f t="array" aca="1" ref="F209" ca="1">INDEX($D$2:$D$15,RANDBETWEEN(1,ROWS($D$2:$D$15)),1)</f>
        <v>9</v>
      </c>
      <c r="G209" cm="1">
        <f t="array" aca="1" ref="G209" ca="1">INDEX($D$2:$D$15,RANDBETWEEN(1,ROWS($D$2:$D$15)),1)</f>
        <v>11</v>
      </c>
      <c r="H209" cm="1">
        <f t="array" aca="1" ref="H209" ca="1">INDEX($D$2:$D$15,RANDBETWEEN(1,ROWS($D$2:$D$15)),1)</f>
        <v>4</v>
      </c>
      <c r="I209" cm="1">
        <f t="array" aca="1" ref="I209" ca="1">INDEX($D$2:$D$15,RANDBETWEEN(1,ROWS($D$2:$D$15)),1)</f>
        <v>11</v>
      </c>
      <c r="J209" cm="1">
        <f t="array" aca="1" ref="J209" ca="1">INDEX($D$2:$D$15,RANDBETWEEN(1,ROWS($D$2:$D$15)),1)</f>
        <v>4</v>
      </c>
      <c r="K209" cm="1">
        <f t="array" aca="1" ref="K209" ca="1">INDEX($D$2:$D$15,RANDBETWEEN(1,ROWS($D$2:$D$15)),1)</f>
        <v>4</v>
      </c>
      <c r="L209" cm="1">
        <f t="array" aca="1" ref="L209" ca="1">INDEX($D$2:$D$15,RANDBETWEEN(1,ROWS($D$2:$D$15)),1)</f>
        <v>11</v>
      </c>
      <c r="M209" cm="1">
        <f t="array" aca="1" ref="M209" ca="1">INDEX($D$2:$D$15,RANDBETWEEN(1,ROWS($D$2:$D$15)),1)</f>
        <v>9</v>
      </c>
      <c r="N209" cm="1">
        <f t="array" aca="1" ref="N209" ca="1">INDEX($D$2:$D$15,RANDBETWEEN(1,ROWS($D$2:$D$15)),1)</f>
        <v>8</v>
      </c>
      <c r="O209" cm="1">
        <f t="array" aca="1" ref="O209" ca="1">INDEX($D$2:$D$15,RANDBETWEEN(1,ROWS($D$2:$D$15)),1)</f>
        <v>12</v>
      </c>
      <c r="P209" cm="1">
        <f t="array" aca="1" ref="P209" ca="1">INDEX($D$2:$D$15,RANDBETWEEN(1,ROWS($D$2:$D$15)),1)</f>
        <v>12</v>
      </c>
      <c r="Q209" cm="1">
        <f t="array" aca="1" ref="Q209" ca="1">INDEX($D$2:$D$15,RANDBETWEEN(1,ROWS($D$2:$D$15)),1)</f>
        <v>8</v>
      </c>
      <c r="R209" cm="1">
        <f t="array" aca="1" ref="R209" ca="1">INDEX($D$2:$D$15,RANDBETWEEN(1,ROWS($D$2:$D$15)),1)</f>
        <v>2</v>
      </c>
      <c r="S209" cm="1">
        <f t="array" aca="1" ref="S209" ca="1">INDEX($D$2:$D$15,RANDBETWEEN(1,ROWS($D$2:$D$15)),1)</f>
        <v>3</v>
      </c>
      <c r="T209" cm="1">
        <f t="array" aca="1" ref="T209" ca="1">INDEX($D$2:$D$15,RANDBETWEEN(1,ROWS($D$2:$D$15)),1)</f>
        <v>8</v>
      </c>
      <c r="W209">
        <f t="shared" ca="1" si="12"/>
        <v>7.7333333333333334</v>
      </c>
      <c r="X209">
        <f t="shared" ca="1" si="13"/>
        <v>8</v>
      </c>
      <c r="Y209">
        <f t="shared" ca="1" si="14"/>
        <v>7</v>
      </c>
      <c r="Z209">
        <f t="shared" ca="1" si="15"/>
        <v>3.4737107920301402</v>
      </c>
    </row>
    <row r="210" spans="6:26" x14ac:dyDescent="0.35">
      <c r="F210" cm="1">
        <f t="array" aca="1" ref="F210" ca="1">INDEX($D$2:$D$15,RANDBETWEEN(1,ROWS($D$2:$D$15)),1)</f>
        <v>9</v>
      </c>
      <c r="G210" cm="1">
        <f t="array" aca="1" ref="G210" ca="1">INDEX($D$2:$D$15,RANDBETWEEN(1,ROWS($D$2:$D$15)),1)</f>
        <v>10</v>
      </c>
      <c r="H210" cm="1">
        <f t="array" aca="1" ref="H210" ca="1">INDEX($D$2:$D$15,RANDBETWEEN(1,ROWS($D$2:$D$15)),1)</f>
        <v>8</v>
      </c>
      <c r="I210" cm="1">
        <f t="array" aca="1" ref="I210" ca="1">INDEX($D$2:$D$15,RANDBETWEEN(1,ROWS($D$2:$D$15)),1)</f>
        <v>9</v>
      </c>
      <c r="J210" cm="1">
        <f t="array" aca="1" ref="J210" ca="1">INDEX($D$2:$D$15,RANDBETWEEN(1,ROWS($D$2:$D$15)),1)</f>
        <v>11</v>
      </c>
      <c r="K210" cm="1">
        <f t="array" aca="1" ref="K210" ca="1">INDEX($D$2:$D$15,RANDBETWEEN(1,ROWS($D$2:$D$15)),1)</f>
        <v>11</v>
      </c>
      <c r="L210" cm="1">
        <f t="array" aca="1" ref="L210" ca="1">INDEX($D$2:$D$15,RANDBETWEEN(1,ROWS($D$2:$D$15)),1)</f>
        <v>2</v>
      </c>
      <c r="M210" cm="1">
        <f t="array" aca="1" ref="M210" ca="1">INDEX($D$2:$D$15,RANDBETWEEN(1,ROWS($D$2:$D$15)),1)</f>
        <v>3</v>
      </c>
      <c r="N210" cm="1">
        <f t="array" aca="1" ref="N210" ca="1">INDEX($D$2:$D$15,RANDBETWEEN(1,ROWS($D$2:$D$15)),1)</f>
        <v>12</v>
      </c>
      <c r="O210" cm="1">
        <f t="array" aca="1" ref="O210" ca="1">INDEX($D$2:$D$15,RANDBETWEEN(1,ROWS($D$2:$D$15)),1)</f>
        <v>11</v>
      </c>
      <c r="P210" cm="1">
        <f t="array" aca="1" ref="P210" ca="1">INDEX($D$2:$D$15,RANDBETWEEN(1,ROWS($D$2:$D$15)),1)</f>
        <v>13</v>
      </c>
      <c r="Q210" cm="1">
        <f t="array" aca="1" ref="Q210" ca="1">INDEX($D$2:$D$15,RANDBETWEEN(1,ROWS($D$2:$D$15)),1)</f>
        <v>11</v>
      </c>
      <c r="R210" cm="1">
        <f t="array" aca="1" ref="R210" ca="1">INDEX($D$2:$D$15,RANDBETWEEN(1,ROWS($D$2:$D$15)),1)</f>
        <v>4</v>
      </c>
      <c r="S210" cm="1">
        <f t="array" aca="1" ref="S210" ca="1">INDEX($D$2:$D$15,RANDBETWEEN(1,ROWS($D$2:$D$15)),1)</f>
        <v>12</v>
      </c>
      <c r="T210" cm="1">
        <f t="array" aca="1" ref="T210" ca="1">INDEX($D$2:$D$15,RANDBETWEEN(1,ROWS($D$2:$D$15)),1)</f>
        <v>12</v>
      </c>
      <c r="W210">
        <f t="shared" ca="1" si="12"/>
        <v>9.1999999999999993</v>
      </c>
      <c r="X210">
        <f t="shared" ca="1" si="13"/>
        <v>11</v>
      </c>
      <c r="Y210">
        <f t="shared" ca="1" si="14"/>
        <v>3</v>
      </c>
      <c r="Z210">
        <f t="shared" ca="1" si="15"/>
        <v>3.4887574537976378</v>
      </c>
    </row>
    <row r="211" spans="6:26" x14ac:dyDescent="0.35">
      <c r="F211" cm="1">
        <f t="array" aca="1" ref="F211" ca="1">INDEX($D$2:$D$15,RANDBETWEEN(1,ROWS($D$2:$D$15)),1)</f>
        <v>9</v>
      </c>
      <c r="G211" cm="1">
        <f t="array" aca="1" ref="G211" ca="1">INDEX($D$2:$D$15,RANDBETWEEN(1,ROWS($D$2:$D$15)),1)</f>
        <v>4</v>
      </c>
      <c r="H211" cm="1">
        <f t="array" aca="1" ref="H211" ca="1">INDEX($D$2:$D$15,RANDBETWEEN(1,ROWS($D$2:$D$15)),1)</f>
        <v>2</v>
      </c>
      <c r="I211" cm="1">
        <f t="array" aca="1" ref="I211" ca="1">INDEX($D$2:$D$15,RANDBETWEEN(1,ROWS($D$2:$D$15)),1)</f>
        <v>4</v>
      </c>
      <c r="J211" cm="1">
        <f t="array" aca="1" ref="J211" ca="1">INDEX($D$2:$D$15,RANDBETWEEN(1,ROWS($D$2:$D$15)),1)</f>
        <v>12</v>
      </c>
      <c r="K211" cm="1">
        <f t="array" aca="1" ref="K211" ca="1">INDEX($D$2:$D$15,RANDBETWEEN(1,ROWS($D$2:$D$15)),1)</f>
        <v>9</v>
      </c>
      <c r="L211" cm="1">
        <f t="array" aca="1" ref="L211" ca="1">INDEX($D$2:$D$15,RANDBETWEEN(1,ROWS($D$2:$D$15)),1)</f>
        <v>9</v>
      </c>
      <c r="M211" cm="1">
        <f t="array" aca="1" ref="M211" ca="1">INDEX($D$2:$D$15,RANDBETWEEN(1,ROWS($D$2:$D$15)),1)</f>
        <v>12</v>
      </c>
      <c r="N211" cm="1">
        <f t="array" aca="1" ref="N211" ca="1">INDEX($D$2:$D$15,RANDBETWEEN(1,ROWS($D$2:$D$15)),1)</f>
        <v>2</v>
      </c>
      <c r="O211" cm="1">
        <f t="array" aca="1" ref="O211" ca="1">INDEX($D$2:$D$15,RANDBETWEEN(1,ROWS($D$2:$D$15)),1)</f>
        <v>4</v>
      </c>
      <c r="P211" cm="1">
        <f t="array" aca="1" ref="P211" ca="1">INDEX($D$2:$D$15,RANDBETWEEN(1,ROWS($D$2:$D$15)),1)</f>
        <v>12</v>
      </c>
      <c r="Q211" cm="1">
        <f t="array" aca="1" ref="Q211" ca="1">INDEX($D$2:$D$15,RANDBETWEEN(1,ROWS($D$2:$D$15)),1)</f>
        <v>12</v>
      </c>
      <c r="R211" cm="1">
        <f t="array" aca="1" ref="R211" ca="1">INDEX($D$2:$D$15,RANDBETWEEN(1,ROWS($D$2:$D$15)),1)</f>
        <v>13</v>
      </c>
      <c r="S211" cm="1">
        <f t="array" aca="1" ref="S211" ca="1">INDEX($D$2:$D$15,RANDBETWEEN(1,ROWS($D$2:$D$15)),1)</f>
        <v>10</v>
      </c>
      <c r="T211" cm="1">
        <f t="array" aca="1" ref="T211" ca="1">INDEX($D$2:$D$15,RANDBETWEEN(1,ROWS($D$2:$D$15)),1)</f>
        <v>8</v>
      </c>
      <c r="W211">
        <f t="shared" ca="1" si="12"/>
        <v>8.1333333333333329</v>
      </c>
      <c r="X211">
        <f t="shared" ca="1" si="13"/>
        <v>9</v>
      </c>
      <c r="Y211">
        <f t="shared" ca="1" si="14"/>
        <v>8</v>
      </c>
      <c r="Z211">
        <f t="shared" ca="1" si="15"/>
        <v>3.925496632214045</v>
      </c>
    </row>
    <row r="212" spans="6:26" x14ac:dyDescent="0.35">
      <c r="F212" cm="1">
        <f t="array" aca="1" ref="F212" ca="1">INDEX($D$2:$D$15,RANDBETWEEN(1,ROWS($D$2:$D$15)),1)</f>
        <v>13</v>
      </c>
      <c r="G212" cm="1">
        <f t="array" aca="1" ref="G212" ca="1">INDEX($D$2:$D$15,RANDBETWEEN(1,ROWS($D$2:$D$15)),1)</f>
        <v>9</v>
      </c>
      <c r="H212" cm="1">
        <f t="array" aca="1" ref="H212" ca="1">INDEX($D$2:$D$15,RANDBETWEEN(1,ROWS($D$2:$D$15)),1)</f>
        <v>9</v>
      </c>
      <c r="I212" cm="1">
        <f t="array" aca="1" ref="I212" ca="1">INDEX($D$2:$D$15,RANDBETWEEN(1,ROWS($D$2:$D$15)),1)</f>
        <v>10</v>
      </c>
      <c r="J212" cm="1">
        <f t="array" aca="1" ref="J212" ca="1">INDEX($D$2:$D$15,RANDBETWEEN(1,ROWS($D$2:$D$15)),1)</f>
        <v>9</v>
      </c>
      <c r="K212" cm="1">
        <f t="array" aca="1" ref="K212" ca="1">INDEX($D$2:$D$15,RANDBETWEEN(1,ROWS($D$2:$D$15)),1)</f>
        <v>13</v>
      </c>
      <c r="L212" cm="1">
        <f t="array" aca="1" ref="L212" ca="1">INDEX($D$2:$D$15,RANDBETWEEN(1,ROWS($D$2:$D$15)),1)</f>
        <v>9</v>
      </c>
      <c r="M212" cm="1">
        <f t="array" aca="1" ref="M212" ca="1">INDEX($D$2:$D$15,RANDBETWEEN(1,ROWS($D$2:$D$15)),1)</f>
        <v>9</v>
      </c>
      <c r="N212" cm="1">
        <f t="array" aca="1" ref="N212" ca="1">INDEX($D$2:$D$15,RANDBETWEEN(1,ROWS($D$2:$D$15)),1)</f>
        <v>10</v>
      </c>
      <c r="O212" cm="1">
        <f t="array" aca="1" ref="O212" ca="1">INDEX($D$2:$D$15,RANDBETWEEN(1,ROWS($D$2:$D$15)),1)</f>
        <v>3</v>
      </c>
      <c r="P212" cm="1">
        <f t="array" aca="1" ref="P212" ca="1">INDEX($D$2:$D$15,RANDBETWEEN(1,ROWS($D$2:$D$15)),1)</f>
        <v>12</v>
      </c>
      <c r="Q212" cm="1">
        <f t="array" aca="1" ref="Q212" ca="1">INDEX($D$2:$D$15,RANDBETWEEN(1,ROWS($D$2:$D$15)),1)</f>
        <v>13</v>
      </c>
      <c r="R212" cm="1">
        <f t="array" aca="1" ref="R212" ca="1">INDEX($D$2:$D$15,RANDBETWEEN(1,ROWS($D$2:$D$15)),1)</f>
        <v>4</v>
      </c>
      <c r="S212" cm="1">
        <f t="array" aca="1" ref="S212" ca="1">INDEX($D$2:$D$15,RANDBETWEEN(1,ROWS($D$2:$D$15)),1)</f>
        <v>4</v>
      </c>
      <c r="T212" cm="1">
        <f t="array" aca="1" ref="T212" ca="1">INDEX($D$2:$D$15,RANDBETWEEN(1,ROWS($D$2:$D$15)),1)</f>
        <v>13</v>
      </c>
      <c r="W212">
        <f t="shared" ca="1" si="12"/>
        <v>9.3333333333333339</v>
      </c>
      <c r="X212">
        <f t="shared" ca="1" si="13"/>
        <v>9</v>
      </c>
      <c r="Y212">
        <f t="shared" ca="1" si="14"/>
        <v>3.5</v>
      </c>
      <c r="Z212">
        <f t="shared" ca="1" si="15"/>
        <v>3.3735667150587636</v>
      </c>
    </row>
    <row r="213" spans="6:26" x14ac:dyDescent="0.35">
      <c r="F213" cm="1">
        <f t="array" aca="1" ref="F213" ca="1">INDEX($D$2:$D$15,RANDBETWEEN(1,ROWS($D$2:$D$15)),1)</f>
        <v>4</v>
      </c>
      <c r="G213" cm="1">
        <f t="array" aca="1" ref="G213" ca="1">INDEX($D$2:$D$15,RANDBETWEEN(1,ROWS($D$2:$D$15)),1)</f>
        <v>11</v>
      </c>
      <c r="H213" cm="1">
        <f t="array" aca="1" ref="H213" ca="1">INDEX($D$2:$D$15,RANDBETWEEN(1,ROWS($D$2:$D$15)),1)</f>
        <v>13</v>
      </c>
      <c r="I213" cm="1">
        <f t="array" aca="1" ref="I213" ca="1">INDEX($D$2:$D$15,RANDBETWEEN(1,ROWS($D$2:$D$15)),1)</f>
        <v>9</v>
      </c>
      <c r="J213" cm="1">
        <f t="array" aca="1" ref="J213" ca="1">INDEX($D$2:$D$15,RANDBETWEEN(1,ROWS($D$2:$D$15)),1)</f>
        <v>11</v>
      </c>
      <c r="K213" cm="1">
        <f t="array" aca="1" ref="K213" ca="1">INDEX($D$2:$D$15,RANDBETWEEN(1,ROWS($D$2:$D$15)),1)</f>
        <v>10</v>
      </c>
      <c r="L213" cm="1">
        <f t="array" aca="1" ref="L213" ca="1">INDEX($D$2:$D$15,RANDBETWEEN(1,ROWS($D$2:$D$15)),1)</f>
        <v>10</v>
      </c>
      <c r="M213" cm="1">
        <f t="array" aca="1" ref="M213" ca="1">INDEX($D$2:$D$15,RANDBETWEEN(1,ROWS($D$2:$D$15)),1)</f>
        <v>8</v>
      </c>
      <c r="N213" cm="1">
        <f t="array" aca="1" ref="N213" ca="1">INDEX($D$2:$D$15,RANDBETWEEN(1,ROWS($D$2:$D$15)),1)</f>
        <v>11</v>
      </c>
      <c r="O213" cm="1">
        <f t="array" aca="1" ref="O213" ca="1">INDEX($D$2:$D$15,RANDBETWEEN(1,ROWS($D$2:$D$15)),1)</f>
        <v>4</v>
      </c>
      <c r="P213" cm="1">
        <f t="array" aca="1" ref="P213" ca="1">INDEX($D$2:$D$15,RANDBETWEEN(1,ROWS($D$2:$D$15)),1)</f>
        <v>4</v>
      </c>
      <c r="Q213" cm="1">
        <f t="array" aca="1" ref="Q213" ca="1">INDEX($D$2:$D$15,RANDBETWEEN(1,ROWS($D$2:$D$15)),1)</f>
        <v>12</v>
      </c>
      <c r="R213" cm="1">
        <f t="array" aca="1" ref="R213" ca="1">INDEX($D$2:$D$15,RANDBETWEEN(1,ROWS($D$2:$D$15)),1)</f>
        <v>4</v>
      </c>
      <c r="S213" cm="1">
        <f t="array" aca="1" ref="S213" ca="1">INDEX($D$2:$D$15,RANDBETWEEN(1,ROWS($D$2:$D$15)),1)</f>
        <v>9</v>
      </c>
      <c r="T213" cm="1">
        <f t="array" aca="1" ref="T213" ca="1">INDEX($D$2:$D$15,RANDBETWEEN(1,ROWS($D$2:$D$15)),1)</f>
        <v>9</v>
      </c>
      <c r="W213">
        <f t="shared" ca="1" si="12"/>
        <v>8.6</v>
      </c>
      <c r="X213">
        <f t="shared" ca="1" si="13"/>
        <v>9</v>
      </c>
      <c r="Y213">
        <f t="shared" ca="1" si="14"/>
        <v>5</v>
      </c>
      <c r="Z213">
        <f t="shared" ca="1" si="15"/>
        <v>3.1350552512789025</v>
      </c>
    </row>
    <row r="214" spans="6:26" x14ac:dyDescent="0.35">
      <c r="F214" cm="1">
        <f t="array" aca="1" ref="F214" ca="1">INDEX($D$2:$D$15,RANDBETWEEN(1,ROWS($D$2:$D$15)),1)</f>
        <v>8</v>
      </c>
      <c r="G214" cm="1">
        <f t="array" aca="1" ref="G214" ca="1">INDEX($D$2:$D$15,RANDBETWEEN(1,ROWS($D$2:$D$15)),1)</f>
        <v>2</v>
      </c>
      <c r="H214" cm="1">
        <f t="array" aca="1" ref="H214" ca="1">INDEX($D$2:$D$15,RANDBETWEEN(1,ROWS($D$2:$D$15)),1)</f>
        <v>12</v>
      </c>
      <c r="I214" cm="1">
        <f t="array" aca="1" ref="I214" ca="1">INDEX($D$2:$D$15,RANDBETWEEN(1,ROWS($D$2:$D$15)),1)</f>
        <v>9</v>
      </c>
      <c r="J214" cm="1">
        <f t="array" aca="1" ref="J214" ca="1">INDEX($D$2:$D$15,RANDBETWEEN(1,ROWS($D$2:$D$15)),1)</f>
        <v>11</v>
      </c>
      <c r="K214" cm="1">
        <f t="array" aca="1" ref="K214" ca="1">INDEX($D$2:$D$15,RANDBETWEEN(1,ROWS($D$2:$D$15)),1)</f>
        <v>4</v>
      </c>
      <c r="L214" cm="1">
        <f t="array" aca="1" ref="L214" ca="1">INDEX($D$2:$D$15,RANDBETWEEN(1,ROWS($D$2:$D$15)),1)</f>
        <v>9</v>
      </c>
      <c r="M214" cm="1">
        <f t="array" aca="1" ref="M214" ca="1">INDEX($D$2:$D$15,RANDBETWEEN(1,ROWS($D$2:$D$15)),1)</f>
        <v>8</v>
      </c>
      <c r="N214" cm="1">
        <f t="array" aca="1" ref="N214" ca="1">INDEX($D$2:$D$15,RANDBETWEEN(1,ROWS($D$2:$D$15)),1)</f>
        <v>8</v>
      </c>
      <c r="O214" cm="1">
        <f t="array" aca="1" ref="O214" ca="1">INDEX($D$2:$D$15,RANDBETWEEN(1,ROWS($D$2:$D$15)),1)</f>
        <v>13</v>
      </c>
      <c r="P214" cm="1">
        <f t="array" aca="1" ref="P214" ca="1">INDEX($D$2:$D$15,RANDBETWEEN(1,ROWS($D$2:$D$15)),1)</f>
        <v>10</v>
      </c>
      <c r="Q214" cm="1">
        <f t="array" aca="1" ref="Q214" ca="1">INDEX($D$2:$D$15,RANDBETWEEN(1,ROWS($D$2:$D$15)),1)</f>
        <v>8</v>
      </c>
      <c r="R214" cm="1">
        <f t="array" aca="1" ref="R214" ca="1">INDEX($D$2:$D$15,RANDBETWEEN(1,ROWS($D$2:$D$15)),1)</f>
        <v>9</v>
      </c>
      <c r="S214" cm="1">
        <f t="array" aca="1" ref="S214" ca="1">INDEX($D$2:$D$15,RANDBETWEEN(1,ROWS($D$2:$D$15)),1)</f>
        <v>3</v>
      </c>
      <c r="T214" cm="1">
        <f t="array" aca="1" ref="T214" ca="1">INDEX($D$2:$D$15,RANDBETWEEN(1,ROWS($D$2:$D$15)),1)</f>
        <v>9</v>
      </c>
      <c r="W214">
        <f t="shared" ca="1" si="12"/>
        <v>8.1999999999999993</v>
      </c>
      <c r="X214">
        <f t="shared" ca="1" si="13"/>
        <v>9</v>
      </c>
      <c r="Y214">
        <f t="shared" ca="1" si="14"/>
        <v>1.5</v>
      </c>
      <c r="Z214">
        <f t="shared" ca="1" si="15"/>
        <v>3.0983866769659332</v>
      </c>
    </row>
    <row r="215" spans="6:26" x14ac:dyDescent="0.35">
      <c r="F215" cm="1">
        <f t="array" aca="1" ref="F215" ca="1">INDEX($D$2:$D$15,RANDBETWEEN(1,ROWS($D$2:$D$15)),1)</f>
        <v>12</v>
      </c>
      <c r="G215" cm="1">
        <f t="array" aca="1" ref="G215" ca="1">INDEX($D$2:$D$15,RANDBETWEEN(1,ROWS($D$2:$D$15)),1)</f>
        <v>8</v>
      </c>
      <c r="H215" cm="1">
        <f t="array" aca="1" ref="H215" ca="1">INDEX($D$2:$D$15,RANDBETWEEN(1,ROWS($D$2:$D$15)),1)</f>
        <v>2</v>
      </c>
      <c r="I215" cm="1">
        <f t="array" aca="1" ref="I215" ca="1">INDEX($D$2:$D$15,RANDBETWEEN(1,ROWS($D$2:$D$15)),1)</f>
        <v>13</v>
      </c>
      <c r="J215" cm="1">
        <f t="array" aca="1" ref="J215" ca="1">INDEX($D$2:$D$15,RANDBETWEEN(1,ROWS($D$2:$D$15)),1)</f>
        <v>4</v>
      </c>
      <c r="K215" cm="1">
        <f t="array" aca="1" ref="K215" ca="1">INDEX($D$2:$D$15,RANDBETWEEN(1,ROWS($D$2:$D$15)),1)</f>
        <v>4</v>
      </c>
      <c r="L215" cm="1">
        <f t="array" aca="1" ref="L215" ca="1">INDEX($D$2:$D$15,RANDBETWEEN(1,ROWS($D$2:$D$15)),1)</f>
        <v>2</v>
      </c>
      <c r="M215" cm="1">
        <f t="array" aca="1" ref="M215" ca="1">INDEX($D$2:$D$15,RANDBETWEEN(1,ROWS($D$2:$D$15)),1)</f>
        <v>10</v>
      </c>
      <c r="N215" cm="1">
        <f t="array" aca="1" ref="N215" ca="1">INDEX($D$2:$D$15,RANDBETWEEN(1,ROWS($D$2:$D$15)),1)</f>
        <v>4</v>
      </c>
      <c r="O215" cm="1">
        <f t="array" aca="1" ref="O215" ca="1">INDEX($D$2:$D$15,RANDBETWEEN(1,ROWS($D$2:$D$15)),1)</f>
        <v>4</v>
      </c>
      <c r="P215" cm="1">
        <f t="array" aca="1" ref="P215" ca="1">INDEX($D$2:$D$15,RANDBETWEEN(1,ROWS($D$2:$D$15)),1)</f>
        <v>4</v>
      </c>
      <c r="Q215" cm="1">
        <f t="array" aca="1" ref="Q215" ca="1">INDEX($D$2:$D$15,RANDBETWEEN(1,ROWS($D$2:$D$15)),1)</f>
        <v>8</v>
      </c>
      <c r="R215" cm="1">
        <f t="array" aca="1" ref="R215" ca="1">INDEX($D$2:$D$15,RANDBETWEEN(1,ROWS($D$2:$D$15)),1)</f>
        <v>4</v>
      </c>
      <c r="S215" cm="1">
        <f t="array" aca="1" ref="S215" ca="1">INDEX($D$2:$D$15,RANDBETWEEN(1,ROWS($D$2:$D$15)),1)</f>
        <v>10</v>
      </c>
      <c r="T215" cm="1">
        <f t="array" aca="1" ref="T215" ca="1">INDEX($D$2:$D$15,RANDBETWEEN(1,ROWS($D$2:$D$15)),1)</f>
        <v>9</v>
      </c>
      <c r="W215">
        <f t="shared" ca="1" si="12"/>
        <v>6.5333333333333332</v>
      </c>
      <c r="X215">
        <f t="shared" ca="1" si="13"/>
        <v>4</v>
      </c>
      <c r="Y215">
        <f t="shared" ca="1" si="14"/>
        <v>5.5</v>
      </c>
      <c r="Z215">
        <f t="shared" ca="1" si="15"/>
        <v>3.642343567906063</v>
      </c>
    </row>
    <row r="216" spans="6:26" x14ac:dyDescent="0.35">
      <c r="F216" cm="1">
        <f t="array" aca="1" ref="F216" ca="1">INDEX($D$2:$D$15,RANDBETWEEN(1,ROWS($D$2:$D$15)),1)</f>
        <v>9</v>
      </c>
      <c r="G216" cm="1">
        <f t="array" aca="1" ref="G216" ca="1">INDEX($D$2:$D$15,RANDBETWEEN(1,ROWS($D$2:$D$15)),1)</f>
        <v>8</v>
      </c>
      <c r="H216" cm="1">
        <f t="array" aca="1" ref="H216" ca="1">INDEX($D$2:$D$15,RANDBETWEEN(1,ROWS($D$2:$D$15)),1)</f>
        <v>9</v>
      </c>
      <c r="I216" cm="1">
        <f t="array" aca="1" ref="I216" ca="1">INDEX($D$2:$D$15,RANDBETWEEN(1,ROWS($D$2:$D$15)),1)</f>
        <v>3</v>
      </c>
      <c r="J216" cm="1">
        <f t="array" aca="1" ref="J216" ca="1">INDEX($D$2:$D$15,RANDBETWEEN(1,ROWS($D$2:$D$15)),1)</f>
        <v>9</v>
      </c>
      <c r="K216" cm="1">
        <f t="array" aca="1" ref="K216" ca="1">INDEX($D$2:$D$15,RANDBETWEEN(1,ROWS($D$2:$D$15)),1)</f>
        <v>3</v>
      </c>
      <c r="L216" cm="1">
        <f t="array" aca="1" ref="L216" ca="1">INDEX($D$2:$D$15,RANDBETWEEN(1,ROWS($D$2:$D$15)),1)</f>
        <v>9</v>
      </c>
      <c r="M216" cm="1">
        <f t="array" aca="1" ref="M216" ca="1">INDEX($D$2:$D$15,RANDBETWEEN(1,ROWS($D$2:$D$15)),1)</f>
        <v>4</v>
      </c>
      <c r="N216" cm="1">
        <f t="array" aca="1" ref="N216" ca="1">INDEX($D$2:$D$15,RANDBETWEEN(1,ROWS($D$2:$D$15)),1)</f>
        <v>9</v>
      </c>
      <c r="O216" cm="1">
        <f t="array" aca="1" ref="O216" ca="1">INDEX($D$2:$D$15,RANDBETWEEN(1,ROWS($D$2:$D$15)),1)</f>
        <v>9</v>
      </c>
      <c r="P216" cm="1">
        <f t="array" aca="1" ref="P216" ca="1">INDEX($D$2:$D$15,RANDBETWEEN(1,ROWS($D$2:$D$15)),1)</f>
        <v>4</v>
      </c>
      <c r="Q216" cm="1">
        <f t="array" aca="1" ref="Q216" ca="1">INDEX($D$2:$D$15,RANDBETWEEN(1,ROWS($D$2:$D$15)),1)</f>
        <v>10</v>
      </c>
      <c r="R216" cm="1">
        <f t="array" aca="1" ref="R216" ca="1">INDEX($D$2:$D$15,RANDBETWEEN(1,ROWS($D$2:$D$15)),1)</f>
        <v>12</v>
      </c>
      <c r="S216" cm="1">
        <f t="array" aca="1" ref="S216" ca="1">INDEX($D$2:$D$15,RANDBETWEEN(1,ROWS($D$2:$D$15)),1)</f>
        <v>13</v>
      </c>
      <c r="T216" cm="1">
        <f t="array" aca="1" ref="T216" ca="1">INDEX($D$2:$D$15,RANDBETWEEN(1,ROWS($D$2:$D$15)),1)</f>
        <v>12</v>
      </c>
      <c r="W216">
        <f t="shared" ca="1" si="12"/>
        <v>8.1999999999999993</v>
      </c>
      <c r="X216">
        <f t="shared" ca="1" si="13"/>
        <v>9</v>
      </c>
      <c r="Y216">
        <f t="shared" ca="1" si="14"/>
        <v>3.5</v>
      </c>
      <c r="Z216">
        <f t="shared" ca="1" si="15"/>
        <v>3.2557641192199411</v>
      </c>
    </row>
    <row r="217" spans="6:26" x14ac:dyDescent="0.35">
      <c r="F217" cm="1">
        <f t="array" aca="1" ref="F217" ca="1">INDEX($D$2:$D$15,RANDBETWEEN(1,ROWS($D$2:$D$15)),1)</f>
        <v>4</v>
      </c>
      <c r="G217" cm="1">
        <f t="array" aca="1" ref="G217" ca="1">INDEX($D$2:$D$15,RANDBETWEEN(1,ROWS($D$2:$D$15)),1)</f>
        <v>9</v>
      </c>
      <c r="H217" cm="1">
        <f t="array" aca="1" ref="H217" ca="1">INDEX($D$2:$D$15,RANDBETWEEN(1,ROWS($D$2:$D$15)),1)</f>
        <v>10</v>
      </c>
      <c r="I217" cm="1">
        <f t="array" aca="1" ref="I217" ca="1">INDEX($D$2:$D$15,RANDBETWEEN(1,ROWS($D$2:$D$15)),1)</f>
        <v>11</v>
      </c>
      <c r="J217" cm="1">
        <f t="array" aca="1" ref="J217" ca="1">INDEX($D$2:$D$15,RANDBETWEEN(1,ROWS($D$2:$D$15)),1)</f>
        <v>9</v>
      </c>
      <c r="K217" cm="1">
        <f t="array" aca="1" ref="K217" ca="1">INDEX($D$2:$D$15,RANDBETWEEN(1,ROWS($D$2:$D$15)),1)</f>
        <v>10</v>
      </c>
      <c r="L217" cm="1">
        <f t="array" aca="1" ref="L217" ca="1">INDEX($D$2:$D$15,RANDBETWEEN(1,ROWS($D$2:$D$15)),1)</f>
        <v>12</v>
      </c>
      <c r="M217" cm="1">
        <f t="array" aca="1" ref="M217" ca="1">INDEX($D$2:$D$15,RANDBETWEEN(1,ROWS($D$2:$D$15)),1)</f>
        <v>4</v>
      </c>
      <c r="N217" cm="1">
        <f t="array" aca="1" ref="N217" ca="1">INDEX($D$2:$D$15,RANDBETWEEN(1,ROWS($D$2:$D$15)),1)</f>
        <v>12</v>
      </c>
      <c r="O217" cm="1">
        <f t="array" aca="1" ref="O217" ca="1">INDEX($D$2:$D$15,RANDBETWEEN(1,ROWS($D$2:$D$15)),1)</f>
        <v>12</v>
      </c>
      <c r="P217" cm="1">
        <f t="array" aca="1" ref="P217" ca="1">INDEX($D$2:$D$15,RANDBETWEEN(1,ROWS($D$2:$D$15)),1)</f>
        <v>9</v>
      </c>
      <c r="Q217" cm="1">
        <f t="array" aca="1" ref="Q217" ca="1">INDEX($D$2:$D$15,RANDBETWEEN(1,ROWS($D$2:$D$15)),1)</f>
        <v>13</v>
      </c>
      <c r="R217" cm="1">
        <f t="array" aca="1" ref="R217" ca="1">INDEX($D$2:$D$15,RANDBETWEEN(1,ROWS($D$2:$D$15)),1)</f>
        <v>2</v>
      </c>
      <c r="S217" cm="1">
        <f t="array" aca="1" ref="S217" ca="1">INDEX($D$2:$D$15,RANDBETWEEN(1,ROWS($D$2:$D$15)),1)</f>
        <v>9</v>
      </c>
      <c r="T217" cm="1">
        <f t="array" aca="1" ref="T217" ca="1">INDEX($D$2:$D$15,RANDBETWEEN(1,ROWS($D$2:$D$15)),1)</f>
        <v>12</v>
      </c>
      <c r="W217">
        <f t="shared" ca="1" si="12"/>
        <v>9.1999999999999993</v>
      </c>
      <c r="X217">
        <f t="shared" ca="1" si="13"/>
        <v>10</v>
      </c>
      <c r="Y217">
        <f t="shared" ca="1" si="14"/>
        <v>3</v>
      </c>
      <c r="Z217">
        <f t="shared" ca="1" si="15"/>
        <v>3.3423687066852121</v>
      </c>
    </row>
    <row r="218" spans="6:26" x14ac:dyDescent="0.35">
      <c r="F218" cm="1">
        <f t="array" aca="1" ref="F218" ca="1">INDEX($D$2:$D$15,RANDBETWEEN(1,ROWS($D$2:$D$15)),1)</f>
        <v>13</v>
      </c>
      <c r="G218" cm="1">
        <f t="array" aca="1" ref="G218" ca="1">INDEX($D$2:$D$15,RANDBETWEEN(1,ROWS($D$2:$D$15)),1)</f>
        <v>2</v>
      </c>
      <c r="H218" cm="1">
        <f t="array" aca="1" ref="H218" ca="1">INDEX($D$2:$D$15,RANDBETWEEN(1,ROWS($D$2:$D$15)),1)</f>
        <v>9</v>
      </c>
      <c r="I218" cm="1">
        <f t="array" aca="1" ref="I218" ca="1">INDEX($D$2:$D$15,RANDBETWEEN(1,ROWS($D$2:$D$15)),1)</f>
        <v>2</v>
      </c>
      <c r="J218" cm="1">
        <f t="array" aca="1" ref="J218" ca="1">INDEX($D$2:$D$15,RANDBETWEEN(1,ROWS($D$2:$D$15)),1)</f>
        <v>12</v>
      </c>
      <c r="K218" cm="1">
        <f t="array" aca="1" ref="K218" ca="1">INDEX($D$2:$D$15,RANDBETWEEN(1,ROWS($D$2:$D$15)),1)</f>
        <v>2</v>
      </c>
      <c r="L218" cm="1">
        <f t="array" aca="1" ref="L218" ca="1">INDEX($D$2:$D$15,RANDBETWEEN(1,ROWS($D$2:$D$15)),1)</f>
        <v>9</v>
      </c>
      <c r="M218" cm="1">
        <f t="array" aca="1" ref="M218" ca="1">INDEX($D$2:$D$15,RANDBETWEEN(1,ROWS($D$2:$D$15)),1)</f>
        <v>4</v>
      </c>
      <c r="N218" cm="1">
        <f t="array" aca="1" ref="N218" ca="1">INDEX($D$2:$D$15,RANDBETWEEN(1,ROWS($D$2:$D$15)),1)</f>
        <v>11</v>
      </c>
      <c r="O218" cm="1">
        <f t="array" aca="1" ref="O218" ca="1">INDEX($D$2:$D$15,RANDBETWEEN(1,ROWS($D$2:$D$15)),1)</f>
        <v>4</v>
      </c>
      <c r="P218" cm="1">
        <f t="array" aca="1" ref="P218" ca="1">INDEX($D$2:$D$15,RANDBETWEEN(1,ROWS($D$2:$D$15)),1)</f>
        <v>8</v>
      </c>
      <c r="Q218" cm="1">
        <f t="array" aca="1" ref="Q218" ca="1">INDEX($D$2:$D$15,RANDBETWEEN(1,ROWS($D$2:$D$15)),1)</f>
        <v>12</v>
      </c>
      <c r="R218" cm="1">
        <f t="array" aca="1" ref="R218" ca="1">INDEX($D$2:$D$15,RANDBETWEEN(1,ROWS($D$2:$D$15)),1)</f>
        <v>2</v>
      </c>
      <c r="S218" cm="1">
        <f t="array" aca="1" ref="S218" ca="1">INDEX($D$2:$D$15,RANDBETWEEN(1,ROWS($D$2:$D$15)),1)</f>
        <v>3</v>
      </c>
      <c r="T218" cm="1">
        <f t="array" aca="1" ref="T218" ca="1">INDEX($D$2:$D$15,RANDBETWEEN(1,ROWS($D$2:$D$15)),1)</f>
        <v>9</v>
      </c>
      <c r="W218">
        <f t="shared" ca="1" si="12"/>
        <v>6.8</v>
      </c>
      <c r="X218">
        <f t="shared" ca="1" si="13"/>
        <v>8</v>
      </c>
      <c r="Y218">
        <f t="shared" ca="1" si="14"/>
        <v>7.5</v>
      </c>
      <c r="Z218">
        <f t="shared" ca="1" si="15"/>
        <v>4.2122271001047817</v>
      </c>
    </row>
    <row r="219" spans="6:26" x14ac:dyDescent="0.35">
      <c r="F219" cm="1">
        <f t="array" aca="1" ref="F219" ca="1">INDEX($D$2:$D$15,RANDBETWEEN(1,ROWS($D$2:$D$15)),1)</f>
        <v>4</v>
      </c>
      <c r="G219" cm="1">
        <f t="array" aca="1" ref="G219" ca="1">INDEX($D$2:$D$15,RANDBETWEEN(1,ROWS($D$2:$D$15)),1)</f>
        <v>9</v>
      </c>
      <c r="H219" cm="1">
        <f t="array" aca="1" ref="H219" ca="1">INDEX($D$2:$D$15,RANDBETWEEN(1,ROWS($D$2:$D$15)),1)</f>
        <v>4</v>
      </c>
      <c r="I219" cm="1">
        <f t="array" aca="1" ref="I219" ca="1">INDEX($D$2:$D$15,RANDBETWEEN(1,ROWS($D$2:$D$15)),1)</f>
        <v>12</v>
      </c>
      <c r="J219" cm="1">
        <f t="array" aca="1" ref="J219" ca="1">INDEX($D$2:$D$15,RANDBETWEEN(1,ROWS($D$2:$D$15)),1)</f>
        <v>4</v>
      </c>
      <c r="K219" cm="1">
        <f t="array" aca="1" ref="K219" ca="1">INDEX($D$2:$D$15,RANDBETWEEN(1,ROWS($D$2:$D$15)),1)</f>
        <v>9</v>
      </c>
      <c r="L219" cm="1">
        <f t="array" aca="1" ref="L219" ca="1">INDEX($D$2:$D$15,RANDBETWEEN(1,ROWS($D$2:$D$15)),1)</f>
        <v>10</v>
      </c>
      <c r="M219" cm="1">
        <f t="array" aca="1" ref="M219" ca="1">INDEX($D$2:$D$15,RANDBETWEEN(1,ROWS($D$2:$D$15)),1)</f>
        <v>12</v>
      </c>
      <c r="N219" cm="1">
        <f t="array" aca="1" ref="N219" ca="1">INDEX($D$2:$D$15,RANDBETWEEN(1,ROWS($D$2:$D$15)),1)</f>
        <v>4</v>
      </c>
      <c r="O219" cm="1">
        <f t="array" aca="1" ref="O219" ca="1">INDEX($D$2:$D$15,RANDBETWEEN(1,ROWS($D$2:$D$15)),1)</f>
        <v>3</v>
      </c>
      <c r="P219" cm="1">
        <f t="array" aca="1" ref="P219" ca="1">INDEX($D$2:$D$15,RANDBETWEEN(1,ROWS($D$2:$D$15)),1)</f>
        <v>9</v>
      </c>
      <c r="Q219" cm="1">
        <f t="array" aca="1" ref="Q219" ca="1">INDEX($D$2:$D$15,RANDBETWEEN(1,ROWS($D$2:$D$15)),1)</f>
        <v>4</v>
      </c>
      <c r="R219" cm="1">
        <f t="array" aca="1" ref="R219" ca="1">INDEX($D$2:$D$15,RANDBETWEEN(1,ROWS($D$2:$D$15)),1)</f>
        <v>3</v>
      </c>
      <c r="S219" cm="1">
        <f t="array" aca="1" ref="S219" ca="1">INDEX($D$2:$D$15,RANDBETWEEN(1,ROWS($D$2:$D$15)),1)</f>
        <v>2</v>
      </c>
      <c r="T219" cm="1">
        <f t="array" aca="1" ref="T219" ca="1">INDEX($D$2:$D$15,RANDBETWEEN(1,ROWS($D$2:$D$15)),1)</f>
        <v>4</v>
      </c>
      <c r="W219">
        <f t="shared" ca="1" si="12"/>
        <v>6.2</v>
      </c>
      <c r="X219">
        <f t="shared" ca="1" si="13"/>
        <v>4</v>
      </c>
      <c r="Y219">
        <f t="shared" ca="1" si="14"/>
        <v>5</v>
      </c>
      <c r="Z219">
        <f t="shared" ca="1" si="15"/>
        <v>3.5091716564291513</v>
      </c>
    </row>
    <row r="220" spans="6:26" x14ac:dyDescent="0.35">
      <c r="F220" cm="1">
        <f t="array" aca="1" ref="F220" ca="1">INDEX($D$2:$D$15,RANDBETWEEN(1,ROWS($D$2:$D$15)),1)</f>
        <v>3</v>
      </c>
      <c r="G220" cm="1">
        <f t="array" aca="1" ref="G220" ca="1">INDEX($D$2:$D$15,RANDBETWEEN(1,ROWS($D$2:$D$15)),1)</f>
        <v>4</v>
      </c>
      <c r="H220" cm="1">
        <f t="array" aca="1" ref="H220" ca="1">INDEX($D$2:$D$15,RANDBETWEEN(1,ROWS($D$2:$D$15)),1)</f>
        <v>4</v>
      </c>
      <c r="I220" cm="1">
        <f t="array" aca="1" ref="I220" ca="1">INDEX($D$2:$D$15,RANDBETWEEN(1,ROWS($D$2:$D$15)),1)</f>
        <v>12</v>
      </c>
      <c r="J220" cm="1">
        <f t="array" aca="1" ref="J220" ca="1">INDEX($D$2:$D$15,RANDBETWEEN(1,ROWS($D$2:$D$15)),1)</f>
        <v>4</v>
      </c>
      <c r="K220" cm="1">
        <f t="array" aca="1" ref="K220" ca="1">INDEX($D$2:$D$15,RANDBETWEEN(1,ROWS($D$2:$D$15)),1)</f>
        <v>12</v>
      </c>
      <c r="L220" cm="1">
        <f t="array" aca="1" ref="L220" ca="1">INDEX($D$2:$D$15,RANDBETWEEN(1,ROWS($D$2:$D$15)),1)</f>
        <v>2</v>
      </c>
      <c r="M220" cm="1">
        <f t="array" aca="1" ref="M220" ca="1">INDEX($D$2:$D$15,RANDBETWEEN(1,ROWS($D$2:$D$15)),1)</f>
        <v>9</v>
      </c>
      <c r="N220" cm="1">
        <f t="array" aca="1" ref="N220" ca="1">INDEX($D$2:$D$15,RANDBETWEEN(1,ROWS($D$2:$D$15)),1)</f>
        <v>12</v>
      </c>
      <c r="O220" cm="1">
        <f t="array" aca="1" ref="O220" ca="1">INDEX($D$2:$D$15,RANDBETWEEN(1,ROWS($D$2:$D$15)),1)</f>
        <v>9</v>
      </c>
      <c r="P220" cm="1">
        <f t="array" aca="1" ref="P220" ca="1">INDEX($D$2:$D$15,RANDBETWEEN(1,ROWS($D$2:$D$15)),1)</f>
        <v>4</v>
      </c>
      <c r="Q220" cm="1">
        <f t="array" aca="1" ref="Q220" ca="1">INDEX($D$2:$D$15,RANDBETWEEN(1,ROWS($D$2:$D$15)),1)</f>
        <v>4</v>
      </c>
      <c r="R220" cm="1">
        <f t="array" aca="1" ref="R220" ca="1">INDEX($D$2:$D$15,RANDBETWEEN(1,ROWS($D$2:$D$15)),1)</f>
        <v>13</v>
      </c>
      <c r="S220" cm="1">
        <f t="array" aca="1" ref="S220" ca="1">INDEX($D$2:$D$15,RANDBETWEEN(1,ROWS($D$2:$D$15)),1)</f>
        <v>8</v>
      </c>
      <c r="T220" cm="1">
        <f t="array" aca="1" ref="T220" ca="1">INDEX($D$2:$D$15,RANDBETWEEN(1,ROWS($D$2:$D$15)),1)</f>
        <v>10</v>
      </c>
      <c r="W220">
        <f t="shared" ca="1" si="12"/>
        <v>7.333333333333333</v>
      </c>
      <c r="X220">
        <f t="shared" ca="1" si="13"/>
        <v>8</v>
      </c>
      <c r="Y220">
        <f t="shared" ca="1" si="14"/>
        <v>7</v>
      </c>
      <c r="Z220">
        <f t="shared" ca="1" si="15"/>
        <v>3.9036002917941333</v>
      </c>
    </row>
    <row r="221" spans="6:26" x14ac:dyDescent="0.35">
      <c r="F221" cm="1">
        <f t="array" aca="1" ref="F221" ca="1">INDEX($D$2:$D$15,RANDBETWEEN(1,ROWS($D$2:$D$15)),1)</f>
        <v>3</v>
      </c>
      <c r="G221" cm="1">
        <f t="array" aca="1" ref="G221" ca="1">INDEX($D$2:$D$15,RANDBETWEEN(1,ROWS($D$2:$D$15)),1)</f>
        <v>11</v>
      </c>
      <c r="H221" cm="1">
        <f t="array" aca="1" ref="H221" ca="1">INDEX($D$2:$D$15,RANDBETWEEN(1,ROWS($D$2:$D$15)),1)</f>
        <v>13</v>
      </c>
      <c r="I221" cm="1">
        <f t="array" aca="1" ref="I221" ca="1">INDEX($D$2:$D$15,RANDBETWEEN(1,ROWS($D$2:$D$15)),1)</f>
        <v>2</v>
      </c>
      <c r="J221" cm="1">
        <f t="array" aca="1" ref="J221" ca="1">INDEX($D$2:$D$15,RANDBETWEEN(1,ROWS($D$2:$D$15)),1)</f>
        <v>9</v>
      </c>
      <c r="K221" cm="1">
        <f t="array" aca="1" ref="K221" ca="1">INDEX($D$2:$D$15,RANDBETWEEN(1,ROWS($D$2:$D$15)),1)</f>
        <v>9</v>
      </c>
      <c r="L221" cm="1">
        <f t="array" aca="1" ref="L221" ca="1">INDEX($D$2:$D$15,RANDBETWEEN(1,ROWS($D$2:$D$15)),1)</f>
        <v>3</v>
      </c>
      <c r="M221" cm="1">
        <f t="array" aca="1" ref="M221" ca="1">INDEX($D$2:$D$15,RANDBETWEEN(1,ROWS($D$2:$D$15)),1)</f>
        <v>9</v>
      </c>
      <c r="N221" cm="1">
        <f t="array" aca="1" ref="N221" ca="1">INDEX($D$2:$D$15,RANDBETWEEN(1,ROWS($D$2:$D$15)),1)</f>
        <v>9</v>
      </c>
      <c r="O221" cm="1">
        <f t="array" aca="1" ref="O221" ca="1">INDEX($D$2:$D$15,RANDBETWEEN(1,ROWS($D$2:$D$15)),1)</f>
        <v>12</v>
      </c>
      <c r="P221" cm="1">
        <f t="array" aca="1" ref="P221" ca="1">INDEX($D$2:$D$15,RANDBETWEEN(1,ROWS($D$2:$D$15)),1)</f>
        <v>8</v>
      </c>
      <c r="Q221" cm="1">
        <f t="array" aca="1" ref="Q221" ca="1">INDEX($D$2:$D$15,RANDBETWEEN(1,ROWS($D$2:$D$15)),1)</f>
        <v>3</v>
      </c>
      <c r="R221" cm="1">
        <f t="array" aca="1" ref="R221" ca="1">INDEX($D$2:$D$15,RANDBETWEEN(1,ROWS($D$2:$D$15)),1)</f>
        <v>12</v>
      </c>
      <c r="S221" cm="1">
        <f t="array" aca="1" ref="S221" ca="1">INDEX($D$2:$D$15,RANDBETWEEN(1,ROWS($D$2:$D$15)),1)</f>
        <v>13</v>
      </c>
      <c r="T221" cm="1">
        <f t="array" aca="1" ref="T221" ca="1">INDEX($D$2:$D$15,RANDBETWEEN(1,ROWS($D$2:$D$15)),1)</f>
        <v>4</v>
      </c>
      <c r="W221">
        <f t="shared" ca="1" si="12"/>
        <v>8</v>
      </c>
      <c r="X221">
        <f t="shared" ca="1" si="13"/>
        <v>9</v>
      </c>
      <c r="Y221">
        <f t="shared" ca="1" si="14"/>
        <v>8</v>
      </c>
      <c r="Z221">
        <f t="shared" ca="1" si="15"/>
        <v>3.9821028185046727</v>
      </c>
    </row>
    <row r="222" spans="6:26" x14ac:dyDescent="0.35">
      <c r="F222" cm="1">
        <f t="array" aca="1" ref="F222" ca="1">INDEX($D$2:$D$15,RANDBETWEEN(1,ROWS($D$2:$D$15)),1)</f>
        <v>4</v>
      </c>
      <c r="G222" cm="1">
        <f t="array" aca="1" ref="G222" ca="1">INDEX($D$2:$D$15,RANDBETWEEN(1,ROWS($D$2:$D$15)),1)</f>
        <v>9</v>
      </c>
      <c r="H222" cm="1">
        <f t="array" aca="1" ref="H222" ca="1">INDEX($D$2:$D$15,RANDBETWEEN(1,ROWS($D$2:$D$15)),1)</f>
        <v>10</v>
      </c>
      <c r="I222" cm="1">
        <f t="array" aca="1" ref="I222" ca="1">INDEX($D$2:$D$15,RANDBETWEEN(1,ROWS($D$2:$D$15)),1)</f>
        <v>10</v>
      </c>
      <c r="J222" cm="1">
        <f t="array" aca="1" ref="J222" ca="1">INDEX($D$2:$D$15,RANDBETWEEN(1,ROWS($D$2:$D$15)),1)</f>
        <v>3</v>
      </c>
      <c r="K222" cm="1">
        <f t="array" aca="1" ref="K222" ca="1">INDEX($D$2:$D$15,RANDBETWEEN(1,ROWS($D$2:$D$15)),1)</f>
        <v>10</v>
      </c>
      <c r="L222" cm="1">
        <f t="array" aca="1" ref="L222" ca="1">INDEX($D$2:$D$15,RANDBETWEEN(1,ROWS($D$2:$D$15)),1)</f>
        <v>11</v>
      </c>
      <c r="M222" cm="1">
        <f t="array" aca="1" ref="M222" ca="1">INDEX($D$2:$D$15,RANDBETWEEN(1,ROWS($D$2:$D$15)),1)</f>
        <v>9</v>
      </c>
      <c r="N222" cm="1">
        <f t="array" aca="1" ref="N222" ca="1">INDEX($D$2:$D$15,RANDBETWEEN(1,ROWS($D$2:$D$15)),1)</f>
        <v>2</v>
      </c>
      <c r="O222" cm="1">
        <f t="array" aca="1" ref="O222" ca="1">INDEX($D$2:$D$15,RANDBETWEEN(1,ROWS($D$2:$D$15)),1)</f>
        <v>4</v>
      </c>
      <c r="P222" cm="1">
        <f t="array" aca="1" ref="P222" ca="1">INDEX($D$2:$D$15,RANDBETWEEN(1,ROWS($D$2:$D$15)),1)</f>
        <v>10</v>
      </c>
      <c r="Q222" cm="1">
        <f t="array" aca="1" ref="Q222" ca="1">INDEX($D$2:$D$15,RANDBETWEEN(1,ROWS($D$2:$D$15)),1)</f>
        <v>4</v>
      </c>
      <c r="R222" cm="1">
        <f t="array" aca="1" ref="R222" ca="1">INDEX($D$2:$D$15,RANDBETWEEN(1,ROWS($D$2:$D$15)),1)</f>
        <v>8</v>
      </c>
      <c r="S222" cm="1">
        <f t="array" aca="1" ref="S222" ca="1">INDEX($D$2:$D$15,RANDBETWEEN(1,ROWS($D$2:$D$15)),1)</f>
        <v>12</v>
      </c>
      <c r="T222" cm="1">
        <f t="array" aca="1" ref="T222" ca="1">INDEX($D$2:$D$15,RANDBETWEEN(1,ROWS($D$2:$D$15)),1)</f>
        <v>9</v>
      </c>
      <c r="W222">
        <f t="shared" ca="1" si="12"/>
        <v>7.666666666666667</v>
      </c>
      <c r="X222">
        <f t="shared" ca="1" si="13"/>
        <v>9</v>
      </c>
      <c r="Y222">
        <f t="shared" ca="1" si="14"/>
        <v>6</v>
      </c>
      <c r="Z222">
        <f t="shared" ca="1" si="15"/>
        <v>3.2877840272018801</v>
      </c>
    </row>
    <row r="223" spans="6:26" x14ac:dyDescent="0.35">
      <c r="F223" cm="1">
        <f t="array" aca="1" ref="F223" ca="1">INDEX($D$2:$D$15,RANDBETWEEN(1,ROWS($D$2:$D$15)),1)</f>
        <v>9</v>
      </c>
      <c r="G223" cm="1">
        <f t="array" aca="1" ref="G223" ca="1">INDEX($D$2:$D$15,RANDBETWEEN(1,ROWS($D$2:$D$15)),1)</f>
        <v>3</v>
      </c>
      <c r="H223" cm="1">
        <f t="array" aca="1" ref="H223" ca="1">INDEX($D$2:$D$15,RANDBETWEEN(1,ROWS($D$2:$D$15)),1)</f>
        <v>8</v>
      </c>
      <c r="I223" cm="1">
        <f t="array" aca="1" ref="I223" ca="1">INDEX($D$2:$D$15,RANDBETWEEN(1,ROWS($D$2:$D$15)),1)</f>
        <v>4</v>
      </c>
      <c r="J223" cm="1">
        <f t="array" aca="1" ref="J223" ca="1">INDEX($D$2:$D$15,RANDBETWEEN(1,ROWS($D$2:$D$15)),1)</f>
        <v>2</v>
      </c>
      <c r="K223" cm="1">
        <f t="array" aca="1" ref="K223" ca="1">INDEX($D$2:$D$15,RANDBETWEEN(1,ROWS($D$2:$D$15)),1)</f>
        <v>2</v>
      </c>
      <c r="L223" cm="1">
        <f t="array" aca="1" ref="L223" ca="1">INDEX($D$2:$D$15,RANDBETWEEN(1,ROWS($D$2:$D$15)),1)</f>
        <v>4</v>
      </c>
      <c r="M223" cm="1">
        <f t="array" aca="1" ref="M223" ca="1">INDEX($D$2:$D$15,RANDBETWEEN(1,ROWS($D$2:$D$15)),1)</f>
        <v>11</v>
      </c>
      <c r="N223" cm="1">
        <f t="array" aca="1" ref="N223" ca="1">INDEX($D$2:$D$15,RANDBETWEEN(1,ROWS($D$2:$D$15)),1)</f>
        <v>4</v>
      </c>
      <c r="O223" cm="1">
        <f t="array" aca="1" ref="O223" ca="1">INDEX($D$2:$D$15,RANDBETWEEN(1,ROWS($D$2:$D$15)),1)</f>
        <v>10</v>
      </c>
      <c r="P223" cm="1">
        <f t="array" aca="1" ref="P223" ca="1">INDEX($D$2:$D$15,RANDBETWEEN(1,ROWS($D$2:$D$15)),1)</f>
        <v>3</v>
      </c>
      <c r="Q223" cm="1">
        <f t="array" aca="1" ref="Q223" ca="1">INDEX($D$2:$D$15,RANDBETWEEN(1,ROWS($D$2:$D$15)),1)</f>
        <v>9</v>
      </c>
      <c r="R223" cm="1">
        <f t="array" aca="1" ref="R223" ca="1">INDEX($D$2:$D$15,RANDBETWEEN(1,ROWS($D$2:$D$15)),1)</f>
        <v>13</v>
      </c>
      <c r="S223" cm="1">
        <f t="array" aca="1" ref="S223" ca="1">INDEX($D$2:$D$15,RANDBETWEEN(1,ROWS($D$2:$D$15)),1)</f>
        <v>8</v>
      </c>
      <c r="T223" cm="1">
        <f t="array" aca="1" ref="T223" ca="1">INDEX($D$2:$D$15,RANDBETWEEN(1,ROWS($D$2:$D$15)),1)</f>
        <v>8</v>
      </c>
      <c r="W223">
        <f t="shared" ca="1" si="12"/>
        <v>6.5333333333333332</v>
      </c>
      <c r="X223">
        <f t="shared" ca="1" si="13"/>
        <v>8</v>
      </c>
      <c r="Y223">
        <f t="shared" ca="1" si="14"/>
        <v>5.5</v>
      </c>
      <c r="Z223">
        <f t="shared" ca="1" si="15"/>
        <v>3.5630377622526113</v>
      </c>
    </row>
    <row r="224" spans="6:26" x14ac:dyDescent="0.35">
      <c r="F224" cm="1">
        <f t="array" aca="1" ref="F224" ca="1">INDEX($D$2:$D$15,RANDBETWEEN(1,ROWS($D$2:$D$15)),1)</f>
        <v>13</v>
      </c>
      <c r="G224" cm="1">
        <f t="array" aca="1" ref="G224" ca="1">INDEX($D$2:$D$15,RANDBETWEEN(1,ROWS($D$2:$D$15)),1)</f>
        <v>9</v>
      </c>
      <c r="H224" cm="1">
        <f t="array" aca="1" ref="H224" ca="1">INDEX($D$2:$D$15,RANDBETWEEN(1,ROWS($D$2:$D$15)),1)</f>
        <v>9</v>
      </c>
      <c r="I224" cm="1">
        <f t="array" aca="1" ref="I224" ca="1">INDEX($D$2:$D$15,RANDBETWEEN(1,ROWS($D$2:$D$15)),1)</f>
        <v>13</v>
      </c>
      <c r="J224" cm="1">
        <f t="array" aca="1" ref="J224" ca="1">INDEX($D$2:$D$15,RANDBETWEEN(1,ROWS($D$2:$D$15)),1)</f>
        <v>9</v>
      </c>
      <c r="K224" cm="1">
        <f t="array" aca="1" ref="K224" ca="1">INDEX($D$2:$D$15,RANDBETWEEN(1,ROWS($D$2:$D$15)),1)</f>
        <v>3</v>
      </c>
      <c r="L224" cm="1">
        <f t="array" aca="1" ref="L224" ca="1">INDEX($D$2:$D$15,RANDBETWEEN(1,ROWS($D$2:$D$15)),1)</f>
        <v>8</v>
      </c>
      <c r="M224" cm="1">
        <f t="array" aca="1" ref="M224" ca="1">INDEX($D$2:$D$15,RANDBETWEEN(1,ROWS($D$2:$D$15)),1)</f>
        <v>9</v>
      </c>
      <c r="N224" cm="1">
        <f t="array" aca="1" ref="N224" ca="1">INDEX($D$2:$D$15,RANDBETWEEN(1,ROWS($D$2:$D$15)),1)</f>
        <v>12</v>
      </c>
      <c r="O224" cm="1">
        <f t="array" aca="1" ref="O224" ca="1">INDEX($D$2:$D$15,RANDBETWEEN(1,ROWS($D$2:$D$15)),1)</f>
        <v>4</v>
      </c>
      <c r="P224" cm="1">
        <f t="array" aca="1" ref="P224" ca="1">INDEX($D$2:$D$15,RANDBETWEEN(1,ROWS($D$2:$D$15)),1)</f>
        <v>9</v>
      </c>
      <c r="Q224" cm="1">
        <f t="array" aca="1" ref="Q224" ca="1">INDEX($D$2:$D$15,RANDBETWEEN(1,ROWS($D$2:$D$15)),1)</f>
        <v>13</v>
      </c>
      <c r="R224" cm="1">
        <f t="array" aca="1" ref="R224" ca="1">INDEX($D$2:$D$15,RANDBETWEEN(1,ROWS($D$2:$D$15)),1)</f>
        <v>12</v>
      </c>
      <c r="S224" cm="1">
        <f t="array" aca="1" ref="S224" ca="1">INDEX($D$2:$D$15,RANDBETWEEN(1,ROWS($D$2:$D$15)),1)</f>
        <v>3</v>
      </c>
      <c r="T224" cm="1">
        <f t="array" aca="1" ref="T224" ca="1">INDEX($D$2:$D$15,RANDBETWEEN(1,ROWS($D$2:$D$15)),1)</f>
        <v>12</v>
      </c>
      <c r="W224">
        <f t="shared" ca="1" si="12"/>
        <v>9.1999999999999993</v>
      </c>
      <c r="X224">
        <f t="shared" ca="1" si="13"/>
        <v>9</v>
      </c>
      <c r="Y224">
        <f t="shared" ca="1" si="14"/>
        <v>3.5</v>
      </c>
      <c r="Z224">
        <f t="shared" ca="1" si="15"/>
        <v>3.5091716564291522</v>
      </c>
    </row>
    <row r="225" spans="6:26" x14ac:dyDescent="0.35">
      <c r="F225" cm="1">
        <f t="array" aca="1" ref="F225" ca="1">INDEX($D$2:$D$15,RANDBETWEEN(1,ROWS($D$2:$D$15)),1)</f>
        <v>11</v>
      </c>
      <c r="G225" cm="1">
        <f t="array" aca="1" ref="G225" ca="1">INDEX($D$2:$D$15,RANDBETWEEN(1,ROWS($D$2:$D$15)),1)</f>
        <v>3</v>
      </c>
      <c r="H225" cm="1">
        <f t="array" aca="1" ref="H225" ca="1">INDEX($D$2:$D$15,RANDBETWEEN(1,ROWS($D$2:$D$15)),1)</f>
        <v>9</v>
      </c>
      <c r="I225" cm="1">
        <f t="array" aca="1" ref="I225" ca="1">INDEX($D$2:$D$15,RANDBETWEEN(1,ROWS($D$2:$D$15)),1)</f>
        <v>12</v>
      </c>
      <c r="J225" cm="1">
        <f t="array" aca="1" ref="J225" ca="1">INDEX($D$2:$D$15,RANDBETWEEN(1,ROWS($D$2:$D$15)),1)</f>
        <v>8</v>
      </c>
      <c r="K225" cm="1">
        <f t="array" aca="1" ref="K225" ca="1">INDEX($D$2:$D$15,RANDBETWEEN(1,ROWS($D$2:$D$15)),1)</f>
        <v>3</v>
      </c>
      <c r="L225" cm="1">
        <f t="array" aca="1" ref="L225" ca="1">INDEX($D$2:$D$15,RANDBETWEEN(1,ROWS($D$2:$D$15)),1)</f>
        <v>9</v>
      </c>
      <c r="M225" cm="1">
        <f t="array" aca="1" ref="M225" ca="1">INDEX($D$2:$D$15,RANDBETWEEN(1,ROWS($D$2:$D$15)),1)</f>
        <v>10</v>
      </c>
      <c r="N225" cm="1">
        <f t="array" aca="1" ref="N225" ca="1">INDEX($D$2:$D$15,RANDBETWEEN(1,ROWS($D$2:$D$15)),1)</f>
        <v>3</v>
      </c>
      <c r="O225" cm="1">
        <f t="array" aca="1" ref="O225" ca="1">INDEX($D$2:$D$15,RANDBETWEEN(1,ROWS($D$2:$D$15)),1)</f>
        <v>12</v>
      </c>
      <c r="P225" cm="1">
        <f t="array" aca="1" ref="P225" ca="1">INDEX($D$2:$D$15,RANDBETWEEN(1,ROWS($D$2:$D$15)),1)</f>
        <v>9</v>
      </c>
      <c r="Q225" cm="1">
        <f t="array" aca="1" ref="Q225" ca="1">INDEX($D$2:$D$15,RANDBETWEEN(1,ROWS($D$2:$D$15)),1)</f>
        <v>4</v>
      </c>
      <c r="R225" cm="1">
        <f t="array" aca="1" ref="R225" ca="1">INDEX($D$2:$D$15,RANDBETWEEN(1,ROWS($D$2:$D$15)),1)</f>
        <v>11</v>
      </c>
      <c r="S225" cm="1">
        <f t="array" aca="1" ref="S225" ca="1">INDEX($D$2:$D$15,RANDBETWEEN(1,ROWS($D$2:$D$15)),1)</f>
        <v>12</v>
      </c>
      <c r="T225" cm="1">
        <f t="array" aca="1" ref="T225" ca="1">INDEX($D$2:$D$15,RANDBETWEEN(1,ROWS($D$2:$D$15)),1)</f>
        <v>9</v>
      </c>
      <c r="W225">
        <f t="shared" ca="1" si="12"/>
        <v>8.3333333333333339</v>
      </c>
      <c r="X225">
        <f t="shared" ca="1" si="13"/>
        <v>9</v>
      </c>
      <c r="Y225">
        <f t="shared" ca="1" si="14"/>
        <v>5</v>
      </c>
      <c r="Z225">
        <f t="shared" ca="1" si="15"/>
        <v>3.4156502553198651</v>
      </c>
    </row>
    <row r="226" spans="6:26" x14ac:dyDescent="0.35">
      <c r="F226" cm="1">
        <f t="array" aca="1" ref="F226" ca="1">INDEX($D$2:$D$15,RANDBETWEEN(1,ROWS($D$2:$D$15)),1)</f>
        <v>4</v>
      </c>
      <c r="G226" cm="1">
        <f t="array" aca="1" ref="G226" ca="1">INDEX($D$2:$D$15,RANDBETWEEN(1,ROWS($D$2:$D$15)),1)</f>
        <v>11</v>
      </c>
      <c r="H226" cm="1">
        <f t="array" aca="1" ref="H226" ca="1">INDEX($D$2:$D$15,RANDBETWEEN(1,ROWS($D$2:$D$15)),1)</f>
        <v>12</v>
      </c>
      <c r="I226" cm="1">
        <f t="array" aca="1" ref="I226" ca="1">INDEX($D$2:$D$15,RANDBETWEEN(1,ROWS($D$2:$D$15)),1)</f>
        <v>9</v>
      </c>
      <c r="J226" cm="1">
        <f t="array" aca="1" ref="J226" ca="1">INDEX($D$2:$D$15,RANDBETWEEN(1,ROWS($D$2:$D$15)),1)</f>
        <v>8</v>
      </c>
      <c r="K226" cm="1">
        <f t="array" aca="1" ref="K226" ca="1">INDEX($D$2:$D$15,RANDBETWEEN(1,ROWS($D$2:$D$15)),1)</f>
        <v>8</v>
      </c>
      <c r="L226" cm="1">
        <f t="array" aca="1" ref="L226" ca="1">INDEX($D$2:$D$15,RANDBETWEEN(1,ROWS($D$2:$D$15)),1)</f>
        <v>4</v>
      </c>
      <c r="M226" cm="1">
        <f t="array" aca="1" ref="M226" ca="1">INDEX($D$2:$D$15,RANDBETWEEN(1,ROWS($D$2:$D$15)),1)</f>
        <v>2</v>
      </c>
      <c r="N226" cm="1">
        <f t="array" aca="1" ref="N226" ca="1">INDEX($D$2:$D$15,RANDBETWEEN(1,ROWS($D$2:$D$15)),1)</f>
        <v>12</v>
      </c>
      <c r="O226" cm="1">
        <f t="array" aca="1" ref="O226" ca="1">INDEX($D$2:$D$15,RANDBETWEEN(1,ROWS($D$2:$D$15)),1)</f>
        <v>2</v>
      </c>
      <c r="P226" cm="1">
        <f t="array" aca="1" ref="P226" ca="1">INDEX($D$2:$D$15,RANDBETWEEN(1,ROWS($D$2:$D$15)),1)</f>
        <v>9</v>
      </c>
      <c r="Q226" cm="1">
        <f t="array" aca="1" ref="Q226" ca="1">INDEX($D$2:$D$15,RANDBETWEEN(1,ROWS($D$2:$D$15)),1)</f>
        <v>4</v>
      </c>
      <c r="R226" cm="1">
        <f t="array" aca="1" ref="R226" ca="1">INDEX($D$2:$D$15,RANDBETWEEN(1,ROWS($D$2:$D$15)),1)</f>
        <v>9</v>
      </c>
      <c r="S226" cm="1">
        <f t="array" aca="1" ref="S226" ca="1">INDEX($D$2:$D$15,RANDBETWEEN(1,ROWS($D$2:$D$15)),1)</f>
        <v>4</v>
      </c>
      <c r="T226" cm="1">
        <f t="array" aca="1" ref="T226" ca="1">INDEX($D$2:$D$15,RANDBETWEEN(1,ROWS($D$2:$D$15)),1)</f>
        <v>3</v>
      </c>
      <c r="W226">
        <f t="shared" ca="1" si="12"/>
        <v>6.7333333333333334</v>
      </c>
      <c r="X226">
        <f t="shared" ca="1" si="13"/>
        <v>8</v>
      </c>
      <c r="Y226">
        <f t="shared" ca="1" si="14"/>
        <v>5</v>
      </c>
      <c r="Z226">
        <f t="shared" ca="1" si="15"/>
        <v>3.5949700310029735</v>
      </c>
    </row>
    <row r="227" spans="6:26" x14ac:dyDescent="0.35">
      <c r="F227" cm="1">
        <f t="array" aca="1" ref="F227" ca="1">INDEX($D$2:$D$15,RANDBETWEEN(1,ROWS($D$2:$D$15)),1)</f>
        <v>12</v>
      </c>
      <c r="G227" cm="1">
        <f t="array" aca="1" ref="G227" ca="1">INDEX($D$2:$D$15,RANDBETWEEN(1,ROWS($D$2:$D$15)),1)</f>
        <v>8</v>
      </c>
      <c r="H227" cm="1">
        <f t="array" aca="1" ref="H227" ca="1">INDEX($D$2:$D$15,RANDBETWEEN(1,ROWS($D$2:$D$15)),1)</f>
        <v>12</v>
      </c>
      <c r="I227" cm="1">
        <f t="array" aca="1" ref="I227" ca="1">INDEX($D$2:$D$15,RANDBETWEEN(1,ROWS($D$2:$D$15)),1)</f>
        <v>9</v>
      </c>
      <c r="J227" cm="1">
        <f t="array" aca="1" ref="J227" ca="1">INDEX($D$2:$D$15,RANDBETWEEN(1,ROWS($D$2:$D$15)),1)</f>
        <v>12</v>
      </c>
      <c r="K227" cm="1">
        <f t="array" aca="1" ref="K227" ca="1">INDEX($D$2:$D$15,RANDBETWEEN(1,ROWS($D$2:$D$15)),1)</f>
        <v>4</v>
      </c>
      <c r="L227" cm="1">
        <f t="array" aca="1" ref="L227" ca="1">INDEX($D$2:$D$15,RANDBETWEEN(1,ROWS($D$2:$D$15)),1)</f>
        <v>9</v>
      </c>
      <c r="M227" cm="1">
        <f t="array" aca="1" ref="M227" ca="1">INDEX($D$2:$D$15,RANDBETWEEN(1,ROWS($D$2:$D$15)),1)</f>
        <v>10</v>
      </c>
      <c r="N227" cm="1">
        <f t="array" aca="1" ref="N227" ca="1">INDEX($D$2:$D$15,RANDBETWEEN(1,ROWS($D$2:$D$15)),1)</f>
        <v>9</v>
      </c>
      <c r="O227" cm="1">
        <f t="array" aca="1" ref="O227" ca="1">INDEX($D$2:$D$15,RANDBETWEEN(1,ROWS($D$2:$D$15)),1)</f>
        <v>13</v>
      </c>
      <c r="P227" cm="1">
        <f t="array" aca="1" ref="P227" ca="1">INDEX($D$2:$D$15,RANDBETWEEN(1,ROWS($D$2:$D$15)),1)</f>
        <v>2</v>
      </c>
      <c r="Q227" cm="1">
        <f t="array" aca="1" ref="Q227" ca="1">INDEX($D$2:$D$15,RANDBETWEEN(1,ROWS($D$2:$D$15)),1)</f>
        <v>4</v>
      </c>
      <c r="R227" cm="1">
        <f t="array" aca="1" ref="R227" ca="1">INDEX($D$2:$D$15,RANDBETWEEN(1,ROWS($D$2:$D$15)),1)</f>
        <v>2</v>
      </c>
      <c r="S227" cm="1">
        <f t="array" aca="1" ref="S227" ca="1">INDEX($D$2:$D$15,RANDBETWEEN(1,ROWS($D$2:$D$15)),1)</f>
        <v>11</v>
      </c>
      <c r="T227" cm="1">
        <f t="array" aca="1" ref="T227" ca="1">INDEX($D$2:$D$15,RANDBETWEEN(1,ROWS($D$2:$D$15)),1)</f>
        <v>4</v>
      </c>
      <c r="W227">
        <f t="shared" ca="1" si="12"/>
        <v>8.0666666666666664</v>
      </c>
      <c r="X227">
        <f t="shared" ca="1" si="13"/>
        <v>9</v>
      </c>
      <c r="Y227">
        <f t="shared" ca="1" si="14"/>
        <v>7.5</v>
      </c>
      <c r="Z227">
        <f t="shared" ca="1" si="15"/>
        <v>3.8631346758570975</v>
      </c>
    </row>
    <row r="228" spans="6:26" x14ac:dyDescent="0.35">
      <c r="F228" cm="1">
        <f t="array" aca="1" ref="F228" ca="1">INDEX($D$2:$D$15,RANDBETWEEN(1,ROWS($D$2:$D$15)),1)</f>
        <v>8</v>
      </c>
      <c r="G228" cm="1">
        <f t="array" aca="1" ref="G228" ca="1">INDEX($D$2:$D$15,RANDBETWEEN(1,ROWS($D$2:$D$15)),1)</f>
        <v>3</v>
      </c>
      <c r="H228" cm="1">
        <f t="array" aca="1" ref="H228" ca="1">INDEX($D$2:$D$15,RANDBETWEEN(1,ROWS($D$2:$D$15)),1)</f>
        <v>10</v>
      </c>
      <c r="I228" cm="1">
        <f t="array" aca="1" ref="I228" ca="1">INDEX($D$2:$D$15,RANDBETWEEN(1,ROWS($D$2:$D$15)),1)</f>
        <v>3</v>
      </c>
      <c r="J228" cm="1">
        <f t="array" aca="1" ref="J228" ca="1">INDEX($D$2:$D$15,RANDBETWEEN(1,ROWS($D$2:$D$15)),1)</f>
        <v>11</v>
      </c>
      <c r="K228" cm="1">
        <f t="array" aca="1" ref="K228" ca="1">INDEX($D$2:$D$15,RANDBETWEEN(1,ROWS($D$2:$D$15)),1)</f>
        <v>9</v>
      </c>
      <c r="L228" cm="1">
        <f t="array" aca="1" ref="L228" ca="1">INDEX($D$2:$D$15,RANDBETWEEN(1,ROWS($D$2:$D$15)),1)</f>
        <v>2</v>
      </c>
      <c r="M228" cm="1">
        <f t="array" aca="1" ref="M228" ca="1">INDEX($D$2:$D$15,RANDBETWEEN(1,ROWS($D$2:$D$15)),1)</f>
        <v>11</v>
      </c>
      <c r="N228" cm="1">
        <f t="array" aca="1" ref="N228" ca="1">INDEX($D$2:$D$15,RANDBETWEEN(1,ROWS($D$2:$D$15)),1)</f>
        <v>4</v>
      </c>
      <c r="O228" cm="1">
        <f t="array" aca="1" ref="O228" ca="1">INDEX($D$2:$D$15,RANDBETWEEN(1,ROWS($D$2:$D$15)),1)</f>
        <v>9</v>
      </c>
      <c r="P228" cm="1">
        <f t="array" aca="1" ref="P228" ca="1">INDEX($D$2:$D$15,RANDBETWEEN(1,ROWS($D$2:$D$15)),1)</f>
        <v>4</v>
      </c>
      <c r="Q228" cm="1">
        <f t="array" aca="1" ref="Q228" ca="1">INDEX($D$2:$D$15,RANDBETWEEN(1,ROWS($D$2:$D$15)),1)</f>
        <v>2</v>
      </c>
      <c r="R228" cm="1">
        <f t="array" aca="1" ref="R228" ca="1">INDEX($D$2:$D$15,RANDBETWEEN(1,ROWS($D$2:$D$15)),1)</f>
        <v>13</v>
      </c>
      <c r="S228" cm="1">
        <f t="array" aca="1" ref="S228" ca="1">INDEX($D$2:$D$15,RANDBETWEEN(1,ROWS($D$2:$D$15)),1)</f>
        <v>13</v>
      </c>
      <c r="T228" cm="1">
        <f t="array" aca="1" ref="T228" ca="1">INDEX($D$2:$D$15,RANDBETWEEN(1,ROWS($D$2:$D$15)),1)</f>
        <v>8</v>
      </c>
      <c r="W228">
        <f t="shared" ca="1" si="12"/>
        <v>7.333333333333333</v>
      </c>
      <c r="X228">
        <f t="shared" ca="1" si="13"/>
        <v>8</v>
      </c>
      <c r="Y228">
        <f t="shared" ca="1" si="14"/>
        <v>7</v>
      </c>
      <c r="Z228">
        <f t="shared" ca="1" si="15"/>
        <v>3.97611918955202</v>
      </c>
    </row>
    <row r="229" spans="6:26" x14ac:dyDescent="0.35">
      <c r="F229" cm="1">
        <f t="array" aca="1" ref="F229" ca="1">INDEX($D$2:$D$15,RANDBETWEEN(1,ROWS($D$2:$D$15)),1)</f>
        <v>10</v>
      </c>
      <c r="G229" cm="1">
        <f t="array" aca="1" ref="G229" ca="1">INDEX($D$2:$D$15,RANDBETWEEN(1,ROWS($D$2:$D$15)),1)</f>
        <v>9</v>
      </c>
      <c r="H229" cm="1">
        <f t="array" aca="1" ref="H229" ca="1">INDEX($D$2:$D$15,RANDBETWEEN(1,ROWS($D$2:$D$15)),1)</f>
        <v>11</v>
      </c>
      <c r="I229" cm="1">
        <f t="array" aca="1" ref="I229" ca="1">INDEX($D$2:$D$15,RANDBETWEEN(1,ROWS($D$2:$D$15)),1)</f>
        <v>2</v>
      </c>
      <c r="J229" cm="1">
        <f t="array" aca="1" ref="J229" ca="1">INDEX($D$2:$D$15,RANDBETWEEN(1,ROWS($D$2:$D$15)),1)</f>
        <v>3</v>
      </c>
      <c r="K229" cm="1">
        <f t="array" aca="1" ref="K229" ca="1">INDEX($D$2:$D$15,RANDBETWEEN(1,ROWS($D$2:$D$15)),1)</f>
        <v>8</v>
      </c>
      <c r="L229" cm="1">
        <f t="array" aca="1" ref="L229" ca="1">INDEX($D$2:$D$15,RANDBETWEEN(1,ROWS($D$2:$D$15)),1)</f>
        <v>12</v>
      </c>
      <c r="M229" cm="1">
        <f t="array" aca="1" ref="M229" ca="1">INDEX($D$2:$D$15,RANDBETWEEN(1,ROWS($D$2:$D$15)),1)</f>
        <v>11</v>
      </c>
      <c r="N229" cm="1">
        <f t="array" aca="1" ref="N229" ca="1">INDEX($D$2:$D$15,RANDBETWEEN(1,ROWS($D$2:$D$15)),1)</f>
        <v>4</v>
      </c>
      <c r="O229" cm="1">
        <f t="array" aca="1" ref="O229" ca="1">INDEX($D$2:$D$15,RANDBETWEEN(1,ROWS($D$2:$D$15)),1)</f>
        <v>9</v>
      </c>
      <c r="P229" cm="1">
        <f t="array" aca="1" ref="P229" ca="1">INDEX($D$2:$D$15,RANDBETWEEN(1,ROWS($D$2:$D$15)),1)</f>
        <v>9</v>
      </c>
      <c r="Q229" cm="1">
        <f t="array" aca="1" ref="Q229" ca="1">INDEX($D$2:$D$15,RANDBETWEEN(1,ROWS($D$2:$D$15)),1)</f>
        <v>12</v>
      </c>
      <c r="R229" cm="1">
        <f t="array" aca="1" ref="R229" ca="1">INDEX($D$2:$D$15,RANDBETWEEN(1,ROWS($D$2:$D$15)),1)</f>
        <v>4</v>
      </c>
      <c r="S229" cm="1">
        <f t="array" aca="1" ref="S229" ca="1">INDEX($D$2:$D$15,RANDBETWEEN(1,ROWS($D$2:$D$15)),1)</f>
        <v>11</v>
      </c>
      <c r="T229" cm="1">
        <f t="array" aca="1" ref="T229" ca="1">INDEX($D$2:$D$15,RANDBETWEEN(1,ROWS($D$2:$D$15)),1)</f>
        <v>4</v>
      </c>
      <c r="W229">
        <f t="shared" ca="1" si="12"/>
        <v>7.9333333333333336</v>
      </c>
      <c r="X229">
        <f t="shared" ca="1" si="13"/>
        <v>9</v>
      </c>
      <c r="Y229">
        <f t="shared" ca="1" si="14"/>
        <v>7</v>
      </c>
      <c r="Z229">
        <f t="shared" ca="1" si="15"/>
        <v>3.5348604067541469</v>
      </c>
    </row>
    <row r="230" spans="6:26" x14ac:dyDescent="0.35">
      <c r="F230" cm="1">
        <f t="array" aca="1" ref="F230" ca="1">INDEX($D$2:$D$15,RANDBETWEEN(1,ROWS($D$2:$D$15)),1)</f>
        <v>9</v>
      </c>
      <c r="G230" cm="1">
        <f t="array" aca="1" ref="G230" ca="1">INDEX($D$2:$D$15,RANDBETWEEN(1,ROWS($D$2:$D$15)),1)</f>
        <v>9</v>
      </c>
      <c r="H230" cm="1">
        <f t="array" aca="1" ref="H230" ca="1">INDEX($D$2:$D$15,RANDBETWEEN(1,ROWS($D$2:$D$15)),1)</f>
        <v>12</v>
      </c>
      <c r="I230" cm="1">
        <f t="array" aca="1" ref="I230" ca="1">INDEX($D$2:$D$15,RANDBETWEEN(1,ROWS($D$2:$D$15)),1)</f>
        <v>8</v>
      </c>
      <c r="J230" cm="1">
        <f t="array" aca="1" ref="J230" ca="1">INDEX($D$2:$D$15,RANDBETWEEN(1,ROWS($D$2:$D$15)),1)</f>
        <v>12</v>
      </c>
      <c r="K230" cm="1">
        <f t="array" aca="1" ref="K230" ca="1">INDEX($D$2:$D$15,RANDBETWEEN(1,ROWS($D$2:$D$15)),1)</f>
        <v>4</v>
      </c>
      <c r="L230" cm="1">
        <f t="array" aca="1" ref="L230" ca="1">INDEX($D$2:$D$15,RANDBETWEEN(1,ROWS($D$2:$D$15)),1)</f>
        <v>12</v>
      </c>
      <c r="M230" cm="1">
        <f t="array" aca="1" ref="M230" ca="1">INDEX($D$2:$D$15,RANDBETWEEN(1,ROWS($D$2:$D$15)),1)</f>
        <v>9</v>
      </c>
      <c r="N230" cm="1">
        <f t="array" aca="1" ref="N230" ca="1">INDEX($D$2:$D$15,RANDBETWEEN(1,ROWS($D$2:$D$15)),1)</f>
        <v>3</v>
      </c>
      <c r="O230" cm="1">
        <f t="array" aca="1" ref="O230" ca="1">INDEX($D$2:$D$15,RANDBETWEEN(1,ROWS($D$2:$D$15)),1)</f>
        <v>4</v>
      </c>
      <c r="P230" cm="1">
        <f t="array" aca="1" ref="P230" ca="1">INDEX($D$2:$D$15,RANDBETWEEN(1,ROWS($D$2:$D$15)),1)</f>
        <v>10</v>
      </c>
      <c r="Q230" cm="1">
        <f t="array" aca="1" ref="Q230" ca="1">INDEX($D$2:$D$15,RANDBETWEEN(1,ROWS($D$2:$D$15)),1)</f>
        <v>8</v>
      </c>
      <c r="R230" cm="1">
        <f t="array" aca="1" ref="R230" ca="1">INDEX($D$2:$D$15,RANDBETWEEN(1,ROWS($D$2:$D$15)),1)</f>
        <v>4</v>
      </c>
      <c r="S230" cm="1">
        <f t="array" aca="1" ref="S230" ca="1">INDEX($D$2:$D$15,RANDBETWEEN(1,ROWS($D$2:$D$15)),1)</f>
        <v>9</v>
      </c>
      <c r="T230" cm="1">
        <f t="array" aca="1" ref="T230" ca="1">INDEX($D$2:$D$15,RANDBETWEEN(1,ROWS($D$2:$D$15)),1)</f>
        <v>2</v>
      </c>
      <c r="W230">
        <f t="shared" ca="1" si="12"/>
        <v>7.666666666666667</v>
      </c>
      <c r="X230">
        <f t="shared" ca="1" si="13"/>
        <v>9</v>
      </c>
      <c r="Y230">
        <f t="shared" ca="1" si="14"/>
        <v>5.5</v>
      </c>
      <c r="Z230">
        <f t="shared" ca="1" si="15"/>
        <v>3.4156502553198664</v>
      </c>
    </row>
    <row r="231" spans="6:26" x14ac:dyDescent="0.35">
      <c r="F231" cm="1">
        <f t="array" aca="1" ref="F231" ca="1">INDEX($D$2:$D$15,RANDBETWEEN(1,ROWS($D$2:$D$15)),1)</f>
        <v>10</v>
      </c>
      <c r="G231" cm="1">
        <f t="array" aca="1" ref="G231" ca="1">INDEX($D$2:$D$15,RANDBETWEEN(1,ROWS($D$2:$D$15)),1)</f>
        <v>2</v>
      </c>
      <c r="H231" cm="1">
        <f t="array" aca="1" ref="H231" ca="1">INDEX($D$2:$D$15,RANDBETWEEN(1,ROWS($D$2:$D$15)),1)</f>
        <v>9</v>
      </c>
      <c r="I231" cm="1">
        <f t="array" aca="1" ref="I231" ca="1">INDEX($D$2:$D$15,RANDBETWEEN(1,ROWS($D$2:$D$15)),1)</f>
        <v>3</v>
      </c>
      <c r="J231" cm="1">
        <f t="array" aca="1" ref="J231" ca="1">INDEX($D$2:$D$15,RANDBETWEEN(1,ROWS($D$2:$D$15)),1)</f>
        <v>3</v>
      </c>
      <c r="K231" cm="1">
        <f t="array" aca="1" ref="K231" ca="1">INDEX($D$2:$D$15,RANDBETWEEN(1,ROWS($D$2:$D$15)),1)</f>
        <v>9</v>
      </c>
      <c r="L231" cm="1">
        <f t="array" aca="1" ref="L231" ca="1">INDEX($D$2:$D$15,RANDBETWEEN(1,ROWS($D$2:$D$15)),1)</f>
        <v>10</v>
      </c>
      <c r="M231" cm="1">
        <f t="array" aca="1" ref="M231" ca="1">INDEX($D$2:$D$15,RANDBETWEEN(1,ROWS($D$2:$D$15)),1)</f>
        <v>4</v>
      </c>
      <c r="N231" cm="1">
        <f t="array" aca="1" ref="N231" ca="1">INDEX($D$2:$D$15,RANDBETWEEN(1,ROWS($D$2:$D$15)),1)</f>
        <v>10</v>
      </c>
      <c r="O231" cm="1">
        <f t="array" aca="1" ref="O231" ca="1">INDEX($D$2:$D$15,RANDBETWEEN(1,ROWS($D$2:$D$15)),1)</f>
        <v>10</v>
      </c>
      <c r="P231" cm="1">
        <f t="array" aca="1" ref="P231" ca="1">INDEX($D$2:$D$15,RANDBETWEEN(1,ROWS($D$2:$D$15)),1)</f>
        <v>4</v>
      </c>
      <c r="Q231" cm="1">
        <f t="array" aca="1" ref="Q231" ca="1">INDEX($D$2:$D$15,RANDBETWEEN(1,ROWS($D$2:$D$15)),1)</f>
        <v>12</v>
      </c>
      <c r="R231" cm="1">
        <f t="array" aca="1" ref="R231" ca="1">INDEX($D$2:$D$15,RANDBETWEEN(1,ROWS($D$2:$D$15)),1)</f>
        <v>4</v>
      </c>
      <c r="S231" cm="1">
        <f t="array" aca="1" ref="S231" ca="1">INDEX($D$2:$D$15,RANDBETWEEN(1,ROWS($D$2:$D$15)),1)</f>
        <v>12</v>
      </c>
      <c r="T231" cm="1">
        <f t="array" aca="1" ref="T231" ca="1">INDEX($D$2:$D$15,RANDBETWEEN(1,ROWS($D$2:$D$15)),1)</f>
        <v>10</v>
      </c>
      <c r="W231">
        <f t="shared" ca="1" si="12"/>
        <v>7.4666666666666668</v>
      </c>
      <c r="X231">
        <f t="shared" ca="1" si="13"/>
        <v>9</v>
      </c>
      <c r="Y231">
        <f t="shared" ca="1" si="14"/>
        <v>6</v>
      </c>
      <c r="Z231">
        <f t="shared" ca="1" si="15"/>
        <v>3.6226798814978842</v>
      </c>
    </row>
    <row r="232" spans="6:26" x14ac:dyDescent="0.35">
      <c r="F232" cm="1">
        <f t="array" aca="1" ref="F232" ca="1">INDEX($D$2:$D$15,RANDBETWEEN(1,ROWS($D$2:$D$15)),1)</f>
        <v>8</v>
      </c>
      <c r="G232" cm="1">
        <f t="array" aca="1" ref="G232" ca="1">INDEX($D$2:$D$15,RANDBETWEEN(1,ROWS($D$2:$D$15)),1)</f>
        <v>9</v>
      </c>
      <c r="H232" cm="1">
        <f t="array" aca="1" ref="H232" ca="1">INDEX($D$2:$D$15,RANDBETWEEN(1,ROWS($D$2:$D$15)),1)</f>
        <v>4</v>
      </c>
      <c r="I232" cm="1">
        <f t="array" aca="1" ref="I232" ca="1">INDEX($D$2:$D$15,RANDBETWEEN(1,ROWS($D$2:$D$15)),1)</f>
        <v>9</v>
      </c>
      <c r="J232" cm="1">
        <f t="array" aca="1" ref="J232" ca="1">INDEX($D$2:$D$15,RANDBETWEEN(1,ROWS($D$2:$D$15)),1)</f>
        <v>12</v>
      </c>
      <c r="K232" cm="1">
        <f t="array" aca="1" ref="K232" ca="1">INDEX($D$2:$D$15,RANDBETWEEN(1,ROWS($D$2:$D$15)),1)</f>
        <v>4</v>
      </c>
      <c r="L232" cm="1">
        <f t="array" aca="1" ref="L232" ca="1">INDEX($D$2:$D$15,RANDBETWEEN(1,ROWS($D$2:$D$15)),1)</f>
        <v>8</v>
      </c>
      <c r="M232" cm="1">
        <f t="array" aca="1" ref="M232" ca="1">INDEX($D$2:$D$15,RANDBETWEEN(1,ROWS($D$2:$D$15)),1)</f>
        <v>4</v>
      </c>
      <c r="N232" cm="1">
        <f t="array" aca="1" ref="N232" ca="1">INDEX($D$2:$D$15,RANDBETWEEN(1,ROWS($D$2:$D$15)),1)</f>
        <v>13</v>
      </c>
      <c r="O232" cm="1">
        <f t="array" aca="1" ref="O232" ca="1">INDEX($D$2:$D$15,RANDBETWEEN(1,ROWS($D$2:$D$15)),1)</f>
        <v>8</v>
      </c>
      <c r="P232" cm="1">
        <f t="array" aca="1" ref="P232" ca="1">INDEX($D$2:$D$15,RANDBETWEEN(1,ROWS($D$2:$D$15)),1)</f>
        <v>12</v>
      </c>
      <c r="Q232" cm="1">
        <f t="array" aca="1" ref="Q232" ca="1">INDEX($D$2:$D$15,RANDBETWEEN(1,ROWS($D$2:$D$15)),1)</f>
        <v>9</v>
      </c>
      <c r="R232" cm="1">
        <f t="array" aca="1" ref="R232" ca="1">INDEX($D$2:$D$15,RANDBETWEEN(1,ROWS($D$2:$D$15)),1)</f>
        <v>3</v>
      </c>
      <c r="S232" cm="1">
        <f t="array" aca="1" ref="S232" ca="1">INDEX($D$2:$D$15,RANDBETWEEN(1,ROWS($D$2:$D$15)),1)</f>
        <v>4</v>
      </c>
      <c r="T232" cm="1">
        <f t="array" aca="1" ref="T232" ca="1">INDEX($D$2:$D$15,RANDBETWEEN(1,ROWS($D$2:$D$15)),1)</f>
        <v>9</v>
      </c>
      <c r="W232">
        <f t="shared" ca="1" si="12"/>
        <v>7.7333333333333334</v>
      </c>
      <c r="X232">
        <f t="shared" ca="1" si="13"/>
        <v>8</v>
      </c>
      <c r="Y232">
        <f t="shared" ca="1" si="14"/>
        <v>5</v>
      </c>
      <c r="Z232">
        <f t="shared" ca="1" si="15"/>
        <v>3.2616093018777148</v>
      </c>
    </row>
    <row r="233" spans="6:26" x14ac:dyDescent="0.35">
      <c r="F233" cm="1">
        <f t="array" aca="1" ref="F233" ca="1">INDEX($D$2:$D$15,RANDBETWEEN(1,ROWS($D$2:$D$15)),1)</f>
        <v>10</v>
      </c>
      <c r="G233" cm="1">
        <f t="array" aca="1" ref="G233" ca="1">INDEX($D$2:$D$15,RANDBETWEEN(1,ROWS($D$2:$D$15)),1)</f>
        <v>13</v>
      </c>
      <c r="H233" cm="1">
        <f t="array" aca="1" ref="H233" ca="1">INDEX($D$2:$D$15,RANDBETWEEN(1,ROWS($D$2:$D$15)),1)</f>
        <v>9</v>
      </c>
      <c r="I233" cm="1">
        <f t="array" aca="1" ref="I233" ca="1">INDEX($D$2:$D$15,RANDBETWEEN(1,ROWS($D$2:$D$15)),1)</f>
        <v>9</v>
      </c>
      <c r="J233" cm="1">
        <f t="array" aca="1" ref="J233" ca="1">INDEX($D$2:$D$15,RANDBETWEEN(1,ROWS($D$2:$D$15)),1)</f>
        <v>9</v>
      </c>
      <c r="K233" cm="1">
        <f t="array" aca="1" ref="K233" ca="1">INDEX($D$2:$D$15,RANDBETWEEN(1,ROWS($D$2:$D$15)),1)</f>
        <v>10</v>
      </c>
      <c r="L233" cm="1">
        <f t="array" aca="1" ref="L233" ca="1">INDEX($D$2:$D$15,RANDBETWEEN(1,ROWS($D$2:$D$15)),1)</f>
        <v>2</v>
      </c>
      <c r="M233" cm="1">
        <f t="array" aca="1" ref="M233" ca="1">INDEX($D$2:$D$15,RANDBETWEEN(1,ROWS($D$2:$D$15)),1)</f>
        <v>9</v>
      </c>
      <c r="N233" cm="1">
        <f t="array" aca="1" ref="N233" ca="1">INDEX($D$2:$D$15,RANDBETWEEN(1,ROWS($D$2:$D$15)),1)</f>
        <v>12</v>
      </c>
      <c r="O233" cm="1">
        <f t="array" aca="1" ref="O233" ca="1">INDEX($D$2:$D$15,RANDBETWEEN(1,ROWS($D$2:$D$15)),1)</f>
        <v>4</v>
      </c>
      <c r="P233" cm="1">
        <f t="array" aca="1" ref="P233" ca="1">INDEX($D$2:$D$15,RANDBETWEEN(1,ROWS($D$2:$D$15)),1)</f>
        <v>8</v>
      </c>
      <c r="Q233" cm="1">
        <f t="array" aca="1" ref="Q233" ca="1">INDEX($D$2:$D$15,RANDBETWEEN(1,ROWS($D$2:$D$15)),1)</f>
        <v>13</v>
      </c>
      <c r="R233" cm="1">
        <f t="array" aca="1" ref="R233" ca="1">INDEX($D$2:$D$15,RANDBETWEEN(1,ROWS($D$2:$D$15)),1)</f>
        <v>11</v>
      </c>
      <c r="S233" cm="1">
        <f t="array" aca="1" ref="S233" ca="1">INDEX($D$2:$D$15,RANDBETWEEN(1,ROWS($D$2:$D$15)),1)</f>
        <v>12</v>
      </c>
      <c r="T233" cm="1">
        <f t="array" aca="1" ref="T233" ca="1">INDEX($D$2:$D$15,RANDBETWEEN(1,ROWS($D$2:$D$15)),1)</f>
        <v>11</v>
      </c>
      <c r="W233">
        <f t="shared" ca="1" si="12"/>
        <v>9.4666666666666668</v>
      </c>
      <c r="X233">
        <f t="shared" ca="1" si="13"/>
        <v>10</v>
      </c>
      <c r="Y233">
        <f t="shared" ca="1" si="14"/>
        <v>2.5</v>
      </c>
      <c r="Z233">
        <f t="shared" ca="1" si="15"/>
        <v>3.0674947122242622</v>
      </c>
    </row>
    <row r="234" spans="6:26" x14ac:dyDescent="0.35">
      <c r="F234" cm="1">
        <f t="array" aca="1" ref="F234" ca="1">INDEX($D$2:$D$15,RANDBETWEEN(1,ROWS($D$2:$D$15)),1)</f>
        <v>4</v>
      </c>
      <c r="G234" cm="1">
        <f t="array" aca="1" ref="G234" ca="1">INDEX($D$2:$D$15,RANDBETWEEN(1,ROWS($D$2:$D$15)),1)</f>
        <v>4</v>
      </c>
      <c r="H234" cm="1">
        <f t="array" aca="1" ref="H234" ca="1">INDEX($D$2:$D$15,RANDBETWEEN(1,ROWS($D$2:$D$15)),1)</f>
        <v>4</v>
      </c>
      <c r="I234" cm="1">
        <f t="array" aca="1" ref="I234" ca="1">INDEX($D$2:$D$15,RANDBETWEEN(1,ROWS($D$2:$D$15)),1)</f>
        <v>9</v>
      </c>
      <c r="J234" cm="1">
        <f t="array" aca="1" ref="J234" ca="1">INDEX($D$2:$D$15,RANDBETWEEN(1,ROWS($D$2:$D$15)),1)</f>
        <v>4</v>
      </c>
      <c r="K234" cm="1">
        <f t="array" aca="1" ref="K234" ca="1">INDEX($D$2:$D$15,RANDBETWEEN(1,ROWS($D$2:$D$15)),1)</f>
        <v>10</v>
      </c>
      <c r="L234" cm="1">
        <f t="array" aca="1" ref="L234" ca="1">INDEX($D$2:$D$15,RANDBETWEEN(1,ROWS($D$2:$D$15)),1)</f>
        <v>12</v>
      </c>
      <c r="M234" cm="1">
        <f t="array" aca="1" ref="M234" ca="1">INDEX($D$2:$D$15,RANDBETWEEN(1,ROWS($D$2:$D$15)),1)</f>
        <v>9</v>
      </c>
      <c r="N234" cm="1">
        <f t="array" aca="1" ref="N234" ca="1">INDEX($D$2:$D$15,RANDBETWEEN(1,ROWS($D$2:$D$15)),1)</f>
        <v>12</v>
      </c>
      <c r="O234" cm="1">
        <f t="array" aca="1" ref="O234" ca="1">INDEX($D$2:$D$15,RANDBETWEEN(1,ROWS($D$2:$D$15)),1)</f>
        <v>12</v>
      </c>
      <c r="P234" cm="1">
        <f t="array" aca="1" ref="P234" ca="1">INDEX($D$2:$D$15,RANDBETWEEN(1,ROWS($D$2:$D$15)),1)</f>
        <v>11</v>
      </c>
      <c r="Q234" cm="1">
        <f t="array" aca="1" ref="Q234" ca="1">INDEX($D$2:$D$15,RANDBETWEEN(1,ROWS($D$2:$D$15)),1)</f>
        <v>12</v>
      </c>
      <c r="R234" cm="1">
        <f t="array" aca="1" ref="R234" ca="1">INDEX($D$2:$D$15,RANDBETWEEN(1,ROWS($D$2:$D$15)),1)</f>
        <v>11</v>
      </c>
      <c r="S234" cm="1">
        <f t="array" aca="1" ref="S234" ca="1">INDEX($D$2:$D$15,RANDBETWEEN(1,ROWS($D$2:$D$15)),1)</f>
        <v>13</v>
      </c>
      <c r="T234" cm="1">
        <f t="array" aca="1" ref="T234" ca="1">INDEX($D$2:$D$15,RANDBETWEEN(1,ROWS($D$2:$D$15)),1)</f>
        <v>4</v>
      </c>
      <c r="W234">
        <f t="shared" ca="1" si="12"/>
        <v>8.7333333333333325</v>
      </c>
      <c r="X234">
        <f t="shared" ca="1" si="13"/>
        <v>10</v>
      </c>
      <c r="Y234">
        <f t="shared" ca="1" si="14"/>
        <v>8</v>
      </c>
      <c r="Z234">
        <f t="shared" ca="1" si="15"/>
        <v>3.6344908597386532</v>
      </c>
    </row>
    <row r="235" spans="6:26" x14ac:dyDescent="0.35">
      <c r="F235" cm="1">
        <f t="array" aca="1" ref="F235" ca="1">INDEX($D$2:$D$15,RANDBETWEEN(1,ROWS($D$2:$D$15)),1)</f>
        <v>9</v>
      </c>
      <c r="G235" cm="1">
        <f t="array" aca="1" ref="G235" ca="1">INDEX($D$2:$D$15,RANDBETWEEN(1,ROWS($D$2:$D$15)),1)</f>
        <v>4</v>
      </c>
      <c r="H235" cm="1">
        <f t="array" aca="1" ref="H235" ca="1">INDEX($D$2:$D$15,RANDBETWEEN(1,ROWS($D$2:$D$15)),1)</f>
        <v>9</v>
      </c>
      <c r="I235" cm="1">
        <f t="array" aca="1" ref="I235" ca="1">INDEX($D$2:$D$15,RANDBETWEEN(1,ROWS($D$2:$D$15)),1)</f>
        <v>9</v>
      </c>
      <c r="J235" cm="1">
        <f t="array" aca="1" ref="J235" ca="1">INDEX($D$2:$D$15,RANDBETWEEN(1,ROWS($D$2:$D$15)),1)</f>
        <v>3</v>
      </c>
      <c r="K235" cm="1">
        <f t="array" aca="1" ref="K235" ca="1">INDEX($D$2:$D$15,RANDBETWEEN(1,ROWS($D$2:$D$15)),1)</f>
        <v>8</v>
      </c>
      <c r="L235" cm="1">
        <f t="array" aca="1" ref="L235" ca="1">INDEX($D$2:$D$15,RANDBETWEEN(1,ROWS($D$2:$D$15)),1)</f>
        <v>10</v>
      </c>
      <c r="M235" cm="1">
        <f t="array" aca="1" ref="M235" ca="1">INDEX($D$2:$D$15,RANDBETWEEN(1,ROWS($D$2:$D$15)),1)</f>
        <v>3</v>
      </c>
      <c r="N235" cm="1">
        <f t="array" aca="1" ref="N235" ca="1">INDEX($D$2:$D$15,RANDBETWEEN(1,ROWS($D$2:$D$15)),1)</f>
        <v>11</v>
      </c>
      <c r="O235" cm="1">
        <f t="array" aca="1" ref="O235" ca="1">INDEX($D$2:$D$15,RANDBETWEEN(1,ROWS($D$2:$D$15)),1)</f>
        <v>8</v>
      </c>
      <c r="P235" cm="1">
        <f t="array" aca="1" ref="P235" ca="1">INDEX($D$2:$D$15,RANDBETWEEN(1,ROWS($D$2:$D$15)),1)</f>
        <v>9</v>
      </c>
      <c r="Q235" cm="1">
        <f t="array" aca="1" ref="Q235" ca="1">INDEX($D$2:$D$15,RANDBETWEEN(1,ROWS($D$2:$D$15)),1)</f>
        <v>12</v>
      </c>
      <c r="R235" cm="1">
        <f t="array" aca="1" ref="R235" ca="1">INDEX($D$2:$D$15,RANDBETWEEN(1,ROWS($D$2:$D$15)),1)</f>
        <v>13</v>
      </c>
      <c r="S235" cm="1">
        <f t="array" aca="1" ref="S235" ca="1">INDEX($D$2:$D$15,RANDBETWEEN(1,ROWS($D$2:$D$15)),1)</f>
        <v>9</v>
      </c>
      <c r="T235" cm="1">
        <f t="array" aca="1" ref="T235" ca="1">INDEX($D$2:$D$15,RANDBETWEEN(1,ROWS($D$2:$D$15)),1)</f>
        <v>2</v>
      </c>
      <c r="W235">
        <f t="shared" ca="1" si="12"/>
        <v>7.9333333333333336</v>
      </c>
      <c r="X235">
        <f t="shared" ca="1" si="13"/>
        <v>9</v>
      </c>
      <c r="Y235">
        <f t="shared" ca="1" si="14"/>
        <v>3.5</v>
      </c>
      <c r="Z235">
        <f t="shared" ca="1" si="15"/>
        <v>3.3904628143128326</v>
      </c>
    </row>
    <row r="236" spans="6:26" x14ac:dyDescent="0.35">
      <c r="F236" cm="1">
        <f t="array" aca="1" ref="F236" ca="1">INDEX($D$2:$D$15,RANDBETWEEN(1,ROWS($D$2:$D$15)),1)</f>
        <v>9</v>
      </c>
      <c r="G236" cm="1">
        <f t="array" aca="1" ref="G236" ca="1">INDEX($D$2:$D$15,RANDBETWEEN(1,ROWS($D$2:$D$15)),1)</f>
        <v>3</v>
      </c>
      <c r="H236" cm="1">
        <f t="array" aca="1" ref="H236" ca="1">INDEX($D$2:$D$15,RANDBETWEEN(1,ROWS($D$2:$D$15)),1)</f>
        <v>3</v>
      </c>
      <c r="I236" cm="1">
        <f t="array" aca="1" ref="I236" ca="1">INDEX($D$2:$D$15,RANDBETWEEN(1,ROWS($D$2:$D$15)),1)</f>
        <v>12</v>
      </c>
      <c r="J236" cm="1">
        <f t="array" aca="1" ref="J236" ca="1">INDEX($D$2:$D$15,RANDBETWEEN(1,ROWS($D$2:$D$15)),1)</f>
        <v>4</v>
      </c>
      <c r="K236" cm="1">
        <f t="array" aca="1" ref="K236" ca="1">INDEX($D$2:$D$15,RANDBETWEEN(1,ROWS($D$2:$D$15)),1)</f>
        <v>8</v>
      </c>
      <c r="L236" cm="1">
        <f t="array" aca="1" ref="L236" ca="1">INDEX($D$2:$D$15,RANDBETWEEN(1,ROWS($D$2:$D$15)),1)</f>
        <v>10</v>
      </c>
      <c r="M236" cm="1">
        <f t="array" aca="1" ref="M236" ca="1">INDEX($D$2:$D$15,RANDBETWEEN(1,ROWS($D$2:$D$15)),1)</f>
        <v>4</v>
      </c>
      <c r="N236" cm="1">
        <f t="array" aca="1" ref="N236" ca="1">INDEX($D$2:$D$15,RANDBETWEEN(1,ROWS($D$2:$D$15)),1)</f>
        <v>12</v>
      </c>
      <c r="O236" cm="1">
        <f t="array" aca="1" ref="O236" ca="1">INDEX($D$2:$D$15,RANDBETWEEN(1,ROWS($D$2:$D$15)),1)</f>
        <v>11</v>
      </c>
      <c r="P236" cm="1">
        <f t="array" aca="1" ref="P236" ca="1">INDEX($D$2:$D$15,RANDBETWEEN(1,ROWS($D$2:$D$15)),1)</f>
        <v>9</v>
      </c>
      <c r="Q236" cm="1">
        <f t="array" aca="1" ref="Q236" ca="1">INDEX($D$2:$D$15,RANDBETWEEN(1,ROWS($D$2:$D$15)),1)</f>
        <v>13</v>
      </c>
      <c r="R236" cm="1">
        <f t="array" aca="1" ref="R236" ca="1">INDEX($D$2:$D$15,RANDBETWEEN(1,ROWS($D$2:$D$15)),1)</f>
        <v>4</v>
      </c>
      <c r="S236" cm="1">
        <f t="array" aca="1" ref="S236" ca="1">INDEX($D$2:$D$15,RANDBETWEEN(1,ROWS($D$2:$D$15)),1)</f>
        <v>8</v>
      </c>
      <c r="T236" cm="1">
        <f t="array" aca="1" ref="T236" ca="1">INDEX($D$2:$D$15,RANDBETWEEN(1,ROWS($D$2:$D$15)),1)</f>
        <v>10</v>
      </c>
      <c r="W236">
        <f t="shared" ca="1" si="12"/>
        <v>8</v>
      </c>
      <c r="X236">
        <f t="shared" ca="1" si="13"/>
        <v>9</v>
      </c>
      <c r="Y236">
        <f t="shared" ca="1" si="14"/>
        <v>6.5</v>
      </c>
      <c r="Z236">
        <f t="shared" ca="1" si="15"/>
        <v>3.525417908358019</v>
      </c>
    </row>
    <row r="237" spans="6:26" x14ac:dyDescent="0.35">
      <c r="F237" cm="1">
        <f t="array" aca="1" ref="F237" ca="1">INDEX($D$2:$D$15,RANDBETWEEN(1,ROWS($D$2:$D$15)),1)</f>
        <v>9</v>
      </c>
      <c r="G237" cm="1">
        <f t="array" aca="1" ref="G237" ca="1">INDEX($D$2:$D$15,RANDBETWEEN(1,ROWS($D$2:$D$15)),1)</f>
        <v>3</v>
      </c>
      <c r="H237" cm="1">
        <f t="array" aca="1" ref="H237" ca="1">INDEX($D$2:$D$15,RANDBETWEEN(1,ROWS($D$2:$D$15)),1)</f>
        <v>8</v>
      </c>
      <c r="I237" cm="1">
        <f t="array" aca="1" ref="I237" ca="1">INDEX($D$2:$D$15,RANDBETWEEN(1,ROWS($D$2:$D$15)),1)</f>
        <v>4</v>
      </c>
      <c r="J237" cm="1">
        <f t="array" aca="1" ref="J237" ca="1">INDEX($D$2:$D$15,RANDBETWEEN(1,ROWS($D$2:$D$15)),1)</f>
        <v>3</v>
      </c>
      <c r="K237" cm="1">
        <f t="array" aca="1" ref="K237" ca="1">INDEX($D$2:$D$15,RANDBETWEEN(1,ROWS($D$2:$D$15)),1)</f>
        <v>9</v>
      </c>
      <c r="L237" cm="1">
        <f t="array" aca="1" ref="L237" ca="1">INDEX($D$2:$D$15,RANDBETWEEN(1,ROWS($D$2:$D$15)),1)</f>
        <v>8</v>
      </c>
      <c r="M237" cm="1">
        <f t="array" aca="1" ref="M237" ca="1">INDEX($D$2:$D$15,RANDBETWEEN(1,ROWS($D$2:$D$15)),1)</f>
        <v>4</v>
      </c>
      <c r="N237" cm="1">
        <f t="array" aca="1" ref="N237" ca="1">INDEX($D$2:$D$15,RANDBETWEEN(1,ROWS($D$2:$D$15)),1)</f>
        <v>11</v>
      </c>
      <c r="O237" cm="1">
        <f t="array" aca="1" ref="O237" ca="1">INDEX($D$2:$D$15,RANDBETWEEN(1,ROWS($D$2:$D$15)),1)</f>
        <v>9</v>
      </c>
      <c r="P237" cm="1">
        <f t="array" aca="1" ref="P237" ca="1">INDEX($D$2:$D$15,RANDBETWEEN(1,ROWS($D$2:$D$15)),1)</f>
        <v>4</v>
      </c>
      <c r="Q237" cm="1">
        <f t="array" aca="1" ref="Q237" ca="1">INDEX($D$2:$D$15,RANDBETWEEN(1,ROWS($D$2:$D$15)),1)</f>
        <v>8</v>
      </c>
      <c r="R237" cm="1">
        <f t="array" aca="1" ref="R237" ca="1">INDEX($D$2:$D$15,RANDBETWEEN(1,ROWS($D$2:$D$15)),1)</f>
        <v>4</v>
      </c>
      <c r="S237" cm="1">
        <f t="array" aca="1" ref="S237" ca="1">INDEX($D$2:$D$15,RANDBETWEEN(1,ROWS($D$2:$D$15)),1)</f>
        <v>12</v>
      </c>
      <c r="T237" cm="1">
        <f t="array" aca="1" ref="T237" ca="1">INDEX($D$2:$D$15,RANDBETWEEN(1,ROWS($D$2:$D$15)),1)</f>
        <v>11</v>
      </c>
      <c r="W237">
        <f t="shared" ca="1" si="12"/>
        <v>7.1333333333333337</v>
      </c>
      <c r="X237">
        <f t="shared" ca="1" si="13"/>
        <v>8</v>
      </c>
      <c r="Y237">
        <f t="shared" ca="1" si="14"/>
        <v>5</v>
      </c>
      <c r="Z237">
        <f t="shared" ca="1" si="15"/>
        <v>3.1592645316516919</v>
      </c>
    </row>
    <row r="238" spans="6:26" x14ac:dyDescent="0.35">
      <c r="F238" cm="1">
        <f t="array" aca="1" ref="F238" ca="1">INDEX($D$2:$D$15,RANDBETWEEN(1,ROWS($D$2:$D$15)),1)</f>
        <v>13</v>
      </c>
      <c r="G238" cm="1">
        <f t="array" aca="1" ref="G238" ca="1">INDEX($D$2:$D$15,RANDBETWEEN(1,ROWS($D$2:$D$15)),1)</f>
        <v>12</v>
      </c>
      <c r="H238" cm="1">
        <f t="array" aca="1" ref="H238" ca="1">INDEX($D$2:$D$15,RANDBETWEEN(1,ROWS($D$2:$D$15)),1)</f>
        <v>8</v>
      </c>
      <c r="I238" cm="1">
        <f t="array" aca="1" ref="I238" ca="1">INDEX($D$2:$D$15,RANDBETWEEN(1,ROWS($D$2:$D$15)),1)</f>
        <v>11</v>
      </c>
      <c r="J238" cm="1">
        <f t="array" aca="1" ref="J238" ca="1">INDEX($D$2:$D$15,RANDBETWEEN(1,ROWS($D$2:$D$15)),1)</f>
        <v>9</v>
      </c>
      <c r="K238" cm="1">
        <f t="array" aca="1" ref="K238" ca="1">INDEX($D$2:$D$15,RANDBETWEEN(1,ROWS($D$2:$D$15)),1)</f>
        <v>4</v>
      </c>
      <c r="L238" cm="1">
        <f t="array" aca="1" ref="L238" ca="1">INDEX($D$2:$D$15,RANDBETWEEN(1,ROWS($D$2:$D$15)),1)</f>
        <v>11</v>
      </c>
      <c r="M238" cm="1">
        <f t="array" aca="1" ref="M238" ca="1">INDEX($D$2:$D$15,RANDBETWEEN(1,ROWS($D$2:$D$15)),1)</f>
        <v>2</v>
      </c>
      <c r="N238" cm="1">
        <f t="array" aca="1" ref="N238" ca="1">INDEX($D$2:$D$15,RANDBETWEEN(1,ROWS($D$2:$D$15)),1)</f>
        <v>11</v>
      </c>
      <c r="O238" cm="1">
        <f t="array" aca="1" ref="O238" ca="1">INDEX($D$2:$D$15,RANDBETWEEN(1,ROWS($D$2:$D$15)),1)</f>
        <v>12</v>
      </c>
      <c r="P238" cm="1">
        <f t="array" aca="1" ref="P238" ca="1">INDEX($D$2:$D$15,RANDBETWEEN(1,ROWS($D$2:$D$15)),1)</f>
        <v>9</v>
      </c>
      <c r="Q238" cm="1">
        <f t="array" aca="1" ref="Q238" ca="1">INDEX($D$2:$D$15,RANDBETWEEN(1,ROWS($D$2:$D$15)),1)</f>
        <v>9</v>
      </c>
      <c r="R238" cm="1">
        <f t="array" aca="1" ref="R238" ca="1">INDEX($D$2:$D$15,RANDBETWEEN(1,ROWS($D$2:$D$15)),1)</f>
        <v>9</v>
      </c>
      <c r="S238" cm="1">
        <f t="array" aca="1" ref="S238" ca="1">INDEX($D$2:$D$15,RANDBETWEEN(1,ROWS($D$2:$D$15)),1)</f>
        <v>2</v>
      </c>
      <c r="T238" cm="1">
        <f t="array" aca="1" ref="T238" ca="1">INDEX($D$2:$D$15,RANDBETWEEN(1,ROWS($D$2:$D$15)),1)</f>
        <v>13</v>
      </c>
      <c r="W238">
        <f t="shared" ca="1" si="12"/>
        <v>9</v>
      </c>
      <c r="X238">
        <f t="shared" ca="1" si="13"/>
        <v>9</v>
      </c>
      <c r="Y238">
        <f t="shared" ca="1" si="14"/>
        <v>3</v>
      </c>
      <c r="Z238">
        <f t="shared" ca="1" si="15"/>
        <v>3.6449573777637356</v>
      </c>
    </row>
    <row r="239" spans="6:26" x14ac:dyDescent="0.35">
      <c r="F239" cm="1">
        <f t="array" aca="1" ref="F239" ca="1">INDEX($D$2:$D$15,RANDBETWEEN(1,ROWS($D$2:$D$15)),1)</f>
        <v>3</v>
      </c>
      <c r="G239" cm="1">
        <f t="array" aca="1" ref="G239" ca="1">INDEX($D$2:$D$15,RANDBETWEEN(1,ROWS($D$2:$D$15)),1)</f>
        <v>4</v>
      </c>
      <c r="H239" cm="1">
        <f t="array" aca="1" ref="H239" ca="1">INDEX($D$2:$D$15,RANDBETWEEN(1,ROWS($D$2:$D$15)),1)</f>
        <v>4</v>
      </c>
      <c r="I239" cm="1">
        <f t="array" aca="1" ref="I239" ca="1">INDEX($D$2:$D$15,RANDBETWEEN(1,ROWS($D$2:$D$15)),1)</f>
        <v>10</v>
      </c>
      <c r="J239" cm="1">
        <f t="array" aca="1" ref="J239" ca="1">INDEX($D$2:$D$15,RANDBETWEEN(1,ROWS($D$2:$D$15)),1)</f>
        <v>13</v>
      </c>
      <c r="K239" cm="1">
        <f t="array" aca="1" ref="K239" ca="1">INDEX($D$2:$D$15,RANDBETWEEN(1,ROWS($D$2:$D$15)),1)</f>
        <v>4</v>
      </c>
      <c r="L239" cm="1">
        <f t="array" aca="1" ref="L239" ca="1">INDEX($D$2:$D$15,RANDBETWEEN(1,ROWS($D$2:$D$15)),1)</f>
        <v>11</v>
      </c>
      <c r="M239" cm="1">
        <f t="array" aca="1" ref="M239" ca="1">INDEX($D$2:$D$15,RANDBETWEEN(1,ROWS($D$2:$D$15)),1)</f>
        <v>4</v>
      </c>
      <c r="N239" cm="1">
        <f t="array" aca="1" ref="N239" ca="1">INDEX($D$2:$D$15,RANDBETWEEN(1,ROWS($D$2:$D$15)),1)</f>
        <v>9</v>
      </c>
      <c r="O239" cm="1">
        <f t="array" aca="1" ref="O239" ca="1">INDEX($D$2:$D$15,RANDBETWEEN(1,ROWS($D$2:$D$15)),1)</f>
        <v>11</v>
      </c>
      <c r="P239" cm="1">
        <f t="array" aca="1" ref="P239" ca="1">INDEX($D$2:$D$15,RANDBETWEEN(1,ROWS($D$2:$D$15)),1)</f>
        <v>4</v>
      </c>
      <c r="Q239" cm="1">
        <f t="array" aca="1" ref="Q239" ca="1">INDEX($D$2:$D$15,RANDBETWEEN(1,ROWS($D$2:$D$15)),1)</f>
        <v>12</v>
      </c>
      <c r="R239" cm="1">
        <f t="array" aca="1" ref="R239" ca="1">INDEX($D$2:$D$15,RANDBETWEEN(1,ROWS($D$2:$D$15)),1)</f>
        <v>4</v>
      </c>
      <c r="S239" cm="1">
        <f t="array" aca="1" ref="S239" ca="1">INDEX($D$2:$D$15,RANDBETWEEN(1,ROWS($D$2:$D$15)),1)</f>
        <v>4</v>
      </c>
      <c r="T239" cm="1">
        <f t="array" aca="1" ref="T239" ca="1">INDEX($D$2:$D$15,RANDBETWEEN(1,ROWS($D$2:$D$15)),1)</f>
        <v>8</v>
      </c>
      <c r="W239">
        <f t="shared" ca="1" si="12"/>
        <v>7</v>
      </c>
      <c r="X239">
        <f t="shared" ca="1" si="13"/>
        <v>4</v>
      </c>
      <c r="Y239">
        <f t="shared" ca="1" si="14"/>
        <v>6.5</v>
      </c>
      <c r="Z239">
        <f t="shared" ca="1" si="15"/>
        <v>3.6449573777637356</v>
      </c>
    </row>
    <row r="240" spans="6:26" x14ac:dyDescent="0.35">
      <c r="F240" cm="1">
        <f t="array" aca="1" ref="F240" ca="1">INDEX($D$2:$D$15,RANDBETWEEN(1,ROWS($D$2:$D$15)),1)</f>
        <v>12</v>
      </c>
      <c r="G240" cm="1">
        <f t="array" aca="1" ref="G240" ca="1">INDEX($D$2:$D$15,RANDBETWEEN(1,ROWS($D$2:$D$15)),1)</f>
        <v>11</v>
      </c>
      <c r="H240" cm="1">
        <f t="array" aca="1" ref="H240" ca="1">INDEX($D$2:$D$15,RANDBETWEEN(1,ROWS($D$2:$D$15)),1)</f>
        <v>4</v>
      </c>
      <c r="I240" cm="1">
        <f t="array" aca="1" ref="I240" ca="1">INDEX($D$2:$D$15,RANDBETWEEN(1,ROWS($D$2:$D$15)),1)</f>
        <v>3</v>
      </c>
      <c r="J240" cm="1">
        <f t="array" aca="1" ref="J240" ca="1">INDEX($D$2:$D$15,RANDBETWEEN(1,ROWS($D$2:$D$15)),1)</f>
        <v>9</v>
      </c>
      <c r="K240" cm="1">
        <f t="array" aca="1" ref="K240" ca="1">INDEX($D$2:$D$15,RANDBETWEEN(1,ROWS($D$2:$D$15)),1)</f>
        <v>10</v>
      </c>
      <c r="L240" cm="1">
        <f t="array" aca="1" ref="L240" ca="1">INDEX($D$2:$D$15,RANDBETWEEN(1,ROWS($D$2:$D$15)),1)</f>
        <v>11</v>
      </c>
      <c r="M240" cm="1">
        <f t="array" aca="1" ref="M240" ca="1">INDEX($D$2:$D$15,RANDBETWEEN(1,ROWS($D$2:$D$15)),1)</f>
        <v>4</v>
      </c>
      <c r="N240" cm="1">
        <f t="array" aca="1" ref="N240" ca="1">INDEX($D$2:$D$15,RANDBETWEEN(1,ROWS($D$2:$D$15)),1)</f>
        <v>3</v>
      </c>
      <c r="O240" cm="1">
        <f t="array" aca="1" ref="O240" ca="1">INDEX($D$2:$D$15,RANDBETWEEN(1,ROWS($D$2:$D$15)),1)</f>
        <v>9</v>
      </c>
      <c r="P240" cm="1">
        <f t="array" aca="1" ref="P240" ca="1">INDEX($D$2:$D$15,RANDBETWEEN(1,ROWS($D$2:$D$15)),1)</f>
        <v>9</v>
      </c>
      <c r="Q240" cm="1">
        <f t="array" aca="1" ref="Q240" ca="1">INDEX($D$2:$D$15,RANDBETWEEN(1,ROWS($D$2:$D$15)),1)</f>
        <v>4</v>
      </c>
      <c r="R240" cm="1">
        <f t="array" aca="1" ref="R240" ca="1">INDEX($D$2:$D$15,RANDBETWEEN(1,ROWS($D$2:$D$15)),1)</f>
        <v>2</v>
      </c>
      <c r="S240" cm="1">
        <f t="array" aca="1" ref="S240" ca="1">INDEX($D$2:$D$15,RANDBETWEEN(1,ROWS($D$2:$D$15)),1)</f>
        <v>10</v>
      </c>
      <c r="T240" cm="1">
        <f t="array" aca="1" ref="T240" ca="1">INDEX($D$2:$D$15,RANDBETWEEN(1,ROWS($D$2:$D$15)),1)</f>
        <v>4</v>
      </c>
      <c r="W240">
        <f t="shared" ca="1" si="12"/>
        <v>7</v>
      </c>
      <c r="X240">
        <f t="shared" ca="1" si="13"/>
        <v>9</v>
      </c>
      <c r="Y240">
        <f t="shared" ca="1" si="14"/>
        <v>6</v>
      </c>
      <c r="Z240">
        <f t="shared" ca="1" si="15"/>
        <v>3.5856858280031809</v>
      </c>
    </row>
    <row r="241" spans="6:26" x14ac:dyDescent="0.35">
      <c r="F241" cm="1">
        <f t="array" aca="1" ref="F241" ca="1">INDEX($D$2:$D$15,RANDBETWEEN(1,ROWS($D$2:$D$15)),1)</f>
        <v>3</v>
      </c>
      <c r="G241" cm="1">
        <f t="array" aca="1" ref="G241" ca="1">INDEX($D$2:$D$15,RANDBETWEEN(1,ROWS($D$2:$D$15)),1)</f>
        <v>3</v>
      </c>
      <c r="H241" cm="1">
        <f t="array" aca="1" ref="H241" ca="1">INDEX($D$2:$D$15,RANDBETWEEN(1,ROWS($D$2:$D$15)),1)</f>
        <v>12</v>
      </c>
      <c r="I241" cm="1">
        <f t="array" aca="1" ref="I241" ca="1">INDEX($D$2:$D$15,RANDBETWEEN(1,ROWS($D$2:$D$15)),1)</f>
        <v>13</v>
      </c>
      <c r="J241" cm="1">
        <f t="array" aca="1" ref="J241" ca="1">INDEX($D$2:$D$15,RANDBETWEEN(1,ROWS($D$2:$D$15)),1)</f>
        <v>2</v>
      </c>
      <c r="K241" cm="1">
        <f t="array" aca="1" ref="K241" ca="1">INDEX($D$2:$D$15,RANDBETWEEN(1,ROWS($D$2:$D$15)),1)</f>
        <v>4</v>
      </c>
      <c r="L241" cm="1">
        <f t="array" aca="1" ref="L241" ca="1">INDEX($D$2:$D$15,RANDBETWEEN(1,ROWS($D$2:$D$15)),1)</f>
        <v>4</v>
      </c>
      <c r="M241" cm="1">
        <f t="array" aca="1" ref="M241" ca="1">INDEX($D$2:$D$15,RANDBETWEEN(1,ROWS($D$2:$D$15)),1)</f>
        <v>9</v>
      </c>
      <c r="N241" cm="1">
        <f t="array" aca="1" ref="N241" ca="1">INDEX($D$2:$D$15,RANDBETWEEN(1,ROWS($D$2:$D$15)),1)</f>
        <v>10</v>
      </c>
      <c r="O241" cm="1">
        <f t="array" aca="1" ref="O241" ca="1">INDEX($D$2:$D$15,RANDBETWEEN(1,ROWS($D$2:$D$15)),1)</f>
        <v>12</v>
      </c>
      <c r="P241" cm="1">
        <f t="array" aca="1" ref="P241" ca="1">INDEX($D$2:$D$15,RANDBETWEEN(1,ROWS($D$2:$D$15)),1)</f>
        <v>10</v>
      </c>
      <c r="Q241" cm="1">
        <f t="array" aca="1" ref="Q241" ca="1">INDEX($D$2:$D$15,RANDBETWEEN(1,ROWS($D$2:$D$15)),1)</f>
        <v>10</v>
      </c>
      <c r="R241" cm="1">
        <f t="array" aca="1" ref="R241" ca="1">INDEX($D$2:$D$15,RANDBETWEEN(1,ROWS($D$2:$D$15)),1)</f>
        <v>9</v>
      </c>
      <c r="S241" cm="1">
        <f t="array" aca="1" ref="S241" ca="1">INDEX($D$2:$D$15,RANDBETWEEN(1,ROWS($D$2:$D$15)),1)</f>
        <v>3</v>
      </c>
      <c r="T241" cm="1">
        <f t="array" aca="1" ref="T241" ca="1">INDEX($D$2:$D$15,RANDBETWEEN(1,ROWS($D$2:$D$15)),1)</f>
        <v>4</v>
      </c>
      <c r="W241">
        <f t="shared" ca="1" si="12"/>
        <v>7.2</v>
      </c>
      <c r="X241">
        <f t="shared" ca="1" si="13"/>
        <v>9</v>
      </c>
      <c r="Y241">
        <f t="shared" ca="1" si="14"/>
        <v>6.5</v>
      </c>
      <c r="Z241">
        <f t="shared" ca="1" si="15"/>
        <v>3.9677269491305904</v>
      </c>
    </row>
    <row r="242" spans="6:26" x14ac:dyDescent="0.35">
      <c r="F242" cm="1">
        <f t="array" aca="1" ref="F242" ca="1">INDEX($D$2:$D$15,RANDBETWEEN(1,ROWS($D$2:$D$15)),1)</f>
        <v>9</v>
      </c>
      <c r="G242" cm="1">
        <f t="array" aca="1" ref="G242" ca="1">INDEX($D$2:$D$15,RANDBETWEEN(1,ROWS($D$2:$D$15)),1)</f>
        <v>11</v>
      </c>
      <c r="H242" cm="1">
        <f t="array" aca="1" ref="H242" ca="1">INDEX($D$2:$D$15,RANDBETWEEN(1,ROWS($D$2:$D$15)),1)</f>
        <v>11</v>
      </c>
      <c r="I242" cm="1">
        <f t="array" aca="1" ref="I242" ca="1">INDEX($D$2:$D$15,RANDBETWEEN(1,ROWS($D$2:$D$15)),1)</f>
        <v>9</v>
      </c>
      <c r="J242" cm="1">
        <f t="array" aca="1" ref="J242" ca="1">INDEX($D$2:$D$15,RANDBETWEEN(1,ROWS($D$2:$D$15)),1)</f>
        <v>4</v>
      </c>
      <c r="K242" cm="1">
        <f t="array" aca="1" ref="K242" ca="1">INDEX($D$2:$D$15,RANDBETWEEN(1,ROWS($D$2:$D$15)),1)</f>
        <v>4</v>
      </c>
      <c r="L242" cm="1">
        <f t="array" aca="1" ref="L242" ca="1">INDEX($D$2:$D$15,RANDBETWEEN(1,ROWS($D$2:$D$15)),1)</f>
        <v>4</v>
      </c>
      <c r="M242" cm="1">
        <f t="array" aca="1" ref="M242" ca="1">INDEX($D$2:$D$15,RANDBETWEEN(1,ROWS($D$2:$D$15)),1)</f>
        <v>4</v>
      </c>
      <c r="N242" cm="1">
        <f t="array" aca="1" ref="N242" ca="1">INDEX($D$2:$D$15,RANDBETWEEN(1,ROWS($D$2:$D$15)),1)</f>
        <v>12</v>
      </c>
      <c r="O242" cm="1">
        <f t="array" aca="1" ref="O242" ca="1">INDEX($D$2:$D$15,RANDBETWEEN(1,ROWS($D$2:$D$15)),1)</f>
        <v>4</v>
      </c>
      <c r="P242" cm="1">
        <f t="array" aca="1" ref="P242" ca="1">INDEX($D$2:$D$15,RANDBETWEEN(1,ROWS($D$2:$D$15)),1)</f>
        <v>10</v>
      </c>
      <c r="Q242" cm="1">
        <f t="array" aca="1" ref="Q242" ca="1">INDEX($D$2:$D$15,RANDBETWEEN(1,ROWS($D$2:$D$15)),1)</f>
        <v>4</v>
      </c>
      <c r="R242" cm="1">
        <f t="array" aca="1" ref="R242" ca="1">INDEX($D$2:$D$15,RANDBETWEEN(1,ROWS($D$2:$D$15)),1)</f>
        <v>11</v>
      </c>
      <c r="S242" cm="1">
        <f t="array" aca="1" ref="S242" ca="1">INDEX($D$2:$D$15,RANDBETWEEN(1,ROWS($D$2:$D$15)),1)</f>
        <v>8</v>
      </c>
      <c r="T242" cm="1">
        <f t="array" aca="1" ref="T242" ca="1">INDEX($D$2:$D$15,RANDBETWEEN(1,ROWS($D$2:$D$15)),1)</f>
        <v>2</v>
      </c>
      <c r="W242">
        <f t="shared" ca="1" si="12"/>
        <v>7.1333333333333337</v>
      </c>
      <c r="X242">
        <f t="shared" ca="1" si="13"/>
        <v>8</v>
      </c>
      <c r="Y242">
        <f t="shared" ca="1" si="14"/>
        <v>6.5</v>
      </c>
      <c r="Z242">
        <f t="shared" ca="1" si="15"/>
        <v>3.4819261226811697</v>
      </c>
    </row>
    <row r="243" spans="6:26" x14ac:dyDescent="0.35">
      <c r="F243" cm="1">
        <f t="array" aca="1" ref="F243" ca="1">INDEX($D$2:$D$15,RANDBETWEEN(1,ROWS($D$2:$D$15)),1)</f>
        <v>12</v>
      </c>
      <c r="G243" cm="1">
        <f t="array" aca="1" ref="G243" ca="1">INDEX($D$2:$D$15,RANDBETWEEN(1,ROWS($D$2:$D$15)),1)</f>
        <v>4</v>
      </c>
      <c r="H243" cm="1">
        <f t="array" aca="1" ref="H243" ca="1">INDEX($D$2:$D$15,RANDBETWEEN(1,ROWS($D$2:$D$15)),1)</f>
        <v>4</v>
      </c>
      <c r="I243" cm="1">
        <f t="array" aca="1" ref="I243" ca="1">INDEX($D$2:$D$15,RANDBETWEEN(1,ROWS($D$2:$D$15)),1)</f>
        <v>9</v>
      </c>
      <c r="J243" cm="1">
        <f t="array" aca="1" ref="J243" ca="1">INDEX($D$2:$D$15,RANDBETWEEN(1,ROWS($D$2:$D$15)),1)</f>
        <v>12</v>
      </c>
      <c r="K243" cm="1">
        <f t="array" aca="1" ref="K243" ca="1">INDEX($D$2:$D$15,RANDBETWEEN(1,ROWS($D$2:$D$15)),1)</f>
        <v>3</v>
      </c>
      <c r="L243" cm="1">
        <f t="array" aca="1" ref="L243" ca="1">INDEX($D$2:$D$15,RANDBETWEEN(1,ROWS($D$2:$D$15)),1)</f>
        <v>12</v>
      </c>
      <c r="M243" cm="1">
        <f t="array" aca="1" ref="M243" ca="1">INDEX($D$2:$D$15,RANDBETWEEN(1,ROWS($D$2:$D$15)),1)</f>
        <v>3</v>
      </c>
      <c r="N243" cm="1">
        <f t="array" aca="1" ref="N243" ca="1">INDEX($D$2:$D$15,RANDBETWEEN(1,ROWS($D$2:$D$15)),1)</f>
        <v>2</v>
      </c>
      <c r="O243" cm="1">
        <f t="array" aca="1" ref="O243" ca="1">INDEX($D$2:$D$15,RANDBETWEEN(1,ROWS($D$2:$D$15)),1)</f>
        <v>13</v>
      </c>
      <c r="P243" cm="1">
        <f t="array" aca="1" ref="P243" ca="1">INDEX($D$2:$D$15,RANDBETWEEN(1,ROWS($D$2:$D$15)),1)</f>
        <v>4</v>
      </c>
      <c r="Q243" cm="1">
        <f t="array" aca="1" ref="Q243" ca="1">INDEX($D$2:$D$15,RANDBETWEEN(1,ROWS($D$2:$D$15)),1)</f>
        <v>9</v>
      </c>
      <c r="R243" cm="1">
        <f t="array" aca="1" ref="R243" ca="1">INDEX($D$2:$D$15,RANDBETWEEN(1,ROWS($D$2:$D$15)),1)</f>
        <v>9</v>
      </c>
      <c r="S243" cm="1">
        <f t="array" aca="1" ref="S243" ca="1">INDEX($D$2:$D$15,RANDBETWEEN(1,ROWS($D$2:$D$15)),1)</f>
        <v>12</v>
      </c>
      <c r="T243" cm="1">
        <f t="array" aca="1" ref="T243" ca="1">INDEX($D$2:$D$15,RANDBETWEEN(1,ROWS($D$2:$D$15)),1)</f>
        <v>4</v>
      </c>
      <c r="W243">
        <f t="shared" ca="1" si="12"/>
        <v>7.4666666666666668</v>
      </c>
      <c r="X243">
        <f t="shared" ca="1" si="13"/>
        <v>9</v>
      </c>
      <c r="Y243">
        <f t="shared" ca="1" si="14"/>
        <v>8</v>
      </c>
      <c r="Z243">
        <f t="shared" ca="1" si="15"/>
        <v>4.1207951151388711</v>
      </c>
    </row>
    <row r="244" spans="6:26" x14ac:dyDescent="0.35">
      <c r="F244" cm="1">
        <f t="array" aca="1" ref="F244" ca="1">INDEX($D$2:$D$15,RANDBETWEEN(1,ROWS($D$2:$D$15)),1)</f>
        <v>9</v>
      </c>
      <c r="G244" cm="1">
        <f t="array" aca="1" ref="G244" ca="1">INDEX($D$2:$D$15,RANDBETWEEN(1,ROWS($D$2:$D$15)),1)</f>
        <v>8</v>
      </c>
      <c r="H244" cm="1">
        <f t="array" aca="1" ref="H244" ca="1">INDEX($D$2:$D$15,RANDBETWEEN(1,ROWS($D$2:$D$15)),1)</f>
        <v>4</v>
      </c>
      <c r="I244" cm="1">
        <f t="array" aca="1" ref="I244" ca="1">INDEX($D$2:$D$15,RANDBETWEEN(1,ROWS($D$2:$D$15)),1)</f>
        <v>2</v>
      </c>
      <c r="J244" cm="1">
        <f t="array" aca="1" ref="J244" ca="1">INDEX($D$2:$D$15,RANDBETWEEN(1,ROWS($D$2:$D$15)),1)</f>
        <v>4</v>
      </c>
      <c r="K244" cm="1">
        <f t="array" aca="1" ref="K244" ca="1">INDEX($D$2:$D$15,RANDBETWEEN(1,ROWS($D$2:$D$15)),1)</f>
        <v>9</v>
      </c>
      <c r="L244" cm="1">
        <f t="array" aca="1" ref="L244" ca="1">INDEX($D$2:$D$15,RANDBETWEEN(1,ROWS($D$2:$D$15)),1)</f>
        <v>10</v>
      </c>
      <c r="M244" cm="1">
        <f t="array" aca="1" ref="M244" ca="1">INDEX($D$2:$D$15,RANDBETWEEN(1,ROWS($D$2:$D$15)),1)</f>
        <v>8</v>
      </c>
      <c r="N244" cm="1">
        <f t="array" aca="1" ref="N244" ca="1">INDEX($D$2:$D$15,RANDBETWEEN(1,ROWS($D$2:$D$15)),1)</f>
        <v>9</v>
      </c>
      <c r="O244" cm="1">
        <f t="array" aca="1" ref="O244" ca="1">INDEX($D$2:$D$15,RANDBETWEEN(1,ROWS($D$2:$D$15)),1)</f>
        <v>2</v>
      </c>
      <c r="P244" cm="1">
        <f t="array" aca="1" ref="P244" ca="1">INDEX($D$2:$D$15,RANDBETWEEN(1,ROWS($D$2:$D$15)),1)</f>
        <v>11</v>
      </c>
      <c r="Q244" cm="1">
        <f t="array" aca="1" ref="Q244" ca="1">INDEX($D$2:$D$15,RANDBETWEEN(1,ROWS($D$2:$D$15)),1)</f>
        <v>8</v>
      </c>
      <c r="R244" cm="1">
        <f t="array" aca="1" ref="R244" ca="1">INDEX($D$2:$D$15,RANDBETWEEN(1,ROWS($D$2:$D$15)),1)</f>
        <v>13</v>
      </c>
      <c r="S244" cm="1">
        <f t="array" aca="1" ref="S244" ca="1">INDEX($D$2:$D$15,RANDBETWEEN(1,ROWS($D$2:$D$15)),1)</f>
        <v>9</v>
      </c>
      <c r="T244" cm="1">
        <f t="array" aca="1" ref="T244" ca="1">INDEX($D$2:$D$15,RANDBETWEEN(1,ROWS($D$2:$D$15)),1)</f>
        <v>9</v>
      </c>
      <c r="W244">
        <f t="shared" ca="1" si="12"/>
        <v>7.666666666666667</v>
      </c>
      <c r="X244">
        <f t="shared" ca="1" si="13"/>
        <v>9</v>
      </c>
      <c r="Y244">
        <f t="shared" ca="1" si="14"/>
        <v>3</v>
      </c>
      <c r="Z244">
        <f t="shared" ca="1" si="15"/>
        <v>3.2219485379118615</v>
      </c>
    </row>
    <row r="245" spans="6:26" x14ac:dyDescent="0.35">
      <c r="F245" cm="1">
        <f t="array" aca="1" ref="F245" ca="1">INDEX($D$2:$D$15,RANDBETWEEN(1,ROWS($D$2:$D$15)),1)</f>
        <v>4</v>
      </c>
      <c r="G245" cm="1">
        <f t="array" aca="1" ref="G245" ca="1">INDEX($D$2:$D$15,RANDBETWEEN(1,ROWS($D$2:$D$15)),1)</f>
        <v>11</v>
      </c>
      <c r="H245" cm="1">
        <f t="array" aca="1" ref="H245" ca="1">INDEX($D$2:$D$15,RANDBETWEEN(1,ROWS($D$2:$D$15)),1)</f>
        <v>4</v>
      </c>
      <c r="I245" cm="1">
        <f t="array" aca="1" ref="I245" ca="1">INDEX($D$2:$D$15,RANDBETWEEN(1,ROWS($D$2:$D$15)),1)</f>
        <v>12</v>
      </c>
      <c r="J245" cm="1">
        <f t="array" aca="1" ref="J245" ca="1">INDEX($D$2:$D$15,RANDBETWEEN(1,ROWS($D$2:$D$15)),1)</f>
        <v>3</v>
      </c>
      <c r="K245" cm="1">
        <f t="array" aca="1" ref="K245" ca="1">INDEX($D$2:$D$15,RANDBETWEEN(1,ROWS($D$2:$D$15)),1)</f>
        <v>4</v>
      </c>
      <c r="L245" cm="1">
        <f t="array" aca="1" ref="L245" ca="1">INDEX($D$2:$D$15,RANDBETWEEN(1,ROWS($D$2:$D$15)),1)</f>
        <v>3</v>
      </c>
      <c r="M245" cm="1">
        <f t="array" aca="1" ref="M245" ca="1">INDEX($D$2:$D$15,RANDBETWEEN(1,ROWS($D$2:$D$15)),1)</f>
        <v>4</v>
      </c>
      <c r="N245" cm="1">
        <f t="array" aca="1" ref="N245" ca="1">INDEX($D$2:$D$15,RANDBETWEEN(1,ROWS($D$2:$D$15)),1)</f>
        <v>4</v>
      </c>
      <c r="O245" cm="1">
        <f t="array" aca="1" ref="O245" ca="1">INDEX($D$2:$D$15,RANDBETWEEN(1,ROWS($D$2:$D$15)),1)</f>
        <v>11</v>
      </c>
      <c r="P245" cm="1">
        <f t="array" aca="1" ref="P245" ca="1">INDEX($D$2:$D$15,RANDBETWEEN(1,ROWS($D$2:$D$15)),1)</f>
        <v>10</v>
      </c>
      <c r="Q245" cm="1">
        <f t="array" aca="1" ref="Q245" ca="1">INDEX($D$2:$D$15,RANDBETWEEN(1,ROWS($D$2:$D$15)),1)</f>
        <v>9</v>
      </c>
      <c r="R245" cm="1">
        <f t="array" aca="1" ref="R245" ca="1">INDEX($D$2:$D$15,RANDBETWEEN(1,ROWS($D$2:$D$15)),1)</f>
        <v>9</v>
      </c>
      <c r="S245" cm="1">
        <f t="array" aca="1" ref="S245" ca="1">INDEX($D$2:$D$15,RANDBETWEEN(1,ROWS($D$2:$D$15)),1)</f>
        <v>4</v>
      </c>
      <c r="T245" cm="1">
        <f t="array" aca="1" ref="T245" ca="1">INDEX($D$2:$D$15,RANDBETWEEN(1,ROWS($D$2:$D$15)),1)</f>
        <v>12</v>
      </c>
      <c r="W245">
        <f t="shared" ca="1" si="12"/>
        <v>6.9333333333333336</v>
      </c>
      <c r="X245">
        <f t="shared" ca="1" si="13"/>
        <v>4</v>
      </c>
      <c r="Y245">
        <f t="shared" ca="1" si="14"/>
        <v>6.5</v>
      </c>
      <c r="Z245">
        <f t="shared" ca="1" si="15"/>
        <v>3.6344908597386518</v>
      </c>
    </row>
    <row r="246" spans="6:26" x14ac:dyDescent="0.35">
      <c r="F246" cm="1">
        <f t="array" aca="1" ref="F246" ca="1">INDEX($D$2:$D$15,RANDBETWEEN(1,ROWS($D$2:$D$15)),1)</f>
        <v>2</v>
      </c>
      <c r="G246" cm="1">
        <f t="array" aca="1" ref="G246" ca="1">INDEX($D$2:$D$15,RANDBETWEEN(1,ROWS($D$2:$D$15)),1)</f>
        <v>3</v>
      </c>
      <c r="H246" cm="1">
        <f t="array" aca="1" ref="H246" ca="1">INDEX($D$2:$D$15,RANDBETWEEN(1,ROWS($D$2:$D$15)),1)</f>
        <v>12</v>
      </c>
      <c r="I246" cm="1">
        <f t="array" aca="1" ref="I246" ca="1">INDEX($D$2:$D$15,RANDBETWEEN(1,ROWS($D$2:$D$15)),1)</f>
        <v>8</v>
      </c>
      <c r="J246" cm="1">
        <f t="array" aca="1" ref="J246" ca="1">INDEX($D$2:$D$15,RANDBETWEEN(1,ROWS($D$2:$D$15)),1)</f>
        <v>3</v>
      </c>
      <c r="K246" cm="1">
        <f t="array" aca="1" ref="K246" ca="1">INDEX($D$2:$D$15,RANDBETWEEN(1,ROWS($D$2:$D$15)),1)</f>
        <v>2</v>
      </c>
      <c r="L246" cm="1">
        <f t="array" aca="1" ref="L246" ca="1">INDEX($D$2:$D$15,RANDBETWEEN(1,ROWS($D$2:$D$15)),1)</f>
        <v>11</v>
      </c>
      <c r="M246" cm="1">
        <f t="array" aca="1" ref="M246" ca="1">INDEX($D$2:$D$15,RANDBETWEEN(1,ROWS($D$2:$D$15)),1)</f>
        <v>12</v>
      </c>
      <c r="N246" cm="1">
        <f t="array" aca="1" ref="N246" ca="1">INDEX($D$2:$D$15,RANDBETWEEN(1,ROWS($D$2:$D$15)),1)</f>
        <v>8</v>
      </c>
      <c r="O246" cm="1">
        <f t="array" aca="1" ref="O246" ca="1">INDEX($D$2:$D$15,RANDBETWEEN(1,ROWS($D$2:$D$15)),1)</f>
        <v>13</v>
      </c>
      <c r="P246" cm="1">
        <f t="array" aca="1" ref="P246" ca="1">INDEX($D$2:$D$15,RANDBETWEEN(1,ROWS($D$2:$D$15)),1)</f>
        <v>8</v>
      </c>
      <c r="Q246" cm="1">
        <f t="array" aca="1" ref="Q246" ca="1">INDEX($D$2:$D$15,RANDBETWEEN(1,ROWS($D$2:$D$15)),1)</f>
        <v>8</v>
      </c>
      <c r="R246" cm="1">
        <f t="array" aca="1" ref="R246" ca="1">INDEX($D$2:$D$15,RANDBETWEEN(1,ROWS($D$2:$D$15)),1)</f>
        <v>4</v>
      </c>
      <c r="S246" cm="1">
        <f t="array" aca="1" ref="S246" ca="1">INDEX($D$2:$D$15,RANDBETWEEN(1,ROWS($D$2:$D$15)),1)</f>
        <v>12</v>
      </c>
      <c r="T246" cm="1">
        <f t="array" aca="1" ref="T246" ca="1">INDEX($D$2:$D$15,RANDBETWEEN(1,ROWS($D$2:$D$15)),1)</f>
        <v>12</v>
      </c>
      <c r="W246">
        <f t="shared" ca="1" si="12"/>
        <v>7.8666666666666663</v>
      </c>
      <c r="X246">
        <f t="shared" ca="1" si="13"/>
        <v>8</v>
      </c>
      <c r="Y246">
        <f t="shared" ca="1" si="14"/>
        <v>8.5</v>
      </c>
      <c r="Z246">
        <f t="shared" ca="1" si="15"/>
        <v>4.1034248181360944</v>
      </c>
    </row>
    <row r="247" spans="6:26" x14ac:dyDescent="0.35">
      <c r="F247" cm="1">
        <f t="array" aca="1" ref="F247" ca="1">INDEX($D$2:$D$15,RANDBETWEEN(1,ROWS($D$2:$D$15)),1)</f>
        <v>12</v>
      </c>
      <c r="G247" cm="1">
        <f t="array" aca="1" ref="G247" ca="1">INDEX($D$2:$D$15,RANDBETWEEN(1,ROWS($D$2:$D$15)),1)</f>
        <v>11</v>
      </c>
      <c r="H247" cm="1">
        <f t="array" aca="1" ref="H247" ca="1">INDEX($D$2:$D$15,RANDBETWEEN(1,ROWS($D$2:$D$15)),1)</f>
        <v>9</v>
      </c>
      <c r="I247" cm="1">
        <f t="array" aca="1" ref="I247" ca="1">INDEX($D$2:$D$15,RANDBETWEEN(1,ROWS($D$2:$D$15)),1)</f>
        <v>13</v>
      </c>
      <c r="J247" cm="1">
        <f t="array" aca="1" ref="J247" ca="1">INDEX($D$2:$D$15,RANDBETWEEN(1,ROWS($D$2:$D$15)),1)</f>
        <v>9</v>
      </c>
      <c r="K247" cm="1">
        <f t="array" aca="1" ref="K247" ca="1">INDEX($D$2:$D$15,RANDBETWEEN(1,ROWS($D$2:$D$15)),1)</f>
        <v>12</v>
      </c>
      <c r="L247" cm="1">
        <f t="array" aca="1" ref="L247" ca="1">INDEX($D$2:$D$15,RANDBETWEEN(1,ROWS($D$2:$D$15)),1)</f>
        <v>9</v>
      </c>
      <c r="M247" cm="1">
        <f t="array" aca="1" ref="M247" ca="1">INDEX($D$2:$D$15,RANDBETWEEN(1,ROWS($D$2:$D$15)),1)</f>
        <v>3</v>
      </c>
      <c r="N247" cm="1">
        <f t="array" aca="1" ref="N247" ca="1">INDEX($D$2:$D$15,RANDBETWEEN(1,ROWS($D$2:$D$15)),1)</f>
        <v>12</v>
      </c>
      <c r="O247" cm="1">
        <f t="array" aca="1" ref="O247" ca="1">INDEX($D$2:$D$15,RANDBETWEEN(1,ROWS($D$2:$D$15)),1)</f>
        <v>12</v>
      </c>
      <c r="P247" cm="1">
        <f t="array" aca="1" ref="P247" ca="1">INDEX($D$2:$D$15,RANDBETWEEN(1,ROWS($D$2:$D$15)),1)</f>
        <v>10</v>
      </c>
      <c r="Q247" cm="1">
        <f t="array" aca="1" ref="Q247" ca="1">INDEX($D$2:$D$15,RANDBETWEEN(1,ROWS($D$2:$D$15)),1)</f>
        <v>4</v>
      </c>
      <c r="R247" cm="1">
        <f t="array" aca="1" ref="R247" ca="1">INDEX($D$2:$D$15,RANDBETWEEN(1,ROWS($D$2:$D$15)),1)</f>
        <v>9</v>
      </c>
      <c r="S247" cm="1">
        <f t="array" aca="1" ref="S247" ca="1">INDEX($D$2:$D$15,RANDBETWEEN(1,ROWS($D$2:$D$15)),1)</f>
        <v>9</v>
      </c>
      <c r="T247" cm="1">
        <f t="array" aca="1" ref="T247" ca="1">INDEX($D$2:$D$15,RANDBETWEEN(1,ROWS($D$2:$D$15)),1)</f>
        <v>9</v>
      </c>
      <c r="W247">
        <f t="shared" ca="1" si="12"/>
        <v>9.5333333333333332</v>
      </c>
      <c r="X247">
        <f t="shared" ca="1" si="13"/>
        <v>9</v>
      </c>
      <c r="Y247">
        <f t="shared" ca="1" si="14"/>
        <v>3</v>
      </c>
      <c r="Z247">
        <f t="shared" ca="1" si="15"/>
        <v>2.8502297317601482</v>
      </c>
    </row>
    <row r="248" spans="6:26" x14ac:dyDescent="0.35">
      <c r="F248" cm="1">
        <f t="array" aca="1" ref="F248" ca="1">INDEX($D$2:$D$15,RANDBETWEEN(1,ROWS($D$2:$D$15)),1)</f>
        <v>10</v>
      </c>
      <c r="G248" cm="1">
        <f t="array" aca="1" ref="G248" ca="1">INDEX($D$2:$D$15,RANDBETWEEN(1,ROWS($D$2:$D$15)),1)</f>
        <v>9</v>
      </c>
      <c r="H248" cm="1">
        <f t="array" aca="1" ref="H248" ca="1">INDEX($D$2:$D$15,RANDBETWEEN(1,ROWS($D$2:$D$15)),1)</f>
        <v>3</v>
      </c>
      <c r="I248" cm="1">
        <f t="array" aca="1" ref="I248" ca="1">INDEX($D$2:$D$15,RANDBETWEEN(1,ROWS($D$2:$D$15)),1)</f>
        <v>9</v>
      </c>
      <c r="J248" cm="1">
        <f t="array" aca="1" ref="J248" ca="1">INDEX($D$2:$D$15,RANDBETWEEN(1,ROWS($D$2:$D$15)),1)</f>
        <v>10</v>
      </c>
      <c r="K248" cm="1">
        <f t="array" aca="1" ref="K248" ca="1">INDEX($D$2:$D$15,RANDBETWEEN(1,ROWS($D$2:$D$15)),1)</f>
        <v>4</v>
      </c>
      <c r="L248" cm="1">
        <f t="array" aca="1" ref="L248" ca="1">INDEX($D$2:$D$15,RANDBETWEEN(1,ROWS($D$2:$D$15)),1)</f>
        <v>4</v>
      </c>
      <c r="M248" cm="1">
        <f t="array" aca="1" ref="M248" ca="1">INDEX($D$2:$D$15,RANDBETWEEN(1,ROWS($D$2:$D$15)),1)</f>
        <v>13</v>
      </c>
      <c r="N248" cm="1">
        <f t="array" aca="1" ref="N248" ca="1">INDEX($D$2:$D$15,RANDBETWEEN(1,ROWS($D$2:$D$15)),1)</f>
        <v>12</v>
      </c>
      <c r="O248" cm="1">
        <f t="array" aca="1" ref="O248" ca="1">INDEX($D$2:$D$15,RANDBETWEEN(1,ROWS($D$2:$D$15)),1)</f>
        <v>10</v>
      </c>
      <c r="P248" cm="1">
        <f t="array" aca="1" ref="P248" ca="1">INDEX($D$2:$D$15,RANDBETWEEN(1,ROWS($D$2:$D$15)),1)</f>
        <v>3</v>
      </c>
      <c r="Q248" cm="1">
        <f t="array" aca="1" ref="Q248" ca="1">INDEX($D$2:$D$15,RANDBETWEEN(1,ROWS($D$2:$D$15)),1)</f>
        <v>4</v>
      </c>
      <c r="R248" cm="1">
        <f t="array" aca="1" ref="R248" ca="1">INDEX($D$2:$D$15,RANDBETWEEN(1,ROWS($D$2:$D$15)),1)</f>
        <v>4</v>
      </c>
      <c r="S248" cm="1">
        <f t="array" aca="1" ref="S248" ca="1">INDEX($D$2:$D$15,RANDBETWEEN(1,ROWS($D$2:$D$15)),1)</f>
        <v>11</v>
      </c>
      <c r="T248" cm="1">
        <f t="array" aca="1" ref="T248" ca="1">INDEX($D$2:$D$15,RANDBETWEEN(1,ROWS($D$2:$D$15)),1)</f>
        <v>13</v>
      </c>
      <c r="W248">
        <f t="shared" ca="1" si="12"/>
        <v>7.9333333333333336</v>
      </c>
      <c r="X248">
        <f t="shared" ca="1" si="13"/>
        <v>9</v>
      </c>
      <c r="Y248">
        <f t="shared" ca="1" si="14"/>
        <v>6.5</v>
      </c>
      <c r="Z248">
        <f t="shared" ca="1" si="15"/>
        <v>3.8072612328599269</v>
      </c>
    </row>
    <row r="249" spans="6:26" x14ac:dyDescent="0.35">
      <c r="F249" cm="1">
        <f t="array" aca="1" ref="F249" ca="1">INDEX($D$2:$D$15,RANDBETWEEN(1,ROWS($D$2:$D$15)),1)</f>
        <v>10</v>
      </c>
      <c r="G249" cm="1">
        <f t="array" aca="1" ref="G249" ca="1">INDEX($D$2:$D$15,RANDBETWEEN(1,ROWS($D$2:$D$15)),1)</f>
        <v>12</v>
      </c>
      <c r="H249" cm="1">
        <f t="array" aca="1" ref="H249" ca="1">INDEX($D$2:$D$15,RANDBETWEEN(1,ROWS($D$2:$D$15)),1)</f>
        <v>9</v>
      </c>
      <c r="I249" cm="1">
        <f t="array" aca="1" ref="I249" ca="1">INDEX($D$2:$D$15,RANDBETWEEN(1,ROWS($D$2:$D$15)),1)</f>
        <v>2</v>
      </c>
      <c r="J249" cm="1">
        <f t="array" aca="1" ref="J249" ca="1">INDEX($D$2:$D$15,RANDBETWEEN(1,ROWS($D$2:$D$15)),1)</f>
        <v>9</v>
      </c>
      <c r="K249" cm="1">
        <f t="array" aca="1" ref="K249" ca="1">INDEX($D$2:$D$15,RANDBETWEEN(1,ROWS($D$2:$D$15)),1)</f>
        <v>3</v>
      </c>
      <c r="L249" cm="1">
        <f t="array" aca="1" ref="L249" ca="1">INDEX($D$2:$D$15,RANDBETWEEN(1,ROWS($D$2:$D$15)),1)</f>
        <v>13</v>
      </c>
      <c r="M249" cm="1">
        <f t="array" aca="1" ref="M249" ca="1">INDEX($D$2:$D$15,RANDBETWEEN(1,ROWS($D$2:$D$15)),1)</f>
        <v>12</v>
      </c>
      <c r="N249" cm="1">
        <f t="array" aca="1" ref="N249" ca="1">INDEX($D$2:$D$15,RANDBETWEEN(1,ROWS($D$2:$D$15)),1)</f>
        <v>8</v>
      </c>
      <c r="O249" cm="1">
        <f t="array" aca="1" ref="O249" ca="1">INDEX($D$2:$D$15,RANDBETWEEN(1,ROWS($D$2:$D$15)),1)</f>
        <v>4</v>
      </c>
      <c r="P249" cm="1">
        <f t="array" aca="1" ref="P249" ca="1">INDEX($D$2:$D$15,RANDBETWEEN(1,ROWS($D$2:$D$15)),1)</f>
        <v>4</v>
      </c>
      <c r="Q249" cm="1">
        <f t="array" aca="1" ref="Q249" ca="1">INDEX($D$2:$D$15,RANDBETWEEN(1,ROWS($D$2:$D$15)),1)</f>
        <v>9</v>
      </c>
      <c r="R249" cm="1">
        <f t="array" aca="1" ref="R249" ca="1">INDEX($D$2:$D$15,RANDBETWEEN(1,ROWS($D$2:$D$15)),1)</f>
        <v>10</v>
      </c>
      <c r="S249" cm="1">
        <f t="array" aca="1" ref="S249" ca="1">INDEX($D$2:$D$15,RANDBETWEEN(1,ROWS($D$2:$D$15)),1)</f>
        <v>4</v>
      </c>
      <c r="T249" cm="1">
        <f t="array" aca="1" ref="T249" ca="1">INDEX($D$2:$D$15,RANDBETWEEN(1,ROWS($D$2:$D$15)),1)</f>
        <v>12</v>
      </c>
      <c r="W249">
        <f t="shared" ca="1" si="12"/>
        <v>8.0666666666666664</v>
      </c>
      <c r="X249">
        <f t="shared" ca="1" si="13"/>
        <v>9</v>
      </c>
      <c r="Y249">
        <f t="shared" ca="1" si="14"/>
        <v>7</v>
      </c>
      <c r="Z249">
        <f t="shared" ca="1" si="15"/>
        <v>3.7122705155945162</v>
      </c>
    </row>
    <row r="250" spans="6:26" x14ac:dyDescent="0.35">
      <c r="F250" cm="1">
        <f t="array" aca="1" ref="F250" ca="1">INDEX($D$2:$D$15,RANDBETWEEN(1,ROWS($D$2:$D$15)),1)</f>
        <v>10</v>
      </c>
      <c r="G250" cm="1">
        <f t="array" aca="1" ref="G250" ca="1">INDEX($D$2:$D$15,RANDBETWEEN(1,ROWS($D$2:$D$15)),1)</f>
        <v>9</v>
      </c>
      <c r="H250" cm="1">
        <f t="array" aca="1" ref="H250" ca="1">INDEX($D$2:$D$15,RANDBETWEEN(1,ROWS($D$2:$D$15)),1)</f>
        <v>13</v>
      </c>
      <c r="I250" cm="1">
        <f t="array" aca="1" ref="I250" ca="1">INDEX($D$2:$D$15,RANDBETWEEN(1,ROWS($D$2:$D$15)),1)</f>
        <v>12</v>
      </c>
      <c r="J250" cm="1">
        <f t="array" aca="1" ref="J250" ca="1">INDEX($D$2:$D$15,RANDBETWEEN(1,ROWS($D$2:$D$15)),1)</f>
        <v>4</v>
      </c>
      <c r="K250" cm="1">
        <f t="array" aca="1" ref="K250" ca="1">INDEX($D$2:$D$15,RANDBETWEEN(1,ROWS($D$2:$D$15)),1)</f>
        <v>13</v>
      </c>
      <c r="L250" cm="1">
        <f t="array" aca="1" ref="L250" ca="1">INDEX($D$2:$D$15,RANDBETWEEN(1,ROWS($D$2:$D$15)),1)</f>
        <v>4</v>
      </c>
      <c r="M250" cm="1">
        <f t="array" aca="1" ref="M250" ca="1">INDEX($D$2:$D$15,RANDBETWEEN(1,ROWS($D$2:$D$15)),1)</f>
        <v>12</v>
      </c>
      <c r="N250" cm="1">
        <f t="array" aca="1" ref="N250" ca="1">INDEX($D$2:$D$15,RANDBETWEEN(1,ROWS($D$2:$D$15)),1)</f>
        <v>12</v>
      </c>
      <c r="O250" cm="1">
        <f t="array" aca="1" ref="O250" ca="1">INDEX($D$2:$D$15,RANDBETWEEN(1,ROWS($D$2:$D$15)),1)</f>
        <v>10</v>
      </c>
      <c r="P250" cm="1">
        <f t="array" aca="1" ref="P250" ca="1">INDEX($D$2:$D$15,RANDBETWEEN(1,ROWS($D$2:$D$15)),1)</f>
        <v>4</v>
      </c>
      <c r="Q250" cm="1">
        <f t="array" aca="1" ref="Q250" ca="1">INDEX($D$2:$D$15,RANDBETWEEN(1,ROWS($D$2:$D$15)),1)</f>
        <v>9</v>
      </c>
      <c r="R250" cm="1">
        <f t="array" aca="1" ref="R250" ca="1">INDEX($D$2:$D$15,RANDBETWEEN(1,ROWS($D$2:$D$15)),1)</f>
        <v>10</v>
      </c>
      <c r="S250" cm="1">
        <f t="array" aca="1" ref="S250" ca="1">INDEX($D$2:$D$15,RANDBETWEEN(1,ROWS($D$2:$D$15)),1)</f>
        <v>10</v>
      </c>
      <c r="T250" cm="1">
        <f t="array" aca="1" ref="T250" ca="1">INDEX($D$2:$D$15,RANDBETWEEN(1,ROWS($D$2:$D$15)),1)</f>
        <v>10</v>
      </c>
      <c r="W250">
        <f t="shared" ca="1" si="12"/>
        <v>9.4666666666666668</v>
      </c>
      <c r="X250">
        <f t="shared" ca="1" si="13"/>
        <v>10</v>
      </c>
      <c r="Y250">
        <f t="shared" ca="1" si="14"/>
        <v>3</v>
      </c>
      <c r="Z250">
        <f t="shared" ca="1" si="15"/>
        <v>3.1137177288954914</v>
      </c>
    </row>
    <row r="251" spans="6:26" x14ac:dyDescent="0.35">
      <c r="F251" cm="1">
        <f t="array" aca="1" ref="F251" ca="1">INDEX($D$2:$D$15,RANDBETWEEN(1,ROWS($D$2:$D$15)),1)</f>
        <v>8</v>
      </c>
      <c r="G251" cm="1">
        <f t="array" aca="1" ref="G251" ca="1">INDEX($D$2:$D$15,RANDBETWEEN(1,ROWS($D$2:$D$15)),1)</f>
        <v>12</v>
      </c>
      <c r="H251" cm="1">
        <f t="array" aca="1" ref="H251" ca="1">INDEX($D$2:$D$15,RANDBETWEEN(1,ROWS($D$2:$D$15)),1)</f>
        <v>9</v>
      </c>
      <c r="I251" cm="1">
        <f t="array" aca="1" ref="I251" ca="1">INDEX($D$2:$D$15,RANDBETWEEN(1,ROWS($D$2:$D$15)),1)</f>
        <v>11</v>
      </c>
      <c r="J251" cm="1">
        <f t="array" aca="1" ref="J251" ca="1">INDEX($D$2:$D$15,RANDBETWEEN(1,ROWS($D$2:$D$15)),1)</f>
        <v>4</v>
      </c>
      <c r="K251" cm="1">
        <f t="array" aca="1" ref="K251" ca="1">INDEX($D$2:$D$15,RANDBETWEEN(1,ROWS($D$2:$D$15)),1)</f>
        <v>11</v>
      </c>
      <c r="L251" cm="1">
        <f t="array" aca="1" ref="L251" ca="1">INDEX($D$2:$D$15,RANDBETWEEN(1,ROWS($D$2:$D$15)),1)</f>
        <v>4</v>
      </c>
      <c r="M251" cm="1">
        <f t="array" aca="1" ref="M251" ca="1">INDEX($D$2:$D$15,RANDBETWEEN(1,ROWS($D$2:$D$15)),1)</f>
        <v>9</v>
      </c>
      <c r="N251" cm="1">
        <f t="array" aca="1" ref="N251" ca="1">INDEX($D$2:$D$15,RANDBETWEEN(1,ROWS($D$2:$D$15)),1)</f>
        <v>9</v>
      </c>
      <c r="O251" cm="1">
        <f t="array" aca="1" ref="O251" ca="1">INDEX($D$2:$D$15,RANDBETWEEN(1,ROWS($D$2:$D$15)),1)</f>
        <v>2</v>
      </c>
      <c r="P251" cm="1">
        <f t="array" aca="1" ref="P251" ca="1">INDEX($D$2:$D$15,RANDBETWEEN(1,ROWS($D$2:$D$15)),1)</f>
        <v>13</v>
      </c>
      <c r="Q251" cm="1">
        <f t="array" aca="1" ref="Q251" ca="1">INDEX($D$2:$D$15,RANDBETWEEN(1,ROWS($D$2:$D$15)),1)</f>
        <v>3</v>
      </c>
      <c r="R251" cm="1">
        <f t="array" aca="1" ref="R251" ca="1">INDEX($D$2:$D$15,RANDBETWEEN(1,ROWS($D$2:$D$15)),1)</f>
        <v>9</v>
      </c>
      <c r="S251" cm="1">
        <f t="array" aca="1" ref="S251" ca="1">INDEX($D$2:$D$15,RANDBETWEEN(1,ROWS($D$2:$D$15)),1)</f>
        <v>9</v>
      </c>
      <c r="T251" cm="1">
        <f t="array" aca="1" ref="T251" ca="1">INDEX($D$2:$D$15,RANDBETWEEN(1,ROWS($D$2:$D$15)),1)</f>
        <v>8</v>
      </c>
      <c r="W251">
        <f t="shared" ca="1" si="12"/>
        <v>8.0666666666666664</v>
      </c>
      <c r="X251">
        <f t="shared" ca="1" si="13"/>
        <v>9</v>
      </c>
      <c r="Y251">
        <f t="shared" ca="1" si="14"/>
        <v>4</v>
      </c>
      <c r="Z251">
        <f t="shared" ca="1" si="15"/>
        <v>3.348062694981055</v>
      </c>
    </row>
    <row r="252" spans="6:26" x14ac:dyDescent="0.35">
      <c r="F252" cm="1">
        <f t="array" aca="1" ref="F252" ca="1">INDEX($D$2:$D$15,RANDBETWEEN(1,ROWS($D$2:$D$15)),1)</f>
        <v>2</v>
      </c>
      <c r="G252" cm="1">
        <f t="array" aca="1" ref="G252" ca="1">INDEX($D$2:$D$15,RANDBETWEEN(1,ROWS($D$2:$D$15)),1)</f>
        <v>4</v>
      </c>
      <c r="H252" cm="1">
        <f t="array" aca="1" ref="H252" ca="1">INDEX($D$2:$D$15,RANDBETWEEN(1,ROWS($D$2:$D$15)),1)</f>
        <v>8</v>
      </c>
      <c r="I252" cm="1">
        <f t="array" aca="1" ref="I252" ca="1">INDEX($D$2:$D$15,RANDBETWEEN(1,ROWS($D$2:$D$15)),1)</f>
        <v>11</v>
      </c>
      <c r="J252" cm="1">
        <f t="array" aca="1" ref="J252" ca="1">INDEX($D$2:$D$15,RANDBETWEEN(1,ROWS($D$2:$D$15)),1)</f>
        <v>9</v>
      </c>
      <c r="K252" cm="1">
        <f t="array" aca="1" ref="K252" ca="1">INDEX($D$2:$D$15,RANDBETWEEN(1,ROWS($D$2:$D$15)),1)</f>
        <v>13</v>
      </c>
      <c r="L252" cm="1">
        <f t="array" aca="1" ref="L252" ca="1">INDEX($D$2:$D$15,RANDBETWEEN(1,ROWS($D$2:$D$15)),1)</f>
        <v>9</v>
      </c>
      <c r="M252" cm="1">
        <f t="array" aca="1" ref="M252" ca="1">INDEX($D$2:$D$15,RANDBETWEEN(1,ROWS($D$2:$D$15)),1)</f>
        <v>9</v>
      </c>
      <c r="N252" cm="1">
        <f t="array" aca="1" ref="N252" ca="1">INDEX($D$2:$D$15,RANDBETWEEN(1,ROWS($D$2:$D$15)),1)</f>
        <v>12</v>
      </c>
      <c r="O252" cm="1">
        <f t="array" aca="1" ref="O252" ca="1">INDEX($D$2:$D$15,RANDBETWEEN(1,ROWS($D$2:$D$15)),1)</f>
        <v>4</v>
      </c>
      <c r="P252" cm="1">
        <f t="array" aca="1" ref="P252" ca="1">INDEX($D$2:$D$15,RANDBETWEEN(1,ROWS($D$2:$D$15)),1)</f>
        <v>4</v>
      </c>
      <c r="Q252" cm="1">
        <f t="array" aca="1" ref="Q252" ca="1">INDEX($D$2:$D$15,RANDBETWEEN(1,ROWS($D$2:$D$15)),1)</f>
        <v>4</v>
      </c>
      <c r="R252" cm="1">
        <f t="array" aca="1" ref="R252" ca="1">INDEX($D$2:$D$15,RANDBETWEEN(1,ROWS($D$2:$D$15)),1)</f>
        <v>12</v>
      </c>
      <c r="S252" cm="1">
        <f t="array" aca="1" ref="S252" ca="1">INDEX($D$2:$D$15,RANDBETWEEN(1,ROWS($D$2:$D$15)),1)</f>
        <v>2</v>
      </c>
      <c r="T252" cm="1">
        <f t="array" aca="1" ref="T252" ca="1">INDEX($D$2:$D$15,RANDBETWEEN(1,ROWS($D$2:$D$15)),1)</f>
        <v>12</v>
      </c>
      <c r="W252">
        <f t="shared" ca="1" si="12"/>
        <v>7.666666666666667</v>
      </c>
      <c r="X252">
        <f t="shared" ca="1" si="13"/>
        <v>9</v>
      </c>
      <c r="Y252">
        <f t="shared" ca="1" si="14"/>
        <v>7.5</v>
      </c>
      <c r="Z252">
        <f t="shared" ca="1" si="15"/>
        <v>3.9581140290126395</v>
      </c>
    </row>
    <row r="253" spans="6:26" x14ac:dyDescent="0.35">
      <c r="F253" cm="1">
        <f t="array" aca="1" ref="F253" ca="1">INDEX($D$2:$D$15,RANDBETWEEN(1,ROWS($D$2:$D$15)),1)</f>
        <v>8</v>
      </c>
      <c r="G253" cm="1">
        <f t="array" aca="1" ref="G253" ca="1">INDEX($D$2:$D$15,RANDBETWEEN(1,ROWS($D$2:$D$15)),1)</f>
        <v>12</v>
      </c>
      <c r="H253" cm="1">
        <f t="array" aca="1" ref="H253" ca="1">INDEX($D$2:$D$15,RANDBETWEEN(1,ROWS($D$2:$D$15)),1)</f>
        <v>11</v>
      </c>
      <c r="I253" cm="1">
        <f t="array" aca="1" ref="I253" ca="1">INDEX($D$2:$D$15,RANDBETWEEN(1,ROWS($D$2:$D$15)),1)</f>
        <v>11</v>
      </c>
      <c r="J253" cm="1">
        <f t="array" aca="1" ref="J253" ca="1">INDEX($D$2:$D$15,RANDBETWEEN(1,ROWS($D$2:$D$15)),1)</f>
        <v>9</v>
      </c>
      <c r="K253" cm="1">
        <f t="array" aca="1" ref="K253" ca="1">INDEX($D$2:$D$15,RANDBETWEEN(1,ROWS($D$2:$D$15)),1)</f>
        <v>9</v>
      </c>
      <c r="L253" cm="1">
        <f t="array" aca="1" ref="L253" ca="1">INDEX($D$2:$D$15,RANDBETWEEN(1,ROWS($D$2:$D$15)),1)</f>
        <v>10</v>
      </c>
      <c r="M253" cm="1">
        <f t="array" aca="1" ref="M253" ca="1">INDEX($D$2:$D$15,RANDBETWEEN(1,ROWS($D$2:$D$15)),1)</f>
        <v>9</v>
      </c>
      <c r="N253" cm="1">
        <f t="array" aca="1" ref="N253" ca="1">INDEX($D$2:$D$15,RANDBETWEEN(1,ROWS($D$2:$D$15)),1)</f>
        <v>10</v>
      </c>
      <c r="O253" cm="1">
        <f t="array" aca="1" ref="O253" ca="1">INDEX($D$2:$D$15,RANDBETWEEN(1,ROWS($D$2:$D$15)),1)</f>
        <v>4</v>
      </c>
      <c r="P253" cm="1">
        <f t="array" aca="1" ref="P253" ca="1">INDEX($D$2:$D$15,RANDBETWEEN(1,ROWS($D$2:$D$15)),1)</f>
        <v>12</v>
      </c>
      <c r="Q253" cm="1">
        <f t="array" aca="1" ref="Q253" ca="1">INDEX($D$2:$D$15,RANDBETWEEN(1,ROWS($D$2:$D$15)),1)</f>
        <v>10</v>
      </c>
      <c r="R253" cm="1">
        <f t="array" aca="1" ref="R253" ca="1">INDEX($D$2:$D$15,RANDBETWEEN(1,ROWS($D$2:$D$15)),1)</f>
        <v>13</v>
      </c>
      <c r="S253" cm="1">
        <f t="array" aca="1" ref="S253" ca="1">INDEX($D$2:$D$15,RANDBETWEEN(1,ROWS($D$2:$D$15)),1)</f>
        <v>2</v>
      </c>
      <c r="T253" cm="1">
        <f t="array" aca="1" ref="T253" ca="1">INDEX($D$2:$D$15,RANDBETWEEN(1,ROWS($D$2:$D$15)),1)</f>
        <v>12</v>
      </c>
      <c r="W253">
        <f t="shared" ca="1" si="12"/>
        <v>9.4666666666666668</v>
      </c>
      <c r="X253">
        <f t="shared" ca="1" si="13"/>
        <v>10</v>
      </c>
      <c r="Y253">
        <f t="shared" ca="1" si="14"/>
        <v>2.5</v>
      </c>
      <c r="Z253">
        <f t="shared" ca="1" si="15"/>
        <v>2.9968237153613795</v>
      </c>
    </row>
    <row r="254" spans="6:26" x14ac:dyDescent="0.35">
      <c r="F254" cm="1">
        <f t="array" aca="1" ref="F254" ca="1">INDEX($D$2:$D$15,RANDBETWEEN(1,ROWS($D$2:$D$15)),1)</f>
        <v>9</v>
      </c>
      <c r="G254" cm="1">
        <f t="array" aca="1" ref="G254" ca="1">INDEX($D$2:$D$15,RANDBETWEEN(1,ROWS($D$2:$D$15)),1)</f>
        <v>13</v>
      </c>
      <c r="H254" cm="1">
        <f t="array" aca="1" ref="H254" ca="1">INDEX($D$2:$D$15,RANDBETWEEN(1,ROWS($D$2:$D$15)),1)</f>
        <v>3</v>
      </c>
      <c r="I254" cm="1">
        <f t="array" aca="1" ref="I254" ca="1">INDEX($D$2:$D$15,RANDBETWEEN(1,ROWS($D$2:$D$15)),1)</f>
        <v>10</v>
      </c>
      <c r="J254" cm="1">
        <f t="array" aca="1" ref="J254" ca="1">INDEX($D$2:$D$15,RANDBETWEEN(1,ROWS($D$2:$D$15)),1)</f>
        <v>9</v>
      </c>
      <c r="K254" cm="1">
        <f t="array" aca="1" ref="K254" ca="1">INDEX($D$2:$D$15,RANDBETWEEN(1,ROWS($D$2:$D$15)),1)</f>
        <v>10</v>
      </c>
      <c r="L254" cm="1">
        <f t="array" aca="1" ref="L254" ca="1">INDEX($D$2:$D$15,RANDBETWEEN(1,ROWS($D$2:$D$15)),1)</f>
        <v>9</v>
      </c>
      <c r="M254" cm="1">
        <f t="array" aca="1" ref="M254" ca="1">INDEX($D$2:$D$15,RANDBETWEEN(1,ROWS($D$2:$D$15)),1)</f>
        <v>9</v>
      </c>
      <c r="N254" cm="1">
        <f t="array" aca="1" ref="N254" ca="1">INDEX($D$2:$D$15,RANDBETWEEN(1,ROWS($D$2:$D$15)),1)</f>
        <v>8</v>
      </c>
      <c r="O254" cm="1">
        <f t="array" aca="1" ref="O254" ca="1">INDEX($D$2:$D$15,RANDBETWEEN(1,ROWS($D$2:$D$15)),1)</f>
        <v>11</v>
      </c>
      <c r="P254" cm="1">
        <f t="array" aca="1" ref="P254" ca="1">INDEX($D$2:$D$15,RANDBETWEEN(1,ROWS($D$2:$D$15)),1)</f>
        <v>13</v>
      </c>
      <c r="Q254" cm="1">
        <f t="array" aca="1" ref="Q254" ca="1">INDEX($D$2:$D$15,RANDBETWEEN(1,ROWS($D$2:$D$15)),1)</f>
        <v>13</v>
      </c>
      <c r="R254" cm="1">
        <f t="array" aca="1" ref="R254" ca="1">INDEX($D$2:$D$15,RANDBETWEEN(1,ROWS($D$2:$D$15)),1)</f>
        <v>12</v>
      </c>
      <c r="S254" cm="1">
        <f t="array" aca="1" ref="S254" ca="1">INDEX($D$2:$D$15,RANDBETWEEN(1,ROWS($D$2:$D$15)),1)</f>
        <v>12</v>
      </c>
      <c r="T254" cm="1">
        <f t="array" aca="1" ref="T254" ca="1">INDEX($D$2:$D$15,RANDBETWEEN(1,ROWS($D$2:$D$15)),1)</f>
        <v>9</v>
      </c>
      <c r="W254">
        <f t="shared" ca="1" si="12"/>
        <v>10</v>
      </c>
      <c r="X254">
        <f t="shared" ca="1" si="13"/>
        <v>10</v>
      </c>
      <c r="Y254">
        <f t="shared" ca="1" si="14"/>
        <v>3</v>
      </c>
      <c r="Z254">
        <f t="shared" ca="1" si="15"/>
        <v>2.5911938781738648</v>
      </c>
    </row>
    <row r="255" spans="6:26" x14ac:dyDescent="0.35">
      <c r="F255" cm="1">
        <f t="array" aca="1" ref="F255" ca="1">INDEX($D$2:$D$15,RANDBETWEEN(1,ROWS($D$2:$D$15)),1)</f>
        <v>9</v>
      </c>
      <c r="G255" cm="1">
        <f t="array" aca="1" ref="G255" ca="1">INDEX($D$2:$D$15,RANDBETWEEN(1,ROWS($D$2:$D$15)),1)</f>
        <v>12</v>
      </c>
      <c r="H255" cm="1">
        <f t="array" aca="1" ref="H255" ca="1">INDEX($D$2:$D$15,RANDBETWEEN(1,ROWS($D$2:$D$15)),1)</f>
        <v>4</v>
      </c>
      <c r="I255" cm="1">
        <f t="array" aca="1" ref="I255" ca="1">INDEX($D$2:$D$15,RANDBETWEEN(1,ROWS($D$2:$D$15)),1)</f>
        <v>4</v>
      </c>
      <c r="J255" cm="1">
        <f t="array" aca="1" ref="J255" ca="1">INDEX($D$2:$D$15,RANDBETWEEN(1,ROWS($D$2:$D$15)),1)</f>
        <v>9</v>
      </c>
      <c r="K255" cm="1">
        <f t="array" aca="1" ref="K255" ca="1">INDEX($D$2:$D$15,RANDBETWEEN(1,ROWS($D$2:$D$15)),1)</f>
        <v>4</v>
      </c>
      <c r="L255" cm="1">
        <f t="array" aca="1" ref="L255" ca="1">INDEX($D$2:$D$15,RANDBETWEEN(1,ROWS($D$2:$D$15)),1)</f>
        <v>8</v>
      </c>
      <c r="M255" cm="1">
        <f t="array" aca="1" ref="M255" ca="1">INDEX($D$2:$D$15,RANDBETWEEN(1,ROWS($D$2:$D$15)),1)</f>
        <v>2</v>
      </c>
      <c r="N255" cm="1">
        <f t="array" aca="1" ref="N255" ca="1">INDEX($D$2:$D$15,RANDBETWEEN(1,ROWS($D$2:$D$15)),1)</f>
        <v>10</v>
      </c>
      <c r="O255" cm="1">
        <f t="array" aca="1" ref="O255" ca="1">INDEX($D$2:$D$15,RANDBETWEEN(1,ROWS($D$2:$D$15)),1)</f>
        <v>4</v>
      </c>
      <c r="P255" cm="1">
        <f t="array" aca="1" ref="P255" ca="1">INDEX($D$2:$D$15,RANDBETWEEN(1,ROWS($D$2:$D$15)),1)</f>
        <v>8</v>
      </c>
      <c r="Q255" cm="1">
        <f t="array" aca="1" ref="Q255" ca="1">INDEX($D$2:$D$15,RANDBETWEEN(1,ROWS($D$2:$D$15)),1)</f>
        <v>13</v>
      </c>
      <c r="R255" cm="1">
        <f t="array" aca="1" ref="R255" ca="1">INDEX($D$2:$D$15,RANDBETWEEN(1,ROWS($D$2:$D$15)),1)</f>
        <v>10</v>
      </c>
      <c r="S255" cm="1">
        <f t="array" aca="1" ref="S255" ca="1">INDEX($D$2:$D$15,RANDBETWEEN(1,ROWS($D$2:$D$15)),1)</f>
        <v>4</v>
      </c>
      <c r="T255" cm="1">
        <f t="array" aca="1" ref="T255" ca="1">INDEX($D$2:$D$15,RANDBETWEEN(1,ROWS($D$2:$D$15)),1)</f>
        <v>2</v>
      </c>
      <c r="W255">
        <f t="shared" ca="1" si="12"/>
        <v>6.8666666666666663</v>
      </c>
      <c r="X255">
        <f t="shared" ca="1" si="13"/>
        <v>8</v>
      </c>
      <c r="Y255">
        <f t="shared" ca="1" si="14"/>
        <v>5.5</v>
      </c>
      <c r="Z255">
        <f t="shared" ca="1" si="15"/>
        <v>3.6226798814978842</v>
      </c>
    </row>
    <row r="256" spans="6:26" x14ac:dyDescent="0.35">
      <c r="F256" cm="1">
        <f t="array" aca="1" ref="F256" ca="1">INDEX($D$2:$D$15,RANDBETWEEN(1,ROWS($D$2:$D$15)),1)</f>
        <v>12</v>
      </c>
      <c r="G256" cm="1">
        <f t="array" aca="1" ref="G256" ca="1">INDEX($D$2:$D$15,RANDBETWEEN(1,ROWS($D$2:$D$15)),1)</f>
        <v>12</v>
      </c>
      <c r="H256" cm="1">
        <f t="array" aca="1" ref="H256" ca="1">INDEX($D$2:$D$15,RANDBETWEEN(1,ROWS($D$2:$D$15)),1)</f>
        <v>2</v>
      </c>
      <c r="I256" cm="1">
        <f t="array" aca="1" ref="I256" ca="1">INDEX($D$2:$D$15,RANDBETWEEN(1,ROWS($D$2:$D$15)),1)</f>
        <v>11</v>
      </c>
      <c r="J256" cm="1">
        <f t="array" aca="1" ref="J256" ca="1">INDEX($D$2:$D$15,RANDBETWEEN(1,ROWS($D$2:$D$15)),1)</f>
        <v>3</v>
      </c>
      <c r="K256" cm="1">
        <f t="array" aca="1" ref="K256" ca="1">INDEX($D$2:$D$15,RANDBETWEEN(1,ROWS($D$2:$D$15)),1)</f>
        <v>4</v>
      </c>
      <c r="L256" cm="1">
        <f t="array" aca="1" ref="L256" ca="1">INDEX($D$2:$D$15,RANDBETWEEN(1,ROWS($D$2:$D$15)),1)</f>
        <v>11</v>
      </c>
      <c r="M256" cm="1">
        <f t="array" aca="1" ref="M256" ca="1">INDEX($D$2:$D$15,RANDBETWEEN(1,ROWS($D$2:$D$15)),1)</f>
        <v>3</v>
      </c>
      <c r="N256" cm="1">
        <f t="array" aca="1" ref="N256" ca="1">INDEX($D$2:$D$15,RANDBETWEEN(1,ROWS($D$2:$D$15)),1)</f>
        <v>4</v>
      </c>
      <c r="O256" cm="1">
        <f t="array" aca="1" ref="O256" ca="1">INDEX($D$2:$D$15,RANDBETWEEN(1,ROWS($D$2:$D$15)),1)</f>
        <v>9</v>
      </c>
      <c r="P256" cm="1">
        <f t="array" aca="1" ref="P256" ca="1">INDEX($D$2:$D$15,RANDBETWEEN(1,ROWS($D$2:$D$15)),1)</f>
        <v>4</v>
      </c>
      <c r="Q256" cm="1">
        <f t="array" aca="1" ref="Q256" ca="1">INDEX($D$2:$D$15,RANDBETWEEN(1,ROWS($D$2:$D$15)),1)</f>
        <v>4</v>
      </c>
      <c r="R256" cm="1">
        <f t="array" aca="1" ref="R256" ca="1">INDEX($D$2:$D$15,RANDBETWEEN(1,ROWS($D$2:$D$15)),1)</f>
        <v>9</v>
      </c>
      <c r="S256" cm="1">
        <f t="array" aca="1" ref="S256" ca="1">INDEX($D$2:$D$15,RANDBETWEEN(1,ROWS($D$2:$D$15)),1)</f>
        <v>9</v>
      </c>
      <c r="T256" cm="1">
        <f t="array" aca="1" ref="T256" ca="1">INDEX($D$2:$D$15,RANDBETWEEN(1,ROWS($D$2:$D$15)),1)</f>
        <v>9</v>
      </c>
      <c r="W256">
        <f t="shared" ca="1" si="12"/>
        <v>7.0666666666666664</v>
      </c>
      <c r="X256">
        <f t="shared" ca="1" si="13"/>
        <v>9</v>
      </c>
      <c r="Y256">
        <f t="shared" ca="1" si="14"/>
        <v>6</v>
      </c>
      <c r="Z256">
        <f t="shared" ca="1" si="15"/>
        <v>3.6929791819200979</v>
      </c>
    </row>
    <row r="257" spans="6:26" x14ac:dyDescent="0.35">
      <c r="F257" cm="1">
        <f t="array" aca="1" ref="F257" ca="1">INDEX($D$2:$D$15,RANDBETWEEN(1,ROWS($D$2:$D$15)),1)</f>
        <v>12</v>
      </c>
      <c r="G257" cm="1">
        <f t="array" aca="1" ref="G257" ca="1">INDEX($D$2:$D$15,RANDBETWEEN(1,ROWS($D$2:$D$15)),1)</f>
        <v>11</v>
      </c>
      <c r="H257" cm="1">
        <f t="array" aca="1" ref="H257" ca="1">INDEX($D$2:$D$15,RANDBETWEEN(1,ROWS($D$2:$D$15)),1)</f>
        <v>4</v>
      </c>
      <c r="I257" cm="1">
        <f t="array" aca="1" ref="I257" ca="1">INDEX($D$2:$D$15,RANDBETWEEN(1,ROWS($D$2:$D$15)),1)</f>
        <v>12</v>
      </c>
      <c r="J257" cm="1">
        <f t="array" aca="1" ref="J257" ca="1">INDEX($D$2:$D$15,RANDBETWEEN(1,ROWS($D$2:$D$15)),1)</f>
        <v>2</v>
      </c>
      <c r="K257" cm="1">
        <f t="array" aca="1" ref="K257" ca="1">INDEX($D$2:$D$15,RANDBETWEEN(1,ROWS($D$2:$D$15)),1)</f>
        <v>13</v>
      </c>
      <c r="L257" cm="1">
        <f t="array" aca="1" ref="L257" ca="1">INDEX($D$2:$D$15,RANDBETWEEN(1,ROWS($D$2:$D$15)),1)</f>
        <v>3</v>
      </c>
      <c r="M257" cm="1">
        <f t="array" aca="1" ref="M257" ca="1">INDEX($D$2:$D$15,RANDBETWEEN(1,ROWS($D$2:$D$15)),1)</f>
        <v>8</v>
      </c>
      <c r="N257" cm="1">
        <f t="array" aca="1" ref="N257" ca="1">INDEX($D$2:$D$15,RANDBETWEEN(1,ROWS($D$2:$D$15)),1)</f>
        <v>4</v>
      </c>
      <c r="O257" cm="1">
        <f t="array" aca="1" ref="O257" ca="1">INDEX($D$2:$D$15,RANDBETWEEN(1,ROWS($D$2:$D$15)),1)</f>
        <v>8</v>
      </c>
      <c r="P257" cm="1">
        <f t="array" aca="1" ref="P257" ca="1">INDEX($D$2:$D$15,RANDBETWEEN(1,ROWS($D$2:$D$15)),1)</f>
        <v>9</v>
      </c>
      <c r="Q257" cm="1">
        <f t="array" aca="1" ref="Q257" ca="1">INDEX($D$2:$D$15,RANDBETWEEN(1,ROWS($D$2:$D$15)),1)</f>
        <v>3</v>
      </c>
      <c r="R257" cm="1">
        <f t="array" aca="1" ref="R257" ca="1">INDEX($D$2:$D$15,RANDBETWEEN(1,ROWS($D$2:$D$15)),1)</f>
        <v>11</v>
      </c>
      <c r="S257" cm="1">
        <f t="array" aca="1" ref="S257" ca="1">INDEX($D$2:$D$15,RANDBETWEEN(1,ROWS($D$2:$D$15)),1)</f>
        <v>11</v>
      </c>
      <c r="T257" cm="1">
        <f t="array" aca="1" ref="T257" ca="1">INDEX($D$2:$D$15,RANDBETWEEN(1,ROWS($D$2:$D$15)),1)</f>
        <v>4</v>
      </c>
      <c r="W257">
        <f t="shared" ca="1" si="12"/>
        <v>7.666666666666667</v>
      </c>
      <c r="X257">
        <f t="shared" ca="1" si="13"/>
        <v>8</v>
      </c>
      <c r="Y257">
        <f t="shared" ca="1" si="14"/>
        <v>7</v>
      </c>
      <c r="Z257">
        <f t="shared" ca="1" si="15"/>
        <v>3.9400265892262105</v>
      </c>
    </row>
    <row r="258" spans="6:26" x14ac:dyDescent="0.35">
      <c r="F258" cm="1">
        <f t="array" aca="1" ref="F258" ca="1">INDEX($D$2:$D$15,RANDBETWEEN(1,ROWS($D$2:$D$15)),1)</f>
        <v>9</v>
      </c>
      <c r="G258" cm="1">
        <f t="array" aca="1" ref="G258" ca="1">INDEX($D$2:$D$15,RANDBETWEEN(1,ROWS($D$2:$D$15)),1)</f>
        <v>9</v>
      </c>
      <c r="H258" cm="1">
        <f t="array" aca="1" ref="H258" ca="1">INDEX($D$2:$D$15,RANDBETWEEN(1,ROWS($D$2:$D$15)),1)</f>
        <v>12</v>
      </c>
      <c r="I258" cm="1">
        <f t="array" aca="1" ref="I258" ca="1">INDEX($D$2:$D$15,RANDBETWEEN(1,ROWS($D$2:$D$15)),1)</f>
        <v>12</v>
      </c>
      <c r="J258" cm="1">
        <f t="array" aca="1" ref="J258" ca="1">INDEX($D$2:$D$15,RANDBETWEEN(1,ROWS($D$2:$D$15)),1)</f>
        <v>10</v>
      </c>
      <c r="K258" cm="1">
        <f t="array" aca="1" ref="K258" ca="1">INDEX($D$2:$D$15,RANDBETWEEN(1,ROWS($D$2:$D$15)),1)</f>
        <v>12</v>
      </c>
      <c r="L258" cm="1">
        <f t="array" aca="1" ref="L258" ca="1">INDEX($D$2:$D$15,RANDBETWEEN(1,ROWS($D$2:$D$15)),1)</f>
        <v>4</v>
      </c>
      <c r="M258" cm="1">
        <f t="array" aca="1" ref="M258" ca="1">INDEX($D$2:$D$15,RANDBETWEEN(1,ROWS($D$2:$D$15)),1)</f>
        <v>11</v>
      </c>
      <c r="N258" cm="1">
        <f t="array" aca="1" ref="N258" ca="1">INDEX($D$2:$D$15,RANDBETWEEN(1,ROWS($D$2:$D$15)),1)</f>
        <v>12</v>
      </c>
      <c r="O258" cm="1">
        <f t="array" aca="1" ref="O258" ca="1">INDEX($D$2:$D$15,RANDBETWEEN(1,ROWS($D$2:$D$15)),1)</f>
        <v>9</v>
      </c>
      <c r="P258" cm="1">
        <f t="array" aca="1" ref="P258" ca="1">INDEX($D$2:$D$15,RANDBETWEEN(1,ROWS($D$2:$D$15)),1)</f>
        <v>4</v>
      </c>
      <c r="Q258" cm="1">
        <f t="array" aca="1" ref="Q258" ca="1">INDEX($D$2:$D$15,RANDBETWEEN(1,ROWS($D$2:$D$15)),1)</f>
        <v>8</v>
      </c>
      <c r="R258" cm="1">
        <f t="array" aca="1" ref="R258" ca="1">INDEX($D$2:$D$15,RANDBETWEEN(1,ROWS($D$2:$D$15)),1)</f>
        <v>4</v>
      </c>
      <c r="S258" cm="1">
        <f t="array" aca="1" ref="S258" ca="1">INDEX($D$2:$D$15,RANDBETWEEN(1,ROWS($D$2:$D$15)),1)</f>
        <v>9</v>
      </c>
      <c r="T258" cm="1">
        <f t="array" aca="1" ref="T258" ca="1">INDEX($D$2:$D$15,RANDBETWEEN(1,ROWS($D$2:$D$15)),1)</f>
        <v>2</v>
      </c>
      <c r="W258">
        <f t="shared" ca="1" si="12"/>
        <v>8.4666666666666668</v>
      </c>
      <c r="X258">
        <f t="shared" ca="1" si="13"/>
        <v>9</v>
      </c>
      <c r="Y258">
        <f t="shared" ca="1" si="14"/>
        <v>5.5</v>
      </c>
      <c r="Z258">
        <f t="shared" ca="1" si="15"/>
        <v>3.3988793671416104</v>
      </c>
    </row>
    <row r="259" spans="6:26" x14ac:dyDescent="0.35">
      <c r="F259" cm="1">
        <f t="array" aca="1" ref="F259" ca="1">INDEX($D$2:$D$15,RANDBETWEEN(1,ROWS($D$2:$D$15)),1)</f>
        <v>4</v>
      </c>
      <c r="G259" cm="1">
        <f t="array" aca="1" ref="G259" ca="1">INDEX($D$2:$D$15,RANDBETWEEN(1,ROWS($D$2:$D$15)),1)</f>
        <v>2</v>
      </c>
      <c r="H259" cm="1">
        <f t="array" aca="1" ref="H259" ca="1">INDEX($D$2:$D$15,RANDBETWEEN(1,ROWS($D$2:$D$15)),1)</f>
        <v>11</v>
      </c>
      <c r="I259" cm="1">
        <f t="array" aca="1" ref="I259" ca="1">INDEX($D$2:$D$15,RANDBETWEEN(1,ROWS($D$2:$D$15)),1)</f>
        <v>13</v>
      </c>
      <c r="J259" cm="1">
        <f t="array" aca="1" ref="J259" ca="1">INDEX($D$2:$D$15,RANDBETWEEN(1,ROWS($D$2:$D$15)),1)</f>
        <v>4</v>
      </c>
      <c r="K259" cm="1">
        <f t="array" aca="1" ref="K259" ca="1">INDEX($D$2:$D$15,RANDBETWEEN(1,ROWS($D$2:$D$15)),1)</f>
        <v>8</v>
      </c>
      <c r="L259" cm="1">
        <f t="array" aca="1" ref="L259" ca="1">INDEX($D$2:$D$15,RANDBETWEEN(1,ROWS($D$2:$D$15)),1)</f>
        <v>12</v>
      </c>
      <c r="M259" cm="1">
        <f t="array" aca="1" ref="M259" ca="1">INDEX($D$2:$D$15,RANDBETWEEN(1,ROWS($D$2:$D$15)),1)</f>
        <v>2</v>
      </c>
      <c r="N259" cm="1">
        <f t="array" aca="1" ref="N259" ca="1">INDEX($D$2:$D$15,RANDBETWEEN(1,ROWS($D$2:$D$15)),1)</f>
        <v>9</v>
      </c>
      <c r="O259" cm="1">
        <f t="array" aca="1" ref="O259" ca="1">INDEX($D$2:$D$15,RANDBETWEEN(1,ROWS($D$2:$D$15)),1)</f>
        <v>12</v>
      </c>
      <c r="P259" cm="1">
        <f t="array" aca="1" ref="P259" ca="1">INDEX($D$2:$D$15,RANDBETWEEN(1,ROWS($D$2:$D$15)),1)</f>
        <v>12</v>
      </c>
      <c r="Q259" cm="1">
        <f t="array" aca="1" ref="Q259" ca="1">INDEX($D$2:$D$15,RANDBETWEEN(1,ROWS($D$2:$D$15)),1)</f>
        <v>9</v>
      </c>
      <c r="R259" cm="1">
        <f t="array" aca="1" ref="R259" ca="1">INDEX($D$2:$D$15,RANDBETWEEN(1,ROWS($D$2:$D$15)),1)</f>
        <v>12</v>
      </c>
      <c r="S259" cm="1">
        <f t="array" aca="1" ref="S259" ca="1">INDEX($D$2:$D$15,RANDBETWEEN(1,ROWS($D$2:$D$15)),1)</f>
        <v>9</v>
      </c>
      <c r="T259" cm="1">
        <f t="array" aca="1" ref="T259" ca="1">INDEX($D$2:$D$15,RANDBETWEEN(1,ROWS($D$2:$D$15)),1)</f>
        <v>4</v>
      </c>
      <c r="W259">
        <f t="shared" ref="W259:W300" ca="1" si="16">AVERAGE(F259:T259)</f>
        <v>8.1999999999999993</v>
      </c>
      <c r="X259">
        <f t="shared" ref="X259:X300" ca="1" si="17">MEDIAN(F259:T259)</f>
        <v>9</v>
      </c>
      <c r="Y259">
        <f t="shared" ref="Y259:Y300" ca="1" si="18">_xlfn.QUARTILE.INC(F259:T259, 3)-_xlfn.QUARTILE.INC(F259:T259,1)</f>
        <v>8</v>
      </c>
      <c r="Z259">
        <f t="shared" ref="Z259:Z300" ca="1" si="19">_xlfn.STDEV.S(F259:T259)</f>
        <v>3.9677269491305904</v>
      </c>
    </row>
    <row r="260" spans="6:26" x14ac:dyDescent="0.35">
      <c r="F260" cm="1">
        <f t="array" aca="1" ref="F260" ca="1">INDEX($D$2:$D$15,RANDBETWEEN(1,ROWS($D$2:$D$15)),1)</f>
        <v>4</v>
      </c>
      <c r="G260" cm="1">
        <f t="array" aca="1" ref="G260" ca="1">INDEX($D$2:$D$15,RANDBETWEEN(1,ROWS($D$2:$D$15)),1)</f>
        <v>8</v>
      </c>
      <c r="H260" cm="1">
        <f t="array" aca="1" ref="H260" ca="1">INDEX($D$2:$D$15,RANDBETWEEN(1,ROWS($D$2:$D$15)),1)</f>
        <v>11</v>
      </c>
      <c r="I260" cm="1">
        <f t="array" aca="1" ref="I260" ca="1">INDEX($D$2:$D$15,RANDBETWEEN(1,ROWS($D$2:$D$15)),1)</f>
        <v>4</v>
      </c>
      <c r="J260" cm="1">
        <f t="array" aca="1" ref="J260" ca="1">INDEX($D$2:$D$15,RANDBETWEEN(1,ROWS($D$2:$D$15)),1)</f>
        <v>9</v>
      </c>
      <c r="K260" cm="1">
        <f t="array" aca="1" ref="K260" ca="1">INDEX($D$2:$D$15,RANDBETWEEN(1,ROWS($D$2:$D$15)),1)</f>
        <v>9</v>
      </c>
      <c r="L260" cm="1">
        <f t="array" aca="1" ref="L260" ca="1">INDEX($D$2:$D$15,RANDBETWEEN(1,ROWS($D$2:$D$15)),1)</f>
        <v>10</v>
      </c>
      <c r="M260" cm="1">
        <f t="array" aca="1" ref="M260" ca="1">INDEX($D$2:$D$15,RANDBETWEEN(1,ROWS($D$2:$D$15)),1)</f>
        <v>3</v>
      </c>
      <c r="N260" cm="1">
        <f t="array" aca="1" ref="N260" ca="1">INDEX($D$2:$D$15,RANDBETWEEN(1,ROWS($D$2:$D$15)),1)</f>
        <v>4</v>
      </c>
      <c r="O260" cm="1">
        <f t="array" aca="1" ref="O260" ca="1">INDEX($D$2:$D$15,RANDBETWEEN(1,ROWS($D$2:$D$15)),1)</f>
        <v>4</v>
      </c>
      <c r="P260" cm="1">
        <f t="array" aca="1" ref="P260" ca="1">INDEX($D$2:$D$15,RANDBETWEEN(1,ROWS($D$2:$D$15)),1)</f>
        <v>12</v>
      </c>
      <c r="Q260" cm="1">
        <f t="array" aca="1" ref="Q260" ca="1">INDEX($D$2:$D$15,RANDBETWEEN(1,ROWS($D$2:$D$15)),1)</f>
        <v>3</v>
      </c>
      <c r="R260" cm="1">
        <f t="array" aca="1" ref="R260" ca="1">INDEX($D$2:$D$15,RANDBETWEEN(1,ROWS($D$2:$D$15)),1)</f>
        <v>4</v>
      </c>
      <c r="S260" cm="1">
        <f t="array" aca="1" ref="S260" ca="1">INDEX($D$2:$D$15,RANDBETWEEN(1,ROWS($D$2:$D$15)),1)</f>
        <v>9</v>
      </c>
      <c r="T260" cm="1">
        <f t="array" aca="1" ref="T260" ca="1">INDEX($D$2:$D$15,RANDBETWEEN(1,ROWS($D$2:$D$15)),1)</f>
        <v>9</v>
      </c>
      <c r="W260">
        <f t="shared" ca="1" si="16"/>
        <v>6.8666666666666663</v>
      </c>
      <c r="X260">
        <f t="shared" ca="1" si="17"/>
        <v>8</v>
      </c>
      <c r="Y260">
        <f t="shared" ca="1" si="18"/>
        <v>5</v>
      </c>
      <c r="Z260">
        <f t="shared" ca="1" si="19"/>
        <v>3.2041639575194445</v>
      </c>
    </row>
    <row r="261" spans="6:26" x14ac:dyDescent="0.35">
      <c r="F261" cm="1">
        <f t="array" aca="1" ref="F261" ca="1">INDEX($D$2:$D$15,RANDBETWEEN(1,ROWS($D$2:$D$15)),1)</f>
        <v>10</v>
      </c>
      <c r="G261" cm="1">
        <f t="array" aca="1" ref="G261" ca="1">INDEX($D$2:$D$15,RANDBETWEEN(1,ROWS($D$2:$D$15)),1)</f>
        <v>8</v>
      </c>
      <c r="H261" cm="1">
        <f t="array" aca="1" ref="H261" ca="1">INDEX($D$2:$D$15,RANDBETWEEN(1,ROWS($D$2:$D$15)),1)</f>
        <v>12</v>
      </c>
      <c r="I261" cm="1">
        <f t="array" aca="1" ref="I261" ca="1">INDEX($D$2:$D$15,RANDBETWEEN(1,ROWS($D$2:$D$15)),1)</f>
        <v>11</v>
      </c>
      <c r="J261" cm="1">
        <f t="array" aca="1" ref="J261" ca="1">INDEX($D$2:$D$15,RANDBETWEEN(1,ROWS($D$2:$D$15)),1)</f>
        <v>13</v>
      </c>
      <c r="K261" cm="1">
        <f t="array" aca="1" ref="K261" ca="1">INDEX($D$2:$D$15,RANDBETWEEN(1,ROWS($D$2:$D$15)),1)</f>
        <v>2</v>
      </c>
      <c r="L261" cm="1">
        <f t="array" aca="1" ref="L261" ca="1">INDEX($D$2:$D$15,RANDBETWEEN(1,ROWS($D$2:$D$15)),1)</f>
        <v>4</v>
      </c>
      <c r="M261" cm="1">
        <f t="array" aca="1" ref="M261" ca="1">INDEX($D$2:$D$15,RANDBETWEEN(1,ROWS($D$2:$D$15)),1)</f>
        <v>2</v>
      </c>
      <c r="N261" cm="1">
        <f t="array" aca="1" ref="N261" ca="1">INDEX($D$2:$D$15,RANDBETWEEN(1,ROWS($D$2:$D$15)),1)</f>
        <v>4</v>
      </c>
      <c r="O261" cm="1">
        <f t="array" aca="1" ref="O261" ca="1">INDEX($D$2:$D$15,RANDBETWEEN(1,ROWS($D$2:$D$15)),1)</f>
        <v>8</v>
      </c>
      <c r="P261" cm="1">
        <f t="array" aca="1" ref="P261" ca="1">INDEX($D$2:$D$15,RANDBETWEEN(1,ROWS($D$2:$D$15)),1)</f>
        <v>9</v>
      </c>
      <c r="Q261" cm="1">
        <f t="array" aca="1" ref="Q261" ca="1">INDEX($D$2:$D$15,RANDBETWEEN(1,ROWS($D$2:$D$15)),1)</f>
        <v>9</v>
      </c>
      <c r="R261" cm="1">
        <f t="array" aca="1" ref="R261" ca="1">INDEX($D$2:$D$15,RANDBETWEEN(1,ROWS($D$2:$D$15)),1)</f>
        <v>3</v>
      </c>
      <c r="S261" cm="1">
        <f t="array" aca="1" ref="S261" ca="1">INDEX($D$2:$D$15,RANDBETWEEN(1,ROWS($D$2:$D$15)),1)</f>
        <v>4</v>
      </c>
      <c r="T261" cm="1">
        <f t="array" aca="1" ref="T261" ca="1">INDEX($D$2:$D$15,RANDBETWEEN(1,ROWS($D$2:$D$15)),1)</f>
        <v>9</v>
      </c>
      <c r="W261">
        <f t="shared" ca="1" si="16"/>
        <v>7.2</v>
      </c>
      <c r="X261">
        <f t="shared" ca="1" si="17"/>
        <v>8</v>
      </c>
      <c r="Y261">
        <f t="shared" ca="1" si="18"/>
        <v>5.5</v>
      </c>
      <c r="Z261">
        <f t="shared" ca="1" si="19"/>
        <v>3.7071359757712075</v>
      </c>
    </row>
    <row r="262" spans="6:26" x14ac:dyDescent="0.35">
      <c r="F262" cm="1">
        <f t="array" aca="1" ref="F262" ca="1">INDEX($D$2:$D$15,RANDBETWEEN(1,ROWS($D$2:$D$15)),1)</f>
        <v>12</v>
      </c>
      <c r="G262" cm="1">
        <f t="array" aca="1" ref="G262" ca="1">INDEX($D$2:$D$15,RANDBETWEEN(1,ROWS($D$2:$D$15)),1)</f>
        <v>13</v>
      </c>
      <c r="H262" cm="1">
        <f t="array" aca="1" ref="H262" ca="1">INDEX($D$2:$D$15,RANDBETWEEN(1,ROWS($D$2:$D$15)),1)</f>
        <v>4</v>
      </c>
      <c r="I262" cm="1">
        <f t="array" aca="1" ref="I262" ca="1">INDEX($D$2:$D$15,RANDBETWEEN(1,ROWS($D$2:$D$15)),1)</f>
        <v>9</v>
      </c>
      <c r="J262" cm="1">
        <f t="array" aca="1" ref="J262" ca="1">INDEX($D$2:$D$15,RANDBETWEEN(1,ROWS($D$2:$D$15)),1)</f>
        <v>13</v>
      </c>
      <c r="K262" cm="1">
        <f t="array" aca="1" ref="K262" ca="1">INDEX($D$2:$D$15,RANDBETWEEN(1,ROWS($D$2:$D$15)),1)</f>
        <v>4</v>
      </c>
      <c r="L262" cm="1">
        <f t="array" aca="1" ref="L262" ca="1">INDEX($D$2:$D$15,RANDBETWEEN(1,ROWS($D$2:$D$15)),1)</f>
        <v>13</v>
      </c>
      <c r="M262" cm="1">
        <f t="array" aca="1" ref="M262" ca="1">INDEX($D$2:$D$15,RANDBETWEEN(1,ROWS($D$2:$D$15)),1)</f>
        <v>3</v>
      </c>
      <c r="N262" cm="1">
        <f t="array" aca="1" ref="N262" ca="1">INDEX($D$2:$D$15,RANDBETWEEN(1,ROWS($D$2:$D$15)),1)</f>
        <v>9</v>
      </c>
      <c r="O262" cm="1">
        <f t="array" aca="1" ref="O262" ca="1">INDEX($D$2:$D$15,RANDBETWEEN(1,ROWS($D$2:$D$15)),1)</f>
        <v>4</v>
      </c>
      <c r="P262" cm="1">
        <f t="array" aca="1" ref="P262" ca="1">INDEX($D$2:$D$15,RANDBETWEEN(1,ROWS($D$2:$D$15)),1)</f>
        <v>10</v>
      </c>
      <c r="Q262" cm="1">
        <f t="array" aca="1" ref="Q262" ca="1">INDEX($D$2:$D$15,RANDBETWEEN(1,ROWS($D$2:$D$15)),1)</f>
        <v>2</v>
      </c>
      <c r="R262" cm="1">
        <f t="array" aca="1" ref="R262" ca="1">INDEX($D$2:$D$15,RANDBETWEEN(1,ROWS($D$2:$D$15)),1)</f>
        <v>13</v>
      </c>
      <c r="S262" cm="1">
        <f t="array" aca="1" ref="S262" ca="1">INDEX($D$2:$D$15,RANDBETWEEN(1,ROWS($D$2:$D$15)),1)</f>
        <v>10</v>
      </c>
      <c r="T262" cm="1">
        <f t="array" aca="1" ref="T262" ca="1">INDEX($D$2:$D$15,RANDBETWEEN(1,ROWS($D$2:$D$15)),1)</f>
        <v>4</v>
      </c>
      <c r="W262">
        <f t="shared" ca="1" si="16"/>
        <v>8.1999999999999993</v>
      </c>
      <c r="X262">
        <f t="shared" ca="1" si="17"/>
        <v>9</v>
      </c>
      <c r="Y262">
        <f t="shared" ca="1" si="18"/>
        <v>8.5</v>
      </c>
      <c r="Z262">
        <f t="shared" ca="1" si="19"/>
        <v>4.2291505394954063</v>
      </c>
    </row>
    <row r="263" spans="6:26" x14ac:dyDescent="0.35">
      <c r="F263" cm="1">
        <f t="array" aca="1" ref="F263" ca="1">INDEX($D$2:$D$15,RANDBETWEEN(1,ROWS($D$2:$D$15)),1)</f>
        <v>3</v>
      </c>
      <c r="G263" cm="1">
        <f t="array" aca="1" ref="G263" ca="1">INDEX($D$2:$D$15,RANDBETWEEN(1,ROWS($D$2:$D$15)),1)</f>
        <v>9</v>
      </c>
      <c r="H263" cm="1">
        <f t="array" aca="1" ref="H263" ca="1">INDEX($D$2:$D$15,RANDBETWEEN(1,ROWS($D$2:$D$15)),1)</f>
        <v>9</v>
      </c>
      <c r="I263" cm="1">
        <f t="array" aca="1" ref="I263" ca="1">INDEX($D$2:$D$15,RANDBETWEEN(1,ROWS($D$2:$D$15)),1)</f>
        <v>9</v>
      </c>
      <c r="J263" cm="1">
        <f t="array" aca="1" ref="J263" ca="1">INDEX($D$2:$D$15,RANDBETWEEN(1,ROWS($D$2:$D$15)),1)</f>
        <v>12</v>
      </c>
      <c r="K263" cm="1">
        <f t="array" aca="1" ref="K263" ca="1">INDEX($D$2:$D$15,RANDBETWEEN(1,ROWS($D$2:$D$15)),1)</f>
        <v>12</v>
      </c>
      <c r="L263" cm="1">
        <f t="array" aca="1" ref="L263" ca="1">INDEX($D$2:$D$15,RANDBETWEEN(1,ROWS($D$2:$D$15)),1)</f>
        <v>3</v>
      </c>
      <c r="M263" cm="1">
        <f t="array" aca="1" ref="M263" ca="1">INDEX($D$2:$D$15,RANDBETWEEN(1,ROWS($D$2:$D$15)),1)</f>
        <v>2</v>
      </c>
      <c r="N263" cm="1">
        <f t="array" aca="1" ref="N263" ca="1">INDEX($D$2:$D$15,RANDBETWEEN(1,ROWS($D$2:$D$15)),1)</f>
        <v>9</v>
      </c>
      <c r="O263" cm="1">
        <f t="array" aca="1" ref="O263" ca="1">INDEX($D$2:$D$15,RANDBETWEEN(1,ROWS($D$2:$D$15)),1)</f>
        <v>10</v>
      </c>
      <c r="P263" cm="1">
        <f t="array" aca="1" ref="P263" ca="1">INDEX($D$2:$D$15,RANDBETWEEN(1,ROWS($D$2:$D$15)),1)</f>
        <v>11</v>
      </c>
      <c r="Q263" cm="1">
        <f t="array" aca="1" ref="Q263" ca="1">INDEX($D$2:$D$15,RANDBETWEEN(1,ROWS($D$2:$D$15)),1)</f>
        <v>9</v>
      </c>
      <c r="R263" cm="1">
        <f t="array" aca="1" ref="R263" ca="1">INDEX($D$2:$D$15,RANDBETWEEN(1,ROWS($D$2:$D$15)),1)</f>
        <v>9</v>
      </c>
      <c r="S263" cm="1">
        <f t="array" aca="1" ref="S263" ca="1">INDEX($D$2:$D$15,RANDBETWEEN(1,ROWS($D$2:$D$15)),1)</f>
        <v>11</v>
      </c>
      <c r="T263" cm="1">
        <f t="array" aca="1" ref="T263" ca="1">INDEX($D$2:$D$15,RANDBETWEEN(1,ROWS($D$2:$D$15)),1)</f>
        <v>2</v>
      </c>
      <c r="W263">
        <f t="shared" ca="1" si="16"/>
        <v>8</v>
      </c>
      <c r="X263">
        <f t="shared" ca="1" si="17"/>
        <v>9</v>
      </c>
      <c r="Y263">
        <f t="shared" ca="1" si="18"/>
        <v>4.5</v>
      </c>
      <c r="Z263">
        <f t="shared" ca="1" si="19"/>
        <v>3.6055512754639891</v>
      </c>
    </row>
    <row r="264" spans="6:26" x14ac:dyDescent="0.35">
      <c r="F264" cm="1">
        <f t="array" aca="1" ref="F264" ca="1">INDEX($D$2:$D$15,RANDBETWEEN(1,ROWS($D$2:$D$15)),1)</f>
        <v>4</v>
      </c>
      <c r="G264" cm="1">
        <f t="array" aca="1" ref="G264" ca="1">INDEX($D$2:$D$15,RANDBETWEEN(1,ROWS($D$2:$D$15)),1)</f>
        <v>11</v>
      </c>
      <c r="H264" cm="1">
        <f t="array" aca="1" ref="H264" ca="1">INDEX($D$2:$D$15,RANDBETWEEN(1,ROWS($D$2:$D$15)),1)</f>
        <v>4</v>
      </c>
      <c r="I264" cm="1">
        <f t="array" aca="1" ref="I264" ca="1">INDEX($D$2:$D$15,RANDBETWEEN(1,ROWS($D$2:$D$15)),1)</f>
        <v>9</v>
      </c>
      <c r="J264" cm="1">
        <f t="array" aca="1" ref="J264" ca="1">INDEX($D$2:$D$15,RANDBETWEEN(1,ROWS($D$2:$D$15)),1)</f>
        <v>9</v>
      </c>
      <c r="K264" cm="1">
        <f t="array" aca="1" ref="K264" ca="1">INDEX($D$2:$D$15,RANDBETWEEN(1,ROWS($D$2:$D$15)),1)</f>
        <v>4</v>
      </c>
      <c r="L264" cm="1">
        <f t="array" aca="1" ref="L264" ca="1">INDEX($D$2:$D$15,RANDBETWEEN(1,ROWS($D$2:$D$15)),1)</f>
        <v>9</v>
      </c>
      <c r="M264" cm="1">
        <f t="array" aca="1" ref="M264" ca="1">INDEX($D$2:$D$15,RANDBETWEEN(1,ROWS($D$2:$D$15)),1)</f>
        <v>10</v>
      </c>
      <c r="N264" cm="1">
        <f t="array" aca="1" ref="N264" ca="1">INDEX($D$2:$D$15,RANDBETWEEN(1,ROWS($D$2:$D$15)),1)</f>
        <v>3</v>
      </c>
      <c r="O264" cm="1">
        <f t="array" aca="1" ref="O264" ca="1">INDEX($D$2:$D$15,RANDBETWEEN(1,ROWS($D$2:$D$15)),1)</f>
        <v>11</v>
      </c>
      <c r="P264" cm="1">
        <f t="array" aca="1" ref="P264" ca="1">INDEX($D$2:$D$15,RANDBETWEEN(1,ROWS($D$2:$D$15)),1)</f>
        <v>4</v>
      </c>
      <c r="Q264" cm="1">
        <f t="array" aca="1" ref="Q264" ca="1">INDEX($D$2:$D$15,RANDBETWEEN(1,ROWS($D$2:$D$15)),1)</f>
        <v>4</v>
      </c>
      <c r="R264" cm="1">
        <f t="array" aca="1" ref="R264" ca="1">INDEX($D$2:$D$15,RANDBETWEEN(1,ROWS($D$2:$D$15)),1)</f>
        <v>2</v>
      </c>
      <c r="S264" cm="1">
        <f t="array" aca="1" ref="S264" ca="1">INDEX($D$2:$D$15,RANDBETWEEN(1,ROWS($D$2:$D$15)),1)</f>
        <v>4</v>
      </c>
      <c r="T264" cm="1">
        <f t="array" aca="1" ref="T264" ca="1">INDEX($D$2:$D$15,RANDBETWEEN(1,ROWS($D$2:$D$15)),1)</f>
        <v>10</v>
      </c>
      <c r="W264">
        <f t="shared" ca="1" si="16"/>
        <v>6.5333333333333332</v>
      </c>
      <c r="X264">
        <f t="shared" ca="1" si="17"/>
        <v>4</v>
      </c>
      <c r="Y264">
        <f t="shared" ca="1" si="18"/>
        <v>5.5</v>
      </c>
      <c r="Z264">
        <f t="shared" ca="1" si="19"/>
        <v>3.3137520095734958</v>
      </c>
    </row>
    <row r="265" spans="6:26" x14ac:dyDescent="0.35">
      <c r="F265" cm="1">
        <f t="array" aca="1" ref="F265" ca="1">INDEX($D$2:$D$15,RANDBETWEEN(1,ROWS($D$2:$D$15)),1)</f>
        <v>9</v>
      </c>
      <c r="G265" cm="1">
        <f t="array" aca="1" ref="G265" ca="1">INDEX($D$2:$D$15,RANDBETWEEN(1,ROWS($D$2:$D$15)),1)</f>
        <v>12</v>
      </c>
      <c r="H265" cm="1">
        <f t="array" aca="1" ref="H265" ca="1">INDEX($D$2:$D$15,RANDBETWEEN(1,ROWS($D$2:$D$15)),1)</f>
        <v>4</v>
      </c>
      <c r="I265" cm="1">
        <f t="array" aca="1" ref="I265" ca="1">INDEX($D$2:$D$15,RANDBETWEEN(1,ROWS($D$2:$D$15)),1)</f>
        <v>4</v>
      </c>
      <c r="J265" cm="1">
        <f t="array" aca="1" ref="J265" ca="1">INDEX($D$2:$D$15,RANDBETWEEN(1,ROWS($D$2:$D$15)),1)</f>
        <v>4</v>
      </c>
      <c r="K265" cm="1">
        <f t="array" aca="1" ref="K265" ca="1">INDEX($D$2:$D$15,RANDBETWEEN(1,ROWS($D$2:$D$15)),1)</f>
        <v>3</v>
      </c>
      <c r="L265" cm="1">
        <f t="array" aca="1" ref="L265" ca="1">INDEX($D$2:$D$15,RANDBETWEEN(1,ROWS($D$2:$D$15)),1)</f>
        <v>12</v>
      </c>
      <c r="M265" cm="1">
        <f t="array" aca="1" ref="M265" ca="1">INDEX($D$2:$D$15,RANDBETWEEN(1,ROWS($D$2:$D$15)),1)</f>
        <v>2</v>
      </c>
      <c r="N265" cm="1">
        <f t="array" aca="1" ref="N265" ca="1">INDEX($D$2:$D$15,RANDBETWEEN(1,ROWS($D$2:$D$15)),1)</f>
        <v>12</v>
      </c>
      <c r="O265" cm="1">
        <f t="array" aca="1" ref="O265" ca="1">INDEX($D$2:$D$15,RANDBETWEEN(1,ROWS($D$2:$D$15)),1)</f>
        <v>12</v>
      </c>
      <c r="P265" cm="1">
        <f t="array" aca="1" ref="P265" ca="1">INDEX($D$2:$D$15,RANDBETWEEN(1,ROWS($D$2:$D$15)),1)</f>
        <v>13</v>
      </c>
      <c r="Q265" cm="1">
        <f t="array" aca="1" ref="Q265" ca="1">INDEX($D$2:$D$15,RANDBETWEEN(1,ROWS($D$2:$D$15)),1)</f>
        <v>4</v>
      </c>
      <c r="R265" cm="1">
        <f t="array" aca="1" ref="R265" ca="1">INDEX($D$2:$D$15,RANDBETWEEN(1,ROWS($D$2:$D$15)),1)</f>
        <v>10</v>
      </c>
      <c r="S265" cm="1">
        <f t="array" aca="1" ref="S265" ca="1">INDEX($D$2:$D$15,RANDBETWEEN(1,ROWS($D$2:$D$15)),1)</f>
        <v>10</v>
      </c>
      <c r="T265" cm="1">
        <f t="array" aca="1" ref="T265" ca="1">INDEX($D$2:$D$15,RANDBETWEEN(1,ROWS($D$2:$D$15)),1)</f>
        <v>4</v>
      </c>
      <c r="W265">
        <f t="shared" ca="1" si="16"/>
        <v>7.666666666666667</v>
      </c>
      <c r="X265">
        <f t="shared" ca="1" si="17"/>
        <v>9</v>
      </c>
      <c r="Y265">
        <f t="shared" ca="1" si="18"/>
        <v>8</v>
      </c>
      <c r="Z265">
        <f t="shared" ca="1" si="19"/>
        <v>4.1173269183271026</v>
      </c>
    </row>
    <row r="266" spans="6:26" x14ac:dyDescent="0.35">
      <c r="F266" cm="1">
        <f t="array" aca="1" ref="F266" ca="1">INDEX($D$2:$D$15,RANDBETWEEN(1,ROWS($D$2:$D$15)),1)</f>
        <v>12</v>
      </c>
      <c r="G266" cm="1">
        <f t="array" aca="1" ref="G266" ca="1">INDEX($D$2:$D$15,RANDBETWEEN(1,ROWS($D$2:$D$15)),1)</f>
        <v>2</v>
      </c>
      <c r="H266" cm="1">
        <f t="array" aca="1" ref="H266" ca="1">INDEX($D$2:$D$15,RANDBETWEEN(1,ROWS($D$2:$D$15)),1)</f>
        <v>9</v>
      </c>
      <c r="I266" cm="1">
        <f t="array" aca="1" ref="I266" ca="1">INDEX($D$2:$D$15,RANDBETWEEN(1,ROWS($D$2:$D$15)),1)</f>
        <v>4</v>
      </c>
      <c r="J266" cm="1">
        <f t="array" aca="1" ref="J266" ca="1">INDEX($D$2:$D$15,RANDBETWEEN(1,ROWS($D$2:$D$15)),1)</f>
        <v>4</v>
      </c>
      <c r="K266" cm="1">
        <f t="array" aca="1" ref="K266" ca="1">INDEX($D$2:$D$15,RANDBETWEEN(1,ROWS($D$2:$D$15)),1)</f>
        <v>11</v>
      </c>
      <c r="L266" cm="1">
        <f t="array" aca="1" ref="L266" ca="1">INDEX($D$2:$D$15,RANDBETWEEN(1,ROWS($D$2:$D$15)),1)</f>
        <v>4</v>
      </c>
      <c r="M266" cm="1">
        <f t="array" aca="1" ref="M266" ca="1">INDEX($D$2:$D$15,RANDBETWEEN(1,ROWS($D$2:$D$15)),1)</f>
        <v>4</v>
      </c>
      <c r="N266" cm="1">
        <f t="array" aca="1" ref="N266" ca="1">INDEX($D$2:$D$15,RANDBETWEEN(1,ROWS($D$2:$D$15)),1)</f>
        <v>9</v>
      </c>
      <c r="O266" cm="1">
        <f t="array" aca="1" ref="O266" ca="1">INDEX($D$2:$D$15,RANDBETWEEN(1,ROWS($D$2:$D$15)),1)</f>
        <v>4</v>
      </c>
      <c r="P266" cm="1">
        <f t="array" aca="1" ref="P266" ca="1">INDEX($D$2:$D$15,RANDBETWEEN(1,ROWS($D$2:$D$15)),1)</f>
        <v>4</v>
      </c>
      <c r="Q266" cm="1">
        <f t="array" aca="1" ref="Q266" ca="1">INDEX($D$2:$D$15,RANDBETWEEN(1,ROWS($D$2:$D$15)),1)</f>
        <v>12</v>
      </c>
      <c r="R266" cm="1">
        <f t="array" aca="1" ref="R266" ca="1">INDEX($D$2:$D$15,RANDBETWEEN(1,ROWS($D$2:$D$15)),1)</f>
        <v>11</v>
      </c>
      <c r="S266" cm="1">
        <f t="array" aca="1" ref="S266" ca="1">INDEX($D$2:$D$15,RANDBETWEEN(1,ROWS($D$2:$D$15)),1)</f>
        <v>12</v>
      </c>
      <c r="T266" cm="1">
        <f t="array" aca="1" ref="T266" ca="1">INDEX($D$2:$D$15,RANDBETWEEN(1,ROWS($D$2:$D$15)),1)</f>
        <v>3</v>
      </c>
      <c r="W266">
        <f t="shared" ca="1" si="16"/>
        <v>7</v>
      </c>
      <c r="X266">
        <f t="shared" ca="1" si="17"/>
        <v>4</v>
      </c>
      <c r="Y266">
        <f t="shared" ca="1" si="18"/>
        <v>7</v>
      </c>
      <c r="Z266">
        <f t="shared" ca="1" si="19"/>
        <v>3.872983346207417</v>
      </c>
    </row>
    <row r="267" spans="6:26" x14ac:dyDescent="0.35">
      <c r="F267" cm="1">
        <f t="array" aca="1" ref="F267" ca="1">INDEX($D$2:$D$15,RANDBETWEEN(1,ROWS($D$2:$D$15)),1)</f>
        <v>13</v>
      </c>
      <c r="G267" cm="1">
        <f t="array" aca="1" ref="G267" ca="1">INDEX($D$2:$D$15,RANDBETWEEN(1,ROWS($D$2:$D$15)),1)</f>
        <v>2</v>
      </c>
      <c r="H267" cm="1">
        <f t="array" aca="1" ref="H267" ca="1">INDEX($D$2:$D$15,RANDBETWEEN(1,ROWS($D$2:$D$15)),1)</f>
        <v>9</v>
      </c>
      <c r="I267" cm="1">
        <f t="array" aca="1" ref="I267" ca="1">INDEX($D$2:$D$15,RANDBETWEEN(1,ROWS($D$2:$D$15)),1)</f>
        <v>12</v>
      </c>
      <c r="J267" cm="1">
        <f t="array" aca="1" ref="J267" ca="1">INDEX($D$2:$D$15,RANDBETWEEN(1,ROWS($D$2:$D$15)),1)</f>
        <v>12</v>
      </c>
      <c r="K267" cm="1">
        <f t="array" aca="1" ref="K267" ca="1">INDEX($D$2:$D$15,RANDBETWEEN(1,ROWS($D$2:$D$15)),1)</f>
        <v>9</v>
      </c>
      <c r="L267" cm="1">
        <f t="array" aca="1" ref="L267" ca="1">INDEX($D$2:$D$15,RANDBETWEEN(1,ROWS($D$2:$D$15)),1)</f>
        <v>4</v>
      </c>
      <c r="M267" cm="1">
        <f t="array" aca="1" ref="M267" ca="1">INDEX($D$2:$D$15,RANDBETWEEN(1,ROWS($D$2:$D$15)),1)</f>
        <v>11</v>
      </c>
      <c r="N267" cm="1">
        <f t="array" aca="1" ref="N267" ca="1">INDEX($D$2:$D$15,RANDBETWEEN(1,ROWS($D$2:$D$15)),1)</f>
        <v>11</v>
      </c>
      <c r="O267" cm="1">
        <f t="array" aca="1" ref="O267" ca="1">INDEX($D$2:$D$15,RANDBETWEEN(1,ROWS($D$2:$D$15)),1)</f>
        <v>12</v>
      </c>
      <c r="P267" cm="1">
        <f t="array" aca="1" ref="P267" ca="1">INDEX($D$2:$D$15,RANDBETWEEN(1,ROWS($D$2:$D$15)),1)</f>
        <v>4</v>
      </c>
      <c r="Q267" cm="1">
        <f t="array" aca="1" ref="Q267" ca="1">INDEX($D$2:$D$15,RANDBETWEEN(1,ROWS($D$2:$D$15)),1)</f>
        <v>11</v>
      </c>
      <c r="R267" cm="1">
        <f t="array" aca="1" ref="R267" ca="1">INDEX($D$2:$D$15,RANDBETWEEN(1,ROWS($D$2:$D$15)),1)</f>
        <v>9</v>
      </c>
      <c r="S267" cm="1">
        <f t="array" aca="1" ref="S267" ca="1">INDEX($D$2:$D$15,RANDBETWEEN(1,ROWS($D$2:$D$15)),1)</f>
        <v>9</v>
      </c>
      <c r="T267" cm="1">
        <f t="array" aca="1" ref="T267" ca="1">INDEX($D$2:$D$15,RANDBETWEEN(1,ROWS($D$2:$D$15)),1)</f>
        <v>11</v>
      </c>
      <c r="W267">
        <f t="shared" ca="1" si="16"/>
        <v>9.2666666666666675</v>
      </c>
      <c r="X267">
        <f t="shared" ca="1" si="17"/>
        <v>11</v>
      </c>
      <c r="Y267">
        <f t="shared" ca="1" si="18"/>
        <v>2.5</v>
      </c>
      <c r="Z267">
        <f t="shared" ca="1" si="19"/>
        <v>3.3480626949810564</v>
      </c>
    </row>
    <row r="268" spans="6:26" x14ac:dyDescent="0.35">
      <c r="F268" cm="1">
        <f t="array" aca="1" ref="F268" ca="1">INDEX($D$2:$D$15,RANDBETWEEN(1,ROWS($D$2:$D$15)),1)</f>
        <v>12</v>
      </c>
      <c r="G268" cm="1">
        <f t="array" aca="1" ref="G268" ca="1">INDEX($D$2:$D$15,RANDBETWEEN(1,ROWS($D$2:$D$15)),1)</f>
        <v>10</v>
      </c>
      <c r="H268" cm="1">
        <f t="array" aca="1" ref="H268" ca="1">INDEX($D$2:$D$15,RANDBETWEEN(1,ROWS($D$2:$D$15)),1)</f>
        <v>13</v>
      </c>
      <c r="I268" cm="1">
        <f t="array" aca="1" ref="I268" ca="1">INDEX($D$2:$D$15,RANDBETWEEN(1,ROWS($D$2:$D$15)),1)</f>
        <v>4</v>
      </c>
      <c r="J268" cm="1">
        <f t="array" aca="1" ref="J268" ca="1">INDEX($D$2:$D$15,RANDBETWEEN(1,ROWS($D$2:$D$15)),1)</f>
        <v>13</v>
      </c>
      <c r="K268" cm="1">
        <f t="array" aca="1" ref="K268" ca="1">INDEX($D$2:$D$15,RANDBETWEEN(1,ROWS($D$2:$D$15)),1)</f>
        <v>4</v>
      </c>
      <c r="L268" cm="1">
        <f t="array" aca="1" ref="L268" ca="1">INDEX($D$2:$D$15,RANDBETWEEN(1,ROWS($D$2:$D$15)),1)</f>
        <v>4</v>
      </c>
      <c r="M268" cm="1">
        <f t="array" aca="1" ref="M268" ca="1">INDEX($D$2:$D$15,RANDBETWEEN(1,ROWS($D$2:$D$15)),1)</f>
        <v>10</v>
      </c>
      <c r="N268" cm="1">
        <f t="array" aca="1" ref="N268" ca="1">INDEX($D$2:$D$15,RANDBETWEEN(1,ROWS($D$2:$D$15)),1)</f>
        <v>11</v>
      </c>
      <c r="O268" cm="1">
        <f t="array" aca="1" ref="O268" ca="1">INDEX($D$2:$D$15,RANDBETWEEN(1,ROWS($D$2:$D$15)),1)</f>
        <v>9</v>
      </c>
      <c r="P268" cm="1">
        <f t="array" aca="1" ref="P268" ca="1">INDEX($D$2:$D$15,RANDBETWEEN(1,ROWS($D$2:$D$15)),1)</f>
        <v>4</v>
      </c>
      <c r="Q268" cm="1">
        <f t="array" aca="1" ref="Q268" ca="1">INDEX($D$2:$D$15,RANDBETWEEN(1,ROWS($D$2:$D$15)),1)</f>
        <v>9</v>
      </c>
      <c r="R268" cm="1">
        <f t="array" aca="1" ref="R268" ca="1">INDEX($D$2:$D$15,RANDBETWEEN(1,ROWS($D$2:$D$15)),1)</f>
        <v>9</v>
      </c>
      <c r="S268" cm="1">
        <f t="array" aca="1" ref="S268" ca="1">INDEX($D$2:$D$15,RANDBETWEEN(1,ROWS($D$2:$D$15)),1)</f>
        <v>11</v>
      </c>
      <c r="T268" cm="1">
        <f t="array" aca="1" ref="T268" ca="1">INDEX($D$2:$D$15,RANDBETWEEN(1,ROWS($D$2:$D$15)),1)</f>
        <v>11</v>
      </c>
      <c r="W268">
        <f t="shared" ca="1" si="16"/>
        <v>8.9333333333333336</v>
      </c>
      <c r="X268">
        <f t="shared" ca="1" si="17"/>
        <v>10</v>
      </c>
      <c r="Y268">
        <f t="shared" ca="1" si="18"/>
        <v>4.5</v>
      </c>
      <c r="Z268">
        <f t="shared" ca="1" si="19"/>
        <v>3.3266599866332407</v>
      </c>
    </row>
    <row r="269" spans="6:26" x14ac:dyDescent="0.35">
      <c r="F269" cm="1">
        <f t="array" aca="1" ref="F269" ca="1">INDEX($D$2:$D$15,RANDBETWEEN(1,ROWS($D$2:$D$15)),1)</f>
        <v>2</v>
      </c>
      <c r="G269" cm="1">
        <f t="array" aca="1" ref="G269" ca="1">INDEX($D$2:$D$15,RANDBETWEEN(1,ROWS($D$2:$D$15)),1)</f>
        <v>3</v>
      </c>
      <c r="H269" cm="1">
        <f t="array" aca="1" ref="H269" ca="1">INDEX($D$2:$D$15,RANDBETWEEN(1,ROWS($D$2:$D$15)),1)</f>
        <v>9</v>
      </c>
      <c r="I269" cm="1">
        <f t="array" aca="1" ref="I269" ca="1">INDEX($D$2:$D$15,RANDBETWEEN(1,ROWS($D$2:$D$15)),1)</f>
        <v>12</v>
      </c>
      <c r="J269" cm="1">
        <f t="array" aca="1" ref="J269" ca="1">INDEX($D$2:$D$15,RANDBETWEEN(1,ROWS($D$2:$D$15)),1)</f>
        <v>9</v>
      </c>
      <c r="K269" cm="1">
        <f t="array" aca="1" ref="K269" ca="1">INDEX($D$2:$D$15,RANDBETWEEN(1,ROWS($D$2:$D$15)),1)</f>
        <v>9</v>
      </c>
      <c r="L269" cm="1">
        <f t="array" aca="1" ref="L269" ca="1">INDEX($D$2:$D$15,RANDBETWEEN(1,ROWS($D$2:$D$15)),1)</f>
        <v>13</v>
      </c>
      <c r="M269" cm="1">
        <f t="array" aca="1" ref="M269" ca="1">INDEX($D$2:$D$15,RANDBETWEEN(1,ROWS($D$2:$D$15)),1)</f>
        <v>3</v>
      </c>
      <c r="N269" cm="1">
        <f t="array" aca="1" ref="N269" ca="1">INDEX($D$2:$D$15,RANDBETWEEN(1,ROWS($D$2:$D$15)),1)</f>
        <v>4</v>
      </c>
      <c r="O269" cm="1">
        <f t="array" aca="1" ref="O269" ca="1">INDEX($D$2:$D$15,RANDBETWEEN(1,ROWS($D$2:$D$15)),1)</f>
        <v>10</v>
      </c>
      <c r="P269" cm="1">
        <f t="array" aca="1" ref="P269" ca="1">INDEX($D$2:$D$15,RANDBETWEEN(1,ROWS($D$2:$D$15)),1)</f>
        <v>4</v>
      </c>
      <c r="Q269" cm="1">
        <f t="array" aca="1" ref="Q269" ca="1">INDEX($D$2:$D$15,RANDBETWEEN(1,ROWS($D$2:$D$15)),1)</f>
        <v>11</v>
      </c>
      <c r="R269" cm="1">
        <f t="array" aca="1" ref="R269" ca="1">INDEX($D$2:$D$15,RANDBETWEEN(1,ROWS($D$2:$D$15)),1)</f>
        <v>9</v>
      </c>
      <c r="S269" cm="1">
        <f t="array" aca="1" ref="S269" ca="1">INDEX($D$2:$D$15,RANDBETWEEN(1,ROWS($D$2:$D$15)),1)</f>
        <v>11</v>
      </c>
      <c r="T269" cm="1">
        <f t="array" aca="1" ref="T269" ca="1">INDEX($D$2:$D$15,RANDBETWEEN(1,ROWS($D$2:$D$15)),1)</f>
        <v>4</v>
      </c>
      <c r="W269">
        <f t="shared" ca="1" si="16"/>
        <v>7.5333333333333332</v>
      </c>
      <c r="X269">
        <f t="shared" ca="1" si="17"/>
        <v>9</v>
      </c>
      <c r="Y269">
        <f t="shared" ca="1" si="18"/>
        <v>6.5</v>
      </c>
      <c r="Z269">
        <f t="shared" ca="1" si="19"/>
        <v>3.7581657126595052</v>
      </c>
    </row>
    <row r="270" spans="6:26" x14ac:dyDescent="0.35">
      <c r="F270" cm="1">
        <f t="array" aca="1" ref="F270" ca="1">INDEX($D$2:$D$15,RANDBETWEEN(1,ROWS($D$2:$D$15)),1)</f>
        <v>12</v>
      </c>
      <c r="G270" cm="1">
        <f t="array" aca="1" ref="G270" ca="1">INDEX($D$2:$D$15,RANDBETWEEN(1,ROWS($D$2:$D$15)),1)</f>
        <v>12</v>
      </c>
      <c r="H270" cm="1">
        <f t="array" aca="1" ref="H270" ca="1">INDEX($D$2:$D$15,RANDBETWEEN(1,ROWS($D$2:$D$15)),1)</f>
        <v>10</v>
      </c>
      <c r="I270" cm="1">
        <f t="array" aca="1" ref="I270" ca="1">INDEX($D$2:$D$15,RANDBETWEEN(1,ROWS($D$2:$D$15)),1)</f>
        <v>3</v>
      </c>
      <c r="J270" cm="1">
        <f t="array" aca="1" ref="J270" ca="1">INDEX($D$2:$D$15,RANDBETWEEN(1,ROWS($D$2:$D$15)),1)</f>
        <v>2</v>
      </c>
      <c r="K270" cm="1">
        <f t="array" aca="1" ref="K270" ca="1">INDEX($D$2:$D$15,RANDBETWEEN(1,ROWS($D$2:$D$15)),1)</f>
        <v>9</v>
      </c>
      <c r="L270" cm="1">
        <f t="array" aca="1" ref="L270" ca="1">INDEX($D$2:$D$15,RANDBETWEEN(1,ROWS($D$2:$D$15)),1)</f>
        <v>9</v>
      </c>
      <c r="M270" cm="1">
        <f t="array" aca="1" ref="M270" ca="1">INDEX($D$2:$D$15,RANDBETWEEN(1,ROWS($D$2:$D$15)),1)</f>
        <v>2</v>
      </c>
      <c r="N270" cm="1">
        <f t="array" aca="1" ref="N270" ca="1">INDEX($D$2:$D$15,RANDBETWEEN(1,ROWS($D$2:$D$15)),1)</f>
        <v>9</v>
      </c>
      <c r="O270" cm="1">
        <f t="array" aca="1" ref="O270" ca="1">INDEX($D$2:$D$15,RANDBETWEEN(1,ROWS($D$2:$D$15)),1)</f>
        <v>12</v>
      </c>
      <c r="P270" cm="1">
        <f t="array" aca="1" ref="P270" ca="1">INDEX($D$2:$D$15,RANDBETWEEN(1,ROWS($D$2:$D$15)),1)</f>
        <v>9</v>
      </c>
      <c r="Q270" cm="1">
        <f t="array" aca="1" ref="Q270" ca="1">INDEX($D$2:$D$15,RANDBETWEEN(1,ROWS($D$2:$D$15)),1)</f>
        <v>9</v>
      </c>
      <c r="R270" cm="1">
        <f t="array" aca="1" ref="R270" ca="1">INDEX($D$2:$D$15,RANDBETWEEN(1,ROWS($D$2:$D$15)),1)</f>
        <v>2</v>
      </c>
      <c r="S270" cm="1">
        <f t="array" aca="1" ref="S270" ca="1">INDEX($D$2:$D$15,RANDBETWEEN(1,ROWS($D$2:$D$15)),1)</f>
        <v>9</v>
      </c>
      <c r="T270" cm="1">
        <f t="array" aca="1" ref="T270" ca="1">INDEX($D$2:$D$15,RANDBETWEEN(1,ROWS($D$2:$D$15)),1)</f>
        <v>8</v>
      </c>
      <c r="W270">
        <f t="shared" ca="1" si="16"/>
        <v>7.8</v>
      </c>
      <c r="X270">
        <f t="shared" ca="1" si="17"/>
        <v>9</v>
      </c>
      <c r="Y270">
        <f t="shared" ca="1" si="18"/>
        <v>4</v>
      </c>
      <c r="Z270">
        <f t="shared" ca="1" si="19"/>
        <v>3.6878177829171546</v>
      </c>
    </row>
    <row r="271" spans="6:26" x14ac:dyDescent="0.35">
      <c r="F271" cm="1">
        <f t="array" aca="1" ref="F271" ca="1">INDEX($D$2:$D$15,RANDBETWEEN(1,ROWS($D$2:$D$15)),1)</f>
        <v>4</v>
      </c>
      <c r="G271" cm="1">
        <f t="array" aca="1" ref="G271" ca="1">INDEX($D$2:$D$15,RANDBETWEEN(1,ROWS($D$2:$D$15)),1)</f>
        <v>10</v>
      </c>
      <c r="H271" cm="1">
        <f t="array" aca="1" ref="H271" ca="1">INDEX($D$2:$D$15,RANDBETWEEN(1,ROWS($D$2:$D$15)),1)</f>
        <v>9</v>
      </c>
      <c r="I271" cm="1">
        <f t="array" aca="1" ref="I271" ca="1">INDEX($D$2:$D$15,RANDBETWEEN(1,ROWS($D$2:$D$15)),1)</f>
        <v>2</v>
      </c>
      <c r="J271" cm="1">
        <f t="array" aca="1" ref="J271" ca="1">INDEX($D$2:$D$15,RANDBETWEEN(1,ROWS($D$2:$D$15)),1)</f>
        <v>13</v>
      </c>
      <c r="K271" cm="1">
        <f t="array" aca="1" ref="K271" ca="1">INDEX($D$2:$D$15,RANDBETWEEN(1,ROWS($D$2:$D$15)),1)</f>
        <v>4</v>
      </c>
      <c r="L271" cm="1">
        <f t="array" aca="1" ref="L271" ca="1">INDEX($D$2:$D$15,RANDBETWEEN(1,ROWS($D$2:$D$15)),1)</f>
        <v>9</v>
      </c>
      <c r="M271" cm="1">
        <f t="array" aca="1" ref="M271" ca="1">INDEX($D$2:$D$15,RANDBETWEEN(1,ROWS($D$2:$D$15)),1)</f>
        <v>2</v>
      </c>
      <c r="N271" cm="1">
        <f t="array" aca="1" ref="N271" ca="1">INDEX($D$2:$D$15,RANDBETWEEN(1,ROWS($D$2:$D$15)),1)</f>
        <v>4</v>
      </c>
      <c r="O271" cm="1">
        <f t="array" aca="1" ref="O271" ca="1">INDEX($D$2:$D$15,RANDBETWEEN(1,ROWS($D$2:$D$15)),1)</f>
        <v>2</v>
      </c>
      <c r="P271" cm="1">
        <f t="array" aca="1" ref="P271" ca="1">INDEX($D$2:$D$15,RANDBETWEEN(1,ROWS($D$2:$D$15)),1)</f>
        <v>4</v>
      </c>
      <c r="Q271" cm="1">
        <f t="array" aca="1" ref="Q271" ca="1">INDEX($D$2:$D$15,RANDBETWEEN(1,ROWS($D$2:$D$15)),1)</f>
        <v>10</v>
      </c>
      <c r="R271" cm="1">
        <f t="array" aca="1" ref="R271" ca="1">INDEX($D$2:$D$15,RANDBETWEEN(1,ROWS($D$2:$D$15)),1)</f>
        <v>4</v>
      </c>
      <c r="S271" cm="1">
        <f t="array" aca="1" ref="S271" ca="1">INDEX($D$2:$D$15,RANDBETWEEN(1,ROWS($D$2:$D$15)),1)</f>
        <v>8</v>
      </c>
      <c r="T271" cm="1">
        <f t="array" aca="1" ref="T271" ca="1">INDEX($D$2:$D$15,RANDBETWEEN(1,ROWS($D$2:$D$15)),1)</f>
        <v>9</v>
      </c>
      <c r="W271">
        <f t="shared" ca="1" si="16"/>
        <v>6.2666666666666666</v>
      </c>
      <c r="X271">
        <f t="shared" ca="1" si="17"/>
        <v>4</v>
      </c>
      <c r="Y271">
        <f t="shared" ca="1" si="18"/>
        <v>5</v>
      </c>
      <c r="Z271">
        <f t="shared" ca="1" si="19"/>
        <v>3.575045787252574</v>
      </c>
    </row>
    <row r="272" spans="6:26" x14ac:dyDescent="0.35">
      <c r="F272" cm="1">
        <f t="array" aca="1" ref="F272" ca="1">INDEX($D$2:$D$15,RANDBETWEEN(1,ROWS($D$2:$D$15)),1)</f>
        <v>11</v>
      </c>
      <c r="G272" cm="1">
        <f t="array" aca="1" ref="G272" ca="1">INDEX($D$2:$D$15,RANDBETWEEN(1,ROWS($D$2:$D$15)),1)</f>
        <v>4</v>
      </c>
      <c r="H272" cm="1">
        <f t="array" aca="1" ref="H272" ca="1">INDEX($D$2:$D$15,RANDBETWEEN(1,ROWS($D$2:$D$15)),1)</f>
        <v>3</v>
      </c>
      <c r="I272" cm="1">
        <f t="array" aca="1" ref="I272" ca="1">INDEX($D$2:$D$15,RANDBETWEEN(1,ROWS($D$2:$D$15)),1)</f>
        <v>4</v>
      </c>
      <c r="J272" cm="1">
        <f t="array" aca="1" ref="J272" ca="1">INDEX($D$2:$D$15,RANDBETWEEN(1,ROWS($D$2:$D$15)),1)</f>
        <v>4</v>
      </c>
      <c r="K272" cm="1">
        <f t="array" aca="1" ref="K272" ca="1">INDEX($D$2:$D$15,RANDBETWEEN(1,ROWS($D$2:$D$15)),1)</f>
        <v>4</v>
      </c>
      <c r="L272" cm="1">
        <f t="array" aca="1" ref="L272" ca="1">INDEX($D$2:$D$15,RANDBETWEEN(1,ROWS($D$2:$D$15)),1)</f>
        <v>13</v>
      </c>
      <c r="M272" cm="1">
        <f t="array" aca="1" ref="M272" ca="1">INDEX($D$2:$D$15,RANDBETWEEN(1,ROWS($D$2:$D$15)),1)</f>
        <v>4</v>
      </c>
      <c r="N272" cm="1">
        <f t="array" aca="1" ref="N272" ca="1">INDEX($D$2:$D$15,RANDBETWEEN(1,ROWS($D$2:$D$15)),1)</f>
        <v>3</v>
      </c>
      <c r="O272" cm="1">
        <f t="array" aca="1" ref="O272" ca="1">INDEX($D$2:$D$15,RANDBETWEEN(1,ROWS($D$2:$D$15)),1)</f>
        <v>3</v>
      </c>
      <c r="P272" cm="1">
        <f t="array" aca="1" ref="P272" ca="1">INDEX($D$2:$D$15,RANDBETWEEN(1,ROWS($D$2:$D$15)),1)</f>
        <v>10</v>
      </c>
      <c r="Q272" cm="1">
        <f t="array" aca="1" ref="Q272" ca="1">INDEX($D$2:$D$15,RANDBETWEEN(1,ROWS($D$2:$D$15)),1)</f>
        <v>9</v>
      </c>
      <c r="R272" cm="1">
        <f t="array" aca="1" ref="R272" ca="1">INDEX($D$2:$D$15,RANDBETWEEN(1,ROWS($D$2:$D$15)),1)</f>
        <v>4</v>
      </c>
      <c r="S272" cm="1">
        <f t="array" aca="1" ref="S272" ca="1">INDEX($D$2:$D$15,RANDBETWEEN(1,ROWS($D$2:$D$15)),1)</f>
        <v>9</v>
      </c>
      <c r="T272" cm="1">
        <f t="array" aca="1" ref="T272" ca="1">INDEX($D$2:$D$15,RANDBETWEEN(1,ROWS($D$2:$D$15)),1)</f>
        <v>4</v>
      </c>
      <c r="W272">
        <f t="shared" ca="1" si="16"/>
        <v>5.9333333333333336</v>
      </c>
      <c r="X272">
        <f t="shared" ca="1" si="17"/>
        <v>4</v>
      </c>
      <c r="Y272">
        <f t="shared" ca="1" si="18"/>
        <v>5</v>
      </c>
      <c r="Z272">
        <f t="shared" ca="1" si="19"/>
        <v>3.4114652626247324</v>
      </c>
    </row>
    <row r="273" spans="6:26" x14ac:dyDescent="0.35">
      <c r="F273" cm="1">
        <f t="array" aca="1" ref="F273" ca="1">INDEX($D$2:$D$15,RANDBETWEEN(1,ROWS($D$2:$D$15)),1)</f>
        <v>8</v>
      </c>
      <c r="G273" cm="1">
        <f t="array" aca="1" ref="G273" ca="1">INDEX($D$2:$D$15,RANDBETWEEN(1,ROWS($D$2:$D$15)),1)</f>
        <v>8</v>
      </c>
      <c r="H273" cm="1">
        <f t="array" aca="1" ref="H273" ca="1">INDEX($D$2:$D$15,RANDBETWEEN(1,ROWS($D$2:$D$15)),1)</f>
        <v>13</v>
      </c>
      <c r="I273" cm="1">
        <f t="array" aca="1" ref="I273" ca="1">INDEX($D$2:$D$15,RANDBETWEEN(1,ROWS($D$2:$D$15)),1)</f>
        <v>13</v>
      </c>
      <c r="J273" cm="1">
        <f t="array" aca="1" ref="J273" ca="1">INDEX($D$2:$D$15,RANDBETWEEN(1,ROWS($D$2:$D$15)),1)</f>
        <v>10</v>
      </c>
      <c r="K273" cm="1">
        <f t="array" aca="1" ref="K273" ca="1">INDEX($D$2:$D$15,RANDBETWEEN(1,ROWS($D$2:$D$15)),1)</f>
        <v>4</v>
      </c>
      <c r="L273" cm="1">
        <f t="array" aca="1" ref="L273" ca="1">INDEX($D$2:$D$15,RANDBETWEEN(1,ROWS($D$2:$D$15)),1)</f>
        <v>9</v>
      </c>
      <c r="M273" cm="1">
        <f t="array" aca="1" ref="M273" ca="1">INDEX($D$2:$D$15,RANDBETWEEN(1,ROWS($D$2:$D$15)),1)</f>
        <v>9</v>
      </c>
      <c r="N273" cm="1">
        <f t="array" aca="1" ref="N273" ca="1">INDEX($D$2:$D$15,RANDBETWEEN(1,ROWS($D$2:$D$15)),1)</f>
        <v>2</v>
      </c>
      <c r="O273" cm="1">
        <f t="array" aca="1" ref="O273" ca="1">INDEX($D$2:$D$15,RANDBETWEEN(1,ROWS($D$2:$D$15)),1)</f>
        <v>9</v>
      </c>
      <c r="P273" cm="1">
        <f t="array" aca="1" ref="P273" ca="1">INDEX($D$2:$D$15,RANDBETWEEN(1,ROWS($D$2:$D$15)),1)</f>
        <v>9</v>
      </c>
      <c r="Q273" cm="1">
        <f t="array" aca="1" ref="Q273" ca="1">INDEX($D$2:$D$15,RANDBETWEEN(1,ROWS($D$2:$D$15)),1)</f>
        <v>4</v>
      </c>
      <c r="R273" cm="1">
        <f t="array" aca="1" ref="R273" ca="1">INDEX($D$2:$D$15,RANDBETWEEN(1,ROWS($D$2:$D$15)),1)</f>
        <v>4</v>
      </c>
      <c r="S273" cm="1">
        <f t="array" aca="1" ref="S273" ca="1">INDEX($D$2:$D$15,RANDBETWEEN(1,ROWS($D$2:$D$15)),1)</f>
        <v>13</v>
      </c>
      <c r="T273" cm="1">
        <f t="array" aca="1" ref="T273" ca="1">INDEX($D$2:$D$15,RANDBETWEEN(1,ROWS($D$2:$D$15)),1)</f>
        <v>8</v>
      </c>
      <c r="W273">
        <f t="shared" ca="1" si="16"/>
        <v>8.1999999999999993</v>
      </c>
      <c r="X273">
        <f t="shared" ca="1" si="17"/>
        <v>9</v>
      </c>
      <c r="Y273">
        <f t="shared" ca="1" si="18"/>
        <v>3.5</v>
      </c>
      <c r="Z273">
        <f t="shared" ca="1" si="19"/>
        <v>3.4475664294853385</v>
      </c>
    </row>
    <row r="274" spans="6:26" x14ac:dyDescent="0.35">
      <c r="F274" cm="1">
        <f t="array" aca="1" ref="F274" ca="1">INDEX($D$2:$D$15,RANDBETWEEN(1,ROWS($D$2:$D$15)),1)</f>
        <v>9</v>
      </c>
      <c r="G274" cm="1">
        <f t="array" aca="1" ref="G274" ca="1">INDEX($D$2:$D$15,RANDBETWEEN(1,ROWS($D$2:$D$15)),1)</f>
        <v>12</v>
      </c>
      <c r="H274" cm="1">
        <f t="array" aca="1" ref="H274" ca="1">INDEX($D$2:$D$15,RANDBETWEEN(1,ROWS($D$2:$D$15)),1)</f>
        <v>4</v>
      </c>
      <c r="I274" cm="1">
        <f t="array" aca="1" ref="I274" ca="1">INDEX($D$2:$D$15,RANDBETWEEN(1,ROWS($D$2:$D$15)),1)</f>
        <v>9</v>
      </c>
      <c r="J274" cm="1">
        <f t="array" aca="1" ref="J274" ca="1">INDEX($D$2:$D$15,RANDBETWEEN(1,ROWS($D$2:$D$15)),1)</f>
        <v>9</v>
      </c>
      <c r="K274" cm="1">
        <f t="array" aca="1" ref="K274" ca="1">INDEX($D$2:$D$15,RANDBETWEEN(1,ROWS($D$2:$D$15)),1)</f>
        <v>8</v>
      </c>
      <c r="L274" cm="1">
        <f t="array" aca="1" ref="L274" ca="1">INDEX($D$2:$D$15,RANDBETWEEN(1,ROWS($D$2:$D$15)),1)</f>
        <v>3</v>
      </c>
      <c r="M274" cm="1">
        <f t="array" aca="1" ref="M274" ca="1">INDEX($D$2:$D$15,RANDBETWEEN(1,ROWS($D$2:$D$15)),1)</f>
        <v>4</v>
      </c>
      <c r="N274" cm="1">
        <f t="array" aca="1" ref="N274" ca="1">INDEX($D$2:$D$15,RANDBETWEEN(1,ROWS($D$2:$D$15)),1)</f>
        <v>11</v>
      </c>
      <c r="O274" cm="1">
        <f t="array" aca="1" ref="O274" ca="1">INDEX($D$2:$D$15,RANDBETWEEN(1,ROWS($D$2:$D$15)),1)</f>
        <v>9</v>
      </c>
      <c r="P274" cm="1">
        <f t="array" aca="1" ref="P274" ca="1">INDEX($D$2:$D$15,RANDBETWEEN(1,ROWS($D$2:$D$15)),1)</f>
        <v>4</v>
      </c>
      <c r="Q274" cm="1">
        <f t="array" aca="1" ref="Q274" ca="1">INDEX($D$2:$D$15,RANDBETWEEN(1,ROWS($D$2:$D$15)),1)</f>
        <v>3</v>
      </c>
      <c r="R274" cm="1">
        <f t="array" aca="1" ref="R274" ca="1">INDEX($D$2:$D$15,RANDBETWEEN(1,ROWS($D$2:$D$15)),1)</f>
        <v>9</v>
      </c>
      <c r="S274" cm="1">
        <f t="array" aca="1" ref="S274" ca="1">INDEX($D$2:$D$15,RANDBETWEEN(1,ROWS($D$2:$D$15)),1)</f>
        <v>12</v>
      </c>
      <c r="T274" cm="1">
        <f t="array" aca="1" ref="T274" ca="1">INDEX($D$2:$D$15,RANDBETWEEN(1,ROWS($D$2:$D$15)),1)</f>
        <v>12</v>
      </c>
      <c r="W274">
        <f t="shared" ca="1" si="16"/>
        <v>7.8666666666666663</v>
      </c>
      <c r="X274">
        <f t="shared" ca="1" si="17"/>
        <v>9</v>
      </c>
      <c r="Y274">
        <f t="shared" ca="1" si="18"/>
        <v>6</v>
      </c>
      <c r="Z274">
        <f t="shared" ca="1" si="19"/>
        <v>3.3777986632604096</v>
      </c>
    </row>
    <row r="275" spans="6:26" x14ac:dyDescent="0.35">
      <c r="F275" cm="1">
        <f t="array" aca="1" ref="F275" ca="1">INDEX($D$2:$D$15,RANDBETWEEN(1,ROWS($D$2:$D$15)),1)</f>
        <v>4</v>
      </c>
      <c r="G275" cm="1">
        <f t="array" aca="1" ref="G275" ca="1">INDEX($D$2:$D$15,RANDBETWEEN(1,ROWS($D$2:$D$15)),1)</f>
        <v>12</v>
      </c>
      <c r="H275" cm="1">
        <f t="array" aca="1" ref="H275" ca="1">INDEX($D$2:$D$15,RANDBETWEEN(1,ROWS($D$2:$D$15)),1)</f>
        <v>9</v>
      </c>
      <c r="I275" cm="1">
        <f t="array" aca="1" ref="I275" ca="1">INDEX($D$2:$D$15,RANDBETWEEN(1,ROWS($D$2:$D$15)),1)</f>
        <v>13</v>
      </c>
      <c r="J275" cm="1">
        <f t="array" aca="1" ref="J275" ca="1">INDEX($D$2:$D$15,RANDBETWEEN(1,ROWS($D$2:$D$15)),1)</f>
        <v>13</v>
      </c>
      <c r="K275" cm="1">
        <f t="array" aca="1" ref="K275" ca="1">INDEX($D$2:$D$15,RANDBETWEEN(1,ROWS($D$2:$D$15)),1)</f>
        <v>11</v>
      </c>
      <c r="L275" cm="1">
        <f t="array" aca="1" ref="L275" ca="1">INDEX($D$2:$D$15,RANDBETWEEN(1,ROWS($D$2:$D$15)),1)</f>
        <v>13</v>
      </c>
      <c r="M275" cm="1">
        <f t="array" aca="1" ref="M275" ca="1">INDEX($D$2:$D$15,RANDBETWEEN(1,ROWS($D$2:$D$15)),1)</f>
        <v>9</v>
      </c>
      <c r="N275" cm="1">
        <f t="array" aca="1" ref="N275" ca="1">INDEX($D$2:$D$15,RANDBETWEEN(1,ROWS($D$2:$D$15)),1)</f>
        <v>9</v>
      </c>
      <c r="O275" cm="1">
        <f t="array" aca="1" ref="O275" ca="1">INDEX($D$2:$D$15,RANDBETWEEN(1,ROWS($D$2:$D$15)),1)</f>
        <v>4</v>
      </c>
      <c r="P275" cm="1">
        <f t="array" aca="1" ref="P275" ca="1">INDEX($D$2:$D$15,RANDBETWEEN(1,ROWS($D$2:$D$15)),1)</f>
        <v>3</v>
      </c>
      <c r="Q275" cm="1">
        <f t="array" aca="1" ref="Q275" ca="1">INDEX($D$2:$D$15,RANDBETWEEN(1,ROWS($D$2:$D$15)),1)</f>
        <v>9</v>
      </c>
      <c r="R275" cm="1">
        <f t="array" aca="1" ref="R275" ca="1">INDEX($D$2:$D$15,RANDBETWEEN(1,ROWS($D$2:$D$15)),1)</f>
        <v>2</v>
      </c>
      <c r="S275" cm="1">
        <f t="array" aca="1" ref="S275" ca="1">INDEX($D$2:$D$15,RANDBETWEEN(1,ROWS($D$2:$D$15)),1)</f>
        <v>10</v>
      </c>
      <c r="T275" cm="1">
        <f t="array" aca="1" ref="T275" ca="1">INDEX($D$2:$D$15,RANDBETWEEN(1,ROWS($D$2:$D$15)),1)</f>
        <v>9</v>
      </c>
      <c r="W275">
        <f t="shared" ca="1" si="16"/>
        <v>8.6666666666666661</v>
      </c>
      <c r="X275">
        <f t="shared" ca="1" si="17"/>
        <v>9</v>
      </c>
      <c r="Y275">
        <f t="shared" ca="1" si="18"/>
        <v>5</v>
      </c>
      <c r="Z275">
        <f t="shared" ca="1" si="19"/>
        <v>3.735288603626358</v>
      </c>
    </row>
    <row r="276" spans="6:26" x14ac:dyDescent="0.35">
      <c r="F276" cm="1">
        <f t="array" aca="1" ref="F276" ca="1">INDEX($D$2:$D$15,RANDBETWEEN(1,ROWS($D$2:$D$15)),1)</f>
        <v>4</v>
      </c>
      <c r="G276" cm="1">
        <f t="array" aca="1" ref="G276" ca="1">INDEX($D$2:$D$15,RANDBETWEEN(1,ROWS($D$2:$D$15)),1)</f>
        <v>4</v>
      </c>
      <c r="H276" cm="1">
        <f t="array" aca="1" ref="H276" ca="1">INDEX($D$2:$D$15,RANDBETWEEN(1,ROWS($D$2:$D$15)),1)</f>
        <v>9</v>
      </c>
      <c r="I276" cm="1">
        <f t="array" aca="1" ref="I276" ca="1">INDEX($D$2:$D$15,RANDBETWEEN(1,ROWS($D$2:$D$15)),1)</f>
        <v>4</v>
      </c>
      <c r="J276" cm="1">
        <f t="array" aca="1" ref="J276" ca="1">INDEX($D$2:$D$15,RANDBETWEEN(1,ROWS($D$2:$D$15)),1)</f>
        <v>4</v>
      </c>
      <c r="K276" cm="1">
        <f t="array" aca="1" ref="K276" ca="1">INDEX($D$2:$D$15,RANDBETWEEN(1,ROWS($D$2:$D$15)),1)</f>
        <v>10</v>
      </c>
      <c r="L276" cm="1">
        <f t="array" aca="1" ref="L276" ca="1">INDEX($D$2:$D$15,RANDBETWEEN(1,ROWS($D$2:$D$15)),1)</f>
        <v>13</v>
      </c>
      <c r="M276" cm="1">
        <f t="array" aca="1" ref="M276" ca="1">INDEX($D$2:$D$15,RANDBETWEEN(1,ROWS($D$2:$D$15)),1)</f>
        <v>8</v>
      </c>
      <c r="N276" cm="1">
        <f t="array" aca="1" ref="N276" ca="1">INDEX($D$2:$D$15,RANDBETWEEN(1,ROWS($D$2:$D$15)),1)</f>
        <v>10</v>
      </c>
      <c r="O276" cm="1">
        <f t="array" aca="1" ref="O276" ca="1">INDEX($D$2:$D$15,RANDBETWEEN(1,ROWS($D$2:$D$15)),1)</f>
        <v>4</v>
      </c>
      <c r="P276" cm="1">
        <f t="array" aca="1" ref="P276" ca="1">INDEX($D$2:$D$15,RANDBETWEEN(1,ROWS($D$2:$D$15)),1)</f>
        <v>10</v>
      </c>
      <c r="Q276" cm="1">
        <f t="array" aca="1" ref="Q276" ca="1">INDEX($D$2:$D$15,RANDBETWEEN(1,ROWS($D$2:$D$15)),1)</f>
        <v>11</v>
      </c>
      <c r="R276" cm="1">
        <f t="array" aca="1" ref="R276" ca="1">INDEX($D$2:$D$15,RANDBETWEEN(1,ROWS($D$2:$D$15)),1)</f>
        <v>10</v>
      </c>
      <c r="S276" cm="1">
        <f t="array" aca="1" ref="S276" ca="1">INDEX($D$2:$D$15,RANDBETWEEN(1,ROWS($D$2:$D$15)),1)</f>
        <v>11</v>
      </c>
      <c r="T276" cm="1">
        <f t="array" aca="1" ref="T276" ca="1">INDEX($D$2:$D$15,RANDBETWEEN(1,ROWS($D$2:$D$15)),1)</f>
        <v>9</v>
      </c>
      <c r="W276">
        <f t="shared" ca="1" si="16"/>
        <v>8.0666666666666664</v>
      </c>
      <c r="X276">
        <f t="shared" ca="1" si="17"/>
        <v>9</v>
      </c>
      <c r="Y276">
        <f t="shared" ca="1" si="18"/>
        <v>6</v>
      </c>
      <c r="Z276">
        <f t="shared" ca="1" si="19"/>
        <v>3.1728010758108778</v>
      </c>
    </row>
    <row r="277" spans="6:26" x14ac:dyDescent="0.35">
      <c r="F277" cm="1">
        <f t="array" aca="1" ref="F277" ca="1">INDEX($D$2:$D$15,RANDBETWEEN(1,ROWS($D$2:$D$15)),1)</f>
        <v>10</v>
      </c>
      <c r="G277" cm="1">
        <f t="array" aca="1" ref="G277" ca="1">INDEX($D$2:$D$15,RANDBETWEEN(1,ROWS($D$2:$D$15)),1)</f>
        <v>3</v>
      </c>
      <c r="H277" cm="1">
        <f t="array" aca="1" ref="H277" ca="1">INDEX($D$2:$D$15,RANDBETWEEN(1,ROWS($D$2:$D$15)),1)</f>
        <v>3</v>
      </c>
      <c r="I277" cm="1">
        <f t="array" aca="1" ref="I277" ca="1">INDEX($D$2:$D$15,RANDBETWEEN(1,ROWS($D$2:$D$15)),1)</f>
        <v>9</v>
      </c>
      <c r="J277" cm="1">
        <f t="array" aca="1" ref="J277" ca="1">INDEX($D$2:$D$15,RANDBETWEEN(1,ROWS($D$2:$D$15)),1)</f>
        <v>12</v>
      </c>
      <c r="K277" cm="1">
        <f t="array" aca="1" ref="K277" ca="1">INDEX($D$2:$D$15,RANDBETWEEN(1,ROWS($D$2:$D$15)),1)</f>
        <v>10</v>
      </c>
      <c r="L277" cm="1">
        <f t="array" aca="1" ref="L277" ca="1">INDEX($D$2:$D$15,RANDBETWEEN(1,ROWS($D$2:$D$15)),1)</f>
        <v>11</v>
      </c>
      <c r="M277" cm="1">
        <f t="array" aca="1" ref="M277" ca="1">INDEX($D$2:$D$15,RANDBETWEEN(1,ROWS($D$2:$D$15)),1)</f>
        <v>13</v>
      </c>
      <c r="N277" cm="1">
        <f t="array" aca="1" ref="N277" ca="1">INDEX($D$2:$D$15,RANDBETWEEN(1,ROWS($D$2:$D$15)),1)</f>
        <v>12</v>
      </c>
      <c r="O277" cm="1">
        <f t="array" aca="1" ref="O277" ca="1">INDEX($D$2:$D$15,RANDBETWEEN(1,ROWS($D$2:$D$15)),1)</f>
        <v>13</v>
      </c>
      <c r="P277" cm="1">
        <f t="array" aca="1" ref="P277" ca="1">INDEX($D$2:$D$15,RANDBETWEEN(1,ROWS($D$2:$D$15)),1)</f>
        <v>3</v>
      </c>
      <c r="Q277" cm="1">
        <f t="array" aca="1" ref="Q277" ca="1">INDEX($D$2:$D$15,RANDBETWEEN(1,ROWS($D$2:$D$15)),1)</f>
        <v>9</v>
      </c>
      <c r="R277" cm="1">
        <f t="array" aca="1" ref="R277" ca="1">INDEX($D$2:$D$15,RANDBETWEEN(1,ROWS($D$2:$D$15)),1)</f>
        <v>9</v>
      </c>
      <c r="S277" cm="1">
        <f t="array" aca="1" ref="S277" ca="1">INDEX($D$2:$D$15,RANDBETWEEN(1,ROWS($D$2:$D$15)),1)</f>
        <v>4</v>
      </c>
      <c r="T277" cm="1">
        <f t="array" aca="1" ref="T277" ca="1">INDEX($D$2:$D$15,RANDBETWEEN(1,ROWS($D$2:$D$15)),1)</f>
        <v>8</v>
      </c>
      <c r="W277">
        <f t="shared" ca="1" si="16"/>
        <v>8.6</v>
      </c>
      <c r="X277">
        <f t="shared" ca="1" si="17"/>
        <v>9</v>
      </c>
      <c r="Y277">
        <f t="shared" ca="1" si="18"/>
        <v>5.5</v>
      </c>
      <c r="Z277">
        <f t="shared" ca="1" si="19"/>
        <v>3.6606010435446246</v>
      </c>
    </row>
    <row r="278" spans="6:26" x14ac:dyDescent="0.35">
      <c r="F278" cm="1">
        <f t="array" aca="1" ref="F278" ca="1">INDEX($D$2:$D$15,RANDBETWEEN(1,ROWS($D$2:$D$15)),1)</f>
        <v>4</v>
      </c>
      <c r="G278" cm="1">
        <f t="array" aca="1" ref="G278" ca="1">INDEX($D$2:$D$15,RANDBETWEEN(1,ROWS($D$2:$D$15)),1)</f>
        <v>9</v>
      </c>
      <c r="H278" cm="1">
        <f t="array" aca="1" ref="H278" ca="1">INDEX($D$2:$D$15,RANDBETWEEN(1,ROWS($D$2:$D$15)),1)</f>
        <v>8</v>
      </c>
      <c r="I278" cm="1">
        <f t="array" aca="1" ref="I278" ca="1">INDEX($D$2:$D$15,RANDBETWEEN(1,ROWS($D$2:$D$15)),1)</f>
        <v>9</v>
      </c>
      <c r="J278" cm="1">
        <f t="array" aca="1" ref="J278" ca="1">INDEX($D$2:$D$15,RANDBETWEEN(1,ROWS($D$2:$D$15)),1)</f>
        <v>12</v>
      </c>
      <c r="K278" cm="1">
        <f t="array" aca="1" ref="K278" ca="1">INDEX($D$2:$D$15,RANDBETWEEN(1,ROWS($D$2:$D$15)),1)</f>
        <v>9</v>
      </c>
      <c r="L278" cm="1">
        <f t="array" aca="1" ref="L278" ca="1">INDEX($D$2:$D$15,RANDBETWEEN(1,ROWS($D$2:$D$15)),1)</f>
        <v>8</v>
      </c>
      <c r="M278" cm="1">
        <f t="array" aca="1" ref="M278" ca="1">INDEX($D$2:$D$15,RANDBETWEEN(1,ROWS($D$2:$D$15)),1)</f>
        <v>3</v>
      </c>
      <c r="N278" cm="1">
        <f t="array" aca="1" ref="N278" ca="1">INDEX($D$2:$D$15,RANDBETWEEN(1,ROWS($D$2:$D$15)),1)</f>
        <v>8</v>
      </c>
      <c r="O278" cm="1">
        <f t="array" aca="1" ref="O278" ca="1">INDEX($D$2:$D$15,RANDBETWEEN(1,ROWS($D$2:$D$15)),1)</f>
        <v>13</v>
      </c>
      <c r="P278" cm="1">
        <f t="array" aca="1" ref="P278" ca="1">INDEX($D$2:$D$15,RANDBETWEEN(1,ROWS($D$2:$D$15)),1)</f>
        <v>2</v>
      </c>
      <c r="Q278" cm="1">
        <f t="array" aca="1" ref="Q278" ca="1">INDEX($D$2:$D$15,RANDBETWEEN(1,ROWS($D$2:$D$15)),1)</f>
        <v>3</v>
      </c>
      <c r="R278" cm="1">
        <f t="array" aca="1" ref="R278" ca="1">INDEX($D$2:$D$15,RANDBETWEEN(1,ROWS($D$2:$D$15)),1)</f>
        <v>4</v>
      </c>
      <c r="S278" cm="1">
        <f t="array" aca="1" ref="S278" ca="1">INDEX($D$2:$D$15,RANDBETWEEN(1,ROWS($D$2:$D$15)),1)</f>
        <v>13</v>
      </c>
      <c r="T278" cm="1">
        <f t="array" aca="1" ref="T278" ca="1">INDEX($D$2:$D$15,RANDBETWEEN(1,ROWS($D$2:$D$15)),1)</f>
        <v>12</v>
      </c>
      <c r="W278">
        <f t="shared" ca="1" si="16"/>
        <v>7.8</v>
      </c>
      <c r="X278">
        <f t="shared" ca="1" si="17"/>
        <v>8</v>
      </c>
      <c r="Y278">
        <f t="shared" ca="1" si="18"/>
        <v>6.5</v>
      </c>
      <c r="Z278">
        <f t="shared" ca="1" si="19"/>
        <v>3.8022549700332902</v>
      </c>
    </row>
    <row r="279" spans="6:26" x14ac:dyDescent="0.35">
      <c r="F279" cm="1">
        <f t="array" aca="1" ref="F279" ca="1">INDEX($D$2:$D$15,RANDBETWEEN(1,ROWS($D$2:$D$15)),1)</f>
        <v>2</v>
      </c>
      <c r="G279" cm="1">
        <f t="array" aca="1" ref="G279" ca="1">INDEX($D$2:$D$15,RANDBETWEEN(1,ROWS($D$2:$D$15)),1)</f>
        <v>4</v>
      </c>
      <c r="H279" cm="1">
        <f t="array" aca="1" ref="H279" ca="1">INDEX($D$2:$D$15,RANDBETWEEN(1,ROWS($D$2:$D$15)),1)</f>
        <v>3</v>
      </c>
      <c r="I279" cm="1">
        <f t="array" aca="1" ref="I279" ca="1">INDEX($D$2:$D$15,RANDBETWEEN(1,ROWS($D$2:$D$15)),1)</f>
        <v>12</v>
      </c>
      <c r="J279" cm="1">
        <f t="array" aca="1" ref="J279" ca="1">INDEX($D$2:$D$15,RANDBETWEEN(1,ROWS($D$2:$D$15)),1)</f>
        <v>9</v>
      </c>
      <c r="K279" cm="1">
        <f t="array" aca="1" ref="K279" ca="1">INDEX($D$2:$D$15,RANDBETWEEN(1,ROWS($D$2:$D$15)),1)</f>
        <v>4</v>
      </c>
      <c r="L279" cm="1">
        <f t="array" aca="1" ref="L279" ca="1">INDEX($D$2:$D$15,RANDBETWEEN(1,ROWS($D$2:$D$15)),1)</f>
        <v>12</v>
      </c>
      <c r="M279" cm="1">
        <f t="array" aca="1" ref="M279" ca="1">INDEX($D$2:$D$15,RANDBETWEEN(1,ROWS($D$2:$D$15)),1)</f>
        <v>12</v>
      </c>
      <c r="N279" cm="1">
        <f t="array" aca="1" ref="N279" ca="1">INDEX($D$2:$D$15,RANDBETWEEN(1,ROWS($D$2:$D$15)),1)</f>
        <v>9</v>
      </c>
      <c r="O279" cm="1">
        <f t="array" aca="1" ref="O279" ca="1">INDEX($D$2:$D$15,RANDBETWEEN(1,ROWS($D$2:$D$15)),1)</f>
        <v>9</v>
      </c>
      <c r="P279" cm="1">
        <f t="array" aca="1" ref="P279" ca="1">INDEX($D$2:$D$15,RANDBETWEEN(1,ROWS($D$2:$D$15)),1)</f>
        <v>4</v>
      </c>
      <c r="Q279" cm="1">
        <f t="array" aca="1" ref="Q279" ca="1">INDEX($D$2:$D$15,RANDBETWEEN(1,ROWS($D$2:$D$15)),1)</f>
        <v>4</v>
      </c>
      <c r="R279" cm="1">
        <f t="array" aca="1" ref="R279" ca="1">INDEX($D$2:$D$15,RANDBETWEEN(1,ROWS($D$2:$D$15)),1)</f>
        <v>2</v>
      </c>
      <c r="S279" cm="1">
        <f t="array" aca="1" ref="S279" ca="1">INDEX($D$2:$D$15,RANDBETWEEN(1,ROWS($D$2:$D$15)),1)</f>
        <v>4</v>
      </c>
      <c r="T279" cm="1">
        <f t="array" aca="1" ref="T279" ca="1">INDEX($D$2:$D$15,RANDBETWEEN(1,ROWS($D$2:$D$15)),1)</f>
        <v>12</v>
      </c>
      <c r="W279">
        <f t="shared" ca="1" si="16"/>
        <v>6.8</v>
      </c>
      <c r="X279">
        <f t="shared" ca="1" si="17"/>
        <v>4</v>
      </c>
      <c r="Y279">
        <f t="shared" ca="1" si="18"/>
        <v>6.5</v>
      </c>
      <c r="Z279">
        <f t="shared" ca="1" si="19"/>
        <v>3.9856886839935561</v>
      </c>
    </row>
    <row r="280" spans="6:26" x14ac:dyDescent="0.35">
      <c r="F280" cm="1">
        <f t="array" aca="1" ref="F280" ca="1">INDEX($D$2:$D$15,RANDBETWEEN(1,ROWS($D$2:$D$15)),1)</f>
        <v>10</v>
      </c>
      <c r="G280" cm="1">
        <f t="array" aca="1" ref="G280" ca="1">INDEX($D$2:$D$15,RANDBETWEEN(1,ROWS($D$2:$D$15)),1)</f>
        <v>8</v>
      </c>
      <c r="H280" cm="1">
        <f t="array" aca="1" ref="H280" ca="1">INDEX($D$2:$D$15,RANDBETWEEN(1,ROWS($D$2:$D$15)),1)</f>
        <v>8</v>
      </c>
      <c r="I280" cm="1">
        <f t="array" aca="1" ref="I280" ca="1">INDEX($D$2:$D$15,RANDBETWEEN(1,ROWS($D$2:$D$15)),1)</f>
        <v>12</v>
      </c>
      <c r="J280" cm="1">
        <f t="array" aca="1" ref="J280" ca="1">INDEX($D$2:$D$15,RANDBETWEEN(1,ROWS($D$2:$D$15)),1)</f>
        <v>8</v>
      </c>
      <c r="K280" cm="1">
        <f t="array" aca="1" ref="K280" ca="1">INDEX($D$2:$D$15,RANDBETWEEN(1,ROWS($D$2:$D$15)),1)</f>
        <v>4</v>
      </c>
      <c r="L280" cm="1">
        <f t="array" aca="1" ref="L280" ca="1">INDEX($D$2:$D$15,RANDBETWEEN(1,ROWS($D$2:$D$15)),1)</f>
        <v>9</v>
      </c>
      <c r="M280" cm="1">
        <f t="array" aca="1" ref="M280" ca="1">INDEX($D$2:$D$15,RANDBETWEEN(1,ROWS($D$2:$D$15)),1)</f>
        <v>4</v>
      </c>
      <c r="N280" cm="1">
        <f t="array" aca="1" ref="N280" ca="1">INDEX($D$2:$D$15,RANDBETWEEN(1,ROWS($D$2:$D$15)),1)</f>
        <v>12</v>
      </c>
      <c r="O280" cm="1">
        <f t="array" aca="1" ref="O280" ca="1">INDEX($D$2:$D$15,RANDBETWEEN(1,ROWS($D$2:$D$15)),1)</f>
        <v>10</v>
      </c>
      <c r="P280" cm="1">
        <f t="array" aca="1" ref="P280" ca="1">INDEX($D$2:$D$15,RANDBETWEEN(1,ROWS($D$2:$D$15)),1)</f>
        <v>4</v>
      </c>
      <c r="Q280" cm="1">
        <f t="array" aca="1" ref="Q280" ca="1">INDEX($D$2:$D$15,RANDBETWEEN(1,ROWS($D$2:$D$15)),1)</f>
        <v>4</v>
      </c>
      <c r="R280" cm="1">
        <f t="array" aca="1" ref="R280" ca="1">INDEX($D$2:$D$15,RANDBETWEEN(1,ROWS($D$2:$D$15)),1)</f>
        <v>10</v>
      </c>
      <c r="S280" cm="1">
        <f t="array" aca="1" ref="S280" ca="1">INDEX($D$2:$D$15,RANDBETWEEN(1,ROWS($D$2:$D$15)),1)</f>
        <v>4</v>
      </c>
      <c r="T280" cm="1">
        <f t="array" aca="1" ref="T280" ca="1">INDEX($D$2:$D$15,RANDBETWEEN(1,ROWS($D$2:$D$15)),1)</f>
        <v>13</v>
      </c>
      <c r="W280">
        <f t="shared" ca="1" si="16"/>
        <v>8</v>
      </c>
      <c r="X280">
        <f t="shared" ca="1" si="17"/>
        <v>8</v>
      </c>
      <c r="Y280">
        <f t="shared" ca="1" si="18"/>
        <v>6</v>
      </c>
      <c r="Z280">
        <f t="shared" ca="1" si="19"/>
        <v>3.2732683535398857</v>
      </c>
    </row>
    <row r="281" spans="6:26" x14ac:dyDescent="0.35">
      <c r="F281" cm="1">
        <f t="array" aca="1" ref="F281" ca="1">INDEX($D$2:$D$15,RANDBETWEEN(1,ROWS($D$2:$D$15)),1)</f>
        <v>12</v>
      </c>
      <c r="G281" cm="1">
        <f t="array" aca="1" ref="G281" ca="1">INDEX($D$2:$D$15,RANDBETWEEN(1,ROWS($D$2:$D$15)),1)</f>
        <v>12</v>
      </c>
      <c r="H281" cm="1">
        <f t="array" aca="1" ref="H281" ca="1">INDEX($D$2:$D$15,RANDBETWEEN(1,ROWS($D$2:$D$15)),1)</f>
        <v>8</v>
      </c>
      <c r="I281" cm="1">
        <f t="array" aca="1" ref="I281" ca="1">INDEX($D$2:$D$15,RANDBETWEEN(1,ROWS($D$2:$D$15)),1)</f>
        <v>9</v>
      </c>
      <c r="J281" cm="1">
        <f t="array" aca="1" ref="J281" ca="1">INDEX($D$2:$D$15,RANDBETWEEN(1,ROWS($D$2:$D$15)),1)</f>
        <v>3</v>
      </c>
      <c r="K281" cm="1">
        <f t="array" aca="1" ref="K281" ca="1">INDEX($D$2:$D$15,RANDBETWEEN(1,ROWS($D$2:$D$15)),1)</f>
        <v>4</v>
      </c>
      <c r="L281" cm="1">
        <f t="array" aca="1" ref="L281" ca="1">INDEX($D$2:$D$15,RANDBETWEEN(1,ROWS($D$2:$D$15)),1)</f>
        <v>4</v>
      </c>
      <c r="M281" cm="1">
        <f t="array" aca="1" ref="M281" ca="1">INDEX($D$2:$D$15,RANDBETWEEN(1,ROWS($D$2:$D$15)),1)</f>
        <v>9</v>
      </c>
      <c r="N281" cm="1">
        <f t="array" aca="1" ref="N281" ca="1">INDEX($D$2:$D$15,RANDBETWEEN(1,ROWS($D$2:$D$15)),1)</f>
        <v>4</v>
      </c>
      <c r="O281" cm="1">
        <f t="array" aca="1" ref="O281" ca="1">INDEX($D$2:$D$15,RANDBETWEEN(1,ROWS($D$2:$D$15)),1)</f>
        <v>9</v>
      </c>
      <c r="P281" cm="1">
        <f t="array" aca="1" ref="P281" ca="1">INDEX($D$2:$D$15,RANDBETWEEN(1,ROWS($D$2:$D$15)),1)</f>
        <v>3</v>
      </c>
      <c r="Q281" cm="1">
        <f t="array" aca="1" ref="Q281" ca="1">INDEX($D$2:$D$15,RANDBETWEEN(1,ROWS($D$2:$D$15)),1)</f>
        <v>2</v>
      </c>
      <c r="R281" cm="1">
        <f t="array" aca="1" ref="R281" ca="1">INDEX($D$2:$D$15,RANDBETWEEN(1,ROWS($D$2:$D$15)),1)</f>
        <v>13</v>
      </c>
      <c r="S281" cm="1">
        <f t="array" aca="1" ref="S281" ca="1">INDEX($D$2:$D$15,RANDBETWEEN(1,ROWS($D$2:$D$15)),1)</f>
        <v>12</v>
      </c>
      <c r="T281" cm="1">
        <f t="array" aca="1" ref="T281" ca="1">INDEX($D$2:$D$15,RANDBETWEEN(1,ROWS($D$2:$D$15)),1)</f>
        <v>3</v>
      </c>
      <c r="W281">
        <f t="shared" ca="1" si="16"/>
        <v>7.1333333333333337</v>
      </c>
      <c r="X281">
        <f t="shared" ca="1" si="17"/>
        <v>8</v>
      </c>
      <c r="Y281">
        <f t="shared" ca="1" si="18"/>
        <v>7</v>
      </c>
      <c r="Z281">
        <f t="shared" ca="1" si="19"/>
        <v>3.9976183385801578</v>
      </c>
    </row>
    <row r="282" spans="6:26" x14ac:dyDescent="0.35">
      <c r="F282" cm="1">
        <f t="array" aca="1" ref="F282" ca="1">INDEX($D$2:$D$15,RANDBETWEEN(1,ROWS($D$2:$D$15)),1)</f>
        <v>12</v>
      </c>
      <c r="G282" cm="1">
        <f t="array" aca="1" ref="G282" ca="1">INDEX($D$2:$D$15,RANDBETWEEN(1,ROWS($D$2:$D$15)),1)</f>
        <v>9</v>
      </c>
      <c r="H282" cm="1">
        <f t="array" aca="1" ref="H282" ca="1">INDEX($D$2:$D$15,RANDBETWEEN(1,ROWS($D$2:$D$15)),1)</f>
        <v>9</v>
      </c>
      <c r="I282" cm="1">
        <f t="array" aca="1" ref="I282" ca="1">INDEX($D$2:$D$15,RANDBETWEEN(1,ROWS($D$2:$D$15)),1)</f>
        <v>8</v>
      </c>
      <c r="J282" cm="1">
        <f t="array" aca="1" ref="J282" ca="1">INDEX($D$2:$D$15,RANDBETWEEN(1,ROWS($D$2:$D$15)),1)</f>
        <v>11</v>
      </c>
      <c r="K282" cm="1">
        <f t="array" aca="1" ref="K282" ca="1">INDEX($D$2:$D$15,RANDBETWEEN(1,ROWS($D$2:$D$15)),1)</f>
        <v>4</v>
      </c>
      <c r="L282" cm="1">
        <f t="array" aca="1" ref="L282" ca="1">INDEX($D$2:$D$15,RANDBETWEEN(1,ROWS($D$2:$D$15)),1)</f>
        <v>12</v>
      </c>
      <c r="M282" cm="1">
        <f t="array" aca="1" ref="M282" ca="1">INDEX($D$2:$D$15,RANDBETWEEN(1,ROWS($D$2:$D$15)),1)</f>
        <v>9</v>
      </c>
      <c r="N282" cm="1">
        <f t="array" aca="1" ref="N282" ca="1">INDEX($D$2:$D$15,RANDBETWEEN(1,ROWS($D$2:$D$15)),1)</f>
        <v>2</v>
      </c>
      <c r="O282" cm="1">
        <f t="array" aca="1" ref="O282" ca="1">INDEX($D$2:$D$15,RANDBETWEEN(1,ROWS($D$2:$D$15)),1)</f>
        <v>12</v>
      </c>
      <c r="P282" cm="1">
        <f t="array" aca="1" ref="P282" ca="1">INDEX($D$2:$D$15,RANDBETWEEN(1,ROWS($D$2:$D$15)),1)</f>
        <v>12</v>
      </c>
      <c r="Q282" cm="1">
        <f t="array" aca="1" ref="Q282" ca="1">INDEX($D$2:$D$15,RANDBETWEEN(1,ROWS($D$2:$D$15)),1)</f>
        <v>9</v>
      </c>
      <c r="R282" cm="1">
        <f t="array" aca="1" ref="R282" ca="1">INDEX($D$2:$D$15,RANDBETWEEN(1,ROWS($D$2:$D$15)),1)</f>
        <v>4</v>
      </c>
      <c r="S282" cm="1">
        <f t="array" aca="1" ref="S282" ca="1">INDEX($D$2:$D$15,RANDBETWEEN(1,ROWS($D$2:$D$15)),1)</f>
        <v>11</v>
      </c>
      <c r="T282" cm="1">
        <f t="array" aca="1" ref="T282" ca="1">INDEX($D$2:$D$15,RANDBETWEEN(1,ROWS($D$2:$D$15)),1)</f>
        <v>2</v>
      </c>
      <c r="W282">
        <f t="shared" ca="1" si="16"/>
        <v>8.4</v>
      </c>
      <c r="X282">
        <f t="shared" ca="1" si="17"/>
        <v>9</v>
      </c>
      <c r="Y282">
        <f t="shared" ca="1" si="18"/>
        <v>5.5</v>
      </c>
      <c r="Z282">
        <f t="shared" ca="1" si="19"/>
        <v>3.6606010435446246</v>
      </c>
    </row>
    <row r="283" spans="6:26" x14ac:dyDescent="0.35">
      <c r="F283" cm="1">
        <f t="array" aca="1" ref="F283" ca="1">INDEX($D$2:$D$15,RANDBETWEEN(1,ROWS($D$2:$D$15)),1)</f>
        <v>8</v>
      </c>
      <c r="G283" cm="1">
        <f t="array" aca="1" ref="G283" ca="1">INDEX($D$2:$D$15,RANDBETWEEN(1,ROWS($D$2:$D$15)),1)</f>
        <v>12</v>
      </c>
      <c r="H283" cm="1">
        <f t="array" aca="1" ref="H283" ca="1">INDEX($D$2:$D$15,RANDBETWEEN(1,ROWS($D$2:$D$15)),1)</f>
        <v>4</v>
      </c>
      <c r="I283" cm="1">
        <f t="array" aca="1" ref="I283" ca="1">INDEX($D$2:$D$15,RANDBETWEEN(1,ROWS($D$2:$D$15)),1)</f>
        <v>12</v>
      </c>
      <c r="J283" cm="1">
        <f t="array" aca="1" ref="J283" ca="1">INDEX($D$2:$D$15,RANDBETWEEN(1,ROWS($D$2:$D$15)),1)</f>
        <v>4</v>
      </c>
      <c r="K283" cm="1">
        <f t="array" aca="1" ref="K283" ca="1">INDEX($D$2:$D$15,RANDBETWEEN(1,ROWS($D$2:$D$15)),1)</f>
        <v>4</v>
      </c>
      <c r="L283" cm="1">
        <f t="array" aca="1" ref="L283" ca="1">INDEX($D$2:$D$15,RANDBETWEEN(1,ROWS($D$2:$D$15)),1)</f>
        <v>9</v>
      </c>
      <c r="M283" cm="1">
        <f t="array" aca="1" ref="M283" ca="1">INDEX($D$2:$D$15,RANDBETWEEN(1,ROWS($D$2:$D$15)),1)</f>
        <v>13</v>
      </c>
      <c r="N283" cm="1">
        <f t="array" aca="1" ref="N283" ca="1">INDEX($D$2:$D$15,RANDBETWEEN(1,ROWS($D$2:$D$15)),1)</f>
        <v>11</v>
      </c>
      <c r="O283" cm="1">
        <f t="array" aca="1" ref="O283" ca="1">INDEX($D$2:$D$15,RANDBETWEEN(1,ROWS($D$2:$D$15)),1)</f>
        <v>12</v>
      </c>
      <c r="P283" cm="1">
        <f t="array" aca="1" ref="P283" ca="1">INDEX($D$2:$D$15,RANDBETWEEN(1,ROWS($D$2:$D$15)),1)</f>
        <v>4</v>
      </c>
      <c r="Q283" cm="1">
        <f t="array" aca="1" ref="Q283" ca="1">INDEX($D$2:$D$15,RANDBETWEEN(1,ROWS($D$2:$D$15)),1)</f>
        <v>4</v>
      </c>
      <c r="R283" cm="1">
        <f t="array" aca="1" ref="R283" ca="1">INDEX($D$2:$D$15,RANDBETWEEN(1,ROWS($D$2:$D$15)),1)</f>
        <v>9</v>
      </c>
      <c r="S283" cm="1">
        <f t="array" aca="1" ref="S283" ca="1">INDEX($D$2:$D$15,RANDBETWEEN(1,ROWS($D$2:$D$15)),1)</f>
        <v>8</v>
      </c>
      <c r="T283" cm="1">
        <f t="array" aca="1" ref="T283" ca="1">INDEX($D$2:$D$15,RANDBETWEEN(1,ROWS($D$2:$D$15)),1)</f>
        <v>3</v>
      </c>
      <c r="W283">
        <f t="shared" ca="1" si="16"/>
        <v>7.8</v>
      </c>
      <c r="X283">
        <f t="shared" ca="1" si="17"/>
        <v>8</v>
      </c>
      <c r="Y283">
        <f t="shared" ca="1" si="18"/>
        <v>7.5</v>
      </c>
      <c r="Z283">
        <f t="shared" ca="1" si="19"/>
        <v>3.6683978597124463</v>
      </c>
    </row>
    <row r="284" spans="6:26" x14ac:dyDescent="0.35">
      <c r="F284" cm="1">
        <f t="array" aca="1" ref="F284" ca="1">INDEX($D$2:$D$15,RANDBETWEEN(1,ROWS($D$2:$D$15)),1)</f>
        <v>13</v>
      </c>
      <c r="G284" cm="1">
        <f t="array" aca="1" ref="G284" ca="1">INDEX($D$2:$D$15,RANDBETWEEN(1,ROWS($D$2:$D$15)),1)</f>
        <v>13</v>
      </c>
      <c r="H284" cm="1">
        <f t="array" aca="1" ref="H284" ca="1">INDEX($D$2:$D$15,RANDBETWEEN(1,ROWS($D$2:$D$15)),1)</f>
        <v>9</v>
      </c>
      <c r="I284" cm="1">
        <f t="array" aca="1" ref="I284" ca="1">INDEX($D$2:$D$15,RANDBETWEEN(1,ROWS($D$2:$D$15)),1)</f>
        <v>12</v>
      </c>
      <c r="J284" cm="1">
        <f t="array" aca="1" ref="J284" ca="1">INDEX($D$2:$D$15,RANDBETWEEN(1,ROWS($D$2:$D$15)),1)</f>
        <v>4</v>
      </c>
      <c r="K284" cm="1">
        <f t="array" aca="1" ref="K284" ca="1">INDEX($D$2:$D$15,RANDBETWEEN(1,ROWS($D$2:$D$15)),1)</f>
        <v>8</v>
      </c>
      <c r="L284" cm="1">
        <f t="array" aca="1" ref="L284" ca="1">INDEX($D$2:$D$15,RANDBETWEEN(1,ROWS($D$2:$D$15)),1)</f>
        <v>4</v>
      </c>
      <c r="M284" cm="1">
        <f t="array" aca="1" ref="M284" ca="1">INDEX($D$2:$D$15,RANDBETWEEN(1,ROWS($D$2:$D$15)),1)</f>
        <v>10</v>
      </c>
      <c r="N284" cm="1">
        <f t="array" aca="1" ref="N284" ca="1">INDEX($D$2:$D$15,RANDBETWEEN(1,ROWS($D$2:$D$15)),1)</f>
        <v>9</v>
      </c>
      <c r="O284" cm="1">
        <f t="array" aca="1" ref="O284" ca="1">INDEX($D$2:$D$15,RANDBETWEEN(1,ROWS($D$2:$D$15)),1)</f>
        <v>8</v>
      </c>
      <c r="P284" cm="1">
        <f t="array" aca="1" ref="P284" ca="1">INDEX($D$2:$D$15,RANDBETWEEN(1,ROWS($D$2:$D$15)),1)</f>
        <v>13</v>
      </c>
      <c r="Q284" cm="1">
        <f t="array" aca="1" ref="Q284" ca="1">INDEX($D$2:$D$15,RANDBETWEEN(1,ROWS($D$2:$D$15)),1)</f>
        <v>9</v>
      </c>
      <c r="R284" cm="1">
        <f t="array" aca="1" ref="R284" ca="1">INDEX($D$2:$D$15,RANDBETWEEN(1,ROWS($D$2:$D$15)),1)</f>
        <v>2</v>
      </c>
      <c r="S284" cm="1">
        <f t="array" aca="1" ref="S284" ca="1">INDEX($D$2:$D$15,RANDBETWEEN(1,ROWS($D$2:$D$15)),1)</f>
        <v>3</v>
      </c>
      <c r="T284" cm="1">
        <f t="array" aca="1" ref="T284" ca="1">INDEX($D$2:$D$15,RANDBETWEEN(1,ROWS($D$2:$D$15)),1)</f>
        <v>12</v>
      </c>
      <c r="W284">
        <f t="shared" ca="1" si="16"/>
        <v>8.6</v>
      </c>
      <c r="X284">
        <f t="shared" ca="1" si="17"/>
        <v>9</v>
      </c>
      <c r="Y284">
        <f t="shared" ca="1" si="18"/>
        <v>6</v>
      </c>
      <c r="Z284">
        <f t="shared" ca="1" si="19"/>
        <v>3.7947331922020542</v>
      </c>
    </row>
    <row r="285" spans="6:26" x14ac:dyDescent="0.35">
      <c r="F285" cm="1">
        <f t="array" aca="1" ref="F285" ca="1">INDEX($D$2:$D$15,RANDBETWEEN(1,ROWS($D$2:$D$15)),1)</f>
        <v>10</v>
      </c>
      <c r="G285" cm="1">
        <f t="array" aca="1" ref="G285" ca="1">INDEX($D$2:$D$15,RANDBETWEEN(1,ROWS($D$2:$D$15)),1)</f>
        <v>4</v>
      </c>
      <c r="H285" cm="1">
        <f t="array" aca="1" ref="H285" ca="1">INDEX($D$2:$D$15,RANDBETWEEN(1,ROWS($D$2:$D$15)),1)</f>
        <v>12</v>
      </c>
      <c r="I285" cm="1">
        <f t="array" aca="1" ref="I285" ca="1">INDEX($D$2:$D$15,RANDBETWEEN(1,ROWS($D$2:$D$15)),1)</f>
        <v>11</v>
      </c>
      <c r="J285" cm="1">
        <f t="array" aca="1" ref="J285" ca="1">INDEX($D$2:$D$15,RANDBETWEEN(1,ROWS($D$2:$D$15)),1)</f>
        <v>8</v>
      </c>
      <c r="K285" cm="1">
        <f t="array" aca="1" ref="K285" ca="1">INDEX($D$2:$D$15,RANDBETWEEN(1,ROWS($D$2:$D$15)),1)</f>
        <v>9</v>
      </c>
      <c r="L285" cm="1">
        <f t="array" aca="1" ref="L285" ca="1">INDEX($D$2:$D$15,RANDBETWEEN(1,ROWS($D$2:$D$15)),1)</f>
        <v>4</v>
      </c>
      <c r="M285" cm="1">
        <f t="array" aca="1" ref="M285" ca="1">INDEX($D$2:$D$15,RANDBETWEEN(1,ROWS($D$2:$D$15)),1)</f>
        <v>3</v>
      </c>
      <c r="N285" cm="1">
        <f t="array" aca="1" ref="N285" ca="1">INDEX($D$2:$D$15,RANDBETWEEN(1,ROWS($D$2:$D$15)),1)</f>
        <v>3</v>
      </c>
      <c r="O285" cm="1">
        <f t="array" aca="1" ref="O285" ca="1">INDEX($D$2:$D$15,RANDBETWEEN(1,ROWS($D$2:$D$15)),1)</f>
        <v>9</v>
      </c>
      <c r="P285" cm="1">
        <f t="array" aca="1" ref="P285" ca="1">INDEX($D$2:$D$15,RANDBETWEEN(1,ROWS($D$2:$D$15)),1)</f>
        <v>8</v>
      </c>
      <c r="Q285" cm="1">
        <f t="array" aca="1" ref="Q285" ca="1">INDEX($D$2:$D$15,RANDBETWEEN(1,ROWS($D$2:$D$15)),1)</f>
        <v>11</v>
      </c>
      <c r="R285" cm="1">
        <f t="array" aca="1" ref="R285" ca="1">INDEX($D$2:$D$15,RANDBETWEEN(1,ROWS($D$2:$D$15)),1)</f>
        <v>9</v>
      </c>
      <c r="S285" cm="1">
        <f t="array" aca="1" ref="S285" ca="1">INDEX($D$2:$D$15,RANDBETWEEN(1,ROWS($D$2:$D$15)),1)</f>
        <v>4</v>
      </c>
      <c r="T285" cm="1">
        <f t="array" aca="1" ref="T285" ca="1">INDEX($D$2:$D$15,RANDBETWEEN(1,ROWS($D$2:$D$15)),1)</f>
        <v>3</v>
      </c>
      <c r="W285">
        <f t="shared" ca="1" si="16"/>
        <v>7.2</v>
      </c>
      <c r="X285">
        <f t="shared" ca="1" si="17"/>
        <v>8</v>
      </c>
      <c r="Y285">
        <f t="shared" ca="1" si="18"/>
        <v>5.5</v>
      </c>
      <c r="Z285">
        <f t="shared" ca="1" si="19"/>
        <v>3.3209293019532087</v>
      </c>
    </row>
    <row r="286" spans="6:26" x14ac:dyDescent="0.35">
      <c r="F286" cm="1">
        <f t="array" aca="1" ref="F286" ca="1">INDEX($D$2:$D$15,RANDBETWEEN(1,ROWS($D$2:$D$15)),1)</f>
        <v>4</v>
      </c>
      <c r="G286" cm="1">
        <f t="array" aca="1" ref="G286" ca="1">INDEX($D$2:$D$15,RANDBETWEEN(1,ROWS($D$2:$D$15)),1)</f>
        <v>2</v>
      </c>
      <c r="H286" cm="1">
        <f t="array" aca="1" ref="H286" ca="1">INDEX($D$2:$D$15,RANDBETWEEN(1,ROWS($D$2:$D$15)),1)</f>
        <v>10</v>
      </c>
      <c r="I286" cm="1">
        <f t="array" aca="1" ref="I286" ca="1">INDEX($D$2:$D$15,RANDBETWEEN(1,ROWS($D$2:$D$15)),1)</f>
        <v>2</v>
      </c>
      <c r="J286" cm="1">
        <f t="array" aca="1" ref="J286" ca="1">INDEX($D$2:$D$15,RANDBETWEEN(1,ROWS($D$2:$D$15)),1)</f>
        <v>9</v>
      </c>
      <c r="K286" cm="1">
        <f t="array" aca="1" ref="K286" ca="1">INDEX($D$2:$D$15,RANDBETWEEN(1,ROWS($D$2:$D$15)),1)</f>
        <v>12</v>
      </c>
      <c r="L286" cm="1">
        <f t="array" aca="1" ref="L286" ca="1">INDEX($D$2:$D$15,RANDBETWEEN(1,ROWS($D$2:$D$15)),1)</f>
        <v>3</v>
      </c>
      <c r="M286" cm="1">
        <f t="array" aca="1" ref="M286" ca="1">INDEX($D$2:$D$15,RANDBETWEEN(1,ROWS($D$2:$D$15)),1)</f>
        <v>9</v>
      </c>
      <c r="N286" cm="1">
        <f t="array" aca="1" ref="N286" ca="1">INDEX($D$2:$D$15,RANDBETWEEN(1,ROWS($D$2:$D$15)),1)</f>
        <v>13</v>
      </c>
      <c r="O286" cm="1">
        <f t="array" aca="1" ref="O286" ca="1">INDEX($D$2:$D$15,RANDBETWEEN(1,ROWS($D$2:$D$15)),1)</f>
        <v>9</v>
      </c>
      <c r="P286" cm="1">
        <f t="array" aca="1" ref="P286" ca="1">INDEX($D$2:$D$15,RANDBETWEEN(1,ROWS($D$2:$D$15)),1)</f>
        <v>13</v>
      </c>
      <c r="Q286" cm="1">
        <f t="array" aca="1" ref="Q286" ca="1">INDEX($D$2:$D$15,RANDBETWEEN(1,ROWS($D$2:$D$15)),1)</f>
        <v>9</v>
      </c>
      <c r="R286" cm="1">
        <f t="array" aca="1" ref="R286" ca="1">INDEX($D$2:$D$15,RANDBETWEEN(1,ROWS($D$2:$D$15)),1)</f>
        <v>2</v>
      </c>
      <c r="S286" cm="1">
        <f t="array" aca="1" ref="S286" ca="1">INDEX($D$2:$D$15,RANDBETWEEN(1,ROWS($D$2:$D$15)),1)</f>
        <v>3</v>
      </c>
      <c r="T286" cm="1">
        <f t="array" aca="1" ref="T286" ca="1">INDEX($D$2:$D$15,RANDBETWEEN(1,ROWS($D$2:$D$15)),1)</f>
        <v>12</v>
      </c>
      <c r="W286">
        <f t="shared" ca="1" si="16"/>
        <v>7.4666666666666668</v>
      </c>
      <c r="X286">
        <f t="shared" ca="1" si="17"/>
        <v>9</v>
      </c>
      <c r="Y286">
        <f t="shared" ca="1" si="18"/>
        <v>8</v>
      </c>
      <c r="Z286">
        <f t="shared" ca="1" si="19"/>
        <v>4.3072474914243033</v>
      </c>
    </row>
    <row r="287" spans="6:26" x14ac:dyDescent="0.35">
      <c r="F287" cm="1">
        <f t="array" aca="1" ref="F287" ca="1">INDEX($D$2:$D$15,RANDBETWEEN(1,ROWS($D$2:$D$15)),1)</f>
        <v>9</v>
      </c>
      <c r="G287" cm="1">
        <f t="array" aca="1" ref="G287" ca="1">INDEX($D$2:$D$15,RANDBETWEEN(1,ROWS($D$2:$D$15)),1)</f>
        <v>13</v>
      </c>
      <c r="H287" cm="1">
        <f t="array" aca="1" ref="H287" ca="1">INDEX($D$2:$D$15,RANDBETWEEN(1,ROWS($D$2:$D$15)),1)</f>
        <v>10</v>
      </c>
      <c r="I287" cm="1">
        <f t="array" aca="1" ref="I287" ca="1">INDEX($D$2:$D$15,RANDBETWEEN(1,ROWS($D$2:$D$15)),1)</f>
        <v>10</v>
      </c>
      <c r="J287" cm="1">
        <f t="array" aca="1" ref="J287" ca="1">INDEX($D$2:$D$15,RANDBETWEEN(1,ROWS($D$2:$D$15)),1)</f>
        <v>10</v>
      </c>
      <c r="K287" cm="1">
        <f t="array" aca="1" ref="K287" ca="1">INDEX($D$2:$D$15,RANDBETWEEN(1,ROWS($D$2:$D$15)),1)</f>
        <v>4</v>
      </c>
      <c r="L287" cm="1">
        <f t="array" aca="1" ref="L287" ca="1">INDEX($D$2:$D$15,RANDBETWEEN(1,ROWS($D$2:$D$15)),1)</f>
        <v>9</v>
      </c>
      <c r="M287" cm="1">
        <f t="array" aca="1" ref="M287" ca="1">INDEX($D$2:$D$15,RANDBETWEEN(1,ROWS($D$2:$D$15)),1)</f>
        <v>10</v>
      </c>
      <c r="N287" cm="1">
        <f t="array" aca="1" ref="N287" ca="1">INDEX($D$2:$D$15,RANDBETWEEN(1,ROWS($D$2:$D$15)),1)</f>
        <v>8</v>
      </c>
      <c r="O287" cm="1">
        <f t="array" aca="1" ref="O287" ca="1">INDEX($D$2:$D$15,RANDBETWEEN(1,ROWS($D$2:$D$15)),1)</f>
        <v>10</v>
      </c>
      <c r="P287" cm="1">
        <f t="array" aca="1" ref="P287" ca="1">INDEX($D$2:$D$15,RANDBETWEEN(1,ROWS($D$2:$D$15)),1)</f>
        <v>10</v>
      </c>
      <c r="Q287" cm="1">
        <f t="array" aca="1" ref="Q287" ca="1">INDEX($D$2:$D$15,RANDBETWEEN(1,ROWS($D$2:$D$15)),1)</f>
        <v>9</v>
      </c>
      <c r="R287" cm="1">
        <f t="array" aca="1" ref="R287" ca="1">INDEX($D$2:$D$15,RANDBETWEEN(1,ROWS($D$2:$D$15)),1)</f>
        <v>8</v>
      </c>
      <c r="S287" cm="1">
        <f t="array" aca="1" ref="S287" ca="1">INDEX($D$2:$D$15,RANDBETWEEN(1,ROWS($D$2:$D$15)),1)</f>
        <v>10</v>
      </c>
      <c r="T287" cm="1">
        <f t="array" aca="1" ref="T287" ca="1">INDEX($D$2:$D$15,RANDBETWEEN(1,ROWS($D$2:$D$15)),1)</f>
        <v>9</v>
      </c>
      <c r="W287">
        <f t="shared" ca="1" si="16"/>
        <v>9.2666666666666675</v>
      </c>
      <c r="X287">
        <f t="shared" ca="1" si="17"/>
        <v>10</v>
      </c>
      <c r="Y287">
        <f t="shared" ca="1" si="18"/>
        <v>1</v>
      </c>
      <c r="Z287">
        <f t="shared" ca="1" si="19"/>
        <v>1.8695555876298784</v>
      </c>
    </row>
    <row r="288" spans="6:26" x14ac:dyDescent="0.35">
      <c r="F288" cm="1">
        <f t="array" aca="1" ref="F288" ca="1">INDEX($D$2:$D$15,RANDBETWEEN(1,ROWS($D$2:$D$15)),1)</f>
        <v>2</v>
      </c>
      <c r="G288" cm="1">
        <f t="array" aca="1" ref="G288" ca="1">INDEX($D$2:$D$15,RANDBETWEEN(1,ROWS($D$2:$D$15)),1)</f>
        <v>4</v>
      </c>
      <c r="H288" cm="1">
        <f t="array" aca="1" ref="H288" ca="1">INDEX($D$2:$D$15,RANDBETWEEN(1,ROWS($D$2:$D$15)),1)</f>
        <v>13</v>
      </c>
      <c r="I288" cm="1">
        <f t="array" aca="1" ref="I288" ca="1">INDEX($D$2:$D$15,RANDBETWEEN(1,ROWS($D$2:$D$15)),1)</f>
        <v>4</v>
      </c>
      <c r="J288" cm="1">
        <f t="array" aca="1" ref="J288" ca="1">INDEX($D$2:$D$15,RANDBETWEEN(1,ROWS($D$2:$D$15)),1)</f>
        <v>11</v>
      </c>
      <c r="K288" cm="1">
        <f t="array" aca="1" ref="K288" ca="1">INDEX($D$2:$D$15,RANDBETWEEN(1,ROWS($D$2:$D$15)),1)</f>
        <v>2</v>
      </c>
      <c r="L288" cm="1">
        <f t="array" aca="1" ref="L288" ca="1">INDEX($D$2:$D$15,RANDBETWEEN(1,ROWS($D$2:$D$15)),1)</f>
        <v>12</v>
      </c>
      <c r="M288" cm="1">
        <f t="array" aca="1" ref="M288" ca="1">INDEX($D$2:$D$15,RANDBETWEEN(1,ROWS($D$2:$D$15)),1)</f>
        <v>13</v>
      </c>
      <c r="N288" cm="1">
        <f t="array" aca="1" ref="N288" ca="1">INDEX($D$2:$D$15,RANDBETWEEN(1,ROWS($D$2:$D$15)),1)</f>
        <v>4</v>
      </c>
      <c r="O288" cm="1">
        <f t="array" aca="1" ref="O288" ca="1">INDEX($D$2:$D$15,RANDBETWEEN(1,ROWS($D$2:$D$15)),1)</f>
        <v>9</v>
      </c>
      <c r="P288" cm="1">
        <f t="array" aca="1" ref="P288" ca="1">INDEX($D$2:$D$15,RANDBETWEEN(1,ROWS($D$2:$D$15)),1)</f>
        <v>4</v>
      </c>
      <c r="Q288" cm="1">
        <f t="array" aca="1" ref="Q288" ca="1">INDEX($D$2:$D$15,RANDBETWEEN(1,ROWS($D$2:$D$15)),1)</f>
        <v>9</v>
      </c>
      <c r="R288" cm="1">
        <f t="array" aca="1" ref="R288" ca="1">INDEX($D$2:$D$15,RANDBETWEEN(1,ROWS($D$2:$D$15)),1)</f>
        <v>9</v>
      </c>
      <c r="S288" cm="1">
        <f t="array" aca="1" ref="S288" ca="1">INDEX($D$2:$D$15,RANDBETWEEN(1,ROWS($D$2:$D$15)),1)</f>
        <v>8</v>
      </c>
      <c r="T288" cm="1">
        <f t="array" aca="1" ref="T288" ca="1">INDEX($D$2:$D$15,RANDBETWEEN(1,ROWS($D$2:$D$15)),1)</f>
        <v>8</v>
      </c>
      <c r="W288">
        <f t="shared" ca="1" si="16"/>
        <v>7.4666666666666668</v>
      </c>
      <c r="X288">
        <f t="shared" ca="1" si="17"/>
        <v>8</v>
      </c>
      <c r="Y288">
        <f t="shared" ca="1" si="18"/>
        <v>6</v>
      </c>
      <c r="Z288">
        <f t="shared" ca="1" si="19"/>
        <v>3.8705235280194827</v>
      </c>
    </row>
    <row r="289" spans="6:26" x14ac:dyDescent="0.35">
      <c r="F289" cm="1">
        <f t="array" aca="1" ref="F289" ca="1">INDEX($D$2:$D$15,RANDBETWEEN(1,ROWS($D$2:$D$15)),1)</f>
        <v>4</v>
      </c>
      <c r="G289" cm="1">
        <f t="array" aca="1" ref="G289" ca="1">INDEX($D$2:$D$15,RANDBETWEEN(1,ROWS($D$2:$D$15)),1)</f>
        <v>2</v>
      </c>
      <c r="H289" cm="1">
        <f t="array" aca="1" ref="H289" ca="1">INDEX($D$2:$D$15,RANDBETWEEN(1,ROWS($D$2:$D$15)),1)</f>
        <v>4</v>
      </c>
      <c r="I289" cm="1">
        <f t="array" aca="1" ref="I289" ca="1">INDEX($D$2:$D$15,RANDBETWEEN(1,ROWS($D$2:$D$15)),1)</f>
        <v>9</v>
      </c>
      <c r="J289" cm="1">
        <f t="array" aca="1" ref="J289" ca="1">INDEX($D$2:$D$15,RANDBETWEEN(1,ROWS($D$2:$D$15)),1)</f>
        <v>2</v>
      </c>
      <c r="K289" cm="1">
        <f t="array" aca="1" ref="K289" ca="1">INDEX($D$2:$D$15,RANDBETWEEN(1,ROWS($D$2:$D$15)),1)</f>
        <v>4</v>
      </c>
      <c r="L289" cm="1">
        <f t="array" aca="1" ref="L289" ca="1">INDEX($D$2:$D$15,RANDBETWEEN(1,ROWS($D$2:$D$15)),1)</f>
        <v>9</v>
      </c>
      <c r="M289" cm="1">
        <f t="array" aca="1" ref="M289" ca="1">INDEX($D$2:$D$15,RANDBETWEEN(1,ROWS($D$2:$D$15)),1)</f>
        <v>4</v>
      </c>
      <c r="N289" cm="1">
        <f t="array" aca="1" ref="N289" ca="1">INDEX($D$2:$D$15,RANDBETWEEN(1,ROWS($D$2:$D$15)),1)</f>
        <v>4</v>
      </c>
      <c r="O289" cm="1">
        <f t="array" aca="1" ref="O289" ca="1">INDEX($D$2:$D$15,RANDBETWEEN(1,ROWS($D$2:$D$15)),1)</f>
        <v>4</v>
      </c>
      <c r="P289" cm="1">
        <f t="array" aca="1" ref="P289" ca="1">INDEX($D$2:$D$15,RANDBETWEEN(1,ROWS($D$2:$D$15)),1)</f>
        <v>9</v>
      </c>
      <c r="Q289" cm="1">
        <f t="array" aca="1" ref="Q289" ca="1">INDEX($D$2:$D$15,RANDBETWEEN(1,ROWS($D$2:$D$15)),1)</f>
        <v>4</v>
      </c>
      <c r="R289" cm="1">
        <f t="array" aca="1" ref="R289" ca="1">INDEX($D$2:$D$15,RANDBETWEEN(1,ROWS($D$2:$D$15)),1)</f>
        <v>12</v>
      </c>
      <c r="S289" cm="1">
        <f t="array" aca="1" ref="S289" ca="1">INDEX($D$2:$D$15,RANDBETWEEN(1,ROWS($D$2:$D$15)),1)</f>
        <v>12</v>
      </c>
      <c r="T289" cm="1">
        <f t="array" aca="1" ref="T289" ca="1">INDEX($D$2:$D$15,RANDBETWEEN(1,ROWS($D$2:$D$15)),1)</f>
        <v>4</v>
      </c>
      <c r="W289">
        <f t="shared" ca="1" si="16"/>
        <v>5.8</v>
      </c>
      <c r="X289">
        <f t="shared" ca="1" si="17"/>
        <v>4</v>
      </c>
      <c r="Y289">
        <f t="shared" ca="1" si="18"/>
        <v>5</v>
      </c>
      <c r="Z289">
        <f t="shared" ca="1" si="19"/>
        <v>3.40587727318528</v>
      </c>
    </row>
    <row r="290" spans="6:26" x14ac:dyDescent="0.35">
      <c r="F290" cm="1">
        <f t="array" aca="1" ref="F290" ca="1">INDEX($D$2:$D$15,RANDBETWEEN(1,ROWS($D$2:$D$15)),1)</f>
        <v>4</v>
      </c>
      <c r="G290" cm="1">
        <f t="array" aca="1" ref="G290" ca="1">INDEX($D$2:$D$15,RANDBETWEEN(1,ROWS($D$2:$D$15)),1)</f>
        <v>13</v>
      </c>
      <c r="H290" cm="1">
        <f t="array" aca="1" ref="H290" ca="1">INDEX($D$2:$D$15,RANDBETWEEN(1,ROWS($D$2:$D$15)),1)</f>
        <v>9</v>
      </c>
      <c r="I290" cm="1">
        <f t="array" aca="1" ref="I290" ca="1">INDEX($D$2:$D$15,RANDBETWEEN(1,ROWS($D$2:$D$15)),1)</f>
        <v>9</v>
      </c>
      <c r="J290" cm="1">
        <f t="array" aca="1" ref="J290" ca="1">INDEX($D$2:$D$15,RANDBETWEEN(1,ROWS($D$2:$D$15)),1)</f>
        <v>4</v>
      </c>
      <c r="K290" cm="1">
        <f t="array" aca="1" ref="K290" ca="1">INDEX($D$2:$D$15,RANDBETWEEN(1,ROWS($D$2:$D$15)),1)</f>
        <v>9</v>
      </c>
      <c r="L290" cm="1">
        <f t="array" aca="1" ref="L290" ca="1">INDEX($D$2:$D$15,RANDBETWEEN(1,ROWS($D$2:$D$15)),1)</f>
        <v>9</v>
      </c>
      <c r="M290" cm="1">
        <f t="array" aca="1" ref="M290" ca="1">INDEX($D$2:$D$15,RANDBETWEEN(1,ROWS($D$2:$D$15)),1)</f>
        <v>4</v>
      </c>
      <c r="N290" cm="1">
        <f t="array" aca="1" ref="N290" ca="1">INDEX($D$2:$D$15,RANDBETWEEN(1,ROWS($D$2:$D$15)),1)</f>
        <v>2</v>
      </c>
      <c r="O290" cm="1">
        <f t="array" aca="1" ref="O290" ca="1">INDEX($D$2:$D$15,RANDBETWEEN(1,ROWS($D$2:$D$15)),1)</f>
        <v>9</v>
      </c>
      <c r="P290" cm="1">
        <f t="array" aca="1" ref="P290" ca="1">INDEX($D$2:$D$15,RANDBETWEEN(1,ROWS($D$2:$D$15)),1)</f>
        <v>9</v>
      </c>
      <c r="Q290" cm="1">
        <f t="array" aca="1" ref="Q290" ca="1">INDEX($D$2:$D$15,RANDBETWEEN(1,ROWS($D$2:$D$15)),1)</f>
        <v>3</v>
      </c>
      <c r="R290" cm="1">
        <f t="array" aca="1" ref="R290" ca="1">INDEX($D$2:$D$15,RANDBETWEEN(1,ROWS($D$2:$D$15)),1)</f>
        <v>4</v>
      </c>
      <c r="S290" cm="1">
        <f t="array" aca="1" ref="S290" ca="1">INDEX($D$2:$D$15,RANDBETWEEN(1,ROWS($D$2:$D$15)),1)</f>
        <v>4</v>
      </c>
      <c r="T290" cm="1">
        <f t="array" aca="1" ref="T290" ca="1">INDEX($D$2:$D$15,RANDBETWEEN(1,ROWS($D$2:$D$15)),1)</f>
        <v>13</v>
      </c>
      <c r="W290">
        <f t="shared" ca="1" si="16"/>
        <v>7</v>
      </c>
      <c r="X290">
        <f t="shared" ca="1" si="17"/>
        <v>9</v>
      </c>
      <c r="Y290">
        <f t="shared" ca="1" si="18"/>
        <v>5</v>
      </c>
      <c r="Z290">
        <f t="shared" ca="1" si="19"/>
        <v>3.6055512754639891</v>
      </c>
    </row>
    <row r="291" spans="6:26" x14ac:dyDescent="0.35">
      <c r="F291" cm="1">
        <f t="array" aca="1" ref="F291" ca="1">INDEX($D$2:$D$15,RANDBETWEEN(1,ROWS($D$2:$D$15)),1)</f>
        <v>10</v>
      </c>
      <c r="G291" cm="1">
        <f t="array" aca="1" ref="G291" ca="1">INDEX($D$2:$D$15,RANDBETWEEN(1,ROWS($D$2:$D$15)),1)</f>
        <v>11</v>
      </c>
      <c r="H291" cm="1">
        <f t="array" aca="1" ref="H291" ca="1">INDEX($D$2:$D$15,RANDBETWEEN(1,ROWS($D$2:$D$15)),1)</f>
        <v>8</v>
      </c>
      <c r="I291" cm="1">
        <f t="array" aca="1" ref="I291" ca="1">INDEX($D$2:$D$15,RANDBETWEEN(1,ROWS($D$2:$D$15)),1)</f>
        <v>4</v>
      </c>
      <c r="J291" cm="1">
        <f t="array" aca="1" ref="J291" ca="1">INDEX($D$2:$D$15,RANDBETWEEN(1,ROWS($D$2:$D$15)),1)</f>
        <v>11</v>
      </c>
      <c r="K291" cm="1">
        <f t="array" aca="1" ref="K291" ca="1">INDEX($D$2:$D$15,RANDBETWEEN(1,ROWS($D$2:$D$15)),1)</f>
        <v>2</v>
      </c>
      <c r="L291" cm="1">
        <f t="array" aca="1" ref="L291" ca="1">INDEX($D$2:$D$15,RANDBETWEEN(1,ROWS($D$2:$D$15)),1)</f>
        <v>4</v>
      </c>
      <c r="M291" cm="1">
        <f t="array" aca="1" ref="M291" ca="1">INDEX($D$2:$D$15,RANDBETWEEN(1,ROWS($D$2:$D$15)),1)</f>
        <v>2</v>
      </c>
      <c r="N291" cm="1">
        <f t="array" aca="1" ref="N291" ca="1">INDEX($D$2:$D$15,RANDBETWEEN(1,ROWS($D$2:$D$15)),1)</f>
        <v>9</v>
      </c>
      <c r="O291" cm="1">
        <f t="array" aca="1" ref="O291" ca="1">INDEX($D$2:$D$15,RANDBETWEEN(1,ROWS($D$2:$D$15)),1)</f>
        <v>4</v>
      </c>
      <c r="P291" cm="1">
        <f t="array" aca="1" ref="P291" ca="1">INDEX($D$2:$D$15,RANDBETWEEN(1,ROWS($D$2:$D$15)),1)</f>
        <v>9</v>
      </c>
      <c r="Q291" cm="1">
        <f t="array" aca="1" ref="Q291" ca="1">INDEX($D$2:$D$15,RANDBETWEEN(1,ROWS($D$2:$D$15)),1)</f>
        <v>9</v>
      </c>
      <c r="R291" cm="1">
        <f t="array" aca="1" ref="R291" ca="1">INDEX($D$2:$D$15,RANDBETWEEN(1,ROWS($D$2:$D$15)),1)</f>
        <v>11</v>
      </c>
      <c r="S291" cm="1">
        <f t="array" aca="1" ref="S291" ca="1">INDEX($D$2:$D$15,RANDBETWEEN(1,ROWS($D$2:$D$15)),1)</f>
        <v>8</v>
      </c>
      <c r="T291" cm="1">
        <f t="array" aca="1" ref="T291" ca="1">INDEX($D$2:$D$15,RANDBETWEEN(1,ROWS($D$2:$D$15)),1)</f>
        <v>10</v>
      </c>
      <c r="W291">
        <f t="shared" ca="1" si="16"/>
        <v>7.4666666666666668</v>
      </c>
      <c r="X291">
        <f t="shared" ca="1" si="17"/>
        <v>9</v>
      </c>
      <c r="Y291">
        <f t="shared" ca="1" si="18"/>
        <v>6</v>
      </c>
      <c r="Z291">
        <f t="shared" ca="1" si="19"/>
        <v>3.3137520095734958</v>
      </c>
    </row>
    <row r="292" spans="6:26" x14ac:dyDescent="0.35">
      <c r="F292" cm="1">
        <f t="array" aca="1" ref="F292" ca="1">INDEX($D$2:$D$15,RANDBETWEEN(1,ROWS($D$2:$D$15)),1)</f>
        <v>3</v>
      </c>
      <c r="G292" cm="1">
        <f t="array" aca="1" ref="G292" ca="1">INDEX($D$2:$D$15,RANDBETWEEN(1,ROWS($D$2:$D$15)),1)</f>
        <v>9</v>
      </c>
      <c r="H292" cm="1">
        <f t="array" aca="1" ref="H292" ca="1">INDEX($D$2:$D$15,RANDBETWEEN(1,ROWS($D$2:$D$15)),1)</f>
        <v>13</v>
      </c>
      <c r="I292" cm="1">
        <f t="array" aca="1" ref="I292" ca="1">INDEX($D$2:$D$15,RANDBETWEEN(1,ROWS($D$2:$D$15)),1)</f>
        <v>9</v>
      </c>
      <c r="J292" cm="1">
        <f t="array" aca="1" ref="J292" ca="1">INDEX($D$2:$D$15,RANDBETWEEN(1,ROWS($D$2:$D$15)),1)</f>
        <v>9</v>
      </c>
      <c r="K292" cm="1">
        <f t="array" aca="1" ref="K292" ca="1">INDEX($D$2:$D$15,RANDBETWEEN(1,ROWS($D$2:$D$15)),1)</f>
        <v>9</v>
      </c>
      <c r="L292" cm="1">
        <f t="array" aca="1" ref="L292" ca="1">INDEX($D$2:$D$15,RANDBETWEEN(1,ROWS($D$2:$D$15)),1)</f>
        <v>9</v>
      </c>
      <c r="M292" cm="1">
        <f t="array" aca="1" ref="M292" ca="1">INDEX($D$2:$D$15,RANDBETWEEN(1,ROWS($D$2:$D$15)),1)</f>
        <v>9</v>
      </c>
      <c r="N292" cm="1">
        <f t="array" aca="1" ref="N292" ca="1">INDEX($D$2:$D$15,RANDBETWEEN(1,ROWS($D$2:$D$15)),1)</f>
        <v>8</v>
      </c>
      <c r="O292" cm="1">
        <f t="array" aca="1" ref="O292" ca="1">INDEX($D$2:$D$15,RANDBETWEEN(1,ROWS($D$2:$D$15)),1)</f>
        <v>9</v>
      </c>
      <c r="P292" cm="1">
        <f t="array" aca="1" ref="P292" ca="1">INDEX($D$2:$D$15,RANDBETWEEN(1,ROWS($D$2:$D$15)),1)</f>
        <v>11</v>
      </c>
      <c r="Q292" cm="1">
        <f t="array" aca="1" ref="Q292" ca="1">INDEX($D$2:$D$15,RANDBETWEEN(1,ROWS($D$2:$D$15)),1)</f>
        <v>12</v>
      </c>
      <c r="R292" cm="1">
        <f t="array" aca="1" ref="R292" ca="1">INDEX($D$2:$D$15,RANDBETWEEN(1,ROWS($D$2:$D$15)),1)</f>
        <v>10</v>
      </c>
      <c r="S292" cm="1">
        <f t="array" aca="1" ref="S292" ca="1">INDEX($D$2:$D$15,RANDBETWEEN(1,ROWS($D$2:$D$15)),1)</f>
        <v>3</v>
      </c>
      <c r="T292" cm="1">
        <f t="array" aca="1" ref="T292" ca="1">INDEX($D$2:$D$15,RANDBETWEEN(1,ROWS($D$2:$D$15)),1)</f>
        <v>13</v>
      </c>
      <c r="W292">
        <f t="shared" ca="1" si="16"/>
        <v>9.0666666666666664</v>
      </c>
      <c r="X292">
        <f t="shared" ca="1" si="17"/>
        <v>9</v>
      </c>
      <c r="Y292">
        <f t="shared" ca="1" si="18"/>
        <v>1.5</v>
      </c>
      <c r="Z292">
        <f t="shared" ca="1" si="19"/>
        <v>2.9146591730832094</v>
      </c>
    </row>
    <row r="293" spans="6:26" x14ac:dyDescent="0.35">
      <c r="F293" cm="1">
        <f t="array" aca="1" ref="F293" ca="1">INDEX($D$2:$D$15,RANDBETWEEN(1,ROWS($D$2:$D$15)),1)</f>
        <v>10</v>
      </c>
      <c r="G293" cm="1">
        <f t="array" aca="1" ref="G293" ca="1">INDEX($D$2:$D$15,RANDBETWEEN(1,ROWS($D$2:$D$15)),1)</f>
        <v>12</v>
      </c>
      <c r="H293" cm="1">
        <f t="array" aca="1" ref="H293" ca="1">INDEX($D$2:$D$15,RANDBETWEEN(1,ROWS($D$2:$D$15)),1)</f>
        <v>12</v>
      </c>
      <c r="I293" cm="1">
        <f t="array" aca="1" ref="I293" ca="1">INDEX($D$2:$D$15,RANDBETWEEN(1,ROWS($D$2:$D$15)),1)</f>
        <v>13</v>
      </c>
      <c r="J293" cm="1">
        <f t="array" aca="1" ref="J293" ca="1">INDEX($D$2:$D$15,RANDBETWEEN(1,ROWS($D$2:$D$15)),1)</f>
        <v>2</v>
      </c>
      <c r="K293" cm="1">
        <f t="array" aca="1" ref="K293" ca="1">INDEX($D$2:$D$15,RANDBETWEEN(1,ROWS($D$2:$D$15)),1)</f>
        <v>3</v>
      </c>
      <c r="L293" cm="1">
        <f t="array" aca="1" ref="L293" ca="1">INDEX($D$2:$D$15,RANDBETWEEN(1,ROWS($D$2:$D$15)),1)</f>
        <v>9</v>
      </c>
      <c r="M293" cm="1">
        <f t="array" aca="1" ref="M293" ca="1">INDEX($D$2:$D$15,RANDBETWEEN(1,ROWS($D$2:$D$15)),1)</f>
        <v>10</v>
      </c>
      <c r="N293" cm="1">
        <f t="array" aca="1" ref="N293" ca="1">INDEX($D$2:$D$15,RANDBETWEEN(1,ROWS($D$2:$D$15)),1)</f>
        <v>10</v>
      </c>
      <c r="O293" cm="1">
        <f t="array" aca="1" ref="O293" ca="1">INDEX($D$2:$D$15,RANDBETWEEN(1,ROWS($D$2:$D$15)),1)</f>
        <v>13</v>
      </c>
      <c r="P293" cm="1">
        <f t="array" aca="1" ref="P293" ca="1">INDEX($D$2:$D$15,RANDBETWEEN(1,ROWS($D$2:$D$15)),1)</f>
        <v>10</v>
      </c>
      <c r="Q293" cm="1">
        <f t="array" aca="1" ref="Q293" ca="1">INDEX($D$2:$D$15,RANDBETWEEN(1,ROWS($D$2:$D$15)),1)</f>
        <v>2</v>
      </c>
      <c r="R293" cm="1">
        <f t="array" aca="1" ref="R293" ca="1">INDEX($D$2:$D$15,RANDBETWEEN(1,ROWS($D$2:$D$15)),1)</f>
        <v>12</v>
      </c>
      <c r="S293" cm="1">
        <f t="array" aca="1" ref="S293" ca="1">INDEX($D$2:$D$15,RANDBETWEEN(1,ROWS($D$2:$D$15)),1)</f>
        <v>12</v>
      </c>
      <c r="T293" cm="1">
        <f t="array" aca="1" ref="T293" ca="1">INDEX($D$2:$D$15,RANDBETWEEN(1,ROWS($D$2:$D$15)),1)</f>
        <v>9</v>
      </c>
      <c r="W293">
        <f t="shared" ca="1" si="16"/>
        <v>9.2666666666666675</v>
      </c>
      <c r="X293">
        <f t="shared" ca="1" si="17"/>
        <v>10</v>
      </c>
      <c r="Y293">
        <f t="shared" ca="1" si="18"/>
        <v>3</v>
      </c>
      <c r="Z293">
        <f t="shared" ca="1" si="19"/>
        <v>3.8259763770958184</v>
      </c>
    </row>
    <row r="294" spans="6:26" x14ac:dyDescent="0.35">
      <c r="F294" cm="1">
        <f t="array" aca="1" ref="F294" ca="1">INDEX($D$2:$D$15,RANDBETWEEN(1,ROWS($D$2:$D$15)),1)</f>
        <v>13</v>
      </c>
      <c r="G294" cm="1">
        <f t="array" aca="1" ref="G294" ca="1">INDEX($D$2:$D$15,RANDBETWEEN(1,ROWS($D$2:$D$15)),1)</f>
        <v>13</v>
      </c>
      <c r="H294" cm="1">
        <f t="array" aca="1" ref="H294" ca="1">INDEX($D$2:$D$15,RANDBETWEEN(1,ROWS($D$2:$D$15)),1)</f>
        <v>11</v>
      </c>
      <c r="I294" cm="1">
        <f t="array" aca="1" ref="I294" ca="1">INDEX($D$2:$D$15,RANDBETWEEN(1,ROWS($D$2:$D$15)),1)</f>
        <v>2</v>
      </c>
      <c r="J294" cm="1">
        <f t="array" aca="1" ref="J294" ca="1">INDEX($D$2:$D$15,RANDBETWEEN(1,ROWS($D$2:$D$15)),1)</f>
        <v>13</v>
      </c>
      <c r="K294" cm="1">
        <f t="array" aca="1" ref="K294" ca="1">INDEX($D$2:$D$15,RANDBETWEEN(1,ROWS($D$2:$D$15)),1)</f>
        <v>4</v>
      </c>
      <c r="L294" cm="1">
        <f t="array" aca="1" ref="L294" ca="1">INDEX($D$2:$D$15,RANDBETWEEN(1,ROWS($D$2:$D$15)),1)</f>
        <v>9</v>
      </c>
      <c r="M294" cm="1">
        <f t="array" aca="1" ref="M294" ca="1">INDEX($D$2:$D$15,RANDBETWEEN(1,ROWS($D$2:$D$15)),1)</f>
        <v>8</v>
      </c>
      <c r="N294" cm="1">
        <f t="array" aca="1" ref="N294" ca="1">INDEX($D$2:$D$15,RANDBETWEEN(1,ROWS($D$2:$D$15)),1)</f>
        <v>4</v>
      </c>
      <c r="O294" cm="1">
        <f t="array" aca="1" ref="O294" ca="1">INDEX($D$2:$D$15,RANDBETWEEN(1,ROWS($D$2:$D$15)),1)</f>
        <v>9</v>
      </c>
      <c r="P294" cm="1">
        <f t="array" aca="1" ref="P294" ca="1">INDEX($D$2:$D$15,RANDBETWEEN(1,ROWS($D$2:$D$15)),1)</f>
        <v>9</v>
      </c>
      <c r="Q294" cm="1">
        <f t="array" aca="1" ref="Q294" ca="1">INDEX($D$2:$D$15,RANDBETWEEN(1,ROWS($D$2:$D$15)),1)</f>
        <v>9</v>
      </c>
      <c r="R294" cm="1">
        <f t="array" aca="1" ref="R294" ca="1">INDEX($D$2:$D$15,RANDBETWEEN(1,ROWS($D$2:$D$15)),1)</f>
        <v>12</v>
      </c>
      <c r="S294" cm="1">
        <f t="array" aca="1" ref="S294" ca="1">INDEX($D$2:$D$15,RANDBETWEEN(1,ROWS($D$2:$D$15)),1)</f>
        <v>13</v>
      </c>
      <c r="T294" cm="1">
        <f t="array" aca="1" ref="T294" ca="1">INDEX($D$2:$D$15,RANDBETWEEN(1,ROWS($D$2:$D$15)),1)</f>
        <v>8</v>
      </c>
      <c r="W294">
        <f t="shared" ca="1" si="16"/>
        <v>9.1333333333333329</v>
      </c>
      <c r="X294">
        <f t="shared" ca="1" si="17"/>
        <v>9</v>
      </c>
      <c r="Y294">
        <f t="shared" ca="1" si="18"/>
        <v>4.5</v>
      </c>
      <c r="Z294">
        <f t="shared" ca="1" si="19"/>
        <v>3.5630377622526113</v>
      </c>
    </row>
    <row r="295" spans="6:26" x14ac:dyDescent="0.35">
      <c r="F295" cm="1">
        <f t="array" aca="1" ref="F295" ca="1">INDEX($D$2:$D$15,RANDBETWEEN(1,ROWS($D$2:$D$15)),1)</f>
        <v>4</v>
      </c>
      <c r="G295" cm="1">
        <f t="array" aca="1" ref="G295" ca="1">INDEX($D$2:$D$15,RANDBETWEEN(1,ROWS($D$2:$D$15)),1)</f>
        <v>9</v>
      </c>
      <c r="H295" cm="1">
        <f t="array" aca="1" ref="H295" ca="1">INDEX($D$2:$D$15,RANDBETWEEN(1,ROWS($D$2:$D$15)),1)</f>
        <v>11</v>
      </c>
      <c r="I295" cm="1">
        <f t="array" aca="1" ref="I295" ca="1">INDEX($D$2:$D$15,RANDBETWEEN(1,ROWS($D$2:$D$15)),1)</f>
        <v>2</v>
      </c>
      <c r="J295" cm="1">
        <f t="array" aca="1" ref="J295" ca="1">INDEX($D$2:$D$15,RANDBETWEEN(1,ROWS($D$2:$D$15)),1)</f>
        <v>10</v>
      </c>
      <c r="K295" cm="1">
        <f t="array" aca="1" ref="K295" ca="1">INDEX($D$2:$D$15,RANDBETWEEN(1,ROWS($D$2:$D$15)),1)</f>
        <v>11</v>
      </c>
      <c r="L295" cm="1">
        <f t="array" aca="1" ref="L295" ca="1">INDEX($D$2:$D$15,RANDBETWEEN(1,ROWS($D$2:$D$15)),1)</f>
        <v>10</v>
      </c>
      <c r="M295" cm="1">
        <f t="array" aca="1" ref="M295" ca="1">INDEX($D$2:$D$15,RANDBETWEEN(1,ROWS($D$2:$D$15)),1)</f>
        <v>2</v>
      </c>
      <c r="N295" cm="1">
        <f t="array" aca="1" ref="N295" ca="1">INDEX($D$2:$D$15,RANDBETWEEN(1,ROWS($D$2:$D$15)),1)</f>
        <v>2</v>
      </c>
      <c r="O295" cm="1">
        <f t="array" aca="1" ref="O295" ca="1">INDEX($D$2:$D$15,RANDBETWEEN(1,ROWS($D$2:$D$15)),1)</f>
        <v>10</v>
      </c>
      <c r="P295" cm="1">
        <f t="array" aca="1" ref="P295" ca="1">INDEX($D$2:$D$15,RANDBETWEEN(1,ROWS($D$2:$D$15)),1)</f>
        <v>9</v>
      </c>
      <c r="Q295" cm="1">
        <f t="array" aca="1" ref="Q295" ca="1">INDEX($D$2:$D$15,RANDBETWEEN(1,ROWS($D$2:$D$15)),1)</f>
        <v>3</v>
      </c>
      <c r="R295" cm="1">
        <f t="array" aca="1" ref="R295" ca="1">INDEX($D$2:$D$15,RANDBETWEEN(1,ROWS($D$2:$D$15)),1)</f>
        <v>11</v>
      </c>
      <c r="S295" cm="1">
        <f t="array" aca="1" ref="S295" ca="1">INDEX($D$2:$D$15,RANDBETWEEN(1,ROWS($D$2:$D$15)),1)</f>
        <v>10</v>
      </c>
      <c r="T295" cm="1">
        <f t="array" aca="1" ref="T295" ca="1">INDEX($D$2:$D$15,RANDBETWEEN(1,ROWS($D$2:$D$15)),1)</f>
        <v>13</v>
      </c>
      <c r="W295">
        <f t="shared" ca="1" si="16"/>
        <v>7.8</v>
      </c>
      <c r="X295">
        <f t="shared" ca="1" si="17"/>
        <v>10</v>
      </c>
      <c r="Y295">
        <f t="shared" ca="1" si="18"/>
        <v>7</v>
      </c>
      <c r="Z295">
        <f t="shared" ca="1" si="19"/>
        <v>3.9496835316262997</v>
      </c>
    </row>
    <row r="296" spans="6:26" x14ac:dyDescent="0.35">
      <c r="F296" cm="1">
        <f t="array" aca="1" ref="F296" ca="1">INDEX($D$2:$D$15,RANDBETWEEN(1,ROWS($D$2:$D$15)),1)</f>
        <v>9</v>
      </c>
      <c r="G296" cm="1">
        <f t="array" aca="1" ref="G296" ca="1">INDEX($D$2:$D$15,RANDBETWEEN(1,ROWS($D$2:$D$15)),1)</f>
        <v>11</v>
      </c>
      <c r="H296" cm="1">
        <f t="array" aca="1" ref="H296" ca="1">INDEX($D$2:$D$15,RANDBETWEEN(1,ROWS($D$2:$D$15)),1)</f>
        <v>4</v>
      </c>
      <c r="I296" cm="1">
        <f t="array" aca="1" ref="I296" ca="1">INDEX($D$2:$D$15,RANDBETWEEN(1,ROWS($D$2:$D$15)),1)</f>
        <v>13</v>
      </c>
      <c r="J296" cm="1">
        <f t="array" aca="1" ref="J296" ca="1">INDEX($D$2:$D$15,RANDBETWEEN(1,ROWS($D$2:$D$15)),1)</f>
        <v>4</v>
      </c>
      <c r="K296" cm="1">
        <f t="array" aca="1" ref="K296" ca="1">INDEX($D$2:$D$15,RANDBETWEEN(1,ROWS($D$2:$D$15)),1)</f>
        <v>11</v>
      </c>
      <c r="L296" cm="1">
        <f t="array" aca="1" ref="L296" ca="1">INDEX($D$2:$D$15,RANDBETWEEN(1,ROWS($D$2:$D$15)),1)</f>
        <v>10</v>
      </c>
      <c r="M296" cm="1">
        <f t="array" aca="1" ref="M296" ca="1">INDEX($D$2:$D$15,RANDBETWEEN(1,ROWS($D$2:$D$15)),1)</f>
        <v>4</v>
      </c>
      <c r="N296" cm="1">
        <f t="array" aca="1" ref="N296" ca="1">INDEX($D$2:$D$15,RANDBETWEEN(1,ROWS($D$2:$D$15)),1)</f>
        <v>4</v>
      </c>
      <c r="O296" cm="1">
        <f t="array" aca="1" ref="O296" ca="1">INDEX($D$2:$D$15,RANDBETWEEN(1,ROWS($D$2:$D$15)),1)</f>
        <v>4</v>
      </c>
      <c r="P296" cm="1">
        <f t="array" aca="1" ref="P296" ca="1">INDEX($D$2:$D$15,RANDBETWEEN(1,ROWS($D$2:$D$15)),1)</f>
        <v>12</v>
      </c>
      <c r="Q296" cm="1">
        <f t="array" aca="1" ref="Q296" ca="1">INDEX($D$2:$D$15,RANDBETWEEN(1,ROWS($D$2:$D$15)),1)</f>
        <v>4</v>
      </c>
      <c r="R296" cm="1">
        <f t="array" aca="1" ref="R296" ca="1">INDEX($D$2:$D$15,RANDBETWEEN(1,ROWS($D$2:$D$15)),1)</f>
        <v>4</v>
      </c>
      <c r="S296" cm="1">
        <f t="array" aca="1" ref="S296" ca="1">INDEX($D$2:$D$15,RANDBETWEEN(1,ROWS($D$2:$D$15)),1)</f>
        <v>9</v>
      </c>
      <c r="T296" cm="1">
        <f t="array" aca="1" ref="T296" ca="1">INDEX($D$2:$D$15,RANDBETWEEN(1,ROWS($D$2:$D$15)),1)</f>
        <v>4</v>
      </c>
      <c r="W296">
        <f t="shared" ca="1" si="16"/>
        <v>7.1333333333333337</v>
      </c>
      <c r="X296">
        <f t="shared" ca="1" si="17"/>
        <v>4</v>
      </c>
      <c r="Y296">
        <f t="shared" ca="1" si="18"/>
        <v>6.5</v>
      </c>
      <c r="Z296">
        <f t="shared" ca="1" si="19"/>
        <v>3.602908877692077</v>
      </c>
    </row>
    <row r="297" spans="6:26" x14ac:dyDescent="0.35">
      <c r="F297" cm="1">
        <f t="array" aca="1" ref="F297" ca="1">INDEX($D$2:$D$15,RANDBETWEEN(1,ROWS($D$2:$D$15)),1)</f>
        <v>9</v>
      </c>
      <c r="G297" cm="1">
        <f t="array" aca="1" ref="G297" ca="1">INDEX($D$2:$D$15,RANDBETWEEN(1,ROWS($D$2:$D$15)),1)</f>
        <v>9</v>
      </c>
      <c r="H297" cm="1">
        <f t="array" aca="1" ref="H297" ca="1">INDEX($D$2:$D$15,RANDBETWEEN(1,ROWS($D$2:$D$15)),1)</f>
        <v>12</v>
      </c>
      <c r="I297" cm="1">
        <f t="array" aca="1" ref="I297" ca="1">INDEX($D$2:$D$15,RANDBETWEEN(1,ROWS($D$2:$D$15)),1)</f>
        <v>9</v>
      </c>
      <c r="J297" cm="1">
        <f t="array" aca="1" ref="J297" ca="1">INDEX($D$2:$D$15,RANDBETWEEN(1,ROWS($D$2:$D$15)),1)</f>
        <v>13</v>
      </c>
      <c r="K297" cm="1">
        <f t="array" aca="1" ref="K297" ca="1">INDEX($D$2:$D$15,RANDBETWEEN(1,ROWS($D$2:$D$15)),1)</f>
        <v>2</v>
      </c>
      <c r="L297" cm="1">
        <f t="array" aca="1" ref="L297" ca="1">INDEX($D$2:$D$15,RANDBETWEEN(1,ROWS($D$2:$D$15)),1)</f>
        <v>9</v>
      </c>
      <c r="M297" cm="1">
        <f t="array" aca="1" ref="M297" ca="1">INDEX($D$2:$D$15,RANDBETWEEN(1,ROWS($D$2:$D$15)),1)</f>
        <v>8</v>
      </c>
      <c r="N297" cm="1">
        <f t="array" aca="1" ref="N297" ca="1">INDEX($D$2:$D$15,RANDBETWEEN(1,ROWS($D$2:$D$15)),1)</f>
        <v>2</v>
      </c>
      <c r="O297" cm="1">
        <f t="array" aca="1" ref="O297" ca="1">INDEX($D$2:$D$15,RANDBETWEEN(1,ROWS($D$2:$D$15)),1)</f>
        <v>4</v>
      </c>
      <c r="P297" cm="1">
        <f t="array" aca="1" ref="P297" ca="1">INDEX($D$2:$D$15,RANDBETWEEN(1,ROWS($D$2:$D$15)),1)</f>
        <v>11</v>
      </c>
      <c r="Q297" cm="1">
        <f t="array" aca="1" ref="Q297" ca="1">INDEX($D$2:$D$15,RANDBETWEEN(1,ROWS($D$2:$D$15)),1)</f>
        <v>8</v>
      </c>
      <c r="R297" cm="1">
        <f t="array" aca="1" ref="R297" ca="1">INDEX($D$2:$D$15,RANDBETWEEN(1,ROWS($D$2:$D$15)),1)</f>
        <v>4</v>
      </c>
      <c r="S297" cm="1">
        <f t="array" aca="1" ref="S297" ca="1">INDEX($D$2:$D$15,RANDBETWEEN(1,ROWS($D$2:$D$15)),1)</f>
        <v>11</v>
      </c>
      <c r="T297" cm="1">
        <f t="array" aca="1" ref="T297" ca="1">INDEX($D$2:$D$15,RANDBETWEEN(1,ROWS($D$2:$D$15)),1)</f>
        <v>8</v>
      </c>
      <c r="W297">
        <f t="shared" ca="1" si="16"/>
        <v>7.9333333333333336</v>
      </c>
      <c r="X297">
        <f t="shared" ca="1" si="17"/>
        <v>9</v>
      </c>
      <c r="Y297">
        <f t="shared" ca="1" si="18"/>
        <v>4</v>
      </c>
      <c r="Z297">
        <f t="shared" ca="1" si="19"/>
        <v>3.4530869557266466</v>
      </c>
    </row>
    <row r="298" spans="6:26" x14ac:dyDescent="0.35">
      <c r="F298" cm="1">
        <f t="array" aca="1" ref="F298" ca="1">INDEX($D$2:$D$15,RANDBETWEEN(1,ROWS($D$2:$D$15)),1)</f>
        <v>3</v>
      </c>
      <c r="G298" cm="1">
        <f t="array" aca="1" ref="G298" ca="1">INDEX($D$2:$D$15,RANDBETWEEN(1,ROWS($D$2:$D$15)),1)</f>
        <v>12</v>
      </c>
      <c r="H298" cm="1">
        <f t="array" aca="1" ref="H298" ca="1">INDEX($D$2:$D$15,RANDBETWEEN(1,ROWS($D$2:$D$15)),1)</f>
        <v>3</v>
      </c>
      <c r="I298" cm="1">
        <f t="array" aca="1" ref="I298" ca="1">INDEX($D$2:$D$15,RANDBETWEEN(1,ROWS($D$2:$D$15)),1)</f>
        <v>4</v>
      </c>
      <c r="J298" cm="1">
        <f t="array" aca="1" ref="J298" ca="1">INDEX($D$2:$D$15,RANDBETWEEN(1,ROWS($D$2:$D$15)),1)</f>
        <v>4</v>
      </c>
      <c r="K298" cm="1">
        <f t="array" aca="1" ref="K298" ca="1">INDEX($D$2:$D$15,RANDBETWEEN(1,ROWS($D$2:$D$15)),1)</f>
        <v>11</v>
      </c>
      <c r="L298" cm="1">
        <f t="array" aca="1" ref="L298" ca="1">INDEX($D$2:$D$15,RANDBETWEEN(1,ROWS($D$2:$D$15)),1)</f>
        <v>3</v>
      </c>
      <c r="M298" cm="1">
        <f t="array" aca="1" ref="M298" ca="1">INDEX($D$2:$D$15,RANDBETWEEN(1,ROWS($D$2:$D$15)),1)</f>
        <v>9</v>
      </c>
      <c r="N298" cm="1">
        <f t="array" aca="1" ref="N298" ca="1">INDEX($D$2:$D$15,RANDBETWEEN(1,ROWS($D$2:$D$15)),1)</f>
        <v>12</v>
      </c>
      <c r="O298" cm="1">
        <f t="array" aca="1" ref="O298" ca="1">INDEX($D$2:$D$15,RANDBETWEEN(1,ROWS($D$2:$D$15)),1)</f>
        <v>13</v>
      </c>
      <c r="P298" cm="1">
        <f t="array" aca="1" ref="P298" ca="1">INDEX($D$2:$D$15,RANDBETWEEN(1,ROWS($D$2:$D$15)),1)</f>
        <v>4</v>
      </c>
      <c r="Q298" cm="1">
        <f t="array" aca="1" ref="Q298" ca="1">INDEX($D$2:$D$15,RANDBETWEEN(1,ROWS($D$2:$D$15)),1)</f>
        <v>10</v>
      </c>
      <c r="R298" cm="1">
        <f t="array" aca="1" ref="R298" ca="1">INDEX($D$2:$D$15,RANDBETWEEN(1,ROWS($D$2:$D$15)),1)</f>
        <v>10</v>
      </c>
      <c r="S298" cm="1">
        <f t="array" aca="1" ref="S298" ca="1">INDEX($D$2:$D$15,RANDBETWEEN(1,ROWS($D$2:$D$15)),1)</f>
        <v>11</v>
      </c>
      <c r="T298" cm="1">
        <f t="array" aca="1" ref="T298" ca="1">INDEX($D$2:$D$15,RANDBETWEEN(1,ROWS($D$2:$D$15)),1)</f>
        <v>11</v>
      </c>
      <c r="W298">
        <f t="shared" ca="1" si="16"/>
        <v>8</v>
      </c>
      <c r="X298">
        <f t="shared" ca="1" si="17"/>
        <v>10</v>
      </c>
      <c r="Y298">
        <f t="shared" ca="1" si="18"/>
        <v>7</v>
      </c>
      <c r="Z298">
        <f t="shared" ca="1" si="19"/>
        <v>3.927922024247863</v>
      </c>
    </row>
    <row r="299" spans="6:26" x14ac:dyDescent="0.35">
      <c r="F299" cm="1">
        <f t="array" aca="1" ref="F299" ca="1">INDEX($D$2:$D$15,RANDBETWEEN(1,ROWS($D$2:$D$15)),1)</f>
        <v>9</v>
      </c>
      <c r="G299" cm="1">
        <f t="array" aca="1" ref="G299" ca="1">INDEX($D$2:$D$15,RANDBETWEEN(1,ROWS($D$2:$D$15)),1)</f>
        <v>8</v>
      </c>
      <c r="H299" cm="1">
        <f t="array" aca="1" ref="H299" ca="1">INDEX($D$2:$D$15,RANDBETWEEN(1,ROWS($D$2:$D$15)),1)</f>
        <v>8</v>
      </c>
      <c r="I299" cm="1">
        <f t="array" aca="1" ref="I299" ca="1">INDEX($D$2:$D$15,RANDBETWEEN(1,ROWS($D$2:$D$15)),1)</f>
        <v>11</v>
      </c>
      <c r="J299" cm="1">
        <f t="array" aca="1" ref="J299" ca="1">INDEX($D$2:$D$15,RANDBETWEEN(1,ROWS($D$2:$D$15)),1)</f>
        <v>4</v>
      </c>
      <c r="K299" cm="1">
        <f t="array" aca="1" ref="K299" ca="1">INDEX($D$2:$D$15,RANDBETWEEN(1,ROWS($D$2:$D$15)),1)</f>
        <v>9</v>
      </c>
      <c r="L299" cm="1">
        <f t="array" aca="1" ref="L299" ca="1">INDEX($D$2:$D$15,RANDBETWEEN(1,ROWS($D$2:$D$15)),1)</f>
        <v>12</v>
      </c>
      <c r="M299" cm="1">
        <f t="array" aca="1" ref="M299" ca="1">INDEX($D$2:$D$15,RANDBETWEEN(1,ROWS($D$2:$D$15)),1)</f>
        <v>9</v>
      </c>
      <c r="N299" cm="1">
        <f t="array" aca="1" ref="N299" ca="1">INDEX($D$2:$D$15,RANDBETWEEN(1,ROWS($D$2:$D$15)),1)</f>
        <v>3</v>
      </c>
      <c r="O299" cm="1">
        <f t="array" aca="1" ref="O299" ca="1">INDEX($D$2:$D$15,RANDBETWEEN(1,ROWS($D$2:$D$15)),1)</f>
        <v>9</v>
      </c>
      <c r="P299" cm="1">
        <f t="array" aca="1" ref="P299" ca="1">INDEX($D$2:$D$15,RANDBETWEEN(1,ROWS($D$2:$D$15)),1)</f>
        <v>4</v>
      </c>
      <c r="Q299" cm="1">
        <f t="array" aca="1" ref="Q299" ca="1">INDEX($D$2:$D$15,RANDBETWEEN(1,ROWS($D$2:$D$15)),1)</f>
        <v>3</v>
      </c>
      <c r="R299" cm="1">
        <f t="array" aca="1" ref="R299" ca="1">INDEX($D$2:$D$15,RANDBETWEEN(1,ROWS($D$2:$D$15)),1)</f>
        <v>10</v>
      </c>
      <c r="S299" cm="1">
        <f t="array" aca="1" ref="S299" ca="1">INDEX($D$2:$D$15,RANDBETWEEN(1,ROWS($D$2:$D$15)),1)</f>
        <v>9</v>
      </c>
      <c r="T299" cm="1">
        <f t="array" aca="1" ref="T299" ca="1">INDEX($D$2:$D$15,RANDBETWEEN(1,ROWS($D$2:$D$15)),1)</f>
        <v>13</v>
      </c>
      <c r="W299">
        <f t="shared" ca="1" si="16"/>
        <v>8.0666666666666664</v>
      </c>
      <c r="X299">
        <f t="shared" ca="1" si="17"/>
        <v>9</v>
      </c>
      <c r="Y299">
        <f t="shared" ca="1" si="18"/>
        <v>3.5</v>
      </c>
      <c r="Z299">
        <f t="shared" ca="1" si="19"/>
        <v>3.1728010758108778</v>
      </c>
    </row>
    <row r="300" spans="6:26" x14ac:dyDescent="0.35">
      <c r="F300" cm="1">
        <f t="array" aca="1" ref="F300" ca="1">INDEX($D$2:$D$15,RANDBETWEEN(1,ROWS($D$2:$D$15)),1)</f>
        <v>4</v>
      </c>
      <c r="G300" cm="1">
        <f t="array" aca="1" ref="G300" ca="1">INDEX($D$2:$D$15,RANDBETWEEN(1,ROWS($D$2:$D$15)),1)</f>
        <v>9</v>
      </c>
      <c r="H300" cm="1">
        <f t="array" aca="1" ref="H300" ca="1">INDEX($D$2:$D$15,RANDBETWEEN(1,ROWS($D$2:$D$15)),1)</f>
        <v>13</v>
      </c>
      <c r="I300" cm="1">
        <f t="array" aca="1" ref="I300" ca="1">INDEX($D$2:$D$15,RANDBETWEEN(1,ROWS($D$2:$D$15)),1)</f>
        <v>4</v>
      </c>
      <c r="J300" cm="1">
        <f t="array" aca="1" ref="J300" ca="1">INDEX($D$2:$D$15,RANDBETWEEN(1,ROWS($D$2:$D$15)),1)</f>
        <v>12</v>
      </c>
      <c r="K300" cm="1">
        <f t="array" aca="1" ref="K300" ca="1">INDEX($D$2:$D$15,RANDBETWEEN(1,ROWS($D$2:$D$15)),1)</f>
        <v>13</v>
      </c>
      <c r="L300" cm="1">
        <f t="array" aca="1" ref="L300" ca="1">INDEX($D$2:$D$15,RANDBETWEEN(1,ROWS($D$2:$D$15)),1)</f>
        <v>9</v>
      </c>
      <c r="M300" cm="1">
        <f t="array" aca="1" ref="M300" ca="1">INDEX($D$2:$D$15,RANDBETWEEN(1,ROWS($D$2:$D$15)),1)</f>
        <v>13</v>
      </c>
      <c r="N300" cm="1">
        <f t="array" aca="1" ref="N300" ca="1">INDEX($D$2:$D$15,RANDBETWEEN(1,ROWS($D$2:$D$15)),1)</f>
        <v>2</v>
      </c>
      <c r="O300" cm="1">
        <f t="array" aca="1" ref="O300" ca="1">INDEX($D$2:$D$15,RANDBETWEEN(1,ROWS($D$2:$D$15)),1)</f>
        <v>12</v>
      </c>
      <c r="P300" cm="1">
        <f t="array" aca="1" ref="P300" ca="1">INDEX($D$2:$D$15,RANDBETWEEN(1,ROWS($D$2:$D$15)),1)</f>
        <v>4</v>
      </c>
      <c r="Q300" cm="1">
        <f t="array" aca="1" ref="Q300" ca="1">INDEX($D$2:$D$15,RANDBETWEEN(1,ROWS($D$2:$D$15)),1)</f>
        <v>9</v>
      </c>
      <c r="R300" cm="1">
        <f t="array" aca="1" ref="R300" ca="1">INDEX($D$2:$D$15,RANDBETWEEN(1,ROWS($D$2:$D$15)),1)</f>
        <v>9</v>
      </c>
      <c r="S300" cm="1">
        <f t="array" aca="1" ref="S300" ca="1">INDEX($D$2:$D$15,RANDBETWEEN(1,ROWS($D$2:$D$15)),1)</f>
        <v>4</v>
      </c>
      <c r="T300" cm="1">
        <f t="array" aca="1" ref="T300" ca="1">INDEX($D$2:$D$15,RANDBETWEEN(1,ROWS($D$2:$D$15)),1)</f>
        <v>12</v>
      </c>
      <c r="W300">
        <f t="shared" ca="1" si="16"/>
        <v>8.6</v>
      </c>
      <c r="X300">
        <f t="shared" ca="1" si="17"/>
        <v>9</v>
      </c>
      <c r="Y300">
        <f t="shared" ca="1" si="18"/>
        <v>8</v>
      </c>
      <c r="Z300">
        <f t="shared" ca="1" si="19"/>
        <v>3.9785137210485302</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21DBA-EC66-4913-94C8-4BE9F8A95174}">
  <dimension ref="A1:AC300"/>
  <sheetViews>
    <sheetView topLeftCell="V1" zoomScale="123" workbookViewId="0">
      <selection activeCell="AM18" sqref="AM18"/>
    </sheetView>
  </sheetViews>
  <sheetFormatPr defaultRowHeight="14.5" x14ac:dyDescent="0.35"/>
  <sheetData>
    <row r="1" spans="1:29" x14ac:dyDescent="0.35">
      <c r="A1" s="37" t="s">
        <v>950</v>
      </c>
      <c r="U1" t="s">
        <v>1348</v>
      </c>
      <c r="V1" s="16" t="s">
        <v>74</v>
      </c>
      <c r="W1" s="16" t="s">
        <v>76</v>
      </c>
      <c r="X1" s="16" t="s">
        <v>1328</v>
      </c>
      <c r="Y1" s="16" t="s">
        <v>1349</v>
      </c>
    </row>
    <row r="2" spans="1:29" x14ac:dyDescent="0.35">
      <c r="A2" s="38">
        <v>5</v>
      </c>
      <c r="C2" cm="1">
        <f t="array" aca="1" ref="C2" ca="1">INDEX($A$2:$A$15,RANDBETWEEN(1,ROWS($A$2:$A$15)),1)</f>
        <v>4</v>
      </c>
      <c r="D2" cm="1">
        <f t="array" aca="1" ref="D2" ca="1">INDEX($A$2:$A$15,RANDBETWEEN(1,ROWS($A$2:$A$15)),1)</f>
        <v>2</v>
      </c>
      <c r="E2" cm="1">
        <f t="array" aca="1" ref="E2" ca="1">INDEX($A$2:$A$15,RANDBETWEEN(1,ROWS($A$2:$A$15)),1)</f>
        <v>3</v>
      </c>
      <c r="F2" cm="1">
        <f t="array" aca="1" ref="F2" ca="1">INDEX($A$2:$A$15,RANDBETWEEN(1,ROWS($A$2:$A$15)),1)</f>
        <v>1</v>
      </c>
      <c r="G2" cm="1">
        <f t="array" aca="1" ref="G2" ca="1">INDEX($A$2:$A$15,RANDBETWEEN(1,ROWS($A$2:$A$15)),1)</f>
        <v>4</v>
      </c>
      <c r="H2" cm="1">
        <f t="array" aca="1" ref="H2" ca="1">INDEX($A$2:$A$15,RANDBETWEEN(1,ROWS($A$2:$A$15)),1)</f>
        <v>8</v>
      </c>
      <c r="I2" cm="1">
        <f t="array" aca="1" ref="I2" ca="1">INDEX($A$2:$A$15,RANDBETWEEN(1,ROWS($A$2:$A$15)),1)</f>
        <v>8</v>
      </c>
      <c r="J2" cm="1">
        <f t="array" aca="1" ref="J2" ca="1">INDEX($A$2:$A$15,RANDBETWEEN(1,ROWS($A$2:$A$15)),1)</f>
        <v>1</v>
      </c>
      <c r="K2" cm="1">
        <f t="array" aca="1" ref="K2" ca="1">INDEX($A$2:$A$15,RANDBETWEEN(1,ROWS($A$2:$A$15)),1)</f>
        <v>5</v>
      </c>
      <c r="L2" cm="1">
        <f t="array" aca="1" ref="L2" ca="1">INDEX($A$2:$A$15,RANDBETWEEN(1,ROWS($A$2:$A$15)),1)</f>
        <v>1</v>
      </c>
      <c r="M2" cm="1">
        <f t="array" aca="1" ref="M2" ca="1">INDEX($A$2:$A$15,RANDBETWEEN(1,ROWS($A$2:$A$15)),1)</f>
        <v>5</v>
      </c>
      <c r="N2" cm="1">
        <f t="array" aca="1" ref="N2" ca="1">INDEX($A$2:$A$15,RANDBETWEEN(1,ROWS($A$2:$A$15)),1)</f>
        <v>5</v>
      </c>
      <c r="O2" cm="1">
        <f t="array" aca="1" ref="O2" ca="1">INDEX($A$2:$A$15,RANDBETWEEN(1,ROWS($A$2:$A$15)),1)</f>
        <v>3</v>
      </c>
      <c r="P2" cm="1">
        <f t="array" aca="1" ref="P2" ca="1">INDEX($A$2:$A$15,RANDBETWEEN(1,ROWS($A$2:$A$15)),1)</f>
        <v>2</v>
      </c>
      <c r="Q2" cm="1">
        <f t="array" aca="1" ref="Q2" ca="1">INDEX($A$2:$A$15,RANDBETWEEN(1,ROWS($A$2:$A$15)),1)</f>
        <v>5</v>
      </c>
      <c r="R2" cm="1">
        <f t="array" aca="1" ref="R2" ca="1">INDEX($A$2:$A$15,RANDBETWEEN(1,ROWS($A$2:$A$15)),1)</f>
        <v>4</v>
      </c>
      <c r="S2" cm="1">
        <f t="array" aca="1" ref="S2" ca="1">INDEX($A$2:$A$15,RANDBETWEEN(1,ROWS($A$2:$A$15)),1)</f>
        <v>5</v>
      </c>
      <c r="V2">
        <f ca="1">AVERAGE(C2:S2)</f>
        <v>3.8823529411764706</v>
      </c>
      <c r="W2">
        <f ca="1">MEDIAN(C2:S2)</f>
        <v>4</v>
      </c>
      <c r="X2">
        <f ca="1">_xlfn.QUARTILE.INC(C2:S2, 3)-_xlfn.QUARTILE.INC(C2:S2,1)</f>
        <v>3</v>
      </c>
      <c r="Y2">
        <f ca="1">_xlfn.STDEV.S(C2:S2)</f>
        <v>2.1471595463884507</v>
      </c>
    </row>
    <row r="3" spans="1:29" x14ac:dyDescent="0.35">
      <c r="A3" s="39">
        <v>5</v>
      </c>
      <c r="C3" cm="1">
        <f t="array" aca="1" ref="C3" ca="1">INDEX($A$2:$A$15,RANDBETWEEN(1,ROWS($A$2:$A$15)),1)</f>
        <v>4</v>
      </c>
      <c r="D3" cm="1">
        <f t="array" aca="1" ref="D3" ca="1">INDEX($A$2:$A$15,RANDBETWEEN(1,ROWS($A$2:$A$15)),1)</f>
        <v>2</v>
      </c>
      <c r="E3" cm="1">
        <f t="array" aca="1" ref="E3" ca="1">INDEX($A$2:$A$15,RANDBETWEEN(1,ROWS($A$2:$A$15)),1)</f>
        <v>5</v>
      </c>
      <c r="F3" cm="1">
        <f t="array" aca="1" ref="F3" ca="1">INDEX($A$2:$A$15,RANDBETWEEN(1,ROWS($A$2:$A$15)),1)</f>
        <v>1</v>
      </c>
      <c r="G3" cm="1">
        <f t="array" aca="1" ref="G3" ca="1">INDEX($A$2:$A$15,RANDBETWEEN(1,ROWS($A$2:$A$15)),1)</f>
        <v>1</v>
      </c>
      <c r="H3" cm="1">
        <f t="array" aca="1" ref="H3" ca="1">INDEX($A$2:$A$15,RANDBETWEEN(1,ROWS($A$2:$A$15)),1)</f>
        <v>5</v>
      </c>
      <c r="I3" cm="1">
        <f t="array" aca="1" ref="I3" ca="1">INDEX($A$2:$A$15,RANDBETWEEN(1,ROWS($A$2:$A$15)),1)</f>
        <v>1</v>
      </c>
      <c r="J3" cm="1">
        <f t="array" aca="1" ref="J3" ca="1">INDEX($A$2:$A$15,RANDBETWEEN(1,ROWS($A$2:$A$15)),1)</f>
        <v>3</v>
      </c>
      <c r="K3" cm="1">
        <f t="array" aca="1" ref="K3" ca="1">INDEX($A$2:$A$15,RANDBETWEEN(1,ROWS($A$2:$A$15)),1)</f>
        <v>5</v>
      </c>
      <c r="L3" cm="1">
        <f t="array" aca="1" ref="L3" ca="1">INDEX($A$2:$A$15,RANDBETWEEN(1,ROWS($A$2:$A$15)),1)</f>
        <v>1</v>
      </c>
      <c r="M3" cm="1">
        <f t="array" aca="1" ref="M3" ca="1">INDEX($A$2:$A$15,RANDBETWEEN(1,ROWS($A$2:$A$15)),1)</f>
        <v>4</v>
      </c>
      <c r="N3" cm="1">
        <f t="array" aca="1" ref="N3" ca="1">INDEX($A$2:$A$15,RANDBETWEEN(1,ROWS($A$2:$A$15)),1)</f>
        <v>1</v>
      </c>
      <c r="O3" cm="1">
        <f t="array" aca="1" ref="O3" ca="1">INDEX($A$2:$A$15,RANDBETWEEN(1,ROWS($A$2:$A$15)),1)</f>
        <v>3</v>
      </c>
      <c r="P3" cm="1">
        <f t="array" aca="1" ref="P3" ca="1">INDEX($A$2:$A$15,RANDBETWEEN(1,ROWS($A$2:$A$15)),1)</f>
        <v>3</v>
      </c>
      <c r="Q3" cm="1">
        <f t="array" aca="1" ref="Q3" ca="1">INDEX($A$2:$A$15,RANDBETWEEN(1,ROWS($A$2:$A$15)),1)</f>
        <v>5</v>
      </c>
      <c r="R3" cm="1">
        <f t="array" aca="1" ref="R3" ca="1">INDEX($A$2:$A$15,RANDBETWEEN(1,ROWS($A$2:$A$15)),1)</f>
        <v>1</v>
      </c>
      <c r="S3" cm="1">
        <f t="array" aca="1" ref="S3" ca="1">INDEX($A$2:$A$15,RANDBETWEEN(1,ROWS($A$2:$A$15)),1)</f>
        <v>1</v>
      </c>
      <c r="V3">
        <f t="shared" ref="V3:V66" ca="1" si="0">AVERAGE(C3:S3)</f>
        <v>2.7058823529411766</v>
      </c>
      <c r="W3">
        <f t="shared" ref="W3:W66" ca="1" si="1">MEDIAN(C3:S3)</f>
        <v>3</v>
      </c>
      <c r="X3">
        <f t="shared" ref="X3:X66" ca="1" si="2">_xlfn.QUARTILE.INC(C3:S3, 3)-_xlfn.QUARTILE.INC(C3:S3,1)</f>
        <v>3</v>
      </c>
      <c r="Y3">
        <f t="shared" ref="Y3:Y66" ca="1" si="3">_xlfn.STDEV.S(C3:S3)</f>
        <v>1.6868871436151613</v>
      </c>
    </row>
    <row r="4" spans="1:29" x14ac:dyDescent="0.35">
      <c r="A4" s="38">
        <v>1</v>
      </c>
      <c r="C4" cm="1">
        <f t="array" aca="1" ref="C4" ca="1">INDEX($A$2:$A$15,RANDBETWEEN(1,ROWS($A$2:$A$15)),1)</f>
        <v>3</v>
      </c>
      <c r="D4" cm="1">
        <f t="array" aca="1" ref="D4" ca="1">INDEX($A$2:$A$15,RANDBETWEEN(1,ROWS($A$2:$A$15)),1)</f>
        <v>1</v>
      </c>
      <c r="E4" cm="1">
        <f t="array" aca="1" ref="E4" ca="1">INDEX($A$2:$A$15,RANDBETWEEN(1,ROWS($A$2:$A$15)),1)</f>
        <v>1</v>
      </c>
      <c r="F4" cm="1">
        <f t="array" aca="1" ref="F4" ca="1">INDEX($A$2:$A$15,RANDBETWEEN(1,ROWS($A$2:$A$15)),1)</f>
        <v>8</v>
      </c>
      <c r="G4" cm="1">
        <f t="array" aca="1" ref="G4" ca="1">INDEX($A$2:$A$15,RANDBETWEEN(1,ROWS($A$2:$A$15)),1)</f>
        <v>5</v>
      </c>
      <c r="H4" cm="1">
        <f t="array" aca="1" ref="H4" ca="1">INDEX($A$2:$A$15,RANDBETWEEN(1,ROWS($A$2:$A$15)),1)</f>
        <v>8</v>
      </c>
      <c r="I4" cm="1">
        <f t="array" aca="1" ref="I4" ca="1">INDEX($A$2:$A$15,RANDBETWEEN(1,ROWS($A$2:$A$15)),1)</f>
        <v>4</v>
      </c>
      <c r="J4" cm="1">
        <f t="array" aca="1" ref="J4" ca="1">INDEX($A$2:$A$15,RANDBETWEEN(1,ROWS($A$2:$A$15)),1)</f>
        <v>3</v>
      </c>
      <c r="K4" cm="1">
        <f t="array" aca="1" ref="K4" ca="1">INDEX($A$2:$A$15,RANDBETWEEN(1,ROWS($A$2:$A$15)),1)</f>
        <v>8</v>
      </c>
      <c r="L4" cm="1">
        <f t="array" aca="1" ref="L4" ca="1">INDEX($A$2:$A$15,RANDBETWEEN(1,ROWS($A$2:$A$15)),1)</f>
        <v>4</v>
      </c>
      <c r="M4" cm="1">
        <f t="array" aca="1" ref="M4" ca="1">INDEX($A$2:$A$15,RANDBETWEEN(1,ROWS($A$2:$A$15)),1)</f>
        <v>3</v>
      </c>
      <c r="N4" cm="1">
        <f t="array" aca="1" ref="N4" ca="1">INDEX($A$2:$A$15,RANDBETWEEN(1,ROWS($A$2:$A$15)),1)</f>
        <v>5</v>
      </c>
      <c r="O4" cm="1">
        <f t="array" aca="1" ref="O4" ca="1">INDEX($A$2:$A$15,RANDBETWEEN(1,ROWS($A$2:$A$15)),1)</f>
        <v>1</v>
      </c>
      <c r="P4" cm="1">
        <f t="array" aca="1" ref="P4" ca="1">INDEX($A$2:$A$15,RANDBETWEEN(1,ROWS($A$2:$A$15)),1)</f>
        <v>4</v>
      </c>
      <c r="Q4" cm="1">
        <f t="array" aca="1" ref="Q4" ca="1">INDEX($A$2:$A$15,RANDBETWEEN(1,ROWS($A$2:$A$15)),1)</f>
        <v>1</v>
      </c>
      <c r="R4" cm="1">
        <f t="array" aca="1" ref="R4" ca="1">INDEX($A$2:$A$15,RANDBETWEEN(1,ROWS($A$2:$A$15)),1)</f>
        <v>8</v>
      </c>
      <c r="S4" cm="1">
        <f t="array" aca="1" ref="S4" ca="1">INDEX($A$2:$A$15,RANDBETWEEN(1,ROWS($A$2:$A$15)),1)</f>
        <v>3</v>
      </c>
      <c r="V4">
        <f t="shared" ca="1" si="0"/>
        <v>4.117647058823529</v>
      </c>
      <c r="W4">
        <f t="shared" ca="1" si="1"/>
        <v>4</v>
      </c>
      <c r="X4">
        <f t="shared" ca="1" si="2"/>
        <v>2</v>
      </c>
      <c r="Y4">
        <f t="shared" ca="1" si="3"/>
        <v>2.5710492250532773</v>
      </c>
    </row>
    <row r="5" spans="1:29" x14ac:dyDescent="0.35">
      <c r="A5" s="39">
        <v>5</v>
      </c>
      <c r="C5" cm="1">
        <f t="array" aca="1" ref="C5" ca="1">INDEX($A$2:$A$15,RANDBETWEEN(1,ROWS($A$2:$A$15)),1)</f>
        <v>1</v>
      </c>
      <c r="D5" cm="1">
        <f t="array" aca="1" ref="D5" ca="1">INDEX($A$2:$A$15,RANDBETWEEN(1,ROWS($A$2:$A$15)),1)</f>
        <v>4</v>
      </c>
      <c r="E5" cm="1">
        <f t="array" aca="1" ref="E5" ca="1">INDEX($A$2:$A$15,RANDBETWEEN(1,ROWS($A$2:$A$15)),1)</f>
        <v>1</v>
      </c>
      <c r="F5" cm="1">
        <f t="array" aca="1" ref="F5" ca="1">INDEX($A$2:$A$15,RANDBETWEEN(1,ROWS($A$2:$A$15)),1)</f>
        <v>5</v>
      </c>
      <c r="G5" cm="1">
        <f t="array" aca="1" ref="G5" ca="1">INDEX($A$2:$A$15,RANDBETWEEN(1,ROWS($A$2:$A$15)),1)</f>
        <v>2</v>
      </c>
      <c r="H5" cm="1">
        <f t="array" aca="1" ref="H5" ca="1">INDEX($A$2:$A$15,RANDBETWEEN(1,ROWS($A$2:$A$15)),1)</f>
        <v>3</v>
      </c>
      <c r="I5" cm="1">
        <f t="array" aca="1" ref="I5" ca="1">INDEX($A$2:$A$15,RANDBETWEEN(1,ROWS($A$2:$A$15)),1)</f>
        <v>3</v>
      </c>
      <c r="J5" cm="1">
        <f t="array" aca="1" ref="J5" ca="1">INDEX($A$2:$A$15,RANDBETWEEN(1,ROWS($A$2:$A$15)),1)</f>
        <v>2</v>
      </c>
      <c r="K5" cm="1">
        <f t="array" aca="1" ref="K5" ca="1">INDEX($A$2:$A$15,RANDBETWEEN(1,ROWS($A$2:$A$15)),1)</f>
        <v>1</v>
      </c>
      <c r="L5" cm="1">
        <f t="array" aca="1" ref="L5" ca="1">INDEX($A$2:$A$15,RANDBETWEEN(1,ROWS($A$2:$A$15)),1)</f>
        <v>8</v>
      </c>
      <c r="M5" cm="1">
        <f t="array" aca="1" ref="M5" ca="1">INDEX($A$2:$A$15,RANDBETWEEN(1,ROWS($A$2:$A$15)),1)</f>
        <v>8</v>
      </c>
      <c r="N5" cm="1">
        <f t="array" aca="1" ref="N5" ca="1">INDEX($A$2:$A$15,RANDBETWEEN(1,ROWS($A$2:$A$15)),1)</f>
        <v>3</v>
      </c>
      <c r="O5" cm="1">
        <f t="array" aca="1" ref="O5" ca="1">INDEX($A$2:$A$15,RANDBETWEEN(1,ROWS($A$2:$A$15)),1)</f>
        <v>5</v>
      </c>
      <c r="P5" cm="1">
        <f t="array" aca="1" ref="P5" ca="1">INDEX($A$2:$A$15,RANDBETWEEN(1,ROWS($A$2:$A$15)),1)</f>
        <v>8</v>
      </c>
      <c r="Q5" cm="1">
        <f t="array" aca="1" ref="Q5" ca="1">INDEX($A$2:$A$15,RANDBETWEEN(1,ROWS($A$2:$A$15)),1)</f>
        <v>1</v>
      </c>
      <c r="R5" cm="1">
        <f t="array" aca="1" ref="R5" ca="1">INDEX($A$2:$A$15,RANDBETWEEN(1,ROWS($A$2:$A$15)),1)</f>
        <v>7</v>
      </c>
      <c r="S5" cm="1">
        <f t="array" aca="1" ref="S5" ca="1">INDEX($A$2:$A$15,RANDBETWEEN(1,ROWS($A$2:$A$15)),1)</f>
        <v>8</v>
      </c>
      <c r="V5">
        <f t="shared" ca="1" si="0"/>
        <v>4.117647058823529</v>
      </c>
      <c r="W5">
        <f t="shared" ca="1" si="1"/>
        <v>3</v>
      </c>
      <c r="X5">
        <f t="shared" ca="1" si="2"/>
        <v>5</v>
      </c>
      <c r="Y5">
        <f t="shared" ca="1" si="3"/>
        <v>2.7586761530935555</v>
      </c>
    </row>
    <row r="6" spans="1:29" x14ac:dyDescent="0.35">
      <c r="A6" s="38">
        <v>3</v>
      </c>
      <c r="C6" cm="1">
        <f t="array" aca="1" ref="C6" ca="1">INDEX($A$2:$A$15,RANDBETWEEN(1,ROWS($A$2:$A$15)),1)</f>
        <v>3</v>
      </c>
      <c r="D6" cm="1">
        <f t="array" aca="1" ref="D6" ca="1">INDEX($A$2:$A$15,RANDBETWEEN(1,ROWS($A$2:$A$15)),1)</f>
        <v>1</v>
      </c>
      <c r="E6" cm="1">
        <f t="array" aca="1" ref="E6" ca="1">INDEX($A$2:$A$15,RANDBETWEEN(1,ROWS($A$2:$A$15)),1)</f>
        <v>1</v>
      </c>
      <c r="F6" cm="1">
        <f t="array" aca="1" ref="F6" ca="1">INDEX($A$2:$A$15,RANDBETWEEN(1,ROWS($A$2:$A$15)),1)</f>
        <v>3</v>
      </c>
      <c r="G6" cm="1">
        <f t="array" aca="1" ref="G6" ca="1">INDEX($A$2:$A$15,RANDBETWEEN(1,ROWS($A$2:$A$15)),1)</f>
        <v>1</v>
      </c>
      <c r="H6" cm="1">
        <f t="array" aca="1" ref="H6" ca="1">INDEX($A$2:$A$15,RANDBETWEEN(1,ROWS($A$2:$A$15)),1)</f>
        <v>7</v>
      </c>
      <c r="I6" cm="1">
        <f t="array" aca="1" ref="I6" ca="1">INDEX($A$2:$A$15,RANDBETWEEN(1,ROWS($A$2:$A$15)),1)</f>
        <v>2</v>
      </c>
      <c r="J6" cm="1">
        <f t="array" aca="1" ref="J6" ca="1">INDEX($A$2:$A$15,RANDBETWEEN(1,ROWS($A$2:$A$15)),1)</f>
        <v>1</v>
      </c>
      <c r="K6" cm="1">
        <f t="array" aca="1" ref="K6" ca="1">INDEX($A$2:$A$15,RANDBETWEEN(1,ROWS($A$2:$A$15)),1)</f>
        <v>4</v>
      </c>
      <c r="L6" cm="1">
        <f t="array" aca="1" ref="L6" ca="1">INDEX($A$2:$A$15,RANDBETWEEN(1,ROWS($A$2:$A$15)),1)</f>
        <v>5</v>
      </c>
      <c r="M6" cm="1">
        <f t="array" aca="1" ref="M6" ca="1">INDEX($A$2:$A$15,RANDBETWEEN(1,ROWS($A$2:$A$15)),1)</f>
        <v>8</v>
      </c>
      <c r="N6" cm="1">
        <f t="array" aca="1" ref="N6" ca="1">INDEX($A$2:$A$15,RANDBETWEEN(1,ROWS($A$2:$A$15)),1)</f>
        <v>3</v>
      </c>
      <c r="O6" cm="1">
        <f t="array" aca="1" ref="O6" ca="1">INDEX($A$2:$A$15,RANDBETWEEN(1,ROWS($A$2:$A$15)),1)</f>
        <v>8</v>
      </c>
      <c r="P6" cm="1">
        <f t="array" aca="1" ref="P6" ca="1">INDEX($A$2:$A$15,RANDBETWEEN(1,ROWS($A$2:$A$15)),1)</f>
        <v>1</v>
      </c>
      <c r="Q6" cm="1">
        <f t="array" aca="1" ref="Q6" ca="1">INDEX($A$2:$A$15,RANDBETWEEN(1,ROWS($A$2:$A$15)),1)</f>
        <v>4</v>
      </c>
      <c r="R6" cm="1">
        <f t="array" aca="1" ref="R6" ca="1">INDEX($A$2:$A$15,RANDBETWEEN(1,ROWS($A$2:$A$15)),1)</f>
        <v>4</v>
      </c>
      <c r="S6" cm="1">
        <f t="array" aca="1" ref="S6" ca="1">INDEX($A$2:$A$15,RANDBETWEEN(1,ROWS($A$2:$A$15)),1)</f>
        <v>4</v>
      </c>
      <c r="V6">
        <f t="shared" ca="1" si="0"/>
        <v>3.5294117647058822</v>
      </c>
      <c r="W6">
        <f t="shared" ca="1" si="1"/>
        <v>3</v>
      </c>
      <c r="X6">
        <f t="shared" ca="1" si="2"/>
        <v>3</v>
      </c>
      <c r="Y6">
        <f t="shared" ca="1" si="3"/>
        <v>2.3748064936648925</v>
      </c>
    </row>
    <row r="7" spans="1:29" x14ac:dyDescent="0.35">
      <c r="A7" s="39">
        <v>3</v>
      </c>
      <c r="C7" cm="1">
        <f t="array" aca="1" ref="C7" ca="1">INDEX($A$2:$A$15,RANDBETWEEN(1,ROWS($A$2:$A$15)),1)</f>
        <v>3</v>
      </c>
      <c r="D7" cm="1">
        <f t="array" aca="1" ref="D7" ca="1">INDEX($A$2:$A$15,RANDBETWEEN(1,ROWS($A$2:$A$15)),1)</f>
        <v>1</v>
      </c>
      <c r="E7" cm="1">
        <f t="array" aca="1" ref="E7" ca="1">INDEX($A$2:$A$15,RANDBETWEEN(1,ROWS($A$2:$A$15)),1)</f>
        <v>5</v>
      </c>
      <c r="F7" cm="1">
        <f t="array" aca="1" ref="F7" ca="1">INDEX($A$2:$A$15,RANDBETWEEN(1,ROWS($A$2:$A$15)),1)</f>
        <v>1</v>
      </c>
      <c r="G7" cm="1">
        <f t="array" aca="1" ref="G7" ca="1">INDEX($A$2:$A$15,RANDBETWEEN(1,ROWS($A$2:$A$15)),1)</f>
        <v>4</v>
      </c>
      <c r="H7" cm="1">
        <f t="array" aca="1" ref="H7" ca="1">INDEX($A$2:$A$15,RANDBETWEEN(1,ROWS($A$2:$A$15)),1)</f>
        <v>2</v>
      </c>
      <c r="I7" cm="1">
        <f t="array" aca="1" ref="I7" ca="1">INDEX($A$2:$A$15,RANDBETWEEN(1,ROWS($A$2:$A$15)),1)</f>
        <v>3</v>
      </c>
      <c r="J7" cm="1">
        <f t="array" aca="1" ref="J7" ca="1">INDEX($A$2:$A$15,RANDBETWEEN(1,ROWS($A$2:$A$15)),1)</f>
        <v>4</v>
      </c>
      <c r="K7" cm="1">
        <f t="array" aca="1" ref="K7" ca="1">INDEX($A$2:$A$15,RANDBETWEEN(1,ROWS($A$2:$A$15)),1)</f>
        <v>5</v>
      </c>
      <c r="L7" cm="1">
        <f t="array" aca="1" ref="L7" ca="1">INDEX($A$2:$A$15,RANDBETWEEN(1,ROWS($A$2:$A$15)),1)</f>
        <v>1</v>
      </c>
      <c r="M7" cm="1">
        <f t="array" aca="1" ref="M7" ca="1">INDEX($A$2:$A$15,RANDBETWEEN(1,ROWS($A$2:$A$15)),1)</f>
        <v>5</v>
      </c>
      <c r="N7" cm="1">
        <f t="array" aca="1" ref="N7" ca="1">INDEX($A$2:$A$15,RANDBETWEEN(1,ROWS($A$2:$A$15)),1)</f>
        <v>5</v>
      </c>
      <c r="O7" cm="1">
        <f t="array" aca="1" ref="O7" ca="1">INDEX($A$2:$A$15,RANDBETWEEN(1,ROWS($A$2:$A$15)),1)</f>
        <v>4</v>
      </c>
      <c r="P7" cm="1">
        <f t="array" aca="1" ref="P7" ca="1">INDEX($A$2:$A$15,RANDBETWEEN(1,ROWS($A$2:$A$15)),1)</f>
        <v>4</v>
      </c>
      <c r="Q7" cm="1">
        <f t="array" aca="1" ref="Q7" ca="1">INDEX($A$2:$A$15,RANDBETWEEN(1,ROWS($A$2:$A$15)),1)</f>
        <v>7</v>
      </c>
      <c r="R7" cm="1">
        <f t="array" aca="1" ref="R7" ca="1">INDEX($A$2:$A$15,RANDBETWEEN(1,ROWS($A$2:$A$15)),1)</f>
        <v>5</v>
      </c>
      <c r="S7" cm="1">
        <f t="array" aca="1" ref="S7" ca="1">INDEX($A$2:$A$15,RANDBETWEEN(1,ROWS($A$2:$A$15)),1)</f>
        <v>4</v>
      </c>
      <c r="V7">
        <f t="shared" ca="1" si="0"/>
        <v>3.7058823529411766</v>
      </c>
      <c r="W7">
        <f t="shared" ca="1" si="1"/>
        <v>4</v>
      </c>
      <c r="X7">
        <f t="shared" ca="1" si="2"/>
        <v>2</v>
      </c>
      <c r="Y7">
        <f t="shared" ca="1" si="3"/>
        <v>1.6868871436151613</v>
      </c>
      <c r="AB7">
        <v>1</v>
      </c>
      <c r="AC7" cm="1">
        <f t="array" aca="1" ref="AC7:AC17" ca="1">FREQUENCY(V2:V300,AB7:AB16)</f>
        <v>0</v>
      </c>
    </row>
    <row r="8" spans="1:29" x14ac:dyDescent="0.35">
      <c r="A8" s="38">
        <v>5</v>
      </c>
      <c r="C8" cm="1">
        <f t="array" aca="1" ref="C8" ca="1">INDEX($A$2:$A$15,RANDBETWEEN(1,ROWS($A$2:$A$15)),1)</f>
        <v>3</v>
      </c>
      <c r="D8" cm="1">
        <f t="array" aca="1" ref="D8" ca="1">INDEX($A$2:$A$15,RANDBETWEEN(1,ROWS($A$2:$A$15)),1)</f>
        <v>1</v>
      </c>
      <c r="E8" cm="1">
        <f t="array" aca="1" ref="E8" ca="1">INDEX($A$2:$A$15,RANDBETWEEN(1,ROWS($A$2:$A$15)),1)</f>
        <v>2</v>
      </c>
      <c r="F8" cm="1">
        <f t="array" aca="1" ref="F8" ca="1">INDEX($A$2:$A$15,RANDBETWEEN(1,ROWS($A$2:$A$15)),1)</f>
        <v>1</v>
      </c>
      <c r="G8" cm="1">
        <f t="array" aca="1" ref="G8" ca="1">INDEX($A$2:$A$15,RANDBETWEEN(1,ROWS($A$2:$A$15)),1)</f>
        <v>5</v>
      </c>
      <c r="H8" cm="1">
        <f t="array" aca="1" ref="H8" ca="1">INDEX($A$2:$A$15,RANDBETWEEN(1,ROWS($A$2:$A$15)),1)</f>
        <v>4</v>
      </c>
      <c r="I8" cm="1">
        <f t="array" aca="1" ref="I8" ca="1">INDEX($A$2:$A$15,RANDBETWEEN(1,ROWS($A$2:$A$15)),1)</f>
        <v>8</v>
      </c>
      <c r="J8" cm="1">
        <f t="array" aca="1" ref="J8" ca="1">INDEX($A$2:$A$15,RANDBETWEEN(1,ROWS($A$2:$A$15)),1)</f>
        <v>3</v>
      </c>
      <c r="K8" cm="1">
        <f t="array" aca="1" ref="K8" ca="1">INDEX($A$2:$A$15,RANDBETWEEN(1,ROWS($A$2:$A$15)),1)</f>
        <v>3</v>
      </c>
      <c r="L8" cm="1">
        <f t="array" aca="1" ref="L8" ca="1">INDEX($A$2:$A$15,RANDBETWEEN(1,ROWS($A$2:$A$15)),1)</f>
        <v>5</v>
      </c>
      <c r="M8" cm="1">
        <f t="array" aca="1" ref="M8" ca="1">INDEX($A$2:$A$15,RANDBETWEEN(1,ROWS($A$2:$A$15)),1)</f>
        <v>1</v>
      </c>
      <c r="N8" cm="1">
        <f t="array" aca="1" ref="N8" ca="1">INDEX($A$2:$A$15,RANDBETWEEN(1,ROWS($A$2:$A$15)),1)</f>
        <v>5</v>
      </c>
      <c r="O8" cm="1">
        <f t="array" aca="1" ref="O8" ca="1">INDEX($A$2:$A$15,RANDBETWEEN(1,ROWS($A$2:$A$15)),1)</f>
        <v>5</v>
      </c>
      <c r="P8" cm="1">
        <f t="array" aca="1" ref="P8" ca="1">INDEX($A$2:$A$15,RANDBETWEEN(1,ROWS($A$2:$A$15)),1)</f>
        <v>1</v>
      </c>
      <c r="Q8" cm="1">
        <f t="array" aca="1" ref="Q8" ca="1">INDEX($A$2:$A$15,RANDBETWEEN(1,ROWS($A$2:$A$15)),1)</f>
        <v>5</v>
      </c>
      <c r="R8" cm="1">
        <f t="array" aca="1" ref="R8" ca="1">INDEX($A$2:$A$15,RANDBETWEEN(1,ROWS($A$2:$A$15)),1)</f>
        <v>1</v>
      </c>
      <c r="S8" cm="1">
        <f t="array" aca="1" ref="S8" ca="1">INDEX($A$2:$A$15,RANDBETWEEN(1,ROWS($A$2:$A$15)),1)</f>
        <v>1</v>
      </c>
      <c r="V8">
        <f t="shared" ca="1" si="0"/>
        <v>3.1764705882352939</v>
      </c>
      <c r="W8">
        <f t="shared" ca="1" si="1"/>
        <v>3</v>
      </c>
      <c r="X8">
        <f t="shared" ca="1" si="2"/>
        <v>4</v>
      </c>
      <c r="Y8">
        <f t="shared" ca="1" si="3"/>
        <v>2.0986690460160418</v>
      </c>
      <c r="AB8">
        <v>2</v>
      </c>
      <c r="AC8">
        <f ca="1"/>
        <v>0</v>
      </c>
    </row>
    <row r="9" spans="1:29" x14ac:dyDescent="0.35">
      <c r="A9" s="39">
        <v>1</v>
      </c>
      <c r="C9" cm="1">
        <f t="array" aca="1" ref="C9" ca="1">INDEX($A$2:$A$15,RANDBETWEEN(1,ROWS($A$2:$A$15)),1)</f>
        <v>5</v>
      </c>
      <c r="D9" cm="1">
        <f t="array" aca="1" ref="D9" ca="1">INDEX($A$2:$A$15,RANDBETWEEN(1,ROWS($A$2:$A$15)),1)</f>
        <v>3</v>
      </c>
      <c r="E9" cm="1">
        <f t="array" aca="1" ref="E9" ca="1">INDEX($A$2:$A$15,RANDBETWEEN(1,ROWS($A$2:$A$15)),1)</f>
        <v>4</v>
      </c>
      <c r="F9" cm="1">
        <f t="array" aca="1" ref="F9" ca="1">INDEX($A$2:$A$15,RANDBETWEEN(1,ROWS($A$2:$A$15)),1)</f>
        <v>5</v>
      </c>
      <c r="G9" cm="1">
        <f t="array" aca="1" ref="G9" ca="1">INDEX($A$2:$A$15,RANDBETWEEN(1,ROWS($A$2:$A$15)),1)</f>
        <v>1</v>
      </c>
      <c r="H9" cm="1">
        <f t="array" aca="1" ref="H9" ca="1">INDEX($A$2:$A$15,RANDBETWEEN(1,ROWS($A$2:$A$15)),1)</f>
        <v>5</v>
      </c>
      <c r="I9" cm="1">
        <f t="array" aca="1" ref="I9" ca="1">INDEX($A$2:$A$15,RANDBETWEEN(1,ROWS($A$2:$A$15)),1)</f>
        <v>5</v>
      </c>
      <c r="J9" cm="1">
        <f t="array" aca="1" ref="J9" ca="1">INDEX($A$2:$A$15,RANDBETWEEN(1,ROWS($A$2:$A$15)),1)</f>
        <v>1</v>
      </c>
      <c r="K9" cm="1">
        <f t="array" aca="1" ref="K9" ca="1">INDEX($A$2:$A$15,RANDBETWEEN(1,ROWS($A$2:$A$15)),1)</f>
        <v>4</v>
      </c>
      <c r="L9" cm="1">
        <f t="array" aca="1" ref="L9" ca="1">INDEX($A$2:$A$15,RANDBETWEEN(1,ROWS($A$2:$A$15)),1)</f>
        <v>4</v>
      </c>
      <c r="M9" cm="1">
        <f t="array" aca="1" ref="M9" ca="1">INDEX($A$2:$A$15,RANDBETWEEN(1,ROWS($A$2:$A$15)),1)</f>
        <v>1</v>
      </c>
      <c r="N9" cm="1">
        <f t="array" aca="1" ref="N9" ca="1">INDEX($A$2:$A$15,RANDBETWEEN(1,ROWS($A$2:$A$15)),1)</f>
        <v>3</v>
      </c>
      <c r="O9" cm="1">
        <f t="array" aca="1" ref="O9" ca="1">INDEX($A$2:$A$15,RANDBETWEEN(1,ROWS($A$2:$A$15)),1)</f>
        <v>3</v>
      </c>
      <c r="P9" cm="1">
        <f t="array" aca="1" ref="P9" ca="1">INDEX($A$2:$A$15,RANDBETWEEN(1,ROWS($A$2:$A$15)),1)</f>
        <v>4</v>
      </c>
      <c r="Q9" cm="1">
        <f t="array" aca="1" ref="Q9" ca="1">INDEX($A$2:$A$15,RANDBETWEEN(1,ROWS($A$2:$A$15)),1)</f>
        <v>2</v>
      </c>
      <c r="R9" cm="1">
        <f t="array" aca="1" ref="R9" ca="1">INDEX($A$2:$A$15,RANDBETWEEN(1,ROWS($A$2:$A$15)),1)</f>
        <v>5</v>
      </c>
      <c r="S9" cm="1">
        <f t="array" aca="1" ref="S9" ca="1">INDEX($A$2:$A$15,RANDBETWEEN(1,ROWS($A$2:$A$15)),1)</f>
        <v>5</v>
      </c>
      <c r="V9">
        <f t="shared" ca="1" si="0"/>
        <v>3.5294117647058822</v>
      </c>
      <c r="W9">
        <f t="shared" ca="1" si="1"/>
        <v>4</v>
      </c>
      <c r="X9">
        <f t="shared" ca="1" si="2"/>
        <v>2</v>
      </c>
      <c r="Y9">
        <f t="shared" ca="1" si="3"/>
        <v>1.5048939771136509</v>
      </c>
      <c r="AB9">
        <v>3</v>
      </c>
      <c r="AC9">
        <f ca="1"/>
        <v>10</v>
      </c>
    </row>
    <row r="10" spans="1:29" x14ac:dyDescent="0.35">
      <c r="A10" s="38">
        <v>1</v>
      </c>
      <c r="C10" cm="1">
        <f t="array" aca="1" ref="C10" ca="1">INDEX($A$2:$A$15,RANDBETWEEN(1,ROWS($A$2:$A$15)),1)</f>
        <v>1</v>
      </c>
      <c r="D10" cm="1">
        <f t="array" aca="1" ref="D10" ca="1">INDEX($A$2:$A$15,RANDBETWEEN(1,ROWS($A$2:$A$15)),1)</f>
        <v>4</v>
      </c>
      <c r="E10" cm="1">
        <f t="array" aca="1" ref="E10" ca="1">INDEX($A$2:$A$15,RANDBETWEEN(1,ROWS($A$2:$A$15)),1)</f>
        <v>1</v>
      </c>
      <c r="F10" cm="1">
        <f t="array" aca="1" ref="F10" ca="1">INDEX($A$2:$A$15,RANDBETWEEN(1,ROWS($A$2:$A$15)),1)</f>
        <v>1</v>
      </c>
      <c r="G10" cm="1">
        <f t="array" aca="1" ref="G10" ca="1">INDEX($A$2:$A$15,RANDBETWEEN(1,ROWS($A$2:$A$15)),1)</f>
        <v>2</v>
      </c>
      <c r="H10" cm="1">
        <f t="array" aca="1" ref="H10" ca="1">INDEX($A$2:$A$15,RANDBETWEEN(1,ROWS($A$2:$A$15)),1)</f>
        <v>5</v>
      </c>
      <c r="I10" cm="1">
        <f t="array" aca="1" ref="I10" ca="1">INDEX($A$2:$A$15,RANDBETWEEN(1,ROWS($A$2:$A$15)),1)</f>
        <v>1</v>
      </c>
      <c r="J10" cm="1">
        <f t="array" aca="1" ref="J10" ca="1">INDEX($A$2:$A$15,RANDBETWEEN(1,ROWS($A$2:$A$15)),1)</f>
        <v>3</v>
      </c>
      <c r="K10" cm="1">
        <f t="array" aca="1" ref="K10" ca="1">INDEX($A$2:$A$15,RANDBETWEEN(1,ROWS($A$2:$A$15)),1)</f>
        <v>1</v>
      </c>
      <c r="L10" cm="1">
        <f t="array" aca="1" ref="L10" ca="1">INDEX($A$2:$A$15,RANDBETWEEN(1,ROWS($A$2:$A$15)),1)</f>
        <v>2</v>
      </c>
      <c r="M10" cm="1">
        <f t="array" aca="1" ref="M10" ca="1">INDEX($A$2:$A$15,RANDBETWEEN(1,ROWS($A$2:$A$15)),1)</f>
        <v>5</v>
      </c>
      <c r="N10" cm="1">
        <f t="array" aca="1" ref="N10" ca="1">INDEX($A$2:$A$15,RANDBETWEEN(1,ROWS($A$2:$A$15)),1)</f>
        <v>5</v>
      </c>
      <c r="O10" cm="1">
        <f t="array" aca="1" ref="O10" ca="1">INDEX($A$2:$A$15,RANDBETWEEN(1,ROWS($A$2:$A$15)),1)</f>
        <v>3</v>
      </c>
      <c r="P10" cm="1">
        <f t="array" aca="1" ref="P10" ca="1">INDEX($A$2:$A$15,RANDBETWEEN(1,ROWS($A$2:$A$15)),1)</f>
        <v>3</v>
      </c>
      <c r="Q10" cm="1">
        <f t="array" aca="1" ref="Q10" ca="1">INDEX($A$2:$A$15,RANDBETWEEN(1,ROWS($A$2:$A$15)),1)</f>
        <v>4</v>
      </c>
      <c r="R10" cm="1">
        <f t="array" aca="1" ref="R10" ca="1">INDEX($A$2:$A$15,RANDBETWEEN(1,ROWS($A$2:$A$15)),1)</f>
        <v>5</v>
      </c>
      <c r="S10" cm="1">
        <f t="array" aca="1" ref="S10" ca="1">INDEX($A$2:$A$15,RANDBETWEEN(1,ROWS($A$2:$A$15)),1)</f>
        <v>5</v>
      </c>
      <c r="V10">
        <f t="shared" ca="1" si="0"/>
        <v>3</v>
      </c>
      <c r="W10">
        <f t="shared" ca="1" si="1"/>
        <v>3</v>
      </c>
      <c r="X10">
        <f t="shared" ca="1" si="2"/>
        <v>4</v>
      </c>
      <c r="Y10">
        <f t="shared" ca="1" si="3"/>
        <v>1.6583123951776999</v>
      </c>
      <c r="AB10">
        <v>4</v>
      </c>
      <c r="AC10">
        <f ca="1"/>
        <v>165</v>
      </c>
    </row>
    <row r="11" spans="1:29" x14ac:dyDescent="0.35">
      <c r="A11" s="39">
        <v>8</v>
      </c>
      <c r="C11" cm="1">
        <f t="array" aca="1" ref="C11" ca="1">INDEX($A$2:$A$15,RANDBETWEEN(1,ROWS($A$2:$A$15)),1)</f>
        <v>5</v>
      </c>
      <c r="D11" cm="1">
        <f t="array" aca="1" ref="D11" ca="1">INDEX($A$2:$A$15,RANDBETWEEN(1,ROWS($A$2:$A$15)),1)</f>
        <v>4</v>
      </c>
      <c r="E11" cm="1">
        <f t="array" aca="1" ref="E11" ca="1">INDEX($A$2:$A$15,RANDBETWEEN(1,ROWS($A$2:$A$15)),1)</f>
        <v>5</v>
      </c>
      <c r="F11" cm="1">
        <f t="array" aca="1" ref="F11" ca="1">INDEX($A$2:$A$15,RANDBETWEEN(1,ROWS($A$2:$A$15)),1)</f>
        <v>1</v>
      </c>
      <c r="G11" cm="1">
        <f t="array" aca="1" ref="G11" ca="1">INDEX($A$2:$A$15,RANDBETWEEN(1,ROWS($A$2:$A$15)),1)</f>
        <v>5</v>
      </c>
      <c r="H11" cm="1">
        <f t="array" aca="1" ref="H11" ca="1">INDEX($A$2:$A$15,RANDBETWEEN(1,ROWS($A$2:$A$15)),1)</f>
        <v>2</v>
      </c>
      <c r="I11" cm="1">
        <f t="array" aca="1" ref="I11" ca="1">INDEX($A$2:$A$15,RANDBETWEEN(1,ROWS($A$2:$A$15)),1)</f>
        <v>1</v>
      </c>
      <c r="J11" cm="1">
        <f t="array" aca="1" ref="J11" ca="1">INDEX($A$2:$A$15,RANDBETWEEN(1,ROWS($A$2:$A$15)),1)</f>
        <v>3</v>
      </c>
      <c r="K11" cm="1">
        <f t="array" aca="1" ref="K11" ca="1">INDEX($A$2:$A$15,RANDBETWEEN(1,ROWS($A$2:$A$15)),1)</f>
        <v>1</v>
      </c>
      <c r="L11" cm="1">
        <f t="array" aca="1" ref="L11" ca="1">INDEX($A$2:$A$15,RANDBETWEEN(1,ROWS($A$2:$A$15)),1)</f>
        <v>1</v>
      </c>
      <c r="M11" cm="1">
        <f t="array" aca="1" ref="M11" ca="1">INDEX($A$2:$A$15,RANDBETWEEN(1,ROWS($A$2:$A$15)),1)</f>
        <v>4</v>
      </c>
      <c r="N11" cm="1">
        <f t="array" aca="1" ref="N11" ca="1">INDEX($A$2:$A$15,RANDBETWEEN(1,ROWS($A$2:$A$15)),1)</f>
        <v>1</v>
      </c>
      <c r="O11" cm="1">
        <f t="array" aca="1" ref="O11" ca="1">INDEX($A$2:$A$15,RANDBETWEEN(1,ROWS($A$2:$A$15)),1)</f>
        <v>1</v>
      </c>
      <c r="P11" cm="1">
        <f t="array" aca="1" ref="P11" ca="1">INDEX($A$2:$A$15,RANDBETWEEN(1,ROWS($A$2:$A$15)),1)</f>
        <v>1</v>
      </c>
      <c r="Q11" cm="1">
        <f t="array" aca="1" ref="Q11" ca="1">INDEX($A$2:$A$15,RANDBETWEEN(1,ROWS($A$2:$A$15)),1)</f>
        <v>3</v>
      </c>
      <c r="R11" cm="1">
        <f t="array" aca="1" ref="R11" ca="1">INDEX($A$2:$A$15,RANDBETWEEN(1,ROWS($A$2:$A$15)),1)</f>
        <v>3</v>
      </c>
      <c r="S11" cm="1">
        <f t="array" aca="1" ref="S11" ca="1">INDEX($A$2:$A$15,RANDBETWEEN(1,ROWS($A$2:$A$15)),1)</f>
        <v>3</v>
      </c>
      <c r="V11">
        <f t="shared" ca="1" si="0"/>
        <v>2.5882352941176472</v>
      </c>
      <c r="W11">
        <f t="shared" ca="1" si="1"/>
        <v>3</v>
      </c>
      <c r="X11">
        <f t="shared" ca="1" si="2"/>
        <v>3</v>
      </c>
      <c r="Y11">
        <f t="shared" ca="1" si="3"/>
        <v>1.5834623270468013</v>
      </c>
      <c r="AB11">
        <v>5</v>
      </c>
      <c r="AC11">
        <f ca="1"/>
        <v>121</v>
      </c>
    </row>
    <row r="12" spans="1:29" x14ac:dyDescent="0.35">
      <c r="A12" s="38">
        <v>4</v>
      </c>
      <c r="C12" cm="1">
        <f t="array" aca="1" ref="C12" ca="1">INDEX($A$2:$A$15,RANDBETWEEN(1,ROWS($A$2:$A$15)),1)</f>
        <v>2</v>
      </c>
      <c r="D12" cm="1">
        <f t="array" aca="1" ref="D12" ca="1">INDEX($A$2:$A$15,RANDBETWEEN(1,ROWS($A$2:$A$15)),1)</f>
        <v>3</v>
      </c>
      <c r="E12" cm="1">
        <f t="array" aca="1" ref="E12" ca="1">INDEX($A$2:$A$15,RANDBETWEEN(1,ROWS($A$2:$A$15)),1)</f>
        <v>8</v>
      </c>
      <c r="F12" cm="1">
        <f t="array" aca="1" ref="F12" ca="1">INDEX($A$2:$A$15,RANDBETWEEN(1,ROWS($A$2:$A$15)),1)</f>
        <v>1</v>
      </c>
      <c r="G12" cm="1">
        <f t="array" aca="1" ref="G12" ca="1">INDEX($A$2:$A$15,RANDBETWEEN(1,ROWS($A$2:$A$15)),1)</f>
        <v>7</v>
      </c>
      <c r="H12" cm="1">
        <f t="array" aca="1" ref="H12" ca="1">INDEX($A$2:$A$15,RANDBETWEEN(1,ROWS($A$2:$A$15)),1)</f>
        <v>5</v>
      </c>
      <c r="I12" cm="1">
        <f t="array" aca="1" ref="I12" ca="1">INDEX($A$2:$A$15,RANDBETWEEN(1,ROWS($A$2:$A$15)),1)</f>
        <v>3</v>
      </c>
      <c r="J12" cm="1">
        <f t="array" aca="1" ref="J12" ca="1">INDEX($A$2:$A$15,RANDBETWEEN(1,ROWS($A$2:$A$15)),1)</f>
        <v>8</v>
      </c>
      <c r="K12" cm="1">
        <f t="array" aca="1" ref="K12" ca="1">INDEX($A$2:$A$15,RANDBETWEEN(1,ROWS($A$2:$A$15)),1)</f>
        <v>7</v>
      </c>
      <c r="L12" cm="1">
        <f t="array" aca="1" ref="L12" ca="1">INDEX($A$2:$A$15,RANDBETWEEN(1,ROWS($A$2:$A$15)),1)</f>
        <v>5</v>
      </c>
      <c r="M12" cm="1">
        <f t="array" aca="1" ref="M12" ca="1">INDEX($A$2:$A$15,RANDBETWEEN(1,ROWS($A$2:$A$15)),1)</f>
        <v>7</v>
      </c>
      <c r="N12" cm="1">
        <f t="array" aca="1" ref="N12" ca="1">INDEX($A$2:$A$15,RANDBETWEEN(1,ROWS($A$2:$A$15)),1)</f>
        <v>2</v>
      </c>
      <c r="O12" cm="1">
        <f t="array" aca="1" ref="O12" ca="1">INDEX($A$2:$A$15,RANDBETWEEN(1,ROWS($A$2:$A$15)),1)</f>
        <v>1</v>
      </c>
      <c r="P12" cm="1">
        <f t="array" aca="1" ref="P12" ca="1">INDEX($A$2:$A$15,RANDBETWEEN(1,ROWS($A$2:$A$15)),1)</f>
        <v>5</v>
      </c>
      <c r="Q12" cm="1">
        <f t="array" aca="1" ref="Q12" ca="1">INDEX($A$2:$A$15,RANDBETWEEN(1,ROWS($A$2:$A$15)),1)</f>
        <v>5</v>
      </c>
      <c r="R12" cm="1">
        <f t="array" aca="1" ref="R12" ca="1">INDEX($A$2:$A$15,RANDBETWEEN(1,ROWS($A$2:$A$15)),1)</f>
        <v>3</v>
      </c>
      <c r="S12" cm="1">
        <f t="array" aca="1" ref="S12" ca="1">INDEX($A$2:$A$15,RANDBETWEEN(1,ROWS($A$2:$A$15)),1)</f>
        <v>2</v>
      </c>
      <c r="V12">
        <f t="shared" ca="1" si="0"/>
        <v>4.3529411764705879</v>
      </c>
      <c r="W12">
        <f t="shared" ca="1" si="1"/>
        <v>5</v>
      </c>
      <c r="X12">
        <f t="shared" ca="1" si="2"/>
        <v>5</v>
      </c>
      <c r="Y12">
        <f t="shared" ca="1" si="3"/>
        <v>2.4223226578685857</v>
      </c>
      <c r="AB12">
        <v>6</v>
      </c>
      <c r="AC12">
        <f ca="1"/>
        <v>3</v>
      </c>
    </row>
    <row r="13" spans="1:29" x14ac:dyDescent="0.35">
      <c r="A13" s="39">
        <v>4</v>
      </c>
      <c r="C13" cm="1">
        <f t="array" aca="1" ref="C13" ca="1">INDEX($A$2:$A$15,RANDBETWEEN(1,ROWS($A$2:$A$15)),1)</f>
        <v>8</v>
      </c>
      <c r="D13" cm="1">
        <f t="array" aca="1" ref="D13" ca="1">INDEX($A$2:$A$15,RANDBETWEEN(1,ROWS($A$2:$A$15)),1)</f>
        <v>5</v>
      </c>
      <c r="E13" cm="1">
        <f t="array" aca="1" ref="E13" ca="1">INDEX($A$2:$A$15,RANDBETWEEN(1,ROWS($A$2:$A$15)),1)</f>
        <v>3</v>
      </c>
      <c r="F13" cm="1">
        <f t="array" aca="1" ref="F13" ca="1">INDEX($A$2:$A$15,RANDBETWEEN(1,ROWS($A$2:$A$15)),1)</f>
        <v>4</v>
      </c>
      <c r="G13" cm="1">
        <f t="array" aca="1" ref="G13" ca="1">INDEX($A$2:$A$15,RANDBETWEEN(1,ROWS($A$2:$A$15)),1)</f>
        <v>5</v>
      </c>
      <c r="H13" cm="1">
        <f t="array" aca="1" ref="H13" ca="1">INDEX($A$2:$A$15,RANDBETWEEN(1,ROWS($A$2:$A$15)),1)</f>
        <v>3</v>
      </c>
      <c r="I13" cm="1">
        <f t="array" aca="1" ref="I13" ca="1">INDEX($A$2:$A$15,RANDBETWEEN(1,ROWS($A$2:$A$15)),1)</f>
        <v>1</v>
      </c>
      <c r="J13" cm="1">
        <f t="array" aca="1" ref="J13" ca="1">INDEX($A$2:$A$15,RANDBETWEEN(1,ROWS($A$2:$A$15)),1)</f>
        <v>3</v>
      </c>
      <c r="K13" cm="1">
        <f t="array" aca="1" ref="K13" ca="1">INDEX($A$2:$A$15,RANDBETWEEN(1,ROWS($A$2:$A$15)),1)</f>
        <v>4</v>
      </c>
      <c r="L13" cm="1">
        <f t="array" aca="1" ref="L13" ca="1">INDEX($A$2:$A$15,RANDBETWEEN(1,ROWS($A$2:$A$15)),1)</f>
        <v>1</v>
      </c>
      <c r="M13" cm="1">
        <f t="array" aca="1" ref="M13" ca="1">INDEX($A$2:$A$15,RANDBETWEEN(1,ROWS($A$2:$A$15)),1)</f>
        <v>2</v>
      </c>
      <c r="N13" cm="1">
        <f t="array" aca="1" ref="N13" ca="1">INDEX($A$2:$A$15,RANDBETWEEN(1,ROWS($A$2:$A$15)),1)</f>
        <v>5</v>
      </c>
      <c r="O13" cm="1">
        <f t="array" aca="1" ref="O13" ca="1">INDEX($A$2:$A$15,RANDBETWEEN(1,ROWS($A$2:$A$15)),1)</f>
        <v>2</v>
      </c>
      <c r="P13" cm="1">
        <f t="array" aca="1" ref="P13" ca="1">INDEX($A$2:$A$15,RANDBETWEEN(1,ROWS($A$2:$A$15)),1)</f>
        <v>1</v>
      </c>
      <c r="Q13" cm="1">
        <f t="array" aca="1" ref="Q13" ca="1">INDEX($A$2:$A$15,RANDBETWEEN(1,ROWS($A$2:$A$15)),1)</f>
        <v>3</v>
      </c>
      <c r="R13" cm="1">
        <f t="array" aca="1" ref="R13" ca="1">INDEX($A$2:$A$15,RANDBETWEEN(1,ROWS($A$2:$A$15)),1)</f>
        <v>1</v>
      </c>
      <c r="S13" cm="1">
        <f t="array" aca="1" ref="S13" ca="1">INDEX($A$2:$A$15,RANDBETWEEN(1,ROWS($A$2:$A$15)),1)</f>
        <v>5</v>
      </c>
      <c r="V13">
        <f t="shared" ca="1" si="0"/>
        <v>3.2941176470588234</v>
      </c>
      <c r="W13">
        <f t="shared" ca="1" si="1"/>
        <v>3</v>
      </c>
      <c r="X13">
        <f t="shared" ca="1" si="2"/>
        <v>3</v>
      </c>
      <c r="Y13">
        <f t="shared" ca="1" si="3"/>
        <v>1.9288826390670113</v>
      </c>
      <c r="AB13">
        <v>7</v>
      </c>
      <c r="AC13">
        <f ca="1"/>
        <v>0</v>
      </c>
    </row>
    <row r="14" spans="1:29" x14ac:dyDescent="0.35">
      <c r="A14" s="38">
        <v>7</v>
      </c>
      <c r="C14" cm="1">
        <f t="array" aca="1" ref="C14" ca="1">INDEX($A$2:$A$15,RANDBETWEEN(1,ROWS($A$2:$A$15)),1)</f>
        <v>3</v>
      </c>
      <c r="D14" cm="1">
        <f t="array" aca="1" ref="D14" ca="1">INDEX($A$2:$A$15,RANDBETWEEN(1,ROWS($A$2:$A$15)),1)</f>
        <v>2</v>
      </c>
      <c r="E14" cm="1">
        <f t="array" aca="1" ref="E14" ca="1">INDEX($A$2:$A$15,RANDBETWEEN(1,ROWS($A$2:$A$15)),1)</f>
        <v>5</v>
      </c>
      <c r="F14" cm="1">
        <f t="array" aca="1" ref="F14" ca="1">INDEX($A$2:$A$15,RANDBETWEEN(1,ROWS($A$2:$A$15)),1)</f>
        <v>5</v>
      </c>
      <c r="G14" cm="1">
        <f t="array" aca="1" ref="G14" ca="1">INDEX($A$2:$A$15,RANDBETWEEN(1,ROWS($A$2:$A$15)),1)</f>
        <v>8</v>
      </c>
      <c r="H14" cm="1">
        <f t="array" aca="1" ref="H14" ca="1">INDEX($A$2:$A$15,RANDBETWEEN(1,ROWS($A$2:$A$15)),1)</f>
        <v>5</v>
      </c>
      <c r="I14" cm="1">
        <f t="array" aca="1" ref="I14" ca="1">INDEX($A$2:$A$15,RANDBETWEEN(1,ROWS($A$2:$A$15)),1)</f>
        <v>1</v>
      </c>
      <c r="J14" cm="1">
        <f t="array" aca="1" ref="J14" ca="1">INDEX($A$2:$A$15,RANDBETWEEN(1,ROWS($A$2:$A$15)),1)</f>
        <v>1</v>
      </c>
      <c r="K14" cm="1">
        <f t="array" aca="1" ref="K14" ca="1">INDEX($A$2:$A$15,RANDBETWEEN(1,ROWS($A$2:$A$15)),1)</f>
        <v>5</v>
      </c>
      <c r="L14" cm="1">
        <f t="array" aca="1" ref="L14" ca="1">INDEX($A$2:$A$15,RANDBETWEEN(1,ROWS($A$2:$A$15)),1)</f>
        <v>1</v>
      </c>
      <c r="M14" cm="1">
        <f t="array" aca="1" ref="M14" ca="1">INDEX($A$2:$A$15,RANDBETWEEN(1,ROWS($A$2:$A$15)),1)</f>
        <v>1</v>
      </c>
      <c r="N14" cm="1">
        <f t="array" aca="1" ref="N14" ca="1">INDEX($A$2:$A$15,RANDBETWEEN(1,ROWS($A$2:$A$15)),1)</f>
        <v>5</v>
      </c>
      <c r="O14" cm="1">
        <f t="array" aca="1" ref="O14" ca="1">INDEX($A$2:$A$15,RANDBETWEEN(1,ROWS($A$2:$A$15)),1)</f>
        <v>3</v>
      </c>
      <c r="P14" cm="1">
        <f t="array" aca="1" ref="P14" ca="1">INDEX($A$2:$A$15,RANDBETWEEN(1,ROWS($A$2:$A$15)),1)</f>
        <v>5</v>
      </c>
      <c r="Q14" cm="1">
        <f t="array" aca="1" ref="Q14" ca="1">INDEX($A$2:$A$15,RANDBETWEEN(1,ROWS($A$2:$A$15)),1)</f>
        <v>3</v>
      </c>
      <c r="R14" cm="1">
        <f t="array" aca="1" ref="R14" ca="1">INDEX($A$2:$A$15,RANDBETWEEN(1,ROWS($A$2:$A$15)),1)</f>
        <v>8</v>
      </c>
      <c r="S14" cm="1">
        <f t="array" aca="1" ref="S14" ca="1">INDEX($A$2:$A$15,RANDBETWEEN(1,ROWS($A$2:$A$15)),1)</f>
        <v>1</v>
      </c>
      <c r="V14">
        <f t="shared" ca="1" si="0"/>
        <v>3.6470588235294117</v>
      </c>
      <c r="W14">
        <f t="shared" ca="1" si="1"/>
        <v>3</v>
      </c>
      <c r="X14">
        <f t="shared" ca="1" si="2"/>
        <v>4</v>
      </c>
      <c r="Y14">
        <f t="shared" ca="1" si="3"/>
        <v>2.3436397032870748</v>
      </c>
      <c r="AB14">
        <v>8</v>
      </c>
      <c r="AC14">
        <f ca="1"/>
        <v>0</v>
      </c>
    </row>
    <row r="15" spans="1:29" x14ac:dyDescent="0.35">
      <c r="A15" s="39">
        <v>2</v>
      </c>
      <c r="C15" cm="1">
        <f t="array" aca="1" ref="C15" ca="1">INDEX($A$2:$A$15,RANDBETWEEN(1,ROWS($A$2:$A$15)),1)</f>
        <v>1</v>
      </c>
      <c r="D15" cm="1">
        <f t="array" aca="1" ref="D15" ca="1">INDEX($A$2:$A$15,RANDBETWEEN(1,ROWS($A$2:$A$15)),1)</f>
        <v>5</v>
      </c>
      <c r="E15" cm="1">
        <f t="array" aca="1" ref="E15" ca="1">INDEX($A$2:$A$15,RANDBETWEEN(1,ROWS($A$2:$A$15)),1)</f>
        <v>1</v>
      </c>
      <c r="F15" cm="1">
        <f t="array" aca="1" ref="F15" ca="1">INDEX($A$2:$A$15,RANDBETWEEN(1,ROWS($A$2:$A$15)),1)</f>
        <v>4</v>
      </c>
      <c r="G15" cm="1">
        <f t="array" aca="1" ref="G15" ca="1">INDEX($A$2:$A$15,RANDBETWEEN(1,ROWS($A$2:$A$15)),1)</f>
        <v>7</v>
      </c>
      <c r="H15" cm="1">
        <f t="array" aca="1" ref="H15" ca="1">INDEX($A$2:$A$15,RANDBETWEEN(1,ROWS($A$2:$A$15)),1)</f>
        <v>5</v>
      </c>
      <c r="I15" cm="1">
        <f t="array" aca="1" ref="I15" ca="1">INDEX($A$2:$A$15,RANDBETWEEN(1,ROWS($A$2:$A$15)),1)</f>
        <v>5</v>
      </c>
      <c r="J15" cm="1">
        <f t="array" aca="1" ref="J15" ca="1">INDEX($A$2:$A$15,RANDBETWEEN(1,ROWS($A$2:$A$15)),1)</f>
        <v>5</v>
      </c>
      <c r="K15" cm="1">
        <f t="array" aca="1" ref="K15" ca="1">INDEX($A$2:$A$15,RANDBETWEEN(1,ROWS($A$2:$A$15)),1)</f>
        <v>1</v>
      </c>
      <c r="L15" cm="1">
        <f t="array" aca="1" ref="L15" ca="1">INDEX($A$2:$A$15,RANDBETWEEN(1,ROWS($A$2:$A$15)),1)</f>
        <v>3</v>
      </c>
      <c r="M15" cm="1">
        <f t="array" aca="1" ref="M15" ca="1">INDEX($A$2:$A$15,RANDBETWEEN(1,ROWS($A$2:$A$15)),1)</f>
        <v>1</v>
      </c>
      <c r="N15" cm="1">
        <f t="array" aca="1" ref="N15" ca="1">INDEX($A$2:$A$15,RANDBETWEEN(1,ROWS($A$2:$A$15)),1)</f>
        <v>8</v>
      </c>
      <c r="O15" cm="1">
        <f t="array" aca="1" ref="O15" ca="1">INDEX($A$2:$A$15,RANDBETWEEN(1,ROWS($A$2:$A$15)),1)</f>
        <v>2</v>
      </c>
      <c r="P15" cm="1">
        <f t="array" aca="1" ref="P15" ca="1">INDEX($A$2:$A$15,RANDBETWEEN(1,ROWS($A$2:$A$15)),1)</f>
        <v>2</v>
      </c>
      <c r="Q15" cm="1">
        <f t="array" aca="1" ref="Q15" ca="1">INDEX($A$2:$A$15,RANDBETWEEN(1,ROWS($A$2:$A$15)),1)</f>
        <v>8</v>
      </c>
      <c r="R15" cm="1">
        <f t="array" aca="1" ref="R15" ca="1">INDEX($A$2:$A$15,RANDBETWEEN(1,ROWS($A$2:$A$15)),1)</f>
        <v>7</v>
      </c>
      <c r="S15" cm="1">
        <f t="array" aca="1" ref="S15" ca="1">INDEX($A$2:$A$15,RANDBETWEEN(1,ROWS($A$2:$A$15)),1)</f>
        <v>1</v>
      </c>
      <c r="V15">
        <f t="shared" ca="1" si="0"/>
        <v>3.8823529411764706</v>
      </c>
      <c r="W15">
        <f t="shared" ca="1" si="1"/>
        <v>4</v>
      </c>
      <c r="X15">
        <f t="shared" ca="1" si="2"/>
        <v>4</v>
      </c>
      <c r="Y15">
        <f t="shared" ca="1" si="3"/>
        <v>2.5952445198183267</v>
      </c>
      <c r="AB15">
        <v>9</v>
      </c>
      <c r="AC15">
        <f ca="1"/>
        <v>0</v>
      </c>
    </row>
    <row r="16" spans="1:29" x14ac:dyDescent="0.35">
      <c r="C16" cm="1">
        <f t="array" aca="1" ref="C16" ca="1">INDEX($A$2:$A$15,RANDBETWEEN(1,ROWS($A$2:$A$15)),1)</f>
        <v>5</v>
      </c>
      <c r="D16" cm="1">
        <f t="array" aca="1" ref="D16" ca="1">INDEX($A$2:$A$15,RANDBETWEEN(1,ROWS($A$2:$A$15)),1)</f>
        <v>7</v>
      </c>
      <c r="E16" cm="1">
        <f t="array" aca="1" ref="E16" ca="1">INDEX($A$2:$A$15,RANDBETWEEN(1,ROWS($A$2:$A$15)),1)</f>
        <v>1</v>
      </c>
      <c r="F16" cm="1">
        <f t="array" aca="1" ref="F16" ca="1">INDEX($A$2:$A$15,RANDBETWEEN(1,ROWS($A$2:$A$15)),1)</f>
        <v>1</v>
      </c>
      <c r="G16" cm="1">
        <f t="array" aca="1" ref="G16" ca="1">INDEX($A$2:$A$15,RANDBETWEEN(1,ROWS($A$2:$A$15)),1)</f>
        <v>5</v>
      </c>
      <c r="H16" cm="1">
        <f t="array" aca="1" ref="H16" ca="1">INDEX($A$2:$A$15,RANDBETWEEN(1,ROWS($A$2:$A$15)),1)</f>
        <v>4</v>
      </c>
      <c r="I16" cm="1">
        <f t="array" aca="1" ref="I16" ca="1">INDEX($A$2:$A$15,RANDBETWEEN(1,ROWS($A$2:$A$15)),1)</f>
        <v>4</v>
      </c>
      <c r="J16" cm="1">
        <f t="array" aca="1" ref="J16" ca="1">INDEX($A$2:$A$15,RANDBETWEEN(1,ROWS($A$2:$A$15)),1)</f>
        <v>5</v>
      </c>
      <c r="K16" cm="1">
        <f t="array" aca="1" ref="K16" ca="1">INDEX($A$2:$A$15,RANDBETWEEN(1,ROWS($A$2:$A$15)),1)</f>
        <v>5</v>
      </c>
      <c r="L16" cm="1">
        <f t="array" aca="1" ref="L16" ca="1">INDEX($A$2:$A$15,RANDBETWEEN(1,ROWS($A$2:$A$15)),1)</f>
        <v>5</v>
      </c>
      <c r="M16" cm="1">
        <f t="array" aca="1" ref="M16" ca="1">INDEX($A$2:$A$15,RANDBETWEEN(1,ROWS($A$2:$A$15)),1)</f>
        <v>1</v>
      </c>
      <c r="N16" cm="1">
        <f t="array" aca="1" ref="N16" ca="1">INDEX($A$2:$A$15,RANDBETWEEN(1,ROWS($A$2:$A$15)),1)</f>
        <v>5</v>
      </c>
      <c r="O16" cm="1">
        <f t="array" aca="1" ref="O16" ca="1">INDEX($A$2:$A$15,RANDBETWEEN(1,ROWS($A$2:$A$15)),1)</f>
        <v>4</v>
      </c>
      <c r="P16" cm="1">
        <f t="array" aca="1" ref="P16" ca="1">INDEX($A$2:$A$15,RANDBETWEEN(1,ROWS($A$2:$A$15)),1)</f>
        <v>8</v>
      </c>
      <c r="Q16" cm="1">
        <f t="array" aca="1" ref="Q16" ca="1">INDEX($A$2:$A$15,RANDBETWEEN(1,ROWS($A$2:$A$15)),1)</f>
        <v>8</v>
      </c>
      <c r="R16" cm="1">
        <f t="array" aca="1" ref="R16" ca="1">INDEX($A$2:$A$15,RANDBETWEEN(1,ROWS($A$2:$A$15)),1)</f>
        <v>4</v>
      </c>
      <c r="S16" cm="1">
        <f t="array" aca="1" ref="S16" ca="1">INDEX($A$2:$A$15,RANDBETWEEN(1,ROWS($A$2:$A$15)),1)</f>
        <v>2</v>
      </c>
      <c r="V16">
        <f t="shared" ca="1" si="0"/>
        <v>4.3529411764705879</v>
      </c>
      <c r="W16">
        <f t="shared" ca="1" si="1"/>
        <v>5</v>
      </c>
      <c r="X16">
        <f t="shared" ca="1" si="2"/>
        <v>1</v>
      </c>
      <c r="Y16">
        <f t="shared" ca="1" si="3"/>
        <v>2.1777619380509727</v>
      </c>
      <c r="AB16">
        <v>10</v>
      </c>
      <c r="AC16">
        <f ca="1"/>
        <v>0</v>
      </c>
    </row>
    <row r="17" spans="3:29" x14ac:dyDescent="0.35">
      <c r="C17" cm="1">
        <f t="array" aca="1" ref="C17" ca="1">INDEX($A$2:$A$15,RANDBETWEEN(1,ROWS($A$2:$A$15)),1)</f>
        <v>2</v>
      </c>
      <c r="D17" cm="1">
        <f t="array" aca="1" ref="D17" ca="1">INDEX($A$2:$A$15,RANDBETWEEN(1,ROWS($A$2:$A$15)),1)</f>
        <v>8</v>
      </c>
      <c r="E17" cm="1">
        <f t="array" aca="1" ref="E17" ca="1">INDEX($A$2:$A$15,RANDBETWEEN(1,ROWS($A$2:$A$15)),1)</f>
        <v>5</v>
      </c>
      <c r="F17" cm="1">
        <f t="array" aca="1" ref="F17" ca="1">INDEX($A$2:$A$15,RANDBETWEEN(1,ROWS($A$2:$A$15)),1)</f>
        <v>8</v>
      </c>
      <c r="G17" cm="1">
        <f t="array" aca="1" ref="G17" ca="1">INDEX($A$2:$A$15,RANDBETWEEN(1,ROWS($A$2:$A$15)),1)</f>
        <v>1</v>
      </c>
      <c r="H17" cm="1">
        <f t="array" aca="1" ref="H17" ca="1">INDEX($A$2:$A$15,RANDBETWEEN(1,ROWS($A$2:$A$15)),1)</f>
        <v>5</v>
      </c>
      <c r="I17" cm="1">
        <f t="array" aca="1" ref="I17" ca="1">INDEX($A$2:$A$15,RANDBETWEEN(1,ROWS($A$2:$A$15)),1)</f>
        <v>1</v>
      </c>
      <c r="J17" cm="1">
        <f t="array" aca="1" ref="J17" ca="1">INDEX($A$2:$A$15,RANDBETWEEN(1,ROWS($A$2:$A$15)),1)</f>
        <v>1</v>
      </c>
      <c r="K17" cm="1">
        <f t="array" aca="1" ref="K17" ca="1">INDEX($A$2:$A$15,RANDBETWEEN(1,ROWS($A$2:$A$15)),1)</f>
        <v>5</v>
      </c>
      <c r="L17" cm="1">
        <f t="array" aca="1" ref="L17" ca="1">INDEX($A$2:$A$15,RANDBETWEEN(1,ROWS($A$2:$A$15)),1)</f>
        <v>5</v>
      </c>
      <c r="M17" cm="1">
        <f t="array" aca="1" ref="M17" ca="1">INDEX($A$2:$A$15,RANDBETWEEN(1,ROWS($A$2:$A$15)),1)</f>
        <v>5</v>
      </c>
      <c r="N17" cm="1">
        <f t="array" aca="1" ref="N17" ca="1">INDEX($A$2:$A$15,RANDBETWEEN(1,ROWS($A$2:$A$15)),1)</f>
        <v>5</v>
      </c>
      <c r="O17" cm="1">
        <f t="array" aca="1" ref="O17" ca="1">INDEX($A$2:$A$15,RANDBETWEEN(1,ROWS($A$2:$A$15)),1)</f>
        <v>7</v>
      </c>
      <c r="P17" cm="1">
        <f t="array" aca="1" ref="P17" ca="1">INDEX($A$2:$A$15,RANDBETWEEN(1,ROWS($A$2:$A$15)),1)</f>
        <v>8</v>
      </c>
      <c r="Q17" cm="1">
        <f t="array" aca="1" ref="Q17" ca="1">INDEX($A$2:$A$15,RANDBETWEEN(1,ROWS($A$2:$A$15)),1)</f>
        <v>7</v>
      </c>
      <c r="R17" cm="1">
        <f t="array" aca="1" ref="R17" ca="1">INDEX($A$2:$A$15,RANDBETWEEN(1,ROWS($A$2:$A$15)),1)</f>
        <v>1</v>
      </c>
      <c r="S17" cm="1">
        <f t="array" aca="1" ref="S17" ca="1">INDEX($A$2:$A$15,RANDBETWEEN(1,ROWS($A$2:$A$15)),1)</f>
        <v>1</v>
      </c>
      <c r="V17">
        <f t="shared" ca="1" si="0"/>
        <v>4.4117647058823533</v>
      </c>
      <c r="W17">
        <f t="shared" ca="1" si="1"/>
        <v>5</v>
      </c>
      <c r="X17">
        <f t="shared" ca="1" si="2"/>
        <v>6</v>
      </c>
      <c r="Y17">
        <f t="shared" ca="1" si="3"/>
        <v>2.7170485717367057</v>
      </c>
      <c r="AC17">
        <f ca="1"/>
        <v>0</v>
      </c>
    </row>
    <row r="18" spans="3:29" x14ac:dyDescent="0.35">
      <c r="C18" cm="1">
        <f t="array" aca="1" ref="C18" ca="1">INDEX($A$2:$A$15,RANDBETWEEN(1,ROWS($A$2:$A$15)),1)</f>
        <v>3</v>
      </c>
      <c r="D18" cm="1">
        <f t="array" aca="1" ref="D18" ca="1">INDEX($A$2:$A$15,RANDBETWEEN(1,ROWS($A$2:$A$15)),1)</f>
        <v>4</v>
      </c>
      <c r="E18" cm="1">
        <f t="array" aca="1" ref="E18" ca="1">INDEX($A$2:$A$15,RANDBETWEEN(1,ROWS($A$2:$A$15)),1)</f>
        <v>3</v>
      </c>
      <c r="F18" cm="1">
        <f t="array" aca="1" ref="F18" ca="1">INDEX($A$2:$A$15,RANDBETWEEN(1,ROWS($A$2:$A$15)),1)</f>
        <v>3</v>
      </c>
      <c r="G18" cm="1">
        <f t="array" aca="1" ref="G18" ca="1">INDEX($A$2:$A$15,RANDBETWEEN(1,ROWS($A$2:$A$15)),1)</f>
        <v>5</v>
      </c>
      <c r="H18" cm="1">
        <f t="array" aca="1" ref="H18" ca="1">INDEX($A$2:$A$15,RANDBETWEEN(1,ROWS($A$2:$A$15)),1)</f>
        <v>1</v>
      </c>
      <c r="I18" cm="1">
        <f t="array" aca="1" ref="I18" ca="1">INDEX($A$2:$A$15,RANDBETWEEN(1,ROWS($A$2:$A$15)),1)</f>
        <v>3</v>
      </c>
      <c r="J18" cm="1">
        <f t="array" aca="1" ref="J18" ca="1">INDEX($A$2:$A$15,RANDBETWEEN(1,ROWS($A$2:$A$15)),1)</f>
        <v>3</v>
      </c>
      <c r="K18" cm="1">
        <f t="array" aca="1" ref="K18" ca="1">INDEX($A$2:$A$15,RANDBETWEEN(1,ROWS($A$2:$A$15)),1)</f>
        <v>8</v>
      </c>
      <c r="L18" cm="1">
        <f t="array" aca="1" ref="L18" ca="1">INDEX($A$2:$A$15,RANDBETWEEN(1,ROWS($A$2:$A$15)),1)</f>
        <v>7</v>
      </c>
      <c r="M18" cm="1">
        <f t="array" aca="1" ref="M18" ca="1">INDEX($A$2:$A$15,RANDBETWEEN(1,ROWS($A$2:$A$15)),1)</f>
        <v>5</v>
      </c>
      <c r="N18" cm="1">
        <f t="array" aca="1" ref="N18" ca="1">INDEX($A$2:$A$15,RANDBETWEEN(1,ROWS($A$2:$A$15)),1)</f>
        <v>5</v>
      </c>
      <c r="O18" cm="1">
        <f t="array" aca="1" ref="O18" ca="1">INDEX($A$2:$A$15,RANDBETWEEN(1,ROWS($A$2:$A$15)),1)</f>
        <v>2</v>
      </c>
      <c r="P18" cm="1">
        <f t="array" aca="1" ref="P18" ca="1">INDEX($A$2:$A$15,RANDBETWEEN(1,ROWS($A$2:$A$15)),1)</f>
        <v>1</v>
      </c>
      <c r="Q18" cm="1">
        <f t="array" aca="1" ref="Q18" ca="1">INDEX($A$2:$A$15,RANDBETWEEN(1,ROWS($A$2:$A$15)),1)</f>
        <v>7</v>
      </c>
      <c r="R18" cm="1">
        <f t="array" aca="1" ref="R18" ca="1">INDEX($A$2:$A$15,RANDBETWEEN(1,ROWS($A$2:$A$15)),1)</f>
        <v>2</v>
      </c>
      <c r="S18" cm="1">
        <f t="array" aca="1" ref="S18" ca="1">INDEX($A$2:$A$15,RANDBETWEEN(1,ROWS($A$2:$A$15)),1)</f>
        <v>5</v>
      </c>
      <c r="V18">
        <f t="shared" ca="1" si="0"/>
        <v>3.9411764705882355</v>
      </c>
      <c r="W18">
        <f t="shared" ca="1" si="1"/>
        <v>3</v>
      </c>
      <c r="X18">
        <f t="shared" ca="1" si="2"/>
        <v>2</v>
      </c>
      <c r="Y18">
        <f t="shared" ca="1" si="3"/>
        <v>2.0757705868933987</v>
      </c>
    </row>
    <row r="19" spans="3:29" x14ac:dyDescent="0.35">
      <c r="C19" cm="1">
        <f t="array" aca="1" ref="C19" ca="1">INDEX($A$2:$A$15,RANDBETWEEN(1,ROWS($A$2:$A$15)),1)</f>
        <v>5</v>
      </c>
      <c r="D19" cm="1">
        <f t="array" aca="1" ref="D19" ca="1">INDEX($A$2:$A$15,RANDBETWEEN(1,ROWS($A$2:$A$15)),1)</f>
        <v>3</v>
      </c>
      <c r="E19" cm="1">
        <f t="array" aca="1" ref="E19" ca="1">INDEX($A$2:$A$15,RANDBETWEEN(1,ROWS($A$2:$A$15)),1)</f>
        <v>7</v>
      </c>
      <c r="F19" cm="1">
        <f t="array" aca="1" ref="F19" ca="1">INDEX($A$2:$A$15,RANDBETWEEN(1,ROWS($A$2:$A$15)),1)</f>
        <v>5</v>
      </c>
      <c r="G19" cm="1">
        <f t="array" aca="1" ref="G19" ca="1">INDEX($A$2:$A$15,RANDBETWEEN(1,ROWS($A$2:$A$15)),1)</f>
        <v>4</v>
      </c>
      <c r="H19" cm="1">
        <f t="array" aca="1" ref="H19" ca="1">INDEX($A$2:$A$15,RANDBETWEEN(1,ROWS($A$2:$A$15)),1)</f>
        <v>3</v>
      </c>
      <c r="I19" cm="1">
        <f t="array" aca="1" ref="I19" ca="1">INDEX($A$2:$A$15,RANDBETWEEN(1,ROWS($A$2:$A$15)),1)</f>
        <v>3</v>
      </c>
      <c r="J19" cm="1">
        <f t="array" aca="1" ref="J19" ca="1">INDEX($A$2:$A$15,RANDBETWEEN(1,ROWS($A$2:$A$15)),1)</f>
        <v>3</v>
      </c>
      <c r="K19" cm="1">
        <f t="array" aca="1" ref="K19" ca="1">INDEX($A$2:$A$15,RANDBETWEEN(1,ROWS($A$2:$A$15)),1)</f>
        <v>8</v>
      </c>
      <c r="L19" cm="1">
        <f t="array" aca="1" ref="L19" ca="1">INDEX($A$2:$A$15,RANDBETWEEN(1,ROWS($A$2:$A$15)),1)</f>
        <v>1</v>
      </c>
      <c r="M19" cm="1">
        <f t="array" aca="1" ref="M19" ca="1">INDEX($A$2:$A$15,RANDBETWEEN(1,ROWS($A$2:$A$15)),1)</f>
        <v>2</v>
      </c>
      <c r="N19" cm="1">
        <f t="array" aca="1" ref="N19" ca="1">INDEX($A$2:$A$15,RANDBETWEEN(1,ROWS($A$2:$A$15)),1)</f>
        <v>4</v>
      </c>
      <c r="O19" cm="1">
        <f t="array" aca="1" ref="O19" ca="1">INDEX($A$2:$A$15,RANDBETWEEN(1,ROWS($A$2:$A$15)),1)</f>
        <v>4</v>
      </c>
      <c r="P19" cm="1">
        <f t="array" aca="1" ref="P19" ca="1">INDEX($A$2:$A$15,RANDBETWEEN(1,ROWS($A$2:$A$15)),1)</f>
        <v>5</v>
      </c>
      <c r="Q19" cm="1">
        <f t="array" aca="1" ref="Q19" ca="1">INDEX($A$2:$A$15,RANDBETWEEN(1,ROWS($A$2:$A$15)),1)</f>
        <v>4</v>
      </c>
      <c r="R19" cm="1">
        <f t="array" aca="1" ref="R19" ca="1">INDEX($A$2:$A$15,RANDBETWEEN(1,ROWS($A$2:$A$15)),1)</f>
        <v>4</v>
      </c>
      <c r="S19" cm="1">
        <f t="array" aca="1" ref="S19" ca="1">INDEX($A$2:$A$15,RANDBETWEEN(1,ROWS($A$2:$A$15)),1)</f>
        <v>4</v>
      </c>
      <c r="V19">
        <f t="shared" ca="1" si="0"/>
        <v>4.0588235294117645</v>
      </c>
      <c r="W19">
        <f t="shared" ca="1" si="1"/>
        <v>4</v>
      </c>
      <c r="X19">
        <f t="shared" ca="1" si="2"/>
        <v>2</v>
      </c>
      <c r="Y19">
        <f t="shared" ca="1" si="3"/>
        <v>1.675954512930397</v>
      </c>
    </row>
    <row r="20" spans="3:29" x14ac:dyDescent="0.35">
      <c r="C20" cm="1">
        <f t="array" aca="1" ref="C20" ca="1">INDEX($A$2:$A$15,RANDBETWEEN(1,ROWS($A$2:$A$15)),1)</f>
        <v>7</v>
      </c>
      <c r="D20" cm="1">
        <f t="array" aca="1" ref="D20" ca="1">INDEX($A$2:$A$15,RANDBETWEEN(1,ROWS($A$2:$A$15)),1)</f>
        <v>5</v>
      </c>
      <c r="E20" cm="1">
        <f t="array" aca="1" ref="E20" ca="1">INDEX($A$2:$A$15,RANDBETWEEN(1,ROWS($A$2:$A$15)),1)</f>
        <v>8</v>
      </c>
      <c r="F20" cm="1">
        <f t="array" aca="1" ref="F20" ca="1">INDEX($A$2:$A$15,RANDBETWEEN(1,ROWS($A$2:$A$15)),1)</f>
        <v>1</v>
      </c>
      <c r="G20" cm="1">
        <f t="array" aca="1" ref="G20" ca="1">INDEX($A$2:$A$15,RANDBETWEEN(1,ROWS($A$2:$A$15)),1)</f>
        <v>2</v>
      </c>
      <c r="H20" cm="1">
        <f t="array" aca="1" ref="H20" ca="1">INDEX($A$2:$A$15,RANDBETWEEN(1,ROWS($A$2:$A$15)),1)</f>
        <v>3</v>
      </c>
      <c r="I20" cm="1">
        <f t="array" aca="1" ref="I20" ca="1">INDEX($A$2:$A$15,RANDBETWEEN(1,ROWS($A$2:$A$15)),1)</f>
        <v>3</v>
      </c>
      <c r="J20" cm="1">
        <f t="array" aca="1" ref="J20" ca="1">INDEX($A$2:$A$15,RANDBETWEEN(1,ROWS($A$2:$A$15)),1)</f>
        <v>4</v>
      </c>
      <c r="K20" cm="1">
        <f t="array" aca="1" ref="K20" ca="1">INDEX($A$2:$A$15,RANDBETWEEN(1,ROWS($A$2:$A$15)),1)</f>
        <v>4</v>
      </c>
      <c r="L20" cm="1">
        <f t="array" aca="1" ref="L20" ca="1">INDEX($A$2:$A$15,RANDBETWEEN(1,ROWS($A$2:$A$15)),1)</f>
        <v>5</v>
      </c>
      <c r="M20" cm="1">
        <f t="array" aca="1" ref="M20" ca="1">INDEX($A$2:$A$15,RANDBETWEEN(1,ROWS($A$2:$A$15)),1)</f>
        <v>4</v>
      </c>
      <c r="N20" cm="1">
        <f t="array" aca="1" ref="N20" ca="1">INDEX($A$2:$A$15,RANDBETWEEN(1,ROWS($A$2:$A$15)),1)</f>
        <v>5</v>
      </c>
      <c r="O20" cm="1">
        <f t="array" aca="1" ref="O20" ca="1">INDEX($A$2:$A$15,RANDBETWEEN(1,ROWS($A$2:$A$15)),1)</f>
        <v>2</v>
      </c>
      <c r="P20" cm="1">
        <f t="array" aca="1" ref="P20" ca="1">INDEX($A$2:$A$15,RANDBETWEEN(1,ROWS($A$2:$A$15)),1)</f>
        <v>1</v>
      </c>
      <c r="Q20" cm="1">
        <f t="array" aca="1" ref="Q20" ca="1">INDEX($A$2:$A$15,RANDBETWEEN(1,ROWS($A$2:$A$15)),1)</f>
        <v>4</v>
      </c>
      <c r="R20" cm="1">
        <f t="array" aca="1" ref="R20" ca="1">INDEX($A$2:$A$15,RANDBETWEEN(1,ROWS($A$2:$A$15)),1)</f>
        <v>8</v>
      </c>
      <c r="S20" cm="1">
        <f t="array" aca="1" ref="S20" ca="1">INDEX($A$2:$A$15,RANDBETWEEN(1,ROWS($A$2:$A$15)),1)</f>
        <v>3</v>
      </c>
      <c r="V20">
        <f t="shared" ca="1" si="0"/>
        <v>4.0588235294117645</v>
      </c>
      <c r="W20">
        <f t="shared" ca="1" si="1"/>
        <v>4</v>
      </c>
      <c r="X20">
        <f t="shared" ca="1" si="2"/>
        <v>2</v>
      </c>
      <c r="Y20">
        <f t="shared" ca="1" si="3"/>
        <v>2.1351401662213569</v>
      </c>
    </row>
    <row r="21" spans="3:29" x14ac:dyDescent="0.35">
      <c r="C21" cm="1">
        <f t="array" aca="1" ref="C21" ca="1">INDEX($A$2:$A$15,RANDBETWEEN(1,ROWS($A$2:$A$15)),1)</f>
        <v>5</v>
      </c>
      <c r="D21" cm="1">
        <f t="array" aca="1" ref="D21" ca="1">INDEX($A$2:$A$15,RANDBETWEEN(1,ROWS($A$2:$A$15)),1)</f>
        <v>4</v>
      </c>
      <c r="E21" cm="1">
        <f t="array" aca="1" ref="E21" ca="1">INDEX($A$2:$A$15,RANDBETWEEN(1,ROWS($A$2:$A$15)),1)</f>
        <v>1</v>
      </c>
      <c r="F21" cm="1">
        <f t="array" aca="1" ref="F21" ca="1">INDEX($A$2:$A$15,RANDBETWEEN(1,ROWS($A$2:$A$15)),1)</f>
        <v>4</v>
      </c>
      <c r="G21" cm="1">
        <f t="array" aca="1" ref="G21" ca="1">INDEX($A$2:$A$15,RANDBETWEEN(1,ROWS($A$2:$A$15)),1)</f>
        <v>5</v>
      </c>
      <c r="H21" cm="1">
        <f t="array" aca="1" ref="H21" ca="1">INDEX($A$2:$A$15,RANDBETWEEN(1,ROWS($A$2:$A$15)),1)</f>
        <v>2</v>
      </c>
      <c r="I21" cm="1">
        <f t="array" aca="1" ref="I21" ca="1">INDEX($A$2:$A$15,RANDBETWEEN(1,ROWS($A$2:$A$15)),1)</f>
        <v>5</v>
      </c>
      <c r="J21" cm="1">
        <f t="array" aca="1" ref="J21" ca="1">INDEX($A$2:$A$15,RANDBETWEEN(1,ROWS($A$2:$A$15)),1)</f>
        <v>3</v>
      </c>
      <c r="K21" cm="1">
        <f t="array" aca="1" ref="K21" ca="1">INDEX($A$2:$A$15,RANDBETWEEN(1,ROWS($A$2:$A$15)),1)</f>
        <v>1</v>
      </c>
      <c r="L21" cm="1">
        <f t="array" aca="1" ref="L21" ca="1">INDEX($A$2:$A$15,RANDBETWEEN(1,ROWS($A$2:$A$15)),1)</f>
        <v>3</v>
      </c>
      <c r="M21" cm="1">
        <f t="array" aca="1" ref="M21" ca="1">INDEX($A$2:$A$15,RANDBETWEEN(1,ROWS($A$2:$A$15)),1)</f>
        <v>7</v>
      </c>
      <c r="N21" cm="1">
        <f t="array" aca="1" ref="N21" ca="1">INDEX($A$2:$A$15,RANDBETWEEN(1,ROWS($A$2:$A$15)),1)</f>
        <v>7</v>
      </c>
      <c r="O21" cm="1">
        <f t="array" aca="1" ref="O21" ca="1">INDEX($A$2:$A$15,RANDBETWEEN(1,ROWS($A$2:$A$15)),1)</f>
        <v>1</v>
      </c>
      <c r="P21" cm="1">
        <f t="array" aca="1" ref="P21" ca="1">INDEX($A$2:$A$15,RANDBETWEEN(1,ROWS($A$2:$A$15)),1)</f>
        <v>8</v>
      </c>
      <c r="Q21" cm="1">
        <f t="array" aca="1" ref="Q21" ca="1">INDEX($A$2:$A$15,RANDBETWEEN(1,ROWS($A$2:$A$15)),1)</f>
        <v>7</v>
      </c>
      <c r="R21" cm="1">
        <f t="array" aca="1" ref="R21" ca="1">INDEX($A$2:$A$15,RANDBETWEEN(1,ROWS($A$2:$A$15)),1)</f>
        <v>5</v>
      </c>
      <c r="S21" cm="1">
        <f t="array" aca="1" ref="S21" ca="1">INDEX($A$2:$A$15,RANDBETWEEN(1,ROWS($A$2:$A$15)),1)</f>
        <v>5</v>
      </c>
      <c r="V21">
        <f t="shared" ca="1" si="0"/>
        <v>4.2941176470588234</v>
      </c>
      <c r="W21">
        <f t="shared" ca="1" si="1"/>
        <v>5</v>
      </c>
      <c r="X21">
        <f t="shared" ca="1" si="2"/>
        <v>2</v>
      </c>
      <c r="Y21">
        <f t="shared" ca="1" si="3"/>
        <v>2.2294816068526147</v>
      </c>
    </row>
    <row r="22" spans="3:29" x14ac:dyDescent="0.35">
      <c r="C22" cm="1">
        <f t="array" aca="1" ref="C22" ca="1">INDEX($A$2:$A$15,RANDBETWEEN(1,ROWS($A$2:$A$15)),1)</f>
        <v>3</v>
      </c>
      <c r="D22" cm="1">
        <f t="array" aca="1" ref="D22" ca="1">INDEX($A$2:$A$15,RANDBETWEEN(1,ROWS($A$2:$A$15)),1)</f>
        <v>2</v>
      </c>
      <c r="E22" cm="1">
        <f t="array" aca="1" ref="E22" ca="1">INDEX($A$2:$A$15,RANDBETWEEN(1,ROWS($A$2:$A$15)),1)</f>
        <v>4</v>
      </c>
      <c r="F22" cm="1">
        <f t="array" aca="1" ref="F22" ca="1">INDEX($A$2:$A$15,RANDBETWEEN(1,ROWS($A$2:$A$15)),1)</f>
        <v>1</v>
      </c>
      <c r="G22" cm="1">
        <f t="array" aca="1" ref="G22" ca="1">INDEX($A$2:$A$15,RANDBETWEEN(1,ROWS($A$2:$A$15)),1)</f>
        <v>5</v>
      </c>
      <c r="H22" cm="1">
        <f t="array" aca="1" ref="H22" ca="1">INDEX($A$2:$A$15,RANDBETWEEN(1,ROWS($A$2:$A$15)),1)</f>
        <v>7</v>
      </c>
      <c r="I22" cm="1">
        <f t="array" aca="1" ref="I22" ca="1">INDEX($A$2:$A$15,RANDBETWEEN(1,ROWS($A$2:$A$15)),1)</f>
        <v>1</v>
      </c>
      <c r="J22" cm="1">
        <f t="array" aca="1" ref="J22" ca="1">INDEX($A$2:$A$15,RANDBETWEEN(1,ROWS($A$2:$A$15)),1)</f>
        <v>5</v>
      </c>
      <c r="K22" cm="1">
        <f t="array" aca="1" ref="K22" ca="1">INDEX($A$2:$A$15,RANDBETWEEN(1,ROWS($A$2:$A$15)),1)</f>
        <v>4</v>
      </c>
      <c r="L22" cm="1">
        <f t="array" aca="1" ref="L22" ca="1">INDEX($A$2:$A$15,RANDBETWEEN(1,ROWS($A$2:$A$15)),1)</f>
        <v>7</v>
      </c>
      <c r="M22" cm="1">
        <f t="array" aca="1" ref="M22" ca="1">INDEX($A$2:$A$15,RANDBETWEEN(1,ROWS($A$2:$A$15)),1)</f>
        <v>5</v>
      </c>
      <c r="N22" cm="1">
        <f t="array" aca="1" ref="N22" ca="1">INDEX($A$2:$A$15,RANDBETWEEN(1,ROWS($A$2:$A$15)),1)</f>
        <v>3</v>
      </c>
      <c r="O22" cm="1">
        <f t="array" aca="1" ref="O22" ca="1">INDEX($A$2:$A$15,RANDBETWEEN(1,ROWS($A$2:$A$15)),1)</f>
        <v>7</v>
      </c>
      <c r="P22" cm="1">
        <f t="array" aca="1" ref="P22" ca="1">INDEX($A$2:$A$15,RANDBETWEEN(1,ROWS($A$2:$A$15)),1)</f>
        <v>5</v>
      </c>
      <c r="Q22" cm="1">
        <f t="array" aca="1" ref="Q22" ca="1">INDEX($A$2:$A$15,RANDBETWEEN(1,ROWS($A$2:$A$15)),1)</f>
        <v>1</v>
      </c>
      <c r="R22" cm="1">
        <f t="array" aca="1" ref="R22" ca="1">INDEX($A$2:$A$15,RANDBETWEEN(1,ROWS($A$2:$A$15)),1)</f>
        <v>5</v>
      </c>
      <c r="S22" cm="1">
        <f t="array" aca="1" ref="S22" ca="1">INDEX($A$2:$A$15,RANDBETWEEN(1,ROWS($A$2:$A$15)),1)</f>
        <v>3</v>
      </c>
      <c r="V22">
        <f t="shared" ca="1" si="0"/>
        <v>4</v>
      </c>
      <c r="W22">
        <f t="shared" ca="1" si="1"/>
        <v>4</v>
      </c>
      <c r="X22">
        <f t="shared" ca="1" si="2"/>
        <v>2</v>
      </c>
      <c r="Y22">
        <f t="shared" ca="1" si="3"/>
        <v>2.0310096011589902</v>
      </c>
    </row>
    <row r="23" spans="3:29" x14ac:dyDescent="0.35">
      <c r="C23" cm="1">
        <f t="array" aca="1" ref="C23" ca="1">INDEX($A$2:$A$15,RANDBETWEEN(1,ROWS($A$2:$A$15)),1)</f>
        <v>2</v>
      </c>
      <c r="D23" cm="1">
        <f t="array" aca="1" ref="D23" ca="1">INDEX($A$2:$A$15,RANDBETWEEN(1,ROWS($A$2:$A$15)),1)</f>
        <v>5</v>
      </c>
      <c r="E23" cm="1">
        <f t="array" aca="1" ref="E23" ca="1">INDEX($A$2:$A$15,RANDBETWEEN(1,ROWS($A$2:$A$15)),1)</f>
        <v>1</v>
      </c>
      <c r="F23" cm="1">
        <f t="array" aca="1" ref="F23" ca="1">INDEX($A$2:$A$15,RANDBETWEEN(1,ROWS($A$2:$A$15)),1)</f>
        <v>3</v>
      </c>
      <c r="G23" cm="1">
        <f t="array" aca="1" ref="G23" ca="1">INDEX($A$2:$A$15,RANDBETWEEN(1,ROWS($A$2:$A$15)),1)</f>
        <v>5</v>
      </c>
      <c r="H23" cm="1">
        <f t="array" aca="1" ref="H23" ca="1">INDEX($A$2:$A$15,RANDBETWEEN(1,ROWS($A$2:$A$15)),1)</f>
        <v>5</v>
      </c>
      <c r="I23" cm="1">
        <f t="array" aca="1" ref="I23" ca="1">INDEX($A$2:$A$15,RANDBETWEEN(1,ROWS($A$2:$A$15)),1)</f>
        <v>1</v>
      </c>
      <c r="J23" cm="1">
        <f t="array" aca="1" ref="J23" ca="1">INDEX($A$2:$A$15,RANDBETWEEN(1,ROWS($A$2:$A$15)),1)</f>
        <v>8</v>
      </c>
      <c r="K23" cm="1">
        <f t="array" aca="1" ref="K23" ca="1">INDEX($A$2:$A$15,RANDBETWEEN(1,ROWS($A$2:$A$15)),1)</f>
        <v>5</v>
      </c>
      <c r="L23" cm="1">
        <f t="array" aca="1" ref="L23" ca="1">INDEX($A$2:$A$15,RANDBETWEEN(1,ROWS($A$2:$A$15)),1)</f>
        <v>1</v>
      </c>
      <c r="M23" cm="1">
        <f t="array" aca="1" ref="M23" ca="1">INDEX($A$2:$A$15,RANDBETWEEN(1,ROWS($A$2:$A$15)),1)</f>
        <v>1</v>
      </c>
      <c r="N23" cm="1">
        <f t="array" aca="1" ref="N23" ca="1">INDEX($A$2:$A$15,RANDBETWEEN(1,ROWS($A$2:$A$15)),1)</f>
        <v>5</v>
      </c>
      <c r="O23" cm="1">
        <f t="array" aca="1" ref="O23" ca="1">INDEX($A$2:$A$15,RANDBETWEEN(1,ROWS($A$2:$A$15)),1)</f>
        <v>4</v>
      </c>
      <c r="P23" cm="1">
        <f t="array" aca="1" ref="P23" ca="1">INDEX($A$2:$A$15,RANDBETWEEN(1,ROWS($A$2:$A$15)),1)</f>
        <v>5</v>
      </c>
      <c r="Q23" cm="1">
        <f t="array" aca="1" ref="Q23" ca="1">INDEX($A$2:$A$15,RANDBETWEEN(1,ROWS($A$2:$A$15)),1)</f>
        <v>1</v>
      </c>
      <c r="R23" cm="1">
        <f t="array" aca="1" ref="R23" ca="1">INDEX($A$2:$A$15,RANDBETWEEN(1,ROWS($A$2:$A$15)),1)</f>
        <v>8</v>
      </c>
      <c r="S23" cm="1">
        <f t="array" aca="1" ref="S23" ca="1">INDEX($A$2:$A$15,RANDBETWEEN(1,ROWS($A$2:$A$15)),1)</f>
        <v>3</v>
      </c>
      <c r="V23">
        <f t="shared" ca="1" si="0"/>
        <v>3.7058823529411766</v>
      </c>
      <c r="W23">
        <f t="shared" ca="1" si="1"/>
        <v>4</v>
      </c>
      <c r="X23">
        <f t="shared" ca="1" si="2"/>
        <v>4</v>
      </c>
      <c r="Y23">
        <f t="shared" ca="1" si="3"/>
        <v>2.3389288649495343</v>
      </c>
    </row>
    <row r="24" spans="3:29" x14ac:dyDescent="0.35">
      <c r="C24" cm="1">
        <f t="array" aca="1" ref="C24" ca="1">INDEX($A$2:$A$15,RANDBETWEEN(1,ROWS($A$2:$A$15)),1)</f>
        <v>1</v>
      </c>
      <c r="D24" cm="1">
        <f t="array" aca="1" ref="D24" ca="1">INDEX($A$2:$A$15,RANDBETWEEN(1,ROWS($A$2:$A$15)),1)</f>
        <v>5</v>
      </c>
      <c r="E24" cm="1">
        <f t="array" aca="1" ref="E24" ca="1">INDEX($A$2:$A$15,RANDBETWEEN(1,ROWS($A$2:$A$15)),1)</f>
        <v>5</v>
      </c>
      <c r="F24" cm="1">
        <f t="array" aca="1" ref="F24" ca="1">INDEX($A$2:$A$15,RANDBETWEEN(1,ROWS($A$2:$A$15)),1)</f>
        <v>5</v>
      </c>
      <c r="G24" cm="1">
        <f t="array" aca="1" ref="G24" ca="1">INDEX($A$2:$A$15,RANDBETWEEN(1,ROWS($A$2:$A$15)),1)</f>
        <v>3</v>
      </c>
      <c r="H24" cm="1">
        <f t="array" aca="1" ref="H24" ca="1">INDEX($A$2:$A$15,RANDBETWEEN(1,ROWS($A$2:$A$15)),1)</f>
        <v>1</v>
      </c>
      <c r="I24" cm="1">
        <f t="array" aca="1" ref="I24" ca="1">INDEX($A$2:$A$15,RANDBETWEEN(1,ROWS($A$2:$A$15)),1)</f>
        <v>2</v>
      </c>
      <c r="J24" cm="1">
        <f t="array" aca="1" ref="J24" ca="1">INDEX($A$2:$A$15,RANDBETWEEN(1,ROWS($A$2:$A$15)),1)</f>
        <v>3</v>
      </c>
      <c r="K24" cm="1">
        <f t="array" aca="1" ref="K24" ca="1">INDEX($A$2:$A$15,RANDBETWEEN(1,ROWS($A$2:$A$15)),1)</f>
        <v>5</v>
      </c>
      <c r="L24" cm="1">
        <f t="array" aca="1" ref="L24" ca="1">INDEX($A$2:$A$15,RANDBETWEEN(1,ROWS($A$2:$A$15)),1)</f>
        <v>3</v>
      </c>
      <c r="M24" cm="1">
        <f t="array" aca="1" ref="M24" ca="1">INDEX($A$2:$A$15,RANDBETWEEN(1,ROWS($A$2:$A$15)),1)</f>
        <v>5</v>
      </c>
      <c r="N24" cm="1">
        <f t="array" aca="1" ref="N24" ca="1">INDEX($A$2:$A$15,RANDBETWEEN(1,ROWS($A$2:$A$15)),1)</f>
        <v>5</v>
      </c>
      <c r="O24" cm="1">
        <f t="array" aca="1" ref="O24" ca="1">INDEX($A$2:$A$15,RANDBETWEEN(1,ROWS($A$2:$A$15)),1)</f>
        <v>5</v>
      </c>
      <c r="P24" cm="1">
        <f t="array" aca="1" ref="P24" ca="1">INDEX($A$2:$A$15,RANDBETWEEN(1,ROWS($A$2:$A$15)),1)</f>
        <v>8</v>
      </c>
      <c r="Q24" cm="1">
        <f t="array" aca="1" ref="Q24" ca="1">INDEX($A$2:$A$15,RANDBETWEEN(1,ROWS($A$2:$A$15)),1)</f>
        <v>5</v>
      </c>
      <c r="R24" cm="1">
        <f t="array" aca="1" ref="R24" ca="1">INDEX($A$2:$A$15,RANDBETWEEN(1,ROWS($A$2:$A$15)),1)</f>
        <v>4</v>
      </c>
      <c r="S24" cm="1">
        <f t="array" aca="1" ref="S24" ca="1">INDEX($A$2:$A$15,RANDBETWEEN(1,ROWS($A$2:$A$15)),1)</f>
        <v>8</v>
      </c>
      <c r="V24">
        <f t="shared" ca="1" si="0"/>
        <v>4.2941176470588234</v>
      </c>
      <c r="W24">
        <f t="shared" ca="1" si="1"/>
        <v>5</v>
      </c>
      <c r="X24">
        <f t="shared" ca="1" si="2"/>
        <v>2</v>
      </c>
      <c r="Y24">
        <f t="shared" ca="1" si="3"/>
        <v>1.992633492465214</v>
      </c>
    </row>
    <row r="25" spans="3:29" x14ac:dyDescent="0.35">
      <c r="C25" cm="1">
        <f t="array" aca="1" ref="C25" ca="1">INDEX($A$2:$A$15,RANDBETWEEN(1,ROWS($A$2:$A$15)),1)</f>
        <v>2</v>
      </c>
      <c r="D25" cm="1">
        <f t="array" aca="1" ref="D25" ca="1">INDEX($A$2:$A$15,RANDBETWEEN(1,ROWS($A$2:$A$15)),1)</f>
        <v>3</v>
      </c>
      <c r="E25" cm="1">
        <f t="array" aca="1" ref="E25" ca="1">INDEX($A$2:$A$15,RANDBETWEEN(1,ROWS($A$2:$A$15)),1)</f>
        <v>5</v>
      </c>
      <c r="F25" cm="1">
        <f t="array" aca="1" ref="F25" ca="1">INDEX($A$2:$A$15,RANDBETWEEN(1,ROWS($A$2:$A$15)),1)</f>
        <v>1</v>
      </c>
      <c r="G25" cm="1">
        <f t="array" aca="1" ref="G25" ca="1">INDEX($A$2:$A$15,RANDBETWEEN(1,ROWS($A$2:$A$15)),1)</f>
        <v>5</v>
      </c>
      <c r="H25" cm="1">
        <f t="array" aca="1" ref="H25" ca="1">INDEX($A$2:$A$15,RANDBETWEEN(1,ROWS($A$2:$A$15)),1)</f>
        <v>5</v>
      </c>
      <c r="I25" cm="1">
        <f t="array" aca="1" ref="I25" ca="1">INDEX($A$2:$A$15,RANDBETWEEN(1,ROWS($A$2:$A$15)),1)</f>
        <v>4</v>
      </c>
      <c r="J25" cm="1">
        <f t="array" aca="1" ref="J25" ca="1">INDEX($A$2:$A$15,RANDBETWEEN(1,ROWS($A$2:$A$15)),1)</f>
        <v>4</v>
      </c>
      <c r="K25" cm="1">
        <f t="array" aca="1" ref="K25" ca="1">INDEX($A$2:$A$15,RANDBETWEEN(1,ROWS($A$2:$A$15)),1)</f>
        <v>1</v>
      </c>
      <c r="L25" cm="1">
        <f t="array" aca="1" ref="L25" ca="1">INDEX($A$2:$A$15,RANDBETWEEN(1,ROWS($A$2:$A$15)),1)</f>
        <v>1</v>
      </c>
      <c r="M25" cm="1">
        <f t="array" aca="1" ref="M25" ca="1">INDEX($A$2:$A$15,RANDBETWEEN(1,ROWS($A$2:$A$15)),1)</f>
        <v>5</v>
      </c>
      <c r="N25" cm="1">
        <f t="array" aca="1" ref="N25" ca="1">INDEX($A$2:$A$15,RANDBETWEEN(1,ROWS($A$2:$A$15)),1)</f>
        <v>1</v>
      </c>
      <c r="O25" cm="1">
        <f t="array" aca="1" ref="O25" ca="1">INDEX($A$2:$A$15,RANDBETWEEN(1,ROWS($A$2:$A$15)),1)</f>
        <v>5</v>
      </c>
      <c r="P25" cm="1">
        <f t="array" aca="1" ref="P25" ca="1">INDEX($A$2:$A$15,RANDBETWEEN(1,ROWS($A$2:$A$15)),1)</f>
        <v>5</v>
      </c>
      <c r="Q25" cm="1">
        <f t="array" aca="1" ref="Q25" ca="1">INDEX($A$2:$A$15,RANDBETWEEN(1,ROWS($A$2:$A$15)),1)</f>
        <v>1</v>
      </c>
      <c r="R25" cm="1">
        <f t="array" aca="1" ref="R25" ca="1">INDEX($A$2:$A$15,RANDBETWEEN(1,ROWS($A$2:$A$15)),1)</f>
        <v>7</v>
      </c>
      <c r="S25" cm="1">
        <f t="array" aca="1" ref="S25" ca="1">INDEX($A$2:$A$15,RANDBETWEEN(1,ROWS($A$2:$A$15)),1)</f>
        <v>5</v>
      </c>
      <c r="V25">
        <f t="shared" ca="1" si="0"/>
        <v>3.5294117647058822</v>
      </c>
      <c r="W25">
        <f t="shared" ca="1" si="1"/>
        <v>4</v>
      </c>
      <c r="X25">
        <f t="shared" ca="1" si="2"/>
        <v>4</v>
      </c>
      <c r="Y25">
        <f t="shared" ca="1" si="3"/>
        <v>1.9722337291388519</v>
      </c>
    </row>
    <row r="26" spans="3:29" x14ac:dyDescent="0.35">
      <c r="C26" cm="1">
        <f t="array" aca="1" ref="C26" ca="1">INDEX($A$2:$A$15,RANDBETWEEN(1,ROWS($A$2:$A$15)),1)</f>
        <v>1</v>
      </c>
      <c r="D26" cm="1">
        <f t="array" aca="1" ref="D26" ca="1">INDEX($A$2:$A$15,RANDBETWEEN(1,ROWS($A$2:$A$15)),1)</f>
        <v>1</v>
      </c>
      <c r="E26" cm="1">
        <f t="array" aca="1" ref="E26" ca="1">INDEX($A$2:$A$15,RANDBETWEEN(1,ROWS($A$2:$A$15)),1)</f>
        <v>5</v>
      </c>
      <c r="F26" cm="1">
        <f t="array" aca="1" ref="F26" ca="1">INDEX($A$2:$A$15,RANDBETWEEN(1,ROWS($A$2:$A$15)),1)</f>
        <v>8</v>
      </c>
      <c r="G26" cm="1">
        <f t="array" aca="1" ref="G26" ca="1">INDEX($A$2:$A$15,RANDBETWEEN(1,ROWS($A$2:$A$15)),1)</f>
        <v>4</v>
      </c>
      <c r="H26" cm="1">
        <f t="array" aca="1" ref="H26" ca="1">INDEX($A$2:$A$15,RANDBETWEEN(1,ROWS($A$2:$A$15)),1)</f>
        <v>5</v>
      </c>
      <c r="I26" cm="1">
        <f t="array" aca="1" ref="I26" ca="1">INDEX($A$2:$A$15,RANDBETWEEN(1,ROWS($A$2:$A$15)),1)</f>
        <v>1</v>
      </c>
      <c r="J26" cm="1">
        <f t="array" aca="1" ref="J26" ca="1">INDEX($A$2:$A$15,RANDBETWEEN(1,ROWS($A$2:$A$15)),1)</f>
        <v>1</v>
      </c>
      <c r="K26" cm="1">
        <f t="array" aca="1" ref="K26" ca="1">INDEX($A$2:$A$15,RANDBETWEEN(1,ROWS($A$2:$A$15)),1)</f>
        <v>5</v>
      </c>
      <c r="L26" cm="1">
        <f t="array" aca="1" ref="L26" ca="1">INDEX($A$2:$A$15,RANDBETWEEN(1,ROWS($A$2:$A$15)),1)</f>
        <v>4</v>
      </c>
      <c r="M26" cm="1">
        <f t="array" aca="1" ref="M26" ca="1">INDEX($A$2:$A$15,RANDBETWEEN(1,ROWS($A$2:$A$15)),1)</f>
        <v>5</v>
      </c>
      <c r="N26" cm="1">
        <f t="array" aca="1" ref="N26" ca="1">INDEX($A$2:$A$15,RANDBETWEEN(1,ROWS($A$2:$A$15)),1)</f>
        <v>4</v>
      </c>
      <c r="O26" cm="1">
        <f t="array" aca="1" ref="O26" ca="1">INDEX($A$2:$A$15,RANDBETWEEN(1,ROWS($A$2:$A$15)),1)</f>
        <v>5</v>
      </c>
      <c r="P26" cm="1">
        <f t="array" aca="1" ref="P26" ca="1">INDEX($A$2:$A$15,RANDBETWEEN(1,ROWS($A$2:$A$15)),1)</f>
        <v>5</v>
      </c>
      <c r="Q26" cm="1">
        <f t="array" aca="1" ref="Q26" ca="1">INDEX($A$2:$A$15,RANDBETWEEN(1,ROWS($A$2:$A$15)),1)</f>
        <v>5</v>
      </c>
      <c r="R26" cm="1">
        <f t="array" aca="1" ref="R26" ca="1">INDEX($A$2:$A$15,RANDBETWEEN(1,ROWS($A$2:$A$15)),1)</f>
        <v>1</v>
      </c>
      <c r="S26" cm="1">
        <f t="array" aca="1" ref="S26" ca="1">INDEX($A$2:$A$15,RANDBETWEEN(1,ROWS($A$2:$A$15)),1)</f>
        <v>4</v>
      </c>
      <c r="V26">
        <f t="shared" ca="1" si="0"/>
        <v>3.7647058823529411</v>
      </c>
      <c r="W26">
        <f t="shared" ca="1" si="1"/>
        <v>4</v>
      </c>
      <c r="X26">
        <f t="shared" ca="1" si="2"/>
        <v>4</v>
      </c>
      <c r="Y26">
        <f t="shared" ca="1" si="3"/>
        <v>2.0472363006229242</v>
      </c>
    </row>
    <row r="27" spans="3:29" x14ac:dyDescent="0.35">
      <c r="C27" cm="1">
        <f t="array" aca="1" ref="C27" ca="1">INDEX($A$2:$A$15,RANDBETWEEN(1,ROWS($A$2:$A$15)),1)</f>
        <v>1</v>
      </c>
      <c r="D27" cm="1">
        <f t="array" aca="1" ref="D27" ca="1">INDEX($A$2:$A$15,RANDBETWEEN(1,ROWS($A$2:$A$15)),1)</f>
        <v>1</v>
      </c>
      <c r="E27" cm="1">
        <f t="array" aca="1" ref="E27" ca="1">INDEX($A$2:$A$15,RANDBETWEEN(1,ROWS($A$2:$A$15)),1)</f>
        <v>5</v>
      </c>
      <c r="F27" cm="1">
        <f t="array" aca="1" ref="F27" ca="1">INDEX($A$2:$A$15,RANDBETWEEN(1,ROWS($A$2:$A$15)),1)</f>
        <v>1</v>
      </c>
      <c r="G27" cm="1">
        <f t="array" aca="1" ref="G27" ca="1">INDEX($A$2:$A$15,RANDBETWEEN(1,ROWS($A$2:$A$15)),1)</f>
        <v>1</v>
      </c>
      <c r="H27" cm="1">
        <f t="array" aca="1" ref="H27" ca="1">INDEX($A$2:$A$15,RANDBETWEEN(1,ROWS($A$2:$A$15)),1)</f>
        <v>5</v>
      </c>
      <c r="I27" cm="1">
        <f t="array" aca="1" ref="I27" ca="1">INDEX($A$2:$A$15,RANDBETWEEN(1,ROWS($A$2:$A$15)),1)</f>
        <v>5</v>
      </c>
      <c r="J27" cm="1">
        <f t="array" aca="1" ref="J27" ca="1">INDEX($A$2:$A$15,RANDBETWEEN(1,ROWS($A$2:$A$15)),1)</f>
        <v>1</v>
      </c>
      <c r="K27" cm="1">
        <f t="array" aca="1" ref="K27" ca="1">INDEX($A$2:$A$15,RANDBETWEEN(1,ROWS($A$2:$A$15)),1)</f>
        <v>4</v>
      </c>
      <c r="L27" cm="1">
        <f t="array" aca="1" ref="L27" ca="1">INDEX($A$2:$A$15,RANDBETWEEN(1,ROWS($A$2:$A$15)),1)</f>
        <v>1</v>
      </c>
      <c r="M27" cm="1">
        <f t="array" aca="1" ref="M27" ca="1">INDEX($A$2:$A$15,RANDBETWEEN(1,ROWS($A$2:$A$15)),1)</f>
        <v>4</v>
      </c>
      <c r="N27" cm="1">
        <f t="array" aca="1" ref="N27" ca="1">INDEX($A$2:$A$15,RANDBETWEEN(1,ROWS($A$2:$A$15)),1)</f>
        <v>5</v>
      </c>
      <c r="O27" cm="1">
        <f t="array" aca="1" ref="O27" ca="1">INDEX($A$2:$A$15,RANDBETWEEN(1,ROWS($A$2:$A$15)),1)</f>
        <v>3</v>
      </c>
      <c r="P27" cm="1">
        <f t="array" aca="1" ref="P27" ca="1">INDEX($A$2:$A$15,RANDBETWEEN(1,ROWS($A$2:$A$15)),1)</f>
        <v>1</v>
      </c>
      <c r="Q27" cm="1">
        <f t="array" aca="1" ref="Q27" ca="1">INDEX($A$2:$A$15,RANDBETWEEN(1,ROWS($A$2:$A$15)),1)</f>
        <v>1</v>
      </c>
      <c r="R27" cm="1">
        <f t="array" aca="1" ref="R27" ca="1">INDEX($A$2:$A$15,RANDBETWEEN(1,ROWS($A$2:$A$15)),1)</f>
        <v>5</v>
      </c>
      <c r="S27" cm="1">
        <f t="array" aca="1" ref="S27" ca="1">INDEX($A$2:$A$15,RANDBETWEEN(1,ROWS($A$2:$A$15)),1)</f>
        <v>5</v>
      </c>
      <c r="V27">
        <f t="shared" ca="1" si="0"/>
        <v>2.8823529411764706</v>
      </c>
      <c r="W27">
        <f t="shared" ca="1" si="1"/>
        <v>3</v>
      </c>
      <c r="X27">
        <f t="shared" ca="1" si="2"/>
        <v>4</v>
      </c>
      <c r="Y27">
        <f t="shared" ca="1" si="3"/>
        <v>1.9000773978043783</v>
      </c>
    </row>
    <row r="28" spans="3:29" x14ac:dyDescent="0.35">
      <c r="C28" cm="1">
        <f t="array" aca="1" ref="C28" ca="1">INDEX($A$2:$A$15,RANDBETWEEN(1,ROWS($A$2:$A$15)),1)</f>
        <v>2</v>
      </c>
      <c r="D28" cm="1">
        <f t="array" aca="1" ref="D28" ca="1">INDEX($A$2:$A$15,RANDBETWEEN(1,ROWS($A$2:$A$15)),1)</f>
        <v>8</v>
      </c>
      <c r="E28" cm="1">
        <f t="array" aca="1" ref="E28" ca="1">INDEX($A$2:$A$15,RANDBETWEEN(1,ROWS($A$2:$A$15)),1)</f>
        <v>4</v>
      </c>
      <c r="F28" cm="1">
        <f t="array" aca="1" ref="F28" ca="1">INDEX($A$2:$A$15,RANDBETWEEN(1,ROWS($A$2:$A$15)),1)</f>
        <v>7</v>
      </c>
      <c r="G28" cm="1">
        <f t="array" aca="1" ref="G28" ca="1">INDEX($A$2:$A$15,RANDBETWEEN(1,ROWS($A$2:$A$15)),1)</f>
        <v>5</v>
      </c>
      <c r="H28" cm="1">
        <f t="array" aca="1" ref="H28" ca="1">INDEX($A$2:$A$15,RANDBETWEEN(1,ROWS($A$2:$A$15)),1)</f>
        <v>4</v>
      </c>
      <c r="I28" cm="1">
        <f t="array" aca="1" ref="I28" ca="1">INDEX($A$2:$A$15,RANDBETWEEN(1,ROWS($A$2:$A$15)),1)</f>
        <v>3</v>
      </c>
      <c r="J28" cm="1">
        <f t="array" aca="1" ref="J28" ca="1">INDEX($A$2:$A$15,RANDBETWEEN(1,ROWS($A$2:$A$15)),1)</f>
        <v>7</v>
      </c>
      <c r="K28" cm="1">
        <f t="array" aca="1" ref="K28" ca="1">INDEX($A$2:$A$15,RANDBETWEEN(1,ROWS($A$2:$A$15)),1)</f>
        <v>5</v>
      </c>
      <c r="L28" cm="1">
        <f t="array" aca="1" ref="L28" ca="1">INDEX($A$2:$A$15,RANDBETWEEN(1,ROWS($A$2:$A$15)),1)</f>
        <v>1</v>
      </c>
      <c r="M28" cm="1">
        <f t="array" aca="1" ref="M28" ca="1">INDEX($A$2:$A$15,RANDBETWEEN(1,ROWS($A$2:$A$15)),1)</f>
        <v>1</v>
      </c>
      <c r="N28" cm="1">
        <f t="array" aca="1" ref="N28" ca="1">INDEX($A$2:$A$15,RANDBETWEEN(1,ROWS($A$2:$A$15)),1)</f>
        <v>5</v>
      </c>
      <c r="O28" cm="1">
        <f t="array" aca="1" ref="O28" ca="1">INDEX($A$2:$A$15,RANDBETWEEN(1,ROWS($A$2:$A$15)),1)</f>
        <v>3</v>
      </c>
      <c r="P28" cm="1">
        <f t="array" aca="1" ref="P28" ca="1">INDEX($A$2:$A$15,RANDBETWEEN(1,ROWS($A$2:$A$15)),1)</f>
        <v>8</v>
      </c>
      <c r="Q28" cm="1">
        <f t="array" aca="1" ref="Q28" ca="1">INDEX($A$2:$A$15,RANDBETWEEN(1,ROWS($A$2:$A$15)),1)</f>
        <v>3</v>
      </c>
      <c r="R28" cm="1">
        <f t="array" aca="1" ref="R28" ca="1">INDEX($A$2:$A$15,RANDBETWEEN(1,ROWS($A$2:$A$15)),1)</f>
        <v>5</v>
      </c>
      <c r="S28" cm="1">
        <f t="array" aca="1" ref="S28" ca="1">INDEX($A$2:$A$15,RANDBETWEEN(1,ROWS($A$2:$A$15)),1)</f>
        <v>2</v>
      </c>
      <c r="V28">
        <f t="shared" ca="1" si="0"/>
        <v>4.2941176470588234</v>
      </c>
      <c r="W28">
        <f t="shared" ca="1" si="1"/>
        <v>4</v>
      </c>
      <c r="X28">
        <f t="shared" ca="1" si="2"/>
        <v>2</v>
      </c>
      <c r="Y28">
        <f t="shared" ca="1" si="3"/>
        <v>2.2573409656704757</v>
      </c>
    </row>
    <row r="29" spans="3:29" x14ac:dyDescent="0.35">
      <c r="C29" cm="1">
        <f t="array" aca="1" ref="C29" ca="1">INDEX($A$2:$A$15,RANDBETWEEN(1,ROWS($A$2:$A$15)),1)</f>
        <v>2</v>
      </c>
      <c r="D29" cm="1">
        <f t="array" aca="1" ref="D29" ca="1">INDEX($A$2:$A$15,RANDBETWEEN(1,ROWS($A$2:$A$15)),1)</f>
        <v>7</v>
      </c>
      <c r="E29" cm="1">
        <f t="array" aca="1" ref="E29" ca="1">INDEX($A$2:$A$15,RANDBETWEEN(1,ROWS($A$2:$A$15)),1)</f>
        <v>4</v>
      </c>
      <c r="F29" cm="1">
        <f t="array" aca="1" ref="F29" ca="1">INDEX($A$2:$A$15,RANDBETWEEN(1,ROWS($A$2:$A$15)),1)</f>
        <v>5</v>
      </c>
      <c r="G29" cm="1">
        <f t="array" aca="1" ref="G29" ca="1">INDEX($A$2:$A$15,RANDBETWEEN(1,ROWS($A$2:$A$15)),1)</f>
        <v>5</v>
      </c>
      <c r="H29" cm="1">
        <f t="array" aca="1" ref="H29" ca="1">INDEX($A$2:$A$15,RANDBETWEEN(1,ROWS($A$2:$A$15)),1)</f>
        <v>5</v>
      </c>
      <c r="I29" cm="1">
        <f t="array" aca="1" ref="I29" ca="1">INDEX($A$2:$A$15,RANDBETWEEN(1,ROWS($A$2:$A$15)),1)</f>
        <v>4</v>
      </c>
      <c r="J29" cm="1">
        <f t="array" aca="1" ref="J29" ca="1">INDEX($A$2:$A$15,RANDBETWEEN(1,ROWS($A$2:$A$15)),1)</f>
        <v>3</v>
      </c>
      <c r="K29" cm="1">
        <f t="array" aca="1" ref="K29" ca="1">INDEX($A$2:$A$15,RANDBETWEEN(1,ROWS($A$2:$A$15)),1)</f>
        <v>8</v>
      </c>
      <c r="L29" cm="1">
        <f t="array" aca="1" ref="L29" ca="1">INDEX($A$2:$A$15,RANDBETWEEN(1,ROWS($A$2:$A$15)),1)</f>
        <v>7</v>
      </c>
      <c r="M29" cm="1">
        <f t="array" aca="1" ref="M29" ca="1">INDEX($A$2:$A$15,RANDBETWEEN(1,ROWS($A$2:$A$15)),1)</f>
        <v>4</v>
      </c>
      <c r="N29" cm="1">
        <f t="array" aca="1" ref="N29" ca="1">INDEX($A$2:$A$15,RANDBETWEEN(1,ROWS($A$2:$A$15)),1)</f>
        <v>7</v>
      </c>
      <c r="O29" cm="1">
        <f t="array" aca="1" ref="O29" ca="1">INDEX($A$2:$A$15,RANDBETWEEN(1,ROWS($A$2:$A$15)),1)</f>
        <v>1</v>
      </c>
      <c r="P29" cm="1">
        <f t="array" aca="1" ref="P29" ca="1">INDEX($A$2:$A$15,RANDBETWEEN(1,ROWS($A$2:$A$15)),1)</f>
        <v>5</v>
      </c>
      <c r="Q29" cm="1">
        <f t="array" aca="1" ref="Q29" ca="1">INDEX($A$2:$A$15,RANDBETWEEN(1,ROWS($A$2:$A$15)),1)</f>
        <v>7</v>
      </c>
      <c r="R29" cm="1">
        <f t="array" aca="1" ref="R29" ca="1">INDEX($A$2:$A$15,RANDBETWEEN(1,ROWS($A$2:$A$15)),1)</f>
        <v>1</v>
      </c>
      <c r="S29" cm="1">
        <f t="array" aca="1" ref="S29" ca="1">INDEX($A$2:$A$15,RANDBETWEEN(1,ROWS($A$2:$A$15)),1)</f>
        <v>5</v>
      </c>
      <c r="V29">
        <f t="shared" ca="1" si="0"/>
        <v>4.7058823529411766</v>
      </c>
      <c r="W29">
        <f t="shared" ca="1" si="1"/>
        <v>5</v>
      </c>
      <c r="X29">
        <f t="shared" ca="1" si="2"/>
        <v>3</v>
      </c>
      <c r="Y29">
        <f t="shared" ca="1" si="3"/>
        <v>2.1143765594836972</v>
      </c>
    </row>
    <row r="30" spans="3:29" x14ac:dyDescent="0.35">
      <c r="C30" cm="1">
        <f t="array" aca="1" ref="C30" ca="1">INDEX($A$2:$A$15,RANDBETWEEN(1,ROWS($A$2:$A$15)),1)</f>
        <v>3</v>
      </c>
      <c r="D30" cm="1">
        <f t="array" aca="1" ref="D30" ca="1">INDEX($A$2:$A$15,RANDBETWEEN(1,ROWS($A$2:$A$15)),1)</f>
        <v>5</v>
      </c>
      <c r="E30" cm="1">
        <f t="array" aca="1" ref="E30" ca="1">INDEX($A$2:$A$15,RANDBETWEEN(1,ROWS($A$2:$A$15)),1)</f>
        <v>1</v>
      </c>
      <c r="F30" cm="1">
        <f t="array" aca="1" ref="F30" ca="1">INDEX($A$2:$A$15,RANDBETWEEN(1,ROWS($A$2:$A$15)),1)</f>
        <v>1</v>
      </c>
      <c r="G30" cm="1">
        <f t="array" aca="1" ref="G30" ca="1">INDEX($A$2:$A$15,RANDBETWEEN(1,ROWS($A$2:$A$15)),1)</f>
        <v>3</v>
      </c>
      <c r="H30" cm="1">
        <f t="array" aca="1" ref="H30" ca="1">INDEX($A$2:$A$15,RANDBETWEEN(1,ROWS($A$2:$A$15)),1)</f>
        <v>4</v>
      </c>
      <c r="I30" cm="1">
        <f t="array" aca="1" ref="I30" ca="1">INDEX($A$2:$A$15,RANDBETWEEN(1,ROWS($A$2:$A$15)),1)</f>
        <v>5</v>
      </c>
      <c r="J30" cm="1">
        <f t="array" aca="1" ref="J30" ca="1">INDEX($A$2:$A$15,RANDBETWEEN(1,ROWS($A$2:$A$15)),1)</f>
        <v>3</v>
      </c>
      <c r="K30" cm="1">
        <f t="array" aca="1" ref="K30" ca="1">INDEX($A$2:$A$15,RANDBETWEEN(1,ROWS($A$2:$A$15)),1)</f>
        <v>5</v>
      </c>
      <c r="L30" cm="1">
        <f t="array" aca="1" ref="L30" ca="1">INDEX($A$2:$A$15,RANDBETWEEN(1,ROWS($A$2:$A$15)),1)</f>
        <v>3</v>
      </c>
      <c r="M30" cm="1">
        <f t="array" aca="1" ref="M30" ca="1">INDEX($A$2:$A$15,RANDBETWEEN(1,ROWS($A$2:$A$15)),1)</f>
        <v>5</v>
      </c>
      <c r="N30" cm="1">
        <f t="array" aca="1" ref="N30" ca="1">INDEX($A$2:$A$15,RANDBETWEEN(1,ROWS($A$2:$A$15)),1)</f>
        <v>3</v>
      </c>
      <c r="O30" cm="1">
        <f t="array" aca="1" ref="O30" ca="1">INDEX($A$2:$A$15,RANDBETWEEN(1,ROWS($A$2:$A$15)),1)</f>
        <v>5</v>
      </c>
      <c r="P30" cm="1">
        <f t="array" aca="1" ref="P30" ca="1">INDEX($A$2:$A$15,RANDBETWEEN(1,ROWS($A$2:$A$15)),1)</f>
        <v>4</v>
      </c>
      <c r="Q30" cm="1">
        <f t="array" aca="1" ref="Q30" ca="1">INDEX($A$2:$A$15,RANDBETWEEN(1,ROWS($A$2:$A$15)),1)</f>
        <v>3</v>
      </c>
      <c r="R30" cm="1">
        <f t="array" aca="1" ref="R30" ca="1">INDEX($A$2:$A$15,RANDBETWEEN(1,ROWS($A$2:$A$15)),1)</f>
        <v>3</v>
      </c>
      <c r="S30" cm="1">
        <f t="array" aca="1" ref="S30" ca="1">INDEX($A$2:$A$15,RANDBETWEEN(1,ROWS($A$2:$A$15)),1)</f>
        <v>5</v>
      </c>
      <c r="V30">
        <f t="shared" ca="1" si="0"/>
        <v>3.5882352941176472</v>
      </c>
      <c r="W30">
        <f t="shared" ca="1" si="1"/>
        <v>3</v>
      </c>
      <c r="X30">
        <f t="shared" ca="1" si="2"/>
        <v>2</v>
      </c>
      <c r="Y30">
        <f t="shared" ca="1" si="3"/>
        <v>1.3256518929102281</v>
      </c>
    </row>
    <row r="31" spans="3:29" x14ac:dyDescent="0.35">
      <c r="C31" cm="1">
        <f t="array" aca="1" ref="C31" ca="1">INDEX($A$2:$A$15,RANDBETWEEN(1,ROWS($A$2:$A$15)),1)</f>
        <v>5</v>
      </c>
      <c r="D31" cm="1">
        <f t="array" aca="1" ref="D31" ca="1">INDEX($A$2:$A$15,RANDBETWEEN(1,ROWS($A$2:$A$15)),1)</f>
        <v>4</v>
      </c>
      <c r="E31" cm="1">
        <f t="array" aca="1" ref="E31" ca="1">INDEX($A$2:$A$15,RANDBETWEEN(1,ROWS($A$2:$A$15)),1)</f>
        <v>1</v>
      </c>
      <c r="F31" cm="1">
        <f t="array" aca="1" ref="F31" ca="1">INDEX($A$2:$A$15,RANDBETWEEN(1,ROWS($A$2:$A$15)),1)</f>
        <v>1</v>
      </c>
      <c r="G31" cm="1">
        <f t="array" aca="1" ref="G31" ca="1">INDEX($A$2:$A$15,RANDBETWEEN(1,ROWS($A$2:$A$15)),1)</f>
        <v>4</v>
      </c>
      <c r="H31" cm="1">
        <f t="array" aca="1" ref="H31" ca="1">INDEX($A$2:$A$15,RANDBETWEEN(1,ROWS($A$2:$A$15)),1)</f>
        <v>7</v>
      </c>
      <c r="I31" cm="1">
        <f t="array" aca="1" ref="I31" ca="1">INDEX($A$2:$A$15,RANDBETWEEN(1,ROWS($A$2:$A$15)),1)</f>
        <v>2</v>
      </c>
      <c r="J31" cm="1">
        <f t="array" aca="1" ref="J31" ca="1">INDEX($A$2:$A$15,RANDBETWEEN(1,ROWS($A$2:$A$15)),1)</f>
        <v>5</v>
      </c>
      <c r="K31" cm="1">
        <f t="array" aca="1" ref="K31" ca="1">INDEX($A$2:$A$15,RANDBETWEEN(1,ROWS($A$2:$A$15)),1)</f>
        <v>5</v>
      </c>
      <c r="L31" cm="1">
        <f t="array" aca="1" ref="L31" ca="1">INDEX($A$2:$A$15,RANDBETWEEN(1,ROWS($A$2:$A$15)),1)</f>
        <v>1</v>
      </c>
      <c r="M31" cm="1">
        <f t="array" aca="1" ref="M31" ca="1">INDEX($A$2:$A$15,RANDBETWEEN(1,ROWS($A$2:$A$15)),1)</f>
        <v>3</v>
      </c>
      <c r="N31" cm="1">
        <f t="array" aca="1" ref="N31" ca="1">INDEX($A$2:$A$15,RANDBETWEEN(1,ROWS($A$2:$A$15)),1)</f>
        <v>4</v>
      </c>
      <c r="O31" cm="1">
        <f t="array" aca="1" ref="O31" ca="1">INDEX($A$2:$A$15,RANDBETWEEN(1,ROWS($A$2:$A$15)),1)</f>
        <v>1</v>
      </c>
      <c r="P31" cm="1">
        <f t="array" aca="1" ref="P31" ca="1">INDEX($A$2:$A$15,RANDBETWEEN(1,ROWS($A$2:$A$15)),1)</f>
        <v>7</v>
      </c>
      <c r="Q31" cm="1">
        <f t="array" aca="1" ref="Q31" ca="1">INDEX($A$2:$A$15,RANDBETWEEN(1,ROWS($A$2:$A$15)),1)</f>
        <v>5</v>
      </c>
      <c r="R31" cm="1">
        <f t="array" aca="1" ref="R31" ca="1">INDEX($A$2:$A$15,RANDBETWEEN(1,ROWS($A$2:$A$15)),1)</f>
        <v>1</v>
      </c>
      <c r="S31" cm="1">
        <f t="array" aca="1" ref="S31" ca="1">INDEX($A$2:$A$15,RANDBETWEEN(1,ROWS($A$2:$A$15)),1)</f>
        <v>5</v>
      </c>
      <c r="V31">
        <f t="shared" ca="1" si="0"/>
        <v>3.5882352941176472</v>
      </c>
      <c r="W31">
        <f t="shared" ca="1" si="1"/>
        <v>4</v>
      </c>
      <c r="X31">
        <f t="shared" ca="1" si="2"/>
        <v>4</v>
      </c>
      <c r="Y31">
        <f t="shared" ca="1" si="3"/>
        <v>2.0934070175616761</v>
      </c>
    </row>
    <row r="32" spans="3:29" x14ac:dyDescent="0.35">
      <c r="C32" cm="1">
        <f t="array" aca="1" ref="C32" ca="1">INDEX($A$2:$A$15,RANDBETWEEN(1,ROWS($A$2:$A$15)),1)</f>
        <v>3</v>
      </c>
      <c r="D32" cm="1">
        <f t="array" aca="1" ref="D32" ca="1">INDEX($A$2:$A$15,RANDBETWEEN(1,ROWS($A$2:$A$15)),1)</f>
        <v>8</v>
      </c>
      <c r="E32" cm="1">
        <f t="array" aca="1" ref="E32" ca="1">INDEX($A$2:$A$15,RANDBETWEEN(1,ROWS($A$2:$A$15)),1)</f>
        <v>8</v>
      </c>
      <c r="F32" cm="1">
        <f t="array" aca="1" ref="F32" ca="1">INDEX($A$2:$A$15,RANDBETWEEN(1,ROWS($A$2:$A$15)),1)</f>
        <v>5</v>
      </c>
      <c r="G32" cm="1">
        <f t="array" aca="1" ref="G32" ca="1">INDEX($A$2:$A$15,RANDBETWEEN(1,ROWS($A$2:$A$15)),1)</f>
        <v>3</v>
      </c>
      <c r="H32" cm="1">
        <f t="array" aca="1" ref="H32" ca="1">INDEX($A$2:$A$15,RANDBETWEEN(1,ROWS($A$2:$A$15)),1)</f>
        <v>8</v>
      </c>
      <c r="I32" cm="1">
        <f t="array" aca="1" ref="I32" ca="1">INDEX($A$2:$A$15,RANDBETWEEN(1,ROWS($A$2:$A$15)),1)</f>
        <v>5</v>
      </c>
      <c r="J32" cm="1">
        <f t="array" aca="1" ref="J32" ca="1">INDEX($A$2:$A$15,RANDBETWEEN(1,ROWS($A$2:$A$15)),1)</f>
        <v>1</v>
      </c>
      <c r="K32" cm="1">
        <f t="array" aca="1" ref="K32" ca="1">INDEX($A$2:$A$15,RANDBETWEEN(1,ROWS($A$2:$A$15)),1)</f>
        <v>5</v>
      </c>
      <c r="L32" cm="1">
        <f t="array" aca="1" ref="L32" ca="1">INDEX($A$2:$A$15,RANDBETWEEN(1,ROWS($A$2:$A$15)),1)</f>
        <v>4</v>
      </c>
      <c r="M32" cm="1">
        <f t="array" aca="1" ref="M32" ca="1">INDEX($A$2:$A$15,RANDBETWEEN(1,ROWS($A$2:$A$15)),1)</f>
        <v>8</v>
      </c>
      <c r="N32" cm="1">
        <f t="array" aca="1" ref="N32" ca="1">INDEX($A$2:$A$15,RANDBETWEEN(1,ROWS($A$2:$A$15)),1)</f>
        <v>5</v>
      </c>
      <c r="O32" cm="1">
        <f t="array" aca="1" ref="O32" ca="1">INDEX($A$2:$A$15,RANDBETWEEN(1,ROWS($A$2:$A$15)),1)</f>
        <v>5</v>
      </c>
      <c r="P32" cm="1">
        <f t="array" aca="1" ref="P32" ca="1">INDEX($A$2:$A$15,RANDBETWEEN(1,ROWS($A$2:$A$15)),1)</f>
        <v>4</v>
      </c>
      <c r="Q32" cm="1">
        <f t="array" aca="1" ref="Q32" ca="1">INDEX($A$2:$A$15,RANDBETWEEN(1,ROWS($A$2:$A$15)),1)</f>
        <v>4</v>
      </c>
      <c r="R32" cm="1">
        <f t="array" aca="1" ref="R32" ca="1">INDEX($A$2:$A$15,RANDBETWEEN(1,ROWS($A$2:$A$15)),1)</f>
        <v>7</v>
      </c>
      <c r="S32" cm="1">
        <f t="array" aca="1" ref="S32" ca="1">INDEX($A$2:$A$15,RANDBETWEEN(1,ROWS($A$2:$A$15)),1)</f>
        <v>1</v>
      </c>
      <c r="V32">
        <f t="shared" ca="1" si="0"/>
        <v>4.9411764705882355</v>
      </c>
      <c r="W32">
        <f t="shared" ca="1" si="1"/>
        <v>5</v>
      </c>
      <c r="X32">
        <f t="shared" ca="1" si="2"/>
        <v>3</v>
      </c>
      <c r="Y32">
        <f t="shared" ca="1" si="3"/>
        <v>2.2768011615887245</v>
      </c>
    </row>
    <row r="33" spans="3:25" x14ac:dyDescent="0.35">
      <c r="C33" cm="1">
        <f t="array" aca="1" ref="C33" ca="1">INDEX($A$2:$A$15,RANDBETWEEN(1,ROWS($A$2:$A$15)),1)</f>
        <v>1</v>
      </c>
      <c r="D33" cm="1">
        <f t="array" aca="1" ref="D33" ca="1">INDEX($A$2:$A$15,RANDBETWEEN(1,ROWS($A$2:$A$15)),1)</f>
        <v>3</v>
      </c>
      <c r="E33" cm="1">
        <f t="array" aca="1" ref="E33" ca="1">INDEX($A$2:$A$15,RANDBETWEEN(1,ROWS($A$2:$A$15)),1)</f>
        <v>5</v>
      </c>
      <c r="F33" cm="1">
        <f t="array" aca="1" ref="F33" ca="1">INDEX($A$2:$A$15,RANDBETWEEN(1,ROWS($A$2:$A$15)),1)</f>
        <v>4</v>
      </c>
      <c r="G33" cm="1">
        <f t="array" aca="1" ref="G33" ca="1">INDEX($A$2:$A$15,RANDBETWEEN(1,ROWS($A$2:$A$15)),1)</f>
        <v>8</v>
      </c>
      <c r="H33" cm="1">
        <f t="array" aca="1" ref="H33" ca="1">INDEX($A$2:$A$15,RANDBETWEEN(1,ROWS($A$2:$A$15)),1)</f>
        <v>7</v>
      </c>
      <c r="I33" cm="1">
        <f t="array" aca="1" ref="I33" ca="1">INDEX($A$2:$A$15,RANDBETWEEN(1,ROWS($A$2:$A$15)),1)</f>
        <v>5</v>
      </c>
      <c r="J33" cm="1">
        <f t="array" aca="1" ref="J33" ca="1">INDEX($A$2:$A$15,RANDBETWEEN(1,ROWS($A$2:$A$15)),1)</f>
        <v>4</v>
      </c>
      <c r="K33" cm="1">
        <f t="array" aca="1" ref="K33" ca="1">INDEX($A$2:$A$15,RANDBETWEEN(1,ROWS($A$2:$A$15)),1)</f>
        <v>2</v>
      </c>
      <c r="L33" cm="1">
        <f t="array" aca="1" ref="L33" ca="1">INDEX($A$2:$A$15,RANDBETWEEN(1,ROWS($A$2:$A$15)),1)</f>
        <v>1</v>
      </c>
      <c r="M33" cm="1">
        <f t="array" aca="1" ref="M33" ca="1">INDEX($A$2:$A$15,RANDBETWEEN(1,ROWS($A$2:$A$15)),1)</f>
        <v>4</v>
      </c>
      <c r="N33" cm="1">
        <f t="array" aca="1" ref="N33" ca="1">INDEX($A$2:$A$15,RANDBETWEEN(1,ROWS($A$2:$A$15)),1)</f>
        <v>5</v>
      </c>
      <c r="O33" cm="1">
        <f t="array" aca="1" ref="O33" ca="1">INDEX($A$2:$A$15,RANDBETWEEN(1,ROWS($A$2:$A$15)),1)</f>
        <v>1</v>
      </c>
      <c r="P33" cm="1">
        <f t="array" aca="1" ref="P33" ca="1">INDEX($A$2:$A$15,RANDBETWEEN(1,ROWS($A$2:$A$15)),1)</f>
        <v>7</v>
      </c>
      <c r="Q33" cm="1">
        <f t="array" aca="1" ref="Q33" ca="1">INDEX($A$2:$A$15,RANDBETWEEN(1,ROWS($A$2:$A$15)),1)</f>
        <v>1</v>
      </c>
      <c r="R33" cm="1">
        <f t="array" aca="1" ref="R33" ca="1">INDEX($A$2:$A$15,RANDBETWEEN(1,ROWS($A$2:$A$15)),1)</f>
        <v>2</v>
      </c>
      <c r="S33" cm="1">
        <f t="array" aca="1" ref="S33" ca="1">INDEX($A$2:$A$15,RANDBETWEEN(1,ROWS($A$2:$A$15)),1)</f>
        <v>5</v>
      </c>
      <c r="V33">
        <f t="shared" ca="1" si="0"/>
        <v>3.8235294117647061</v>
      </c>
      <c r="W33">
        <f t="shared" ca="1" si="1"/>
        <v>4</v>
      </c>
      <c r="X33">
        <f t="shared" ca="1" si="2"/>
        <v>3</v>
      </c>
      <c r="Y33">
        <f t="shared" ca="1" si="3"/>
        <v>2.2703329634011578</v>
      </c>
    </row>
    <row r="34" spans="3:25" x14ac:dyDescent="0.35">
      <c r="C34" cm="1">
        <f t="array" aca="1" ref="C34" ca="1">INDEX($A$2:$A$15,RANDBETWEEN(1,ROWS($A$2:$A$15)),1)</f>
        <v>5</v>
      </c>
      <c r="D34" cm="1">
        <f t="array" aca="1" ref="D34" ca="1">INDEX($A$2:$A$15,RANDBETWEEN(1,ROWS($A$2:$A$15)),1)</f>
        <v>1</v>
      </c>
      <c r="E34" cm="1">
        <f t="array" aca="1" ref="E34" ca="1">INDEX($A$2:$A$15,RANDBETWEEN(1,ROWS($A$2:$A$15)),1)</f>
        <v>8</v>
      </c>
      <c r="F34" cm="1">
        <f t="array" aca="1" ref="F34" ca="1">INDEX($A$2:$A$15,RANDBETWEEN(1,ROWS($A$2:$A$15)),1)</f>
        <v>1</v>
      </c>
      <c r="G34" cm="1">
        <f t="array" aca="1" ref="G34" ca="1">INDEX($A$2:$A$15,RANDBETWEEN(1,ROWS($A$2:$A$15)),1)</f>
        <v>1</v>
      </c>
      <c r="H34" cm="1">
        <f t="array" aca="1" ref="H34" ca="1">INDEX($A$2:$A$15,RANDBETWEEN(1,ROWS($A$2:$A$15)),1)</f>
        <v>1</v>
      </c>
      <c r="I34" cm="1">
        <f t="array" aca="1" ref="I34" ca="1">INDEX($A$2:$A$15,RANDBETWEEN(1,ROWS($A$2:$A$15)),1)</f>
        <v>3</v>
      </c>
      <c r="J34" cm="1">
        <f t="array" aca="1" ref="J34" ca="1">INDEX($A$2:$A$15,RANDBETWEEN(1,ROWS($A$2:$A$15)),1)</f>
        <v>2</v>
      </c>
      <c r="K34" cm="1">
        <f t="array" aca="1" ref="K34" ca="1">INDEX($A$2:$A$15,RANDBETWEEN(1,ROWS($A$2:$A$15)),1)</f>
        <v>7</v>
      </c>
      <c r="L34" cm="1">
        <f t="array" aca="1" ref="L34" ca="1">INDEX($A$2:$A$15,RANDBETWEEN(1,ROWS($A$2:$A$15)),1)</f>
        <v>7</v>
      </c>
      <c r="M34" cm="1">
        <f t="array" aca="1" ref="M34" ca="1">INDEX($A$2:$A$15,RANDBETWEEN(1,ROWS($A$2:$A$15)),1)</f>
        <v>5</v>
      </c>
      <c r="N34" cm="1">
        <f t="array" aca="1" ref="N34" ca="1">INDEX($A$2:$A$15,RANDBETWEEN(1,ROWS($A$2:$A$15)),1)</f>
        <v>8</v>
      </c>
      <c r="O34" cm="1">
        <f t="array" aca="1" ref="O34" ca="1">INDEX($A$2:$A$15,RANDBETWEEN(1,ROWS($A$2:$A$15)),1)</f>
        <v>1</v>
      </c>
      <c r="P34" cm="1">
        <f t="array" aca="1" ref="P34" ca="1">INDEX($A$2:$A$15,RANDBETWEEN(1,ROWS($A$2:$A$15)),1)</f>
        <v>5</v>
      </c>
      <c r="Q34" cm="1">
        <f t="array" aca="1" ref="Q34" ca="1">INDEX($A$2:$A$15,RANDBETWEEN(1,ROWS($A$2:$A$15)),1)</f>
        <v>1</v>
      </c>
      <c r="R34" cm="1">
        <f t="array" aca="1" ref="R34" ca="1">INDEX($A$2:$A$15,RANDBETWEEN(1,ROWS($A$2:$A$15)),1)</f>
        <v>2</v>
      </c>
      <c r="S34" cm="1">
        <f t="array" aca="1" ref="S34" ca="1">INDEX($A$2:$A$15,RANDBETWEEN(1,ROWS($A$2:$A$15)),1)</f>
        <v>5</v>
      </c>
      <c r="V34">
        <f t="shared" ca="1" si="0"/>
        <v>3.7058823529411766</v>
      </c>
      <c r="W34">
        <f t="shared" ca="1" si="1"/>
        <v>3</v>
      </c>
      <c r="X34">
        <f t="shared" ca="1" si="2"/>
        <v>4</v>
      </c>
      <c r="Y34">
        <f t="shared" ca="1" si="3"/>
        <v>2.6871152255335309</v>
      </c>
    </row>
    <row r="35" spans="3:25" x14ac:dyDescent="0.35">
      <c r="C35" cm="1">
        <f t="array" aca="1" ref="C35" ca="1">INDEX($A$2:$A$15,RANDBETWEEN(1,ROWS($A$2:$A$15)),1)</f>
        <v>3</v>
      </c>
      <c r="D35" cm="1">
        <f t="array" aca="1" ref="D35" ca="1">INDEX($A$2:$A$15,RANDBETWEEN(1,ROWS($A$2:$A$15)),1)</f>
        <v>8</v>
      </c>
      <c r="E35" cm="1">
        <f t="array" aca="1" ref="E35" ca="1">INDEX($A$2:$A$15,RANDBETWEEN(1,ROWS($A$2:$A$15)),1)</f>
        <v>5</v>
      </c>
      <c r="F35" cm="1">
        <f t="array" aca="1" ref="F35" ca="1">INDEX($A$2:$A$15,RANDBETWEEN(1,ROWS($A$2:$A$15)),1)</f>
        <v>3</v>
      </c>
      <c r="G35" cm="1">
        <f t="array" aca="1" ref="G35" ca="1">INDEX($A$2:$A$15,RANDBETWEEN(1,ROWS($A$2:$A$15)),1)</f>
        <v>2</v>
      </c>
      <c r="H35" cm="1">
        <f t="array" aca="1" ref="H35" ca="1">INDEX($A$2:$A$15,RANDBETWEEN(1,ROWS($A$2:$A$15)),1)</f>
        <v>1</v>
      </c>
      <c r="I35" cm="1">
        <f t="array" aca="1" ref="I35" ca="1">INDEX($A$2:$A$15,RANDBETWEEN(1,ROWS($A$2:$A$15)),1)</f>
        <v>4</v>
      </c>
      <c r="J35" cm="1">
        <f t="array" aca="1" ref="J35" ca="1">INDEX($A$2:$A$15,RANDBETWEEN(1,ROWS($A$2:$A$15)),1)</f>
        <v>5</v>
      </c>
      <c r="K35" cm="1">
        <f t="array" aca="1" ref="K35" ca="1">INDEX($A$2:$A$15,RANDBETWEEN(1,ROWS($A$2:$A$15)),1)</f>
        <v>1</v>
      </c>
      <c r="L35" cm="1">
        <f t="array" aca="1" ref="L35" ca="1">INDEX($A$2:$A$15,RANDBETWEEN(1,ROWS($A$2:$A$15)),1)</f>
        <v>5</v>
      </c>
      <c r="M35" cm="1">
        <f t="array" aca="1" ref="M35" ca="1">INDEX($A$2:$A$15,RANDBETWEEN(1,ROWS($A$2:$A$15)),1)</f>
        <v>1</v>
      </c>
      <c r="N35" cm="1">
        <f t="array" aca="1" ref="N35" ca="1">INDEX($A$2:$A$15,RANDBETWEEN(1,ROWS($A$2:$A$15)),1)</f>
        <v>5</v>
      </c>
      <c r="O35" cm="1">
        <f t="array" aca="1" ref="O35" ca="1">INDEX($A$2:$A$15,RANDBETWEEN(1,ROWS($A$2:$A$15)),1)</f>
        <v>1</v>
      </c>
      <c r="P35" cm="1">
        <f t="array" aca="1" ref="P35" ca="1">INDEX($A$2:$A$15,RANDBETWEEN(1,ROWS($A$2:$A$15)),1)</f>
        <v>4</v>
      </c>
      <c r="Q35" cm="1">
        <f t="array" aca="1" ref="Q35" ca="1">INDEX($A$2:$A$15,RANDBETWEEN(1,ROWS($A$2:$A$15)),1)</f>
        <v>5</v>
      </c>
      <c r="R35" cm="1">
        <f t="array" aca="1" ref="R35" ca="1">INDEX($A$2:$A$15,RANDBETWEEN(1,ROWS($A$2:$A$15)),1)</f>
        <v>7</v>
      </c>
      <c r="S35" cm="1">
        <f t="array" aca="1" ref="S35" ca="1">INDEX($A$2:$A$15,RANDBETWEEN(1,ROWS($A$2:$A$15)),1)</f>
        <v>3</v>
      </c>
      <c r="V35">
        <f t="shared" ca="1" si="0"/>
        <v>3.7058823529411766</v>
      </c>
      <c r="W35">
        <f t="shared" ca="1" si="1"/>
        <v>4</v>
      </c>
      <c r="X35">
        <f t="shared" ca="1" si="2"/>
        <v>3</v>
      </c>
      <c r="Y35">
        <f t="shared" ca="1" si="3"/>
        <v>2.1143765594836976</v>
      </c>
    </row>
    <row r="36" spans="3:25" x14ac:dyDescent="0.35">
      <c r="C36" cm="1">
        <f t="array" aca="1" ref="C36" ca="1">INDEX($A$2:$A$15,RANDBETWEEN(1,ROWS($A$2:$A$15)),1)</f>
        <v>5</v>
      </c>
      <c r="D36" cm="1">
        <f t="array" aca="1" ref="D36" ca="1">INDEX($A$2:$A$15,RANDBETWEEN(1,ROWS($A$2:$A$15)),1)</f>
        <v>5</v>
      </c>
      <c r="E36" cm="1">
        <f t="array" aca="1" ref="E36" ca="1">INDEX($A$2:$A$15,RANDBETWEEN(1,ROWS($A$2:$A$15)),1)</f>
        <v>5</v>
      </c>
      <c r="F36" cm="1">
        <f t="array" aca="1" ref="F36" ca="1">INDEX($A$2:$A$15,RANDBETWEEN(1,ROWS($A$2:$A$15)),1)</f>
        <v>4</v>
      </c>
      <c r="G36" cm="1">
        <f t="array" aca="1" ref="G36" ca="1">INDEX($A$2:$A$15,RANDBETWEEN(1,ROWS($A$2:$A$15)),1)</f>
        <v>5</v>
      </c>
      <c r="H36" cm="1">
        <f t="array" aca="1" ref="H36" ca="1">INDEX($A$2:$A$15,RANDBETWEEN(1,ROWS($A$2:$A$15)),1)</f>
        <v>3</v>
      </c>
      <c r="I36" cm="1">
        <f t="array" aca="1" ref="I36" ca="1">INDEX($A$2:$A$15,RANDBETWEEN(1,ROWS($A$2:$A$15)),1)</f>
        <v>4</v>
      </c>
      <c r="J36" cm="1">
        <f t="array" aca="1" ref="J36" ca="1">INDEX($A$2:$A$15,RANDBETWEEN(1,ROWS($A$2:$A$15)),1)</f>
        <v>3</v>
      </c>
      <c r="K36" cm="1">
        <f t="array" aca="1" ref="K36" ca="1">INDEX($A$2:$A$15,RANDBETWEEN(1,ROWS($A$2:$A$15)),1)</f>
        <v>1</v>
      </c>
      <c r="L36" cm="1">
        <f t="array" aca="1" ref="L36" ca="1">INDEX($A$2:$A$15,RANDBETWEEN(1,ROWS($A$2:$A$15)),1)</f>
        <v>5</v>
      </c>
      <c r="M36" cm="1">
        <f t="array" aca="1" ref="M36" ca="1">INDEX($A$2:$A$15,RANDBETWEEN(1,ROWS($A$2:$A$15)),1)</f>
        <v>1</v>
      </c>
      <c r="N36" cm="1">
        <f t="array" aca="1" ref="N36" ca="1">INDEX($A$2:$A$15,RANDBETWEEN(1,ROWS($A$2:$A$15)),1)</f>
        <v>4</v>
      </c>
      <c r="O36" cm="1">
        <f t="array" aca="1" ref="O36" ca="1">INDEX($A$2:$A$15,RANDBETWEEN(1,ROWS($A$2:$A$15)),1)</f>
        <v>5</v>
      </c>
      <c r="P36" cm="1">
        <f t="array" aca="1" ref="P36" ca="1">INDEX($A$2:$A$15,RANDBETWEEN(1,ROWS($A$2:$A$15)),1)</f>
        <v>3</v>
      </c>
      <c r="Q36" cm="1">
        <f t="array" aca="1" ref="Q36" ca="1">INDEX($A$2:$A$15,RANDBETWEEN(1,ROWS($A$2:$A$15)),1)</f>
        <v>1</v>
      </c>
      <c r="R36" cm="1">
        <f t="array" aca="1" ref="R36" ca="1">INDEX($A$2:$A$15,RANDBETWEEN(1,ROWS($A$2:$A$15)),1)</f>
        <v>3</v>
      </c>
      <c r="S36" cm="1">
        <f t="array" aca="1" ref="S36" ca="1">INDEX($A$2:$A$15,RANDBETWEEN(1,ROWS($A$2:$A$15)),1)</f>
        <v>3</v>
      </c>
      <c r="V36">
        <f t="shared" ca="1" si="0"/>
        <v>3.5294117647058822</v>
      </c>
      <c r="W36">
        <f t="shared" ca="1" si="1"/>
        <v>4</v>
      </c>
      <c r="X36">
        <f t="shared" ca="1" si="2"/>
        <v>2</v>
      </c>
      <c r="Y36">
        <f t="shared" ca="1" si="3"/>
        <v>1.4627733530362597</v>
      </c>
    </row>
    <row r="37" spans="3:25" x14ac:dyDescent="0.35">
      <c r="C37" cm="1">
        <f t="array" aca="1" ref="C37" ca="1">INDEX($A$2:$A$15,RANDBETWEEN(1,ROWS($A$2:$A$15)),1)</f>
        <v>1</v>
      </c>
      <c r="D37" cm="1">
        <f t="array" aca="1" ref="D37" ca="1">INDEX($A$2:$A$15,RANDBETWEEN(1,ROWS($A$2:$A$15)),1)</f>
        <v>5</v>
      </c>
      <c r="E37" cm="1">
        <f t="array" aca="1" ref="E37" ca="1">INDEX($A$2:$A$15,RANDBETWEEN(1,ROWS($A$2:$A$15)),1)</f>
        <v>5</v>
      </c>
      <c r="F37" cm="1">
        <f t="array" aca="1" ref="F37" ca="1">INDEX($A$2:$A$15,RANDBETWEEN(1,ROWS($A$2:$A$15)),1)</f>
        <v>7</v>
      </c>
      <c r="G37" cm="1">
        <f t="array" aca="1" ref="G37" ca="1">INDEX($A$2:$A$15,RANDBETWEEN(1,ROWS($A$2:$A$15)),1)</f>
        <v>1</v>
      </c>
      <c r="H37" cm="1">
        <f t="array" aca="1" ref="H37" ca="1">INDEX($A$2:$A$15,RANDBETWEEN(1,ROWS($A$2:$A$15)),1)</f>
        <v>5</v>
      </c>
      <c r="I37" cm="1">
        <f t="array" aca="1" ref="I37" ca="1">INDEX($A$2:$A$15,RANDBETWEEN(1,ROWS($A$2:$A$15)),1)</f>
        <v>5</v>
      </c>
      <c r="J37" cm="1">
        <f t="array" aca="1" ref="J37" ca="1">INDEX($A$2:$A$15,RANDBETWEEN(1,ROWS($A$2:$A$15)),1)</f>
        <v>1</v>
      </c>
      <c r="K37" cm="1">
        <f t="array" aca="1" ref="K37" ca="1">INDEX($A$2:$A$15,RANDBETWEEN(1,ROWS($A$2:$A$15)),1)</f>
        <v>4</v>
      </c>
      <c r="L37" cm="1">
        <f t="array" aca="1" ref="L37" ca="1">INDEX($A$2:$A$15,RANDBETWEEN(1,ROWS($A$2:$A$15)),1)</f>
        <v>3</v>
      </c>
      <c r="M37" cm="1">
        <f t="array" aca="1" ref="M37" ca="1">INDEX($A$2:$A$15,RANDBETWEEN(1,ROWS($A$2:$A$15)),1)</f>
        <v>1</v>
      </c>
      <c r="N37" cm="1">
        <f t="array" aca="1" ref="N37" ca="1">INDEX($A$2:$A$15,RANDBETWEEN(1,ROWS($A$2:$A$15)),1)</f>
        <v>3</v>
      </c>
      <c r="O37" cm="1">
        <f t="array" aca="1" ref="O37" ca="1">INDEX($A$2:$A$15,RANDBETWEEN(1,ROWS($A$2:$A$15)),1)</f>
        <v>7</v>
      </c>
      <c r="P37" cm="1">
        <f t="array" aca="1" ref="P37" ca="1">INDEX($A$2:$A$15,RANDBETWEEN(1,ROWS($A$2:$A$15)),1)</f>
        <v>7</v>
      </c>
      <c r="Q37" cm="1">
        <f t="array" aca="1" ref="Q37" ca="1">INDEX($A$2:$A$15,RANDBETWEEN(1,ROWS($A$2:$A$15)),1)</f>
        <v>5</v>
      </c>
      <c r="R37" cm="1">
        <f t="array" aca="1" ref="R37" ca="1">INDEX($A$2:$A$15,RANDBETWEEN(1,ROWS($A$2:$A$15)),1)</f>
        <v>8</v>
      </c>
      <c r="S37" cm="1">
        <f t="array" aca="1" ref="S37" ca="1">INDEX($A$2:$A$15,RANDBETWEEN(1,ROWS($A$2:$A$15)),1)</f>
        <v>5</v>
      </c>
      <c r="V37">
        <f t="shared" ca="1" si="0"/>
        <v>4.2941176470588234</v>
      </c>
      <c r="W37">
        <f t="shared" ca="1" si="1"/>
        <v>5</v>
      </c>
      <c r="X37">
        <f t="shared" ca="1" si="2"/>
        <v>2</v>
      </c>
      <c r="Y37">
        <f t="shared" ca="1" si="3"/>
        <v>2.3120528184481679</v>
      </c>
    </row>
    <row r="38" spans="3:25" x14ac:dyDescent="0.35">
      <c r="C38" cm="1">
        <f t="array" aca="1" ref="C38" ca="1">INDEX($A$2:$A$15,RANDBETWEEN(1,ROWS($A$2:$A$15)),1)</f>
        <v>5</v>
      </c>
      <c r="D38" cm="1">
        <f t="array" aca="1" ref="D38" ca="1">INDEX($A$2:$A$15,RANDBETWEEN(1,ROWS($A$2:$A$15)),1)</f>
        <v>4</v>
      </c>
      <c r="E38" cm="1">
        <f t="array" aca="1" ref="E38" ca="1">INDEX($A$2:$A$15,RANDBETWEEN(1,ROWS($A$2:$A$15)),1)</f>
        <v>5</v>
      </c>
      <c r="F38" cm="1">
        <f t="array" aca="1" ref="F38" ca="1">INDEX($A$2:$A$15,RANDBETWEEN(1,ROWS($A$2:$A$15)),1)</f>
        <v>1</v>
      </c>
      <c r="G38" cm="1">
        <f t="array" aca="1" ref="G38" ca="1">INDEX($A$2:$A$15,RANDBETWEEN(1,ROWS($A$2:$A$15)),1)</f>
        <v>5</v>
      </c>
      <c r="H38" cm="1">
        <f t="array" aca="1" ref="H38" ca="1">INDEX($A$2:$A$15,RANDBETWEEN(1,ROWS($A$2:$A$15)),1)</f>
        <v>1</v>
      </c>
      <c r="I38" cm="1">
        <f t="array" aca="1" ref="I38" ca="1">INDEX($A$2:$A$15,RANDBETWEEN(1,ROWS($A$2:$A$15)),1)</f>
        <v>1</v>
      </c>
      <c r="J38" cm="1">
        <f t="array" aca="1" ref="J38" ca="1">INDEX($A$2:$A$15,RANDBETWEEN(1,ROWS($A$2:$A$15)),1)</f>
        <v>4</v>
      </c>
      <c r="K38" cm="1">
        <f t="array" aca="1" ref="K38" ca="1">INDEX($A$2:$A$15,RANDBETWEEN(1,ROWS($A$2:$A$15)),1)</f>
        <v>3</v>
      </c>
      <c r="L38" cm="1">
        <f t="array" aca="1" ref="L38" ca="1">INDEX($A$2:$A$15,RANDBETWEEN(1,ROWS($A$2:$A$15)),1)</f>
        <v>3</v>
      </c>
      <c r="M38" cm="1">
        <f t="array" aca="1" ref="M38" ca="1">INDEX($A$2:$A$15,RANDBETWEEN(1,ROWS($A$2:$A$15)),1)</f>
        <v>1</v>
      </c>
      <c r="N38" cm="1">
        <f t="array" aca="1" ref="N38" ca="1">INDEX($A$2:$A$15,RANDBETWEEN(1,ROWS($A$2:$A$15)),1)</f>
        <v>5</v>
      </c>
      <c r="O38" cm="1">
        <f t="array" aca="1" ref="O38" ca="1">INDEX($A$2:$A$15,RANDBETWEEN(1,ROWS($A$2:$A$15)),1)</f>
        <v>5</v>
      </c>
      <c r="P38" cm="1">
        <f t="array" aca="1" ref="P38" ca="1">INDEX($A$2:$A$15,RANDBETWEEN(1,ROWS($A$2:$A$15)),1)</f>
        <v>5</v>
      </c>
      <c r="Q38" cm="1">
        <f t="array" aca="1" ref="Q38" ca="1">INDEX($A$2:$A$15,RANDBETWEEN(1,ROWS($A$2:$A$15)),1)</f>
        <v>5</v>
      </c>
      <c r="R38" cm="1">
        <f t="array" aca="1" ref="R38" ca="1">INDEX($A$2:$A$15,RANDBETWEEN(1,ROWS($A$2:$A$15)),1)</f>
        <v>3</v>
      </c>
      <c r="S38" cm="1">
        <f t="array" aca="1" ref="S38" ca="1">INDEX($A$2:$A$15,RANDBETWEEN(1,ROWS($A$2:$A$15)),1)</f>
        <v>4</v>
      </c>
      <c r="V38">
        <f t="shared" ca="1" si="0"/>
        <v>3.5294117647058822</v>
      </c>
      <c r="W38">
        <f t="shared" ca="1" si="1"/>
        <v>4</v>
      </c>
      <c r="X38">
        <f t="shared" ca="1" si="2"/>
        <v>2</v>
      </c>
      <c r="Y38">
        <f t="shared" ca="1" si="3"/>
        <v>1.6247171699569565</v>
      </c>
    </row>
    <row r="39" spans="3:25" x14ac:dyDescent="0.35">
      <c r="C39" cm="1">
        <f t="array" aca="1" ref="C39" ca="1">INDEX($A$2:$A$15,RANDBETWEEN(1,ROWS($A$2:$A$15)),1)</f>
        <v>3</v>
      </c>
      <c r="D39" cm="1">
        <f t="array" aca="1" ref="D39" ca="1">INDEX($A$2:$A$15,RANDBETWEEN(1,ROWS($A$2:$A$15)),1)</f>
        <v>7</v>
      </c>
      <c r="E39" cm="1">
        <f t="array" aca="1" ref="E39" ca="1">INDEX($A$2:$A$15,RANDBETWEEN(1,ROWS($A$2:$A$15)),1)</f>
        <v>1</v>
      </c>
      <c r="F39" cm="1">
        <f t="array" aca="1" ref="F39" ca="1">INDEX($A$2:$A$15,RANDBETWEEN(1,ROWS($A$2:$A$15)),1)</f>
        <v>5</v>
      </c>
      <c r="G39" cm="1">
        <f t="array" aca="1" ref="G39" ca="1">INDEX($A$2:$A$15,RANDBETWEEN(1,ROWS($A$2:$A$15)),1)</f>
        <v>2</v>
      </c>
      <c r="H39" cm="1">
        <f t="array" aca="1" ref="H39" ca="1">INDEX($A$2:$A$15,RANDBETWEEN(1,ROWS($A$2:$A$15)),1)</f>
        <v>5</v>
      </c>
      <c r="I39" cm="1">
        <f t="array" aca="1" ref="I39" ca="1">INDEX($A$2:$A$15,RANDBETWEEN(1,ROWS($A$2:$A$15)),1)</f>
        <v>4</v>
      </c>
      <c r="J39" cm="1">
        <f t="array" aca="1" ref="J39" ca="1">INDEX($A$2:$A$15,RANDBETWEEN(1,ROWS($A$2:$A$15)),1)</f>
        <v>4</v>
      </c>
      <c r="K39" cm="1">
        <f t="array" aca="1" ref="K39" ca="1">INDEX($A$2:$A$15,RANDBETWEEN(1,ROWS($A$2:$A$15)),1)</f>
        <v>4</v>
      </c>
      <c r="L39" cm="1">
        <f t="array" aca="1" ref="L39" ca="1">INDEX($A$2:$A$15,RANDBETWEEN(1,ROWS($A$2:$A$15)),1)</f>
        <v>1</v>
      </c>
      <c r="M39" cm="1">
        <f t="array" aca="1" ref="M39" ca="1">INDEX($A$2:$A$15,RANDBETWEEN(1,ROWS($A$2:$A$15)),1)</f>
        <v>1</v>
      </c>
      <c r="N39" cm="1">
        <f t="array" aca="1" ref="N39" ca="1">INDEX($A$2:$A$15,RANDBETWEEN(1,ROWS($A$2:$A$15)),1)</f>
        <v>1</v>
      </c>
      <c r="O39" cm="1">
        <f t="array" aca="1" ref="O39" ca="1">INDEX($A$2:$A$15,RANDBETWEEN(1,ROWS($A$2:$A$15)),1)</f>
        <v>5</v>
      </c>
      <c r="P39" cm="1">
        <f t="array" aca="1" ref="P39" ca="1">INDEX($A$2:$A$15,RANDBETWEEN(1,ROWS($A$2:$A$15)),1)</f>
        <v>4</v>
      </c>
      <c r="Q39" cm="1">
        <f t="array" aca="1" ref="Q39" ca="1">INDEX($A$2:$A$15,RANDBETWEEN(1,ROWS($A$2:$A$15)),1)</f>
        <v>1</v>
      </c>
      <c r="R39" cm="1">
        <f t="array" aca="1" ref="R39" ca="1">INDEX($A$2:$A$15,RANDBETWEEN(1,ROWS($A$2:$A$15)),1)</f>
        <v>1</v>
      </c>
      <c r="S39" cm="1">
        <f t="array" aca="1" ref="S39" ca="1">INDEX($A$2:$A$15,RANDBETWEEN(1,ROWS($A$2:$A$15)),1)</f>
        <v>3</v>
      </c>
      <c r="V39">
        <f t="shared" ca="1" si="0"/>
        <v>3.0588235294117645</v>
      </c>
      <c r="W39">
        <f t="shared" ca="1" si="1"/>
        <v>3</v>
      </c>
      <c r="X39">
        <f t="shared" ca="1" si="2"/>
        <v>3</v>
      </c>
      <c r="Y39">
        <f t="shared" ca="1" si="3"/>
        <v>1.8864844365675972</v>
      </c>
    </row>
    <row r="40" spans="3:25" x14ac:dyDescent="0.35">
      <c r="C40" cm="1">
        <f t="array" aca="1" ref="C40" ca="1">INDEX($A$2:$A$15,RANDBETWEEN(1,ROWS($A$2:$A$15)),1)</f>
        <v>4</v>
      </c>
      <c r="D40" cm="1">
        <f t="array" aca="1" ref="D40" ca="1">INDEX($A$2:$A$15,RANDBETWEEN(1,ROWS($A$2:$A$15)),1)</f>
        <v>5</v>
      </c>
      <c r="E40" cm="1">
        <f t="array" aca="1" ref="E40" ca="1">INDEX($A$2:$A$15,RANDBETWEEN(1,ROWS($A$2:$A$15)),1)</f>
        <v>7</v>
      </c>
      <c r="F40" cm="1">
        <f t="array" aca="1" ref="F40" ca="1">INDEX($A$2:$A$15,RANDBETWEEN(1,ROWS($A$2:$A$15)),1)</f>
        <v>5</v>
      </c>
      <c r="G40" cm="1">
        <f t="array" aca="1" ref="G40" ca="1">INDEX($A$2:$A$15,RANDBETWEEN(1,ROWS($A$2:$A$15)),1)</f>
        <v>5</v>
      </c>
      <c r="H40" cm="1">
        <f t="array" aca="1" ref="H40" ca="1">INDEX($A$2:$A$15,RANDBETWEEN(1,ROWS($A$2:$A$15)),1)</f>
        <v>1</v>
      </c>
      <c r="I40" cm="1">
        <f t="array" aca="1" ref="I40" ca="1">INDEX($A$2:$A$15,RANDBETWEEN(1,ROWS($A$2:$A$15)),1)</f>
        <v>1</v>
      </c>
      <c r="J40" cm="1">
        <f t="array" aca="1" ref="J40" ca="1">INDEX($A$2:$A$15,RANDBETWEEN(1,ROWS($A$2:$A$15)),1)</f>
        <v>4</v>
      </c>
      <c r="K40" cm="1">
        <f t="array" aca="1" ref="K40" ca="1">INDEX($A$2:$A$15,RANDBETWEEN(1,ROWS($A$2:$A$15)),1)</f>
        <v>5</v>
      </c>
      <c r="L40" cm="1">
        <f t="array" aca="1" ref="L40" ca="1">INDEX($A$2:$A$15,RANDBETWEEN(1,ROWS($A$2:$A$15)),1)</f>
        <v>8</v>
      </c>
      <c r="M40" cm="1">
        <f t="array" aca="1" ref="M40" ca="1">INDEX($A$2:$A$15,RANDBETWEEN(1,ROWS($A$2:$A$15)),1)</f>
        <v>1</v>
      </c>
      <c r="N40" cm="1">
        <f t="array" aca="1" ref="N40" ca="1">INDEX($A$2:$A$15,RANDBETWEEN(1,ROWS($A$2:$A$15)),1)</f>
        <v>5</v>
      </c>
      <c r="O40" cm="1">
        <f t="array" aca="1" ref="O40" ca="1">INDEX($A$2:$A$15,RANDBETWEEN(1,ROWS($A$2:$A$15)),1)</f>
        <v>3</v>
      </c>
      <c r="P40" cm="1">
        <f t="array" aca="1" ref="P40" ca="1">INDEX($A$2:$A$15,RANDBETWEEN(1,ROWS($A$2:$A$15)),1)</f>
        <v>5</v>
      </c>
      <c r="Q40" cm="1">
        <f t="array" aca="1" ref="Q40" ca="1">INDEX($A$2:$A$15,RANDBETWEEN(1,ROWS($A$2:$A$15)),1)</f>
        <v>5</v>
      </c>
      <c r="R40" cm="1">
        <f t="array" aca="1" ref="R40" ca="1">INDEX($A$2:$A$15,RANDBETWEEN(1,ROWS($A$2:$A$15)),1)</f>
        <v>8</v>
      </c>
      <c r="S40" cm="1">
        <f t="array" aca="1" ref="S40" ca="1">INDEX($A$2:$A$15,RANDBETWEEN(1,ROWS($A$2:$A$15)),1)</f>
        <v>7</v>
      </c>
      <c r="V40">
        <f t="shared" ca="1" si="0"/>
        <v>4.6470588235294121</v>
      </c>
      <c r="W40">
        <f t="shared" ca="1" si="1"/>
        <v>5</v>
      </c>
      <c r="X40">
        <f t="shared" ca="1" si="2"/>
        <v>1</v>
      </c>
      <c r="Y40">
        <f t="shared" ca="1" si="3"/>
        <v>2.2062744749517291</v>
      </c>
    </row>
    <row r="41" spans="3:25" x14ac:dyDescent="0.35">
      <c r="C41" cm="1">
        <f t="array" aca="1" ref="C41" ca="1">INDEX($A$2:$A$15,RANDBETWEEN(1,ROWS($A$2:$A$15)),1)</f>
        <v>4</v>
      </c>
      <c r="D41" cm="1">
        <f t="array" aca="1" ref="D41" ca="1">INDEX($A$2:$A$15,RANDBETWEEN(1,ROWS($A$2:$A$15)),1)</f>
        <v>1</v>
      </c>
      <c r="E41" cm="1">
        <f t="array" aca="1" ref="E41" ca="1">INDEX($A$2:$A$15,RANDBETWEEN(1,ROWS($A$2:$A$15)),1)</f>
        <v>1</v>
      </c>
      <c r="F41" cm="1">
        <f t="array" aca="1" ref="F41" ca="1">INDEX($A$2:$A$15,RANDBETWEEN(1,ROWS($A$2:$A$15)),1)</f>
        <v>4</v>
      </c>
      <c r="G41" cm="1">
        <f t="array" aca="1" ref="G41" ca="1">INDEX($A$2:$A$15,RANDBETWEEN(1,ROWS($A$2:$A$15)),1)</f>
        <v>4</v>
      </c>
      <c r="H41" cm="1">
        <f t="array" aca="1" ref="H41" ca="1">INDEX($A$2:$A$15,RANDBETWEEN(1,ROWS($A$2:$A$15)),1)</f>
        <v>4</v>
      </c>
      <c r="I41" cm="1">
        <f t="array" aca="1" ref="I41" ca="1">INDEX($A$2:$A$15,RANDBETWEEN(1,ROWS($A$2:$A$15)),1)</f>
        <v>1</v>
      </c>
      <c r="J41" cm="1">
        <f t="array" aca="1" ref="J41" ca="1">INDEX($A$2:$A$15,RANDBETWEEN(1,ROWS($A$2:$A$15)),1)</f>
        <v>4</v>
      </c>
      <c r="K41" cm="1">
        <f t="array" aca="1" ref="K41" ca="1">INDEX($A$2:$A$15,RANDBETWEEN(1,ROWS($A$2:$A$15)),1)</f>
        <v>1</v>
      </c>
      <c r="L41" cm="1">
        <f t="array" aca="1" ref="L41" ca="1">INDEX($A$2:$A$15,RANDBETWEEN(1,ROWS($A$2:$A$15)),1)</f>
        <v>5</v>
      </c>
      <c r="M41" cm="1">
        <f t="array" aca="1" ref="M41" ca="1">INDEX($A$2:$A$15,RANDBETWEEN(1,ROWS($A$2:$A$15)),1)</f>
        <v>1</v>
      </c>
      <c r="N41" cm="1">
        <f t="array" aca="1" ref="N41" ca="1">INDEX($A$2:$A$15,RANDBETWEEN(1,ROWS($A$2:$A$15)),1)</f>
        <v>3</v>
      </c>
      <c r="O41" cm="1">
        <f t="array" aca="1" ref="O41" ca="1">INDEX($A$2:$A$15,RANDBETWEEN(1,ROWS($A$2:$A$15)),1)</f>
        <v>1</v>
      </c>
      <c r="P41" cm="1">
        <f t="array" aca="1" ref="P41" ca="1">INDEX($A$2:$A$15,RANDBETWEEN(1,ROWS($A$2:$A$15)),1)</f>
        <v>7</v>
      </c>
      <c r="Q41" cm="1">
        <f t="array" aca="1" ref="Q41" ca="1">INDEX($A$2:$A$15,RANDBETWEEN(1,ROWS($A$2:$A$15)),1)</f>
        <v>3</v>
      </c>
      <c r="R41" cm="1">
        <f t="array" aca="1" ref="R41" ca="1">INDEX($A$2:$A$15,RANDBETWEEN(1,ROWS($A$2:$A$15)),1)</f>
        <v>5</v>
      </c>
      <c r="S41" cm="1">
        <f t="array" aca="1" ref="S41" ca="1">INDEX($A$2:$A$15,RANDBETWEEN(1,ROWS($A$2:$A$15)),1)</f>
        <v>4</v>
      </c>
      <c r="V41">
        <f t="shared" ca="1" si="0"/>
        <v>3.1176470588235294</v>
      </c>
      <c r="W41">
        <f t="shared" ca="1" si="1"/>
        <v>4</v>
      </c>
      <c r="X41">
        <f t="shared" ca="1" si="2"/>
        <v>3</v>
      </c>
      <c r="Y41">
        <f t="shared" ca="1" si="3"/>
        <v>1.833110503392269</v>
      </c>
    </row>
    <row r="42" spans="3:25" x14ac:dyDescent="0.35">
      <c r="C42" cm="1">
        <f t="array" aca="1" ref="C42" ca="1">INDEX($A$2:$A$15,RANDBETWEEN(1,ROWS($A$2:$A$15)),1)</f>
        <v>5</v>
      </c>
      <c r="D42" cm="1">
        <f t="array" aca="1" ref="D42" ca="1">INDEX($A$2:$A$15,RANDBETWEEN(1,ROWS($A$2:$A$15)),1)</f>
        <v>3</v>
      </c>
      <c r="E42" cm="1">
        <f t="array" aca="1" ref="E42" ca="1">INDEX($A$2:$A$15,RANDBETWEEN(1,ROWS($A$2:$A$15)),1)</f>
        <v>5</v>
      </c>
      <c r="F42" cm="1">
        <f t="array" aca="1" ref="F42" ca="1">INDEX($A$2:$A$15,RANDBETWEEN(1,ROWS($A$2:$A$15)),1)</f>
        <v>3</v>
      </c>
      <c r="G42" cm="1">
        <f t="array" aca="1" ref="G42" ca="1">INDEX($A$2:$A$15,RANDBETWEEN(1,ROWS($A$2:$A$15)),1)</f>
        <v>4</v>
      </c>
      <c r="H42" cm="1">
        <f t="array" aca="1" ref="H42" ca="1">INDEX($A$2:$A$15,RANDBETWEEN(1,ROWS($A$2:$A$15)),1)</f>
        <v>5</v>
      </c>
      <c r="I42" cm="1">
        <f t="array" aca="1" ref="I42" ca="1">INDEX($A$2:$A$15,RANDBETWEEN(1,ROWS($A$2:$A$15)),1)</f>
        <v>5</v>
      </c>
      <c r="J42" cm="1">
        <f t="array" aca="1" ref="J42" ca="1">INDEX($A$2:$A$15,RANDBETWEEN(1,ROWS($A$2:$A$15)),1)</f>
        <v>3</v>
      </c>
      <c r="K42" cm="1">
        <f t="array" aca="1" ref="K42" ca="1">INDEX($A$2:$A$15,RANDBETWEEN(1,ROWS($A$2:$A$15)),1)</f>
        <v>1</v>
      </c>
      <c r="L42" cm="1">
        <f t="array" aca="1" ref="L42" ca="1">INDEX($A$2:$A$15,RANDBETWEEN(1,ROWS($A$2:$A$15)),1)</f>
        <v>7</v>
      </c>
      <c r="M42" cm="1">
        <f t="array" aca="1" ref="M42" ca="1">INDEX($A$2:$A$15,RANDBETWEEN(1,ROWS($A$2:$A$15)),1)</f>
        <v>3</v>
      </c>
      <c r="N42" cm="1">
        <f t="array" aca="1" ref="N42" ca="1">INDEX($A$2:$A$15,RANDBETWEEN(1,ROWS($A$2:$A$15)),1)</f>
        <v>1</v>
      </c>
      <c r="O42" cm="1">
        <f t="array" aca="1" ref="O42" ca="1">INDEX($A$2:$A$15,RANDBETWEEN(1,ROWS($A$2:$A$15)),1)</f>
        <v>7</v>
      </c>
      <c r="P42" cm="1">
        <f t="array" aca="1" ref="P42" ca="1">INDEX($A$2:$A$15,RANDBETWEEN(1,ROWS($A$2:$A$15)),1)</f>
        <v>7</v>
      </c>
      <c r="Q42" cm="1">
        <f t="array" aca="1" ref="Q42" ca="1">INDEX($A$2:$A$15,RANDBETWEEN(1,ROWS($A$2:$A$15)),1)</f>
        <v>5</v>
      </c>
      <c r="R42" cm="1">
        <f t="array" aca="1" ref="R42" ca="1">INDEX($A$2:$A$15,RANDBETWEEN(1,ROWS($A$2:$A$15)),1)</f>
        <v>1</v>
      </c>
      <c r="S42" cm="1">
        <f t="array" aca="1" ref="S42" ca="1">INDEX($A$2:$A$15,RANDBETWEEN(1,ROWS($A$2:$A$15)),1)</f>
        <v>5</v>
      </c>
      <c r="V42">
        <f t="shared" ca="1" si="0"/>
        <v>4.117647058823529</v>
      </c>
      <c r="W42">
        <f t="shared" ca="1" si="1"/>
        <v>5</v>
      </c>
      <c r="X42">
        <f t="shared" ca="1" si="2"/>
        <v>2</v>
      </c>
      <c r="Y42">
        <f t="shared" ca="1" si="3"/>
        <v>1.9963201440768608</v>
      </c>
    </row>
    <row r="43" spans="3:25" x14ac:dyDescent="0.35">
      <c r="C43" cm="1">
        <f t="array" aca="1" ref="C43" ca="1">INDEX($A$2:$A$15,RANDBETWEEN(1,ROWS($A$2:$A$15)),1)</f>
        <v>8</v>
      </c>
      <c r="D43" cm="1">
        <f t="array" aca="1" ref="D43" ca="1">INDEX($A$2:$A$15,RANDBETWEEN(1,ROWS($A$2:$A$15)),1)</f>
        <v>4</v>
      </c>
      <c r="E43" cm="1">
        <f t="array" aca="1" ref="E43" ca="1">INDEX($A$2:$A$15,RANDBETWEEN(1,ROWS($A$2:$A$15)),1)</f>
        <v>3</v>
      </c>
      <c r="F43" cm="1">
        <f t="array" aca="1" ref="F43" ca="1">INDEX($A$2:$A$15,RANDBETWEEN(1,ROWS($A$2:$A$15)),1)</f>
        <v>1</v>
      </c>
      <c r="G43" cm="1">
        <f t="array" aca="1" ref="G43" ca="1">INDEX($A$2:$A$15,RANDBETWEEN(1,ROWS($A$2:$A$15)),1)</f>
        <v>8</v>
      </c>
      <c r="H43" cm="1">
        <f t="array" aca="1" ref="H43" ca="1">INDEX($A$2:$A$15,RANDBETWEEN(1,ROWS($A$2:$A$15)),1)</f>
        <v>4</v>
      </c>
      <c r="I43" cm="1">
        <f t="array" aca="1" ref="I43" ca="1">INDEX($A$2:$A$15,RANDBETWEEN(1,ROWS($A$2:$A$15)),1)</f>
        <v>4</v>
      </c>
      <c r="J43" cm="1">
        <f t="array" aca="1" ref="J43" ca="1">INDEX($A$2:$A$15,RANDBETWEEN(1,ROWS($A$2:$A$15)),1)</f>
        <v>1</v>
      </c>
      <c r="K43" cm="1">
        <f t="array" aca="1" ref="K43" ca="1">INDEX($A$2:$A$15,RANDBETWEEN(1,ROWS($A$2:$A$15)),1)</f>
        <v>1</v>
      </c>
      <c r="L43" cm="1">
        <f t="array" aca="1" ref="L43" ca="1">INDEX($A$2:$A$15,RANDBETWEEN(1,ROWS($A$2:$A$15)),1)</f>
        <v>5</v>
      </c>
      <c r="M43" cm="1">
        <f t="array" aca="1" ref="M43" ca="1">INDEX($A$2:$A$15,RANDBETWEEN(1,ROWS($A$2:$A$15)),1)</f>
        <v>3</v>
      </c>
      <c r="N43" cm="1">
        <f t="array" aca="1" ref="N43" ca="1">INDEX($A$2:$A$15,RANDBETWEEN(1,ROWS($A$2:$A$15)),1)</f>
        <v>5</v>
      </c>
      <c r="O43" cm="1">
        <f t="array" aca="1" ref="O43" ca="1">INDEX($A$2:$A$15,RANDBETWEEN(1,ROWS($A$2:$A$15)),1)</f>
        <v>1</v>
      </c>
      <c r="P43" cm="1">
        <f t="array" aca="1" ref="P43" ca="1">INDEX($A$2:$A$15,RANDBETWEEN(1,ROWS($A$2:$A$15)),1)</f>
        <v>1</v>
      </c>
      <c r="Q43" cm="1">
        <f t="array" aca="1" ref="Q43" ca="1">INDEX($A$2:$A$15,RANDBETWEEN(1,ROWS($A$2:$A$15)),1)</f>
        <v>5</v>
      </c>
      <c r="R43" cm="1">
        <f t="array" aca="1" ref="R43" ca="1">INDEX($A$2:$A$15,RANDBETWEEN(1,ROWS($A$2:$A$15)),1)</f>
        <v>8</v>
      </c>
      <c r="S43" cm="1">
        <f t="array" aca="1" ref="S43" ca="1">INDEX($A$2:$A$15,RANDBETWEEN(1,ROWS($A$2:$A$15)),1)</f>
        <v>1</v>
      </c>
      <c r="V43">
        <f t="shared" ca="1" si="0"/>
        <v>3.7058823529411766</v>
      </c>
      <c r="W43">
        <f t="shared" ca="1" si="1"/>
        <v>4</v>
      </c>
      <c r="X43">
        <f t="shared" ca="1" si="2"/>
        <v>4</v>
      </c>
      <c r="Y43">
        <f t="shared" ca="1" si="3"/>
        <v>2.5681877336546326</v>
      </c>
    </row>
    <row r="44" spans="3:25" x14ac:dyDescent="0.35">
      <c r="C44" cm="1">
        <f t="array" aca="1" ref="C44" ca="1">INDEX($A$2:$A$15,RANDBETWEEN(1,ROWS($A$2:$A$15)),1)</f>
        <v>4</v>
      </c>
      <c r="D44" cm="1">
        <f t="array" aca="1" ref="D44" ca="1">INDEX($A$2:$A$15,RANDBETWEEN(1,ROWS($A$2:$A$15)),1)</f>
        <v>1</v>
      </c>
      <c r="E44" cm="1">
        <f t="array" aca="1" ref="E44" ca="1">INDEX($A$2:$A$15,RANDBETWEEN(1,ROWS($A$2:$A$15)),1)</f>
        <v>5</v>
      </c>
      <c r="F44" cm="1">
        <f t="array" aca="1" ref="F44" ca="1">INDEX($A$2:$A$15,RANDBETWEEN(1,ROWS($A$2:$A$15)),1)</f>
        <v>5</v>
      </c>
      <c r="G44" cm="1">
        <f t="array" aca="1" ref="G44" ca="1">INDEX($A$2:$A$15,RANDBETWEEN(1,ROWS($A$2:$A$15)),1)</f>
        <v>4</v>
      </c>
      <c r="H44" cm="1">
        <f t="array" aca="1" ref="H44" ca="1">INDEX($A$2:$A$15,RANDBETWEEN(1,ROWS($A$2:$A$15)),1)</f>
        <v>4</v>
      </c>
      <c r="I44" cm="1">
        <f t="array" aca="1" ref="I44" ca="1">INDEX($A$2:$A$15,RANDBETWEEN(1,ROWS($A$2:$A$15)),1)</f>
        <v>5</v>
      </c>
      <c r="J44" cm="1">
        <f t="array" aca="1" ref="J44" ca="1">INDEX($A$2:$A$15,RANDBETWEEN(1,ROWS($A$2:$A$15)),1)</f>
        <v>5</v>
      </c>
      <c r="K44" cm="1">
        <f t="array" aca="1" ref="K44" ca="1">INDEX($A$2:$A$15,RANDBETWEEN(1,ROWS($A$2:$A$15)),1)</f>
        <v>3</v>
      </c>
      <c r="L44" cm="1">
        <f t="array" aca="1" ref="L44" ca="1">INDEX($A$2:$A$15,RANDBETWEEN(1,ROWS($A$2:$A$15)),1)</f>
        <v>4</v>
      </c>
      <c r="M44" cm="1">
        <f t="array" aca="1" ref="M44" ca="1">INDEX($A$2:$A$15,RANDBETWEEN(1,ROWS($A$2:$A$15)),1)</f>
        <v>2</v>
      </c>
      <c r="N44" cm="1">
        <f t="array" aca="1" ref="N44" ca="1">INDEX($A$2:$A$15,RANDBETWEEN(1,ROWS($A$2:$A$15)),1)</f>
        <v>8</v>
      </c>
      <c r="O44" cm="1">
        <f t="array" aca="1" ref="O44" ca="1">INDEX($A$2:$A$15,RANDBETWEEN(1,ROWS($A$2:$A$15)),1)</f>
        <v>4</v>
      </c>
      <c r="P44" cm="1">
        <f t="array" aca="1" ref="P44" ca="1">INDEX($A$2:$A$15,RANDBETWEEN(1,ROWS($A$2:$A$15)),1)</f>
        <v>7</v>
      </c>
      <c r="Q44" cm="1">
        <f t="array" aca="1" ref="Q44" ca="1">INDEX($A$2:$A$15,RANDBETWEEN(1,ROWS($A$2:$A$15)),1)</f>
        <v>4</v>
      </c>
      <c r="R44" cm="1">
        <f t="array" aca="1" ref="R44" ca="1">INDEX($A$2:$A$15,RANDBETWEEN(1,ROWS($A$2:$A$15)),1)</f>
        <v>3</v>
      </c>
      <c r="S44" cm="1">
        <f t="array" aca="1" ref="S44" ca="1">INDEX($A$2:$A$15,RANDBETWEEN(1,ROWS($A$2:$A$15)),1)</f>
        <v>2</v>
      </c>
      <c r="V44">
        <f t="shared" ca="1" si="0"/>
        <v>4.117647058823529</v>
      </c>
      <c r="W44">
        <f t="shared" ca="1" si="1"/>
        <v>4</v>
      </c>
      <c r="X44">
        <f t="shared" ca="1" si="2"/>
        <v>2</v>
      </c>
      <c r="Y44">
        <f t="shared" ca="1" si="3"/>
        <v>1.7278003697322957</v>
      </c>
    </row>
    <row r="45" spans="3:25" x14ac:dyDescent="0.35">
      <c r="C45" cm="1">
        <f t="array" aca="1" ref="C45" ca="1">INDEX($A$2:$A$15,RANDBETWEEN(1,ROWS($A$2:$A$15)),1)</f>
        <v>5</v>
      </c>
      <c r="D45" cm="1">
        <f t="array" aca="1" ref="D45" ca="1">INDEX($A$2:$A$15,RANDBETWEEN(1,ROWS($A$2:$A$15)),1)</f>
        <v>5</v>
      </c>
      <c r="E45" cm="1">
        <f t="array" aca="1" ref="E45" ca="1">INDEX($A$2:$A$15,RANDBETWEEN(1,ROWS($A$2:$A$15)),1)</f>
        <v>1</v>
      </c>
      <c r="F45" cm="1">
        <f t="array" aca="1" ref="F45" ca="1">INDEX($A$2:$A$15,RANDBETWEEN(1,ROWS($A$2:$A$15)),1)</f>
        <v>7</v>
      </c>
      <c r="G45" cm="1">
        <f t="array" aca="1" ref="G45" ca="1">INDEX($A$2:$A$15,RANDBETWEEN(1,ROWS($A$2:$A$15)),1)</f>
        <v>1</v>
      </c>
      <c r="H45" cm="1">
        <f t="array" aca="1" ref="H45" ca="1">INDEX($A$2:$A$15,RANDBETWEEN(1,ROWS($A$2:$A$15)),1)</f>
        <v>5</v>
      </c>
      <c r="I45" cm="1">
        <f t="array" aca="1" ref="I45" ca="1">INDEX($A$2:$A$15,RANDBETWEEN(1,ROWS($A$2:$A$15)),1)</f>
        <v>5</v>
      </c>
      <c r="J45" cm="1">
        <f t="array" aca="1" ref="J45" ca="1">INDEX($A$2:$A$15,RANDBETWEEN(1,ROWS($A$2:$A$15)),1)</f>
        <v>3</v>
      </c>
      <c r="K45" cm="1">
        <f t="array" aca="1" ref="K45" ca="1">INDEX($A$2:$A$15,RANDBETWEEN(1,ROWS($A$2:$A$15)),1)</f>
        <v>1</v>
      </c>
      <c r="L45" cm="1">
        <f t="array" aca="1" ref="L45" ca="1">INDEX($A$2:$A$15,RANDBETWEEN(1,ROWS($A$2:$A$15)),1)</f>
        <v>8</v>
      </c>
      <c r="M45" cm="1">
        <f t="array" aca="1" ref="M45" ca="1">INDEX($A$2:$A$15,RANDBETWEEN(1,ROWS($A$2:$A$15)),1)</f>
        <v>1</v>
      </c>
      <c r="N45" cm="1">
        <f t="array" aca="1" ref="N45" ca="1">INDEX($A$2:$A$15,RANDBETWEEN(1,ROWS($A$2:$A$15)),1)</f>
        <v>4</v>
      </c>
      <c r="O45" cm="1">
        <f t="array" aca="1" ref="O45" ca="1">INDEX($A$2:$A$15,RANDBETWEEN(1,ROWS($A$2:$A$15)),1)</f>
        <v>4</v>
      </c>
      <c r="P45" cm="1">
        <f t="array" aca="1" ref="P45" ca="1">INDEX($A$2:$A$15,RANDBETWEEN(1,ROWS($A$2:$A$15)),1)</f>
        <v>5</v>
      </c>
      <c r="Q45" cm="1">
        <f t="array" aca="1" ref="Q45" ca="1">INDEX($A$2:$A$15,RANDBETWEEN(1,ROWS($A$2:$A$15)),1)</f>
        <v>4</v>
      </c>
      <c r="R45" cm="1">
        <f t="array" aca="1" ref="R45" ca="1">INDEX($A$2:$A$15,RANDBETWEEN(1,ROWS($A$2:$A$15)),1)</f>
        <v>4</v>
      </c>
      <c r="S45" cm="1">
        <f t="array" aca="1" ref="S45" ca="1">INDEX($A$2:$A$15,RANDBETWEEN(1,ROWS($A$2:$A$15)),1)</f>
        <v>5</v>
      </c>
      <c r="V45">
        <f t="shared" ca="1" si="0"/>
        <v>4</v>
      </c>
      <c r="W45">
        <f t="shared" ca="1" si="1"/>
        <v>4</v>
      </c>
      <c r="X45">
        <f t="shared" ca="1" si="2"/>
        <v>2</v>
      </c>
      <c r="Y45">
        <f t="shared" ca="1" si="3"/>
        <v>2.0615528128088303</v>
      </c>
    </row>
    <row r="46" spans="3:25" x14ac:dyDescent="0.35">
      <c r="C46" cm="1">
        <f t="array" aca="1" ref="C46" ca="1">INDEX($A$2:$A$15,RANDBETWEEN(1,ROWS($A$2:$A$15)),1)</f>
        <v>5</v>
      </c>
      <c r="D46" cm="1">
        <f t="array" aca="1" ref="D46" ca="1">INDEX($A$2:$A$15,RANDBETWEEN(1,ROWS($A$2:$A$15)),1)</f>
        <v>5</v>
      </c>
      <c r="E46" cm="1">
        <f t="array" aca="1" ref="E46" ca="1">INDEX($A$2:$A$15,RANDBETWEEN(1,ROWS($A$2:$A$15)),1)</f>
        <v>7</v>
      </c>
      <c r="F46" cm="1">
        <f t="array" aca="1" ref="F46" ca="1">INDEX($A$2:$A$15,RANDBETWEEN(1,ROWS($A$2:$A$15)),1)</f>
        <v>8</v>
      </c>
      <c r="G46" cm="1">
        <f t="array" aca="1" ref="G46" ca="1">INDEX($A$2:$A$15,RANDBETWEEN(1,ROWS($A$2:$A$15)),1)</f>
        <v>5</v>
      </c>
      <c r="H46" cm="1">
        <f t="array" aca="1" ref="H46" ca="1">INDEX($A$2:$A$15,RANDBETWEEN(1,ROWS($A$2:$A$15)),1)</f>
        <v>5</v>
      </c>
      <c r="I46" cm="1">
        <f t="array" aca="1" ref="I46" ca="1">INDEX($A$2:$A$15,RANDBETWEEN(1,ROWS($A$2:$A$15)),1)</f>
        <v>5</v>
      </c>
      <c r="J46" cm="1">
        <f t="array" aca="1" ref="J46" ca="1">INDEX($A$2:$A$15,RANDBETWEEN(1,ROWS($A$2:$A$15)),1)</f>
        <v>1</v>
      </c>
      <c r="K46" cm="1">
        <f t="array" aca="1" ref="K46" ca="1">INDEX($A$2:$A$15,RANDBETWEEN(1,ROWS($A$2:$A$15)),1)</f>
        <v>3</v>
      </c>
      <c r="L46" cm="1">
        <f t="array" aca="1" ref="L46" ca="1">INDEX($A$2:$A$15,RANDBETWEEN(1,ROWS($A$2:$A$15)),1)</f>
        <v>4</v>
      </c>
      <c r="M46" cm="1">
        <f t="array" aca="1" ref="M46" ca="1">INDEX($A$2:$A$15,RANDBETWEEN(1,ROWS($A$2:$A$15)),1)</f>
        <v>4</v>
      </c>
      <c r="N46" cm="1">
        <f t="array" aca="1" ref="N46" ca="1">INDEX($A$2:$A$15,RANDBETWEEN(1,ROWS($A$2:$A$15)),1)</f>
        <v>7</v>
      </c>
      <c r="O46" cm="1">
        <f t="array" aca="1" ref="O46" ca="1">INDEX($A$2:$A$15,RANDBETWEEN(1,ROWS($A$2:$A$15)),1)</f>
        <v>2</v>
      </c>
      <c r="P46" cm="1">
        <f t="array" aca="1" ref="P46" ca="1">INDEX($A$2:$A$15,RANDBETWEEN(1,ROWS($A$2:$A$15)),1)</f>
        <v>1</v>
      </c>
      <c r="Q46" cm="1">
        <f t="array" aca="1" ref="Q46" ca="1">INDEX($A$2:$A$15,RANDBETWEEN(1,ROWS($A$2:$A$15)),1)</f>
        <v>5</v>
      </c>
      <c r="R46" cm="1">
        <f t="array" aca="1" ref="R46" ca="1">INDEX($A$2:$A$15,RANDBETWEEN(1,ROWS($A$2:$A$15)),1)</f>
        <v>5</v>
      </c>
      <c r="S46" cm="1">
        <f t="array" aca="1" ref="S46" ca="1">INDEX($A$2:$A$15,RANDBETWEEN(1,ROWS($A$2:$A$15)),1)</f>
        <v>4</v>
      </c>
      <c r="V46">
        <f t="shared" ca="1" si="0"/>
        <v>4.4705882352941178</v>
      </c>
      <c r="W46">
        <f t="shared" ca="1" si="1"/>
        <v>5</v>
      </c>
      <c r="X46">
        <f t="shared" ca="1" si="2"/>
        <v>1</v>
      </c>
      <c r="Y46">
        <f t="shared" ca="1" si="3"/>
        <v>1.940285000290664</v>
      </c>
    </row>
    <row r="47" spans="3:25" x14ac:dyDescent="0.35">
      <c r="C47" cm="1">
        <f t="array" aca="1" ref="C47" ca="1">INDEX($A$2:$A$15,RANDBETWEEN(1,ROWS($A$2:$A$15)),1)</f>
        <v>1</v>
      </c>
      <c r="D47" cm="1">
        <f t="array" aca="1" ref="D47" ca="1">INDEX($A$2:$A$15,RANDBETWEEN(1,ROWS($A$2:$A$15)),1)</f>
        <v>5</v>
      </c>
      <c r="E47" cm="1">
        <f t="array" aca="1" ref="E47" ca="1">INDEX($A$2:$A$15,RANDBETWEEN(1,ROWS($A$2:$A$15)),1)</f>
        <v>5</v>
      </c>
      <c r="F47" cm="1">
        <f t="array" aca="1" ref="F47" ca="1">INDEX($A$2:$A$15,RANDBETWEEN(1,ROWS($A$2:$A$15)),1)</f>
        <v>3</v>
      </c>
      <c r="G47" cm="1">
        <f t="array" aca="1" ref="G47" ca="1">INDEX($A$2:$A$15,RANDBETWEEN(1,ROWS($A$2:$A$15)),1)</f>
        <v>5</v>
      </c>
      <c r="H47" cm="1">
        <f t="array" aca="1" ref="H47" ca="1">INDEX($A$2:$A$15,RANDBETWEEN(1,ROWS($A$2:$A$15)),1)</f>
        <v>5</v>
      </c>
      <c r="I47" cm="1">
        <f t="array" aca="1" ref="I47" ca="1">INDEX($A$2:$A$15,RANDBETWEEN(1,ROWS($A$2:$A$15)),1)</f>
        <v>7</v>
      </c>
      <c r="J47" cm="1">
        <f t="array" aca="1" ref="J47" ca="1">INDEX($A$2:$A$15,RANDBETWEEN(1,ROWS($A$2:$A$15)),1)</f>
        <v>5</v>
      </c>
      <c r="K47" cm="1">
        <f t="array" aca="1" ref="K47" ca="1">INDEX($A$2:$A$15,RANDBETWEEN(1,ROWS($A$2:$A$15)),1)</f>
        <v>5</v>
      </c>
      <c r="L47" cm="1">
        <f t="array" aca="1" ref="L47" ca="1">INDEX($A$2:$A$15,RANDBETWEEN(1,ROWS($A$2:$A$15)),1)</f>
        <v>4</v>
      </c>
      <c r="M47" cm="1">
        <f t="array" aca="1" ref="M47" ca="1">INDEX($A$2:$A$15,RANDBETWEEN(1,ROWS($A$2:$A$15)),1)</f>
        <v>5</v>
      </c>
      <c r="N47" cm="1">
        <f t="array" aca="1" ref="N47" ca="1">INDEX($A$2:$A$15,RANDBETWEEN(1,ROWS($A$2:$A$15)),1)</f>
        <v>5</v>
      </c>
      <c r="O47" cm="1">
        <f t="array" aca="1" ref="O47" ca="1">INDEX($A$2:$A$15,RANDBETWEEN(1,ROWS($A$2:$A$15)),1)</f>
        <v>4</v>
      </c>
      <c r="P47" cm="1">
        <f t="array" aca="1" ref="P47" ca="1">INDEX($A$2:$A$15,RANDBETWEEN(1,ROWS($A$2:$A$15)),1)</f>
        <v>3</v>
      </c>
      <c r="Q47" cm="1">
        <f t="array" aca="1" ref="Q47" ca="1">INDEX($A$2:$A$15,RANDBETWEEN(1,ROWS($A$2:$A$15)),1)</f>
        <v>5</v>
      </c>
      <c r="R47" cm="1">
        <f t="array" aca="1" ref="R47" ca="1">INDEX($A$2:$A$15,RANDBETWEEN(1,ROWS($A$2:$A$15)),1)</f>
        <v>1</v>
      </c>
      <c r="S47" cm="1">
        <f t="array" aca="1" ref="S47" ca="1">INDEX($A$2:$A$15,RANDBETWEEN(1,ROWS($A$2:$A$15)),1)</f>
        <v>3</v>
      </c>
      <c r="V47">
        <f t="shared" ca="1" si="0"/>
        <v>4.1764705882352944</v>
      </c>
      <c r="W47">
        <f t="shared" ca="1" si="1"/>
        <v>5</v>
      </c>
      <c r="X47">
        <f t="shared" ca="1" si="2"/>
        <v>2</v>
      </c>
      <c r="Y47">
        <f t="shared" ca="1" si="3"/>
        <v>1.5506165756581747</v>
      </c>
    </row>
    <row r="48" spans="3:25" x14ac:dyDescent="0.35">
      <c r="C48" cm="1">
        <f t="array" aca="1" ref="C48" ca="1">INDEX($A$2:$A$15,RANDBETWEEN(1,ROWS($A$2:$A$15)),1)</f>
        <v>1</v>
      </c>
      <c r="D48" cm="1">
        <f t="array" aca="1" ref="D48" ca="1">INDEX($A$2:$A$15,RANDBETWEEN(1,ROWS($A$2:$A$15)),1)</f>
        <v>1</v>
      </c>
      <c r="E48" cm="1">
        <f t="array" aca="1" ref="E48" ca="1">INDEX($A$2:$A$15,RANDBETWEEN(1,ROWS($A$2:$A$15)),1)</f>
        <v>5</v>
      </c>
      <c r="F48" cm="1">
        <f t="array" aca="1" ref="F48" ca="1">INDEX($A$2:$A$15,RANDBETWEEN(1,ROWS($A$2:$A$15)),1)</f>
        <v>5</v>
      </c>
      <c r="G48" cm="1">
        <f t="array" aca="1" ref="G48" ca="1">INDEX($A$2:$A$15,RANDBETWEEN(1,ROWS($A$2:$A$15)),1)</f>
        <v>5</v>
      </c>
      <c r="H48" cm="1">
        <f t="array" aca="1" ref="H48" ca="1">INDEX($A$2:$A$15,RANDBETWEEN(1,ROWS($A$2:$A$15)),1)</f>
        <v>2</v>
      </c>
      <c r="I48" cm="1">
        <f t="array" aca="1" ref="I48" ca="1">INDEX($A$2:$A$15,RANDBETWEEN(1,ROWS($A$2:$A$15)),1)</f>
        <v>1</v>
      </c>
      <c r="J48" cm="1">
        <f t="array" aca="1" ref="J48" ca="1">INDEX($A$2:$A$15,RANDBETWEEN(1,ROWS($A$2:$A$15)),1)</f>
        <v>8</v>
      </c>
      <c r="K48" cm="1">
        <f t="array" aca="1" ref="K48" ca="1">INDEX($A$2:$A$15,RANDBETWEEN(1,ROWS($A$2:$A$15)),1)</f>
        <v>8</v>
      </c>
      <c r="L48" cm="1">
        <f t="array" aca="1" ref="L48" ca="1">INDEX($A$2:$A$15,RANDBETWEEN(1,ROWS($A$2:$A$15)),1)</f>
        <v>4</v>
      </c>
      <c r="M48" cm="1">
        <f t="array" aca="1" ref="M48" ca="1">INDEX($A$2:$A$15,RANDBETWEEN(1,ROWS($A$2:$A$15)),1)</f>
        <v>5</v>
      </c>
      <c r="N48" cm="1">
        <f t="array" aca="1" ref="N48" ca="1">INDEX($A$2:$A$15,RANDBETWEEN(1,ROWS($A$2:$A$15)),1)</f>
        <v>3</v>
      </c>
      <c r="O48" cm="1">
        <f t="array" aca="1" ref="O48" ca="1">INDEX($A$2:$A$15,RANDBETWEEN(1,ROWS($A$2:$A$15)),1)</f>
        <v>4</v>
      </c>
      <c r="P48" cm="1">
        <f t="array" aca="1" ref="P48" ca="1">INDEX($A$2:$A$15,RANDBETWEEN(1,ROWS($A$2:$A$15)),1)</f>
        <v>3</v>
      </c>
      <c r="Q48" cm="1">
        <f t="array" aca="1" ref="Q48" ca="1">INDEX($A$2:$A$15,RANDBETWEEN(1,ROWS($A$2:$A$15)),1)</f>
        <v>1</v>
      </c>
      <c r="R48" cm="1">
        <f t="array" aca="1" ref="R48" ca="1">INDEX($A$2:$A$15,RANDBETWEEN(1,ROWS($A$2:$A$15)),1)</f>
        <v>7</v>
      </c>
      <c r="S48" cm="1">
        <f t="array" aca="1" ref="S48" ca="1">INDEX($A$2:$A$15,RANDBETWEEN(1,ROWS($A$2:$A$15)),1)</f>
        <v>7</v>
      </c>
      <c r="V48">
        <f t="shared" ca="1" si="0"/>
        <v>4.117647058823529</v>
      </c>
      <c r="W48">
        <f t="shared" ca="1" si="1"/>
        <v>4</v>
      </c>
      <c r="X48">
        <f t="shared" ca="1" si="2"/>
        <v>3</v>
      </c>
      <c r="Y48">
        <f t="shared" ca="1" si="3"/>
        <v>2.4464860755064719</v>
      </c>
    </row>
    <row r="49" spans="3:25" x14ac:dyDescent="0.35">
      <c r="C49" cm="1">
        <f t="array" aca="1" ref="C49" ca="1">INDEX($A$2:$A$15,RANDBETWEEN(1,ROWS($A$2:$A$15)),1)</f>
        <v>4</v>
      </c>
      <c r="D49" cm="1">
        <f t="array" aca="1" ref="D49" ca="1">INDEX($A$2:$A$15,RANDBETWEEN(1,ROWS($A$2:$A$15)),1)</f>
        <v>4</v>
      </c>
      <c r="E49" cm="1">
        <f t="array" aca="1" ref="E49" ca="1">INDEX($A$2:$A$15,RANDBETWEEN(1,ROWS($A$2:$A$15)),1)</f>
        <v>5</v>
      </c>
      <c r="F49" cm="1">
        <f t="array" aca="1" ref="F49" ca="1">INDEX($A$2:$A$15,RANDBETWEEN(1,ROWS($A$2:$A$15)),1)</f>
        <v>3</v>
      </c>
      <c r="G49" cm="1">
        <f t="array" aca="1" ref="G49" ca="1">INDEX($A$2:$A$15,RANDBETWEEN(1,ROWS($A$2:$A$15)),1)</f>
        <v>5</v>
      </c>
      <c r="H49" cm="1">
        <f t="array" aca="1" ref="H49" ca="1">INDEX($A$2:$A$15,RANDBETWEEN(1,ROWS($A$2:$A$15)),1)</f>
        <v>5</v>
      </c>
      <c r="I49" cm="1">
        <f t="array" aca="1" ref="I49" ca="1">INDEX($A$2:$A$15,RANDBETWEEN(1,ROWS($A$2:$A$15)),1)</f>
        <v>1</v>
      </c>
      <c r="J49" cm="1">
        <f t="array" aca="1" ref="J49" ca="1">INDEX($A$2:$A$15,RANDBETWEEN(1,ROWS($A$2:$A$15)),1)</f>
        <v>4</v>
      </c>
      <c r="K49" cm="1">
        <f t="array" aca="1" ref="K49" ca="1">INDEX($A$2:$A$15,RANDBETWEEN(1,ROWS($A$2:$A$15)),1)</f>
        <v>5</v>
      </c>
      <c r="L49" cm="1">
        <f t="array" aca="1" ref="L49" ca="1">INDEX($A$2:$A$15,RANDBETWEEN(1,ROWS($A$2:$A$15)),1)</f>
        <v>4</v>
      </c>
      <c r="M49" cm="1">
        <f t="array" aca="1" ref="M49" ca="1">INDEX($A$2:$A$15,RANDBETWEEN(1,ROWS($A$2:$A$15)),1)</f>
        <v>5</v>
      </c>
      <c r="N49" cm="1">
        <f t="array" aca="1" ref="N49" ca="1">INDEX($A$2:$A$15,RANDBETWEEN(1,ROWS($A$2:$A$15)),1)</f>
        <v>3</v>
      </c>
      <c r="O49" cm="1">
        <f t="array" aca="1" ref="O49" ca="1">INDEX($A$2:$A$15,RANDBETWEEN(1,ROWS($A$2:$A$15)),1)</f>
        <v>4</v>
      </c>
      <c r="P49" cm="1">
        <f t="array" aca="1" ref="P49" ca="1">INDEX($A$2:$A$15,RANDBETWEEN(1,ROWS($A$2:$A$15)),1)</f>
        <v>1</v>
      </c>
      <c r="Q49" cm="1">
        <f t="array" aca="1" ref="Q49" ca="1">INDEX($A$2:$A$15,RANDBETWEEN(1,ROWS($A$2:$A$15)),1)</f>
        <v>3</v>
      </c>
      <c r="R49" cm="1">
        <f t="array" aca="1" ref="R49" ca="1">INDEX($A$2:$A$15,RANDBETWEEN(1,ROWS($A$2:$A$15)),1)</f>
        <v>1</v>
      </c>
      <c r="S49" cm="1">
        <f t="array" aca="1" ref="S49" ca="1">INDEX($A$2:$A$15,RANDBETWEEN(1,ROWS($A$2:$A$15)),1)</f>
        <v>2</v>
      </c>
      <c r="V49">
        <f t="shared" ca="1" si="0"/>
        <v>3.4705882352941178</v>
      </c>
      <c r="W49">
        <f t="shared" ca="1" si="1"/>
        <v>4</v>
      </c>
      <c r="X49">
        <f t="shared" ca="1" si="2"/>
        <v>2</v>
      </c>
      <c r="Y49">
        <f t="shared" ca="1" si="3"/>
        <v>1.4627733530362597</v>
      </c>
    </row>
    <row r="50" spans="3:25" x14ac:dyDescent="0.35">
      <c r="C50" cm="1">
        <f t="array" aca="1" ref="C50" ca="1">INDEX($A$2:$A$15,RANDBETWEEN(1,ROWS($A$2:$A$15)),1)</f>
        <v>1</v>
      </c>
      <c r="D50" cm="1">
        <f t="array" aca="1" ref="D50" ca="1">INDEX($A$2:$A$15,RANDBETWEEN(1,ROWS($A$2:$A$15)),1)</f>
        <v>3</v>
      </c>
      <c r="E50" cm="1">
        <f t="array" aca="1" ref="E50" ca="1">INDEX($A$2:$A$15,RANDBETWEEN(1,ROWS($A$2:$A$15)),1)</f>
        <v>1</v>
      </c>
      <c r="F50" cm="1">
        <f t="array" aca="1" ref="F50" ca="1">INDEX($A$2:$A$15,RANDBETWEEN(1,ROWS($A$2:$A$15)),1)</f>
        <v>3</v>
      </c>
      <c r="G50" cm="1">
        <f t="array" aca="1" ref="G50" ca="1">INDEX($A$2:$A$15,RANDBETWEEN(1,ROWS($A$2:$A$15)),1)</f>
        <v>1</v>
      </c>
      <c r="H50" cm="1">
        <f t="array" aca="1" ref="H50" ca="1">INDEX($A$2:$A$15,RANDBETWEEN(1,ROWS($A$2:$A$15)),1)</f>
        <v>1</v>
      </c>
      <c r="I50" cm="1">
        <f t="array" aca="1" ref="I50" ca="1">INDEX($A$2:$A$15,RANDBETWEEN(1,ROWS($A$2:$A$15)),1)</f>
        <v>3</v>
      </c>
      <c r="J50" cm="1">
        <f t="array" aca="1" ref="J50" ca="1">INDEX($A$2:$A$15,RANDBETWEEN(1,ROWS($A$2:$A$15)),1)</f>
        <v>8</v>
      </c>
      <c r="K50" cm="1">
        <f t="array" aca="1" ref="K50" ca="1">INDEX($A$2:$A$15,RANDBETWEEN(1,ROWS($A$2:$A$15)),1)</f>
        <v>1</v>
      </c>
      <c r="L50" cm="1">
        <f t="array" aca="1" ref="L50" ca="1">INDEX($A$2:$A$15,RANDBETWEEN(1,ROWS($A$2:$A$15)),1)</f>
        <v>4</v>
      </c>
      <c r="M50" cm="1">
        <f t="array" aca="1" ref="M50" ca="1">INDEX($A$2:$A$15,RANDBETWEEN(1,ROWS($A$2:$A$15)),1)</f>
        <v>1</v>
      </c>
      <c r="N50" cm="1">
        <f t="array" aca="1" ref="N50" ca="1">INDEX($A$2:$A$15,RANDBETWEEN(1,ROWS($A$2:$A$15)),1)</f>
        <v>3</v>
      </c>
      <c r="O50" cm="1">
        <f t="array" aca="1" ref="O50" ca="1">INDEX($A$2:$A$15,RANDBETWEEN(1,ROWS($A$2:$A$15)),1)</f>
        <v>4</v>
      </c>
      <c r="P50" cm="1">
        <f t="array" aca="1" ref="P50" ca="1">INDEX($A$2:$A$15,RANDBETWEEN(1,ROWS($A$2:$A$15)),1)</f>
        <v>3</v>
      </c>
      <c r="Q50" cm="1">
        <f t="array" aca="1" ref="Q50" ca="1">INDEX($A$2:$A$15,RANDBETWEEN(1,ROWS($A$2:$A$15)),1)</f>
        <v>4</v>
      </c>
      <c r="R50" cm="1">
        <f t="array" aca="1" ref="R50" ca="1">INDEX($A$2:$A$15,RANDBETWEEN(1,ROWS($A$2:$A$15)),1)</f>
        <v>5</v>
      </c>
      <c r="S50" cm="1">
        <f t="array" aca="1" ref="S50" ca="1">INDEX($A$2:$A$15,RANDBETWEEN(1,ROWS($A$2:$A$15)),1)</f>
        <v>7</v>
      </c>
      <c r="V50">
        <f t="shared" ca="1" si="0"/>
        <v>3.1176470588235294</v>
      </c>
      <c r="W50">
        <f t="shared" ca="1" si="1"/>
        <v>3</v>
      </c>
      <c r="X50">
        <f t="shared" ca="1" si="2"/>
        <v>3</v>
      </c>
      <c r="Y50">
        <f t="shared" ca="1" si="3"/>
        <v>2.1178512973405517</v>
      </c>
    </row>
    <row r="51" spans="3:25" x14ac:dyDescent="0.35">
      <c r="C51" cm="1">
        <f t="array" aca="1" ref="C51" ca="1">INDEX($A$2:$A$15,RANDBETWEEN(1,ROWS($A$2:$A$15)),1)</f>
        <v>1</v>
      </c>
      <c r="D51" cm="1">
        <f t="array" aca="1" ref="D51" ca="1">INDEX($A$2:$A$15,RANDBETWEEN(1,ROWS($A$2:$A$15)),1)</f>
        <v>1</v>
      </c>
      <c r="E51" cm="1">
        <f t="array" aca="1" ref="E51" ca="1">INDEX($A$2:$A$15,RANDBETWEEN(1,ROWS($A$2:$A$15)),1)</f>
        <v>1</v>
      </c>
      <c r="F51" cm="1">
        <f t="array" aca="1" ref="F51" ca="1">INDEX($A$2:$A$15,RANDBETWEEN(1,ROWS($A$2:$A$15)),1)</f>
        <v>8</v>
      </c>
      <c r="G51" cm="1">
        <f t="array" aca="1" ref="G51" ca="1">INDEX($A$2:$A$15,RANDBETWEEN(1,ROWS($A$2:$A$15)),1)</f>
        <v>7</v>
      </c>
      <c r="H51" cm="1">
        <f t="array" aca="1" ref="H51" ca="1">INDEX($A$2:$A$15,RANDBETWEEN(1,ROWS($A$2:$A$15)),1)</f>
        <v>3</v>
      </c>
      <c r="I51" cm="1">
        <f t="array" aca="1" ref="I51" ca="1">INDEX($A$2:$A$15,RANDBETWEEN(1,ROWS($A$2:$A$15)),1)</f>
        <v>5</v>
      </c>
      <c r="J51" cm="1">
        <f t="array" aca="1" ref="J51" ca="1">INDEX($A$2:$A$15,RANDBETWEEN(1,ROWS($A$2:$A$15)),1)</f>
        <v>3</v>
      </c>
      <c r="K51" cm="1">
        <f t="array" aca="1" ref="K51" ca="1">INDEX($A$2:$A$15,RANDBETWEEN(1,ROWS($A$2:$A$15)),1)</f>
        <v>5</v>
      </c>
      <c r="L51" cm="1">
        <f t="array" aca="1" ref="L51" ca="1">INDEX($A$2:$A$15,RANDBETWEEN(1,ROWS($A$2:$A$15)),1)</f>
        <v>1</v>
      </c>
      <c r="M51" cm="1">
        <f t="array" aca="1" ref="M51" ca="1">INDEX($A$2:$A$15,RANDBETWEEN(1,ROWS($A$2:$A$15)),1)</f>
        <v>8</v>
      </c>
      <c r="N51" cm="1">
        <f t="array" aca="1" ref="N51" ca="1">INDEX($A$2:$A$15,RANDBETWEEN(1,ROWS($A$2:$A$15)),1)</f>
        <v>4</v>
      </c>
      <c r="O51" cm="1">
        <f t="array" aca="1" ref="O51" ca="1">INDEX($A$2:$A$15,RANDBETWEEN(1,ROWS($A$2:$A$15)),1)</f>
        <v>1</v>
      </c>
      <c r="P51" cm="1">
        <f t="array" aca="1" ref="P51" ca="1">INDEX($A$2:$A$15,RANDBETWEEN(1,ROWS($A$2:$A$15)),1)</f>
        <v>1</v>
      </c>
      <c r="Q51" cm="1">
        <f t="array" aca="1" ref="Q51" ca="1">INDEX($A$2:$A$15,RANDBETWEEN(1,ROWS($A$2:$A$15)),1)</f>
        <v>8</v>
      </c>
      <c r="R51" cm="1">
        <f t="array" aca="1" ref="R51" ca="1">INDEX($A$2:$A$15,RANDBETWEEN(1,ROWS($A$2:$A$15)),1)</f>
        <v>8</v>
      </c>
      <c r="S51" cm="1">
        <f t="array" aca="1" ref="S51" ca="1">INDEX($A$2:$A$15,RANDBETWEEN(1,ROWS($A$2:$A$15)),1)</f>
        <v>1</v>
      </c>
      <c r="V51">
        <f t="shared" ca="1" si="0"/>
        <v>3.8823529411764706</v>
      </c>
      <c r="W51">
        <f t="shared" ca="1" si="1"/>
        <v>3</v>
      </c>
      <c r="X51">
        <f t="shared" ca="1" si="2"/>
        <v>6</v>
      </c>
      <c r="Y51">
        <f t="shared" ca="1" si="3"/>
        <v>2.9555530984313338</v>
      </c>
    </row>
    <row r="52" spans="3:25" x14ac:dyDescent="0.35">
      <c r="C52" cm="1">
        <f t="array" aca="1" ref="C52" ca="1">INDEX($A$2:$A$15,RANDBETWEEN(1,ROWS($A$2:$A$15)),1)</f>
        <v>4</v>
      </c>
      <c r="D52" cm="1">
        <f t="array" aca="1" ref="D52" ca="1">INDEX($A$2:$A$15,RANDBETWEEN(1,ROWS($A$2:$A$15)),1)</f>
        <v>1</v>
      </c>
      <c r="E52" cm="1">
        <f t="array" aca="1" ref="E52" ca="1">INDEX($A$2:$A$15,RANDBETWEEN(1,ROWS($A$2:$A$15)),1)</f>
        <v>4</v>
      </c>
      <c r="F52" cm="1">
        <f t="array" aca="1" ref="F52" ca="1">INDEX($A$2:$A$15,RANDBETWEEN(1,ROWS($A$2:$A$15)),1)</f>
        <v>5</v>
      </c>
      <c r="G52" cm="1">
        <f t="array" aca="1" ref="G52" ca="1">INDEX($A$2:$A$15,RANDBETWEEN(1,ROWS($A$2:$A$15)),1)</f>
        <v>4</v>
      </c>
      <c r="H52" cm="1">
        <f t="array" aca="1" ref="H52" ca="1">INDEX($A$2:$A$15,RANDBETWEEN(1,ROWS($A$2:$A$15)),1)</f>
        <v>4</v>
      </c>
      <c r="I52" cm="1">
        <f t="array" aca="1" ref="I52" ca="1">INDEX($A$2:$A$15,RANDBETWEEN(1,ROWS($A$2:$A$15)),1)</f>
        <v>1</v>
      </c>
      <c r="J52" cm="1">
        <f t="array" aca="1" ref="J52" ca="1">INDEX($A$2:$A$15,RANDBETWEEN(1,ROWS($A$2:$A$15)),1)</f>
        <v>5</v>
      </c>
      <c r="K52" cm="1">
        <f t="array" aca="1" ref="K52" ca="1">INDEX($A$2:$A$15,RANDBETWEEN(1,ROWS($A$2:$A$15)),1)</f>
        <v>4</v>
      </c>
      <c r="L52" cm="1">
        <f t="array" aca="1" ref="L52" ca="1">INDEX($A$2:$A$15,RANDBETWEEN(1,ROWS($A$2:$A$15)),1)</f>
        <v>4</v>
      </c>
      <c r="M52" cm="1">
        <f t="array" aca="1" ref="M52" ca="1">INDEX($A$2:$A$15,RANDBETWEEN(1,ROWS($A$2:$A$15)),1)</f>
        <v>1</v>
      </c>
      <c r="N52" cm="1">
        <f t="array" aca="1" ref="N52" ca="1">INDEX($A$2:$A$15,RANDBETWEEN(1,ROWS($A$2:$A$15)),1)</f>
        <v>2</v>
      </c>
      <c r="O52" cm="1">
        <f t="array" aca="1" ref="O52" ca="1">INDEX($A$2:$A$15,RANDBETWEEN(1,ROWS($A$2:$A$15)),1)</f>
        <v>3</v>
      </c>
      <c r="P52" cm="1">
        <f t="array" aca="1" ref="P52" ca="1">INDEX($A$2:$A$15,RANDBETWEEN(1,ROWS($A$2:$A$15)),1)</f>
        <v>1</v>
      </c>
      <c r="Q52" cm="1">
        <f t="array" aca="1" ref="Q52" ca="1">INDEX($A$2:$A$15,RANDBETWEEN(1,ROWS($A$2:$A$15)),1)</f>
        <v>1</v>
      </c>
      <c r="R52" cm="1">
        <f t="array" aca="1" ref="R52" ca="1">INDEX($A$2:$A$15,RANDBETWEEN(1,ROWS($A$2:$A$15)),1)</f>
        <v>4</v>
      </c>
      <c r="S52" cm="1">
        <f t="array" aca="1" ref="S52" ca="1">INDEX($A$2:$A$15,RANDBETWEEN(1,ROWS($A$2:$A$15)),1)</f>
        <v>5</v>
      </c>
      <c r="V52">
        <f t="shared" ca="1" si="0"/>
        <v>3.1176470588235294</v>
      </c>
      <c r="W52">
        <f t="shared" ca="1" si="1"/>
        <v>4</v>
      </c>
      <c r="X52">
        <f t="shared" ca="1" si="2"/>
        <v>3</v>
      </c>
      <c r="Y52">
        <f t="shared" ca="1" si="3"/>
        <v>1.5764815627361641</v>
      </c>
    </row>
    <row r="53" spans="3:25" x14ac:dyDescent="0.35">
      <c r="C53" cm="1">
        <f t="array" aca="1" ref="C53" ca="1">INDEX($A$2:$A$15,RANDBETWEEN(1,ROWS($A$2:$A$15)),1)</f>
        <v>7</v>
      </c>
      <c r="D53" cm="1">
        <f t="array" aca="1" ref="D53" ca="1">INDEX($A$2:$A$15,RANDBETWEEN(1,ROWS($A$2:$A$15)),1)</f>
        <v>1</v>
      </c>
      <c r="E53" cm="1">
        <f t="array" aca="1" ref="E53" ca="1">INDEX($A$2:$A$15,RANDBETWEEN(1,ROWS($A$2:$A$15)),1)</f>
        <v>2</v>
      </c>
      <c r="F53" cm="1">
        <f t="array" aca="1" ref="F53" ca="1">INDEX($A$2:$A$15,RANDBETWEEN(1,ROWS($A$2:$A$15)),1)</f>
        <v>2</v>
      </c>
      <c r="G53" cm="1">
        <f t="array" aca="1" ref="G53" ca="1">INDEX($A$2:$A$15,RANDBETWEEN(1,ROWS($A$2:$A$15)),1)</f>
        <v>2</v>
      </c>
      <c r="H53" cm="1">
        <f t="array" aca="1" ref="H53" ca="1">INDEX($A$2:$A$15,RANDBETWEEN(1,ROWS($A$2:$A$15)),1)</f>
        <v>5</v>
      </c>
      <c r="I53" cm="1">
        <f t="array" aca="1" ref="I53" ca="1">INDEX($A$2:$A$15,RANDBETWEEN(1,ROWS($A$2:$A$15)),1)</f>
        <v>7</v>
      </c>
      <c r="J53" cm="1">
        <f t="array" aca="1" ref="J53" ca="1">INDEX($A$2:$A$15,RANDBETWEEN(1,ROWS($A$2:$A$15)),1)</f>
        <v>3</v>
      </c>
      <c r="K53" cm="1">
        <f t="array" aca="1" ref="K53" ca="1">INDEX($A$2:$A$15,RANDBETWEEN(1,ROWS($A$2:$A$15)),1)</f>
        <v>5</v>
      </c>
      <c r="L53" cm="1">
        <f t="array" aca="1" ref="L53" ca="1">INDEX($A$2:$A$15,RANDBETWEEN(1,ROWS($A$2:$A$15)),1)</f>
        <v>8</v>
      </c>
      <c r="M53" cm="1">
        <f t="array" aca="1" ref="M53" ca="1">INDEX($A$2:$A$15,RANDBETWEEN(1,ROWS($A$2:$A$15)),1)</f>
        <v>3</v>
      </c>
      <c r="N53" cm="1">
        <f t="array" aca="1" ref="N53" ca="1">INDEX($A$2:$A$15,RANDBETWEEN(1,ROWS($A$2:$A$15)),1)</f>
        <v>5</v>
      </c>
      <c r="O53" cm="1">
        <f t="array" aca="1" ref="O53" ca="1">INDEX($A$2:$A$15,RANDBETWEEN(1,ROWS($A$2:$A$15)),1)</f>
        <v>1</v>
      </c>
      <c r="P53" cm="1">
        <f t="array" aca="1" ref="P53" ca="1">INDEX($A$2:$A$15,RANDBETWEEN(1,ROWS($A$2:$A$15)),1)</f>
        <v>4</v>
      </c>
      <c r="Q53" cm="1">
        <f t="array" aca="1" ref="Q53" ca="1">INDEX($A$2:$A$15,RANDBETWEEN(1,ROWS($A$2:$A$15)),1)</f>
        <v>4</v>
      </c>
      <c r="R53" cm="1">
        <f t="array" aca="1" ref="R53" ca="1">INDEX($A$2:$A$15,RANDBETWEEN(1,ROWS($A$2:$A$15)),1)</f>
        <v>1</v>
      </c>
      <c r="S53" cm="1">
        <f t="array" aca="1" ref="S53" ca="1">INDEX($A$2:$A$15,RANDBETWEEN(1,ROWS($A$2:$A$15)),1)</f>
        <v>5</v>
      </c>
      <c r="V53">
        <f t="shared" ca="1" si="0"/>
        <v>3.8235294117647061</v>
      </c>
      <c r="W53">
        <f t="shared" ca="1" si="1"/>
        <v>4</v>
      </c>
      <c r="X53">
        <f t="shared" ca="1" si="2"/>
        <v>3</v>
      </c>
      <c r="Y53">
        <f t="shared" ca="1" si="3"/>
        <v>2.2145906539823295</v>
      </c>
    </row>
    <row r="54" spans="3:25" x14ac:dyDescent="0.35">
      <c r="C54" cm="1">
        <f t="array" aca="1" ref="C54" ca="1">INDEX($A$2:$A$15,RANDBETWEEN(1,ROWS($A$2:$A$15)),1)</f>
        <v>4</v>
      </c>
      <c r="D54" cm="1">
        <f t="array" aca="1" ref="D54" ca="1">INDEX($A$2:$A$15,RANDBETWEEN(1,ROWS($A$2:$A$15)),1)</f>
        <v>1</v>
      </c>
      <c r="E54" cm="1">
        <f t="array" aca="1" ref="E54" ca="1">INDEX($A$2:$A$15,RANDBETWEEN(1,ROWS($A$2:$A$15)),1)</f>
        <v>4</v>
      </c>
      <c r="F54" cm="1">
        <f t="array" aca="1" ref="F54" ca="1">INDEX($A$2:$A$15,RANDBETWEEN(1,ROWS($A$2:$A$15)),1)</f>
        <v>5</v>
      </c>
      <c r="G54" cm="1">
        <f t="array" aca="1" ref="G54" ca="1">INDEX($A$2:$A$15,RANDBETWEEN(1,ROWS($A$2:$A$15)),1)</f>
        <v>7</v>
      </c>
      <c r="H54" cm="1">
        <f t="array" aca="1" ref="H54" ca="1">INDEX($A$2:$A$15,RANDBETWEEN(1,ROWS($A$2:$A$15)),1)</f>
        <v>5</v>
      </c>
      <c r="I54" cm="1">
        <f t="array" aca="1" ref="I54" ca="1">INDEX($A$2:$A$15,RANDBETWEEN(1,ROWS($A$2:$A$15)),1)</f>
        <v>5</v>
      </c>
      <c r="J54" cm="1">
        <f t="array" aca="1" ref="J54" ca="1">INDEX($A$2:$A$15,RANDBETWEEN(1,ROWS($A$2:$A$15)),1)</f>
        <v>2</v>
      </c>
      <c r="K54" cm="1">
        <f t="array" aca="1" ref="K54" ca="1">INDEX($A$2:$A$15,RANDBETWEEN(1,ROWS($A$2:$A$15)),1)</f>
        <v>2</v>
      </c>
      <c r="L54" cm="1">
        <f t="array" aca="1" ref="L54" ca="1">INDEX($A$2:$A$15,RANDBETWEEN(1,ROWS($A$2:$A$15)),1)</f>
        <v>1</v>
      </c>
      <c r="M54" cm="1">
        <f t="array" aca="1" ref="M54" ca="1">INDEX($A$2:$A$15,RANDBETWEEN(1,ROWS($A$2:$A$15)),1)</f>
        <v>3</v>
      </c>
      <c r="N54" cm="1">
        <f t="array" aca="1" ref="N54" ca="1">INDEX($A$2:$A$15,RANDBETWEEN(1,ROWS($A$2:$A$15)),1)</f>
        <v>4</v>
      </c>
      <c r="O54" cm="1">
        <f t="array" aca="1" ref="O54" ca="1">INDEX($A$2:$A$15,RANDBETWEEN(1,ROWS($A$2:$A$15)),1)</f>
        <v>1</v>
      </c>
      <c r="P54" cm="1">
        <f t="array" aca="1" ref="P54" ca="1">INDEX($A$2:$A$15,RANDBETWEEN(1,ROWS($A$2:$A$15)),1)</f>
        <v>1</v>
      </c>
      <c r="Q54" cm="1">
        <f t="array" aca="1" ref="Q54" ca="1">INDEX($A$2:$A$15,RANDBETWEEN(1,ROWS($A$2:$A$15)),1)</f>
        <v>5</v>
      </c>
      <c r="R54" cm="1">
        <f t="array" aca="1" ref="R54" ca="1">INDEX($A$2:$A$15,RANDBETWEEN(1,ROWS($A$2:$A$15)),1)</f>
        <v>5</v>
      </c>
      <c r="S54" cm="1">
        <f t="array" aca="1" ref="S54" ca="1">INDEX($A$2:$A$15,RANDBETWEEN(1,ROWS($A$2:$A$15)),1)</f>
        <v>5</v>
      </c>
      <c r="V54">
        <f t="shared" ca="1" si="0"/>
        <v>3.5294117647058822</v>
      </c>
      <c r="W54">
        <f t="shared" ca="1" si="1"/>
        <v>4</v>
      </c>
      <c r="X54">
        <f t="shared" ca="1" si="2"/>
        <v>3</v>
      </c>
      <c r="Y54">
        <f t="shared" ca="1" si="3"/>
        <v>1.8747548859392105</v>
      </c>
    </row>
    <row r="55" spans="3:25" x14ac:dyDescent="0.35">
      <c r="C55" cm="1">
        <f t="array" aca="1" ref="C55" ca="1">INDEX($A$2:$A$15,RANDBETWEEN(1,ROWS($A$2:$A$15)),1)</f>
        <v>2</v>
      </c>
      <c r="D55" cm="1">
        <f t="array" aca="1" ref="D55" ca="1">INDEX($A$2:$A$15,RANDBETWEEN(1,ROWS($A$2:$A$15)),1)</f>
        <v>3</v>
      </c>
      <c r="E55" cm="1">
        <f t="array" aca="1" ref="E55" ca="1">INDEX($A$2:$A$15,RANDBETWEEN(1,ROWS($A$2:$A$15)),1)</f>
        <v>3</v>
      </c>
      <c r="F55" cm="1">
        <f t="array" aca="1" ref="F55" ca="1">INDEX($A$2:$A$15,RANDBETWEEN(1,ROWS($A$2:$A$15)),1)</f>
        <v>4</v>
      </c>
      <c r="G55" cm="1">
        <f t="array" aca="1" ref="G55" ca="1">INDEX($A$2:$A$15,RANDBETWEEN(1,ROWS($A$2:$A$15)),1)</f>
        <v>2</v>
      </c>
      <c r="H55" cm="1">
        <f t="array" aca="1" ref="H55" ca="1">INDEX($A$2:$A$15,RANDBETWEEN(1,ROWS($A$2:$A$15)),1)</f>
        <v>3</v>
      </c>
      <c r="I55" cm="1">
        <f t="array" aca="1" ref="I55" ca="1">INDEX($A$2:$A$15,RANDBETWEEN(1,ROWS($A$2:$A$15)),1)</f>
        <v>1</v>
      </c>
      <c r="J55" cm="1">
        <f t="array" aca="1" ref="J55" ca="1">INDEX($A$2:$A$15,RANDBETWEEN(1,ROWS($A$2:$A$15)),1)</f>
        <v>8</v>
      </c>
      <c r="K55" cm="1">
        <f t="array" aca="1" ref="K55" ca="1">INDEX($A$2:$A$15,RANDBETWEEN(1,ROWS($A$2:$A$15)),1)</f>
        <v>4</v>
      </c>
      <c r="L55" cm="1">
        <f t="array" aca="1" ref="L55" ca="1">INDEX($A$2:$A$15,RANDBETWEEN(1,ROWS($A$2:$A$15)),1)</f>
        <v>7</v>
      </c>
      <c r="M55" cm="1">
        <f t="array" aca="1" ref="M55" ca="1">INDEX($A$2:$A$15,RANDBETWEEN(1,ROWS($A$2:$A$15)),1)</f>
        <v>5</v>
      </c>
      <c r="N55" cm="1">
        <f t="array" aca="1" ref="N55" ca="1">INDEX($A$2:$A$15,RANDBETWEEN(1,ROWS($A$2:$A$15)),1)</f>
        <v>1</v>
      </c>
      <c r="O55" cm="1">
        <f t="array" aca="1" ref="O55" ca="1">INDEX($A$2:$A$15,RANDBETWEEN(1,ROWS($A$2:$A$15)),1)</f>
        <v>5</v>
      </c>
      <c r="P55" cm="1">
        <f t="array" aca="1" ref="P55" ca="1">INDEX($A$2:$A$15,RANDBETWEEN(1,ROWS($A$2:$A$15)),1)</f>
        <v>4</v>
      </c>
      <c r="Q55" cm="1">
        <f t="array" aca="1" ref="Q55" ca="1">INDEX($A$2:$A$15,RANDBETWEEN(1,ROWS($A$2:$A$15)),1)</f>
        <v>7</v>
      </c>
      <c r="R55" cm="1">
        <f t="array" aca="1" ref="R55" ca="1">INDEX($A$2:$A$15,RANDBETWEEN(1,ROWS($A$2:$A$15)),1)</f>
        <v>1</v>
      </c>
      <c r="S55" cm="1">
        <f t="array" aca="1" ref="S55" ca="1">INDEX($A$2:$A$15,RANDBETWEEN(1,ROWS($A$2:$A$15)),1)</f>
        <v>3</v>
      </c>
      <c r="V55">
        <f t="shared" ca="1" si="0"/>
        <v>3.7058823529411766</v>
      </c>
      <c r="W55">
        <f t="shared" ca="1" si="1"/>
        <v>3</v>
      </c>
      <c r="X55">
        <f t="shared" ca="1" si="2"/>
        <v>3</v>
      </c>
      <c r="Y55">
        <f t="shared" ca="1" si="3"/>
        <v>2.1437323142813605</v>
      </c>
    </row>
    <row r="56" spans="3:25" x14ac:dyDescent="0.35">
      <c r="C56" cm="1">
        <f t="array" aca="1" ref="C56" ca="1">INDEX($A$2:$A$15,RANDBETWEEN(1,ROWS($A$2:$A$15)),1)</f>
        <v>1</v>
      </c>
      <c r="D56" cm="1">
        <f t="array" aca="1" ref="D56" ca="1">INDEX($A$2:$A$15,RANDBETWEEN(1,ROWS($A$2:$A$15)),1)</f>
        <v>1</v>
      </c>
      <c r="E56" cm="1">
        <f t="array" aca="1" ref="E56" ca="1">INDEX($A$2:$A$15,RANDBETWEEN(1,ROWS($A$2:$A$15)),1)</f>
        <v>3</v>
      </c>
      <c r="F56" cm="1">
        <f t="array" aca="1" ref="F56" ca="1">INDEX($A$2:$A$15,RANDBETWEEN(1,ROWS($A$2:$A$15)),1)</f>
        <v>5</v>
      </c>
      <c r="G56" cm="1">
        <f t="array" aca="1" ref="G56" ca="1">INDEX($A$2:$A$15,RANDBETWEEN(1,ROWS($A$2:$A$15)),1)</f>
        <v>5</v>
      </c>
      <c r="H56" cm="1">
        <f t="array" aca="1" ref="H56" ca="1">INDEX($A$2:$A$15,RANDBETWEEN(1,ROWS($A$2:$A$15)),1)</f>
        <v>4</v>
      </c>
      <c r="I56" cm="1">
        <f t="array" aca="1" ref="I56" ca="1">INDEX($A$2:$A$15,RANDBETWEEN(1,ROWS($A$2:$A$15)),1)</f>
        <v>5</v>
      </c>
      <c r="J56" cm="1">
        <f t="array" aca="1" ref="J56" ca="1">INDEX($A$2:$A$15,RANDBETWEEN(1,ROWS($A$2:$A$15)),1)</f>
        <v>1</v>
      </c>
      <c r="K56" cm="1">
        <f t="array" aca="1" ref="K56" ca="1">INDEX($A$2:$A$15,RANDBETWEEN(1,ROWS($A$2:$A$15)),1)</f>
        <v>2</v>
      </c>
      <c r="L56" cm="1">
        <f t="array" aca="1" ref="L56" ca="1">INDEX($A$2:$A$15,RANDBETWEEN(1,ROWS($A$2:$A$15)),1)</f>
        <v>3</v>
      </c>
      <c r="M56" cm="1">
        <f t="array" aca="1" ref="M56" ca="1">INDEX($A$2:$A$15,RANDBETWEEN(1,ROWS($A$2:$A$15)),1)</f>
        <v>7</v>
      </c>
      <c r="N56" cm="1">
        <f t="array" aca="1" ref="N56" ca="1">INDEX($A$2:$A$15,RANDBETWEEN(1,ROWS($A$2:$A$15)),1)</f>
        <v>5</v>
      </c>
      <c r="O56" cm="1">
        <f t="array" aca="1" ref="O56" ca="1">INDEX($A$2:$A$15,RANDBETWEEN(1,ROWS($A$2:$A$15)),1)</f>
        <v>8</v>
      </c>
      <c r="P56" cm="1">
        <f t="array" aca="1" ref="P56" ca="1">INDEX($A$2:$A$15,RANDBETWEEN(1,ROWS($A$2:$A$15)),1)</f>
        <v>1</v>
      </c>
      <c r="Q56" cm="1">
        <f t="array" aca="1" ref="Q56" ca="1">INDEX($A$2:$A$15,RANDBETWEEN(1,ROWS($A$2:$A$15)),1)</f>
        <v>5</v>
      </c>
      <c r="R56" cm="1">
        <f t="array" aca="1" ref="R56" ca="1">INDEX($A$2:$A$15,RANDBETWEEN(1,ROWS($A$2:$A$15)),1)</f>
        <v>5</v>
      </c>
      <c r="S56" cm="1">
        <f t="array" aca="1" ref="S56" ca="1">INDEX($A$2:$A$15,RANDBETWEEN(1,ROWS($A$2:$A$15)),1)</f>
        <v>5</v>
      </c>
      <c r="V56">
        <f t="shared" ca="1" si="0"/>
        <v>3.8823529411764706</v>
      </c>
      <c r="W56">
        <f t="shared" ca="1" si="1"/>
        <v>5</v>
      </c>
      <c r="X56">
        <f t="shared" ca="1" si="2"/>
        <v>3</v>
      </c>
      <c r="Y56">
        <f t="shared" ca="1" si="3"/>
        <v>2.1471595463884507</v>
      </c>
    </row>
    <row r="57" spans="3:25" x14ac:dyDescent="0.35">
      <c r="C57" cm="1">
        <f t="array" aca="1" ref="C57" ca="1">INDEX($A$2:$A$15,RANDBETWEEN(1,ROWS($A$2:$A$15)),1)</f>
        <v>4</v>
      </c>
      <c r="D57" cm="1">
        <f t="array" aca="1" ref="D57" ca="1">INDEX($A$2:$A$15,RANDBETWEEN(1,ROWS($A$2:$A$15)),1)</f>
        <v>8</v>
      </c>
      <c r="E57" cm="1">
        <f t="array" aca="1" ref="E57" ca="1">INDEX($A$2:$A$15,RANDBETWEEN(1,ROWS($A$2:$A$15)),1)</f>
        <v>5</v>
      </c>
      <c r="F57" cm="1">
        <f t="array" aca="1" ref="F57" ca="1">INDEX($A$2:$A$15,RANDBETWEEN(1,ROWS($A$2:$A$15)),1)</f>
        <v>8</v>
      </c>
      <c r="G57" cm="1">
        <f t="array" aca="1" ref="G57" ca="1">INDEX($A$2:$A$15,RANDBETWEEN(1,ROWS($A$2:$A$15)),1)</f>
        <v>5</v>
      </c>
      <c r="H57" cm="1">
        <f t="array" aca="1" ref="H57" ca="1">INDEX($A$2:$A$15,RANDBETWEEN(1,ROWS($A$2:$A$15)),1)</f>
        <v>3</v>
      </c>
      <c r="I57" cm="1">
        <f t="array" aca="1" ref="I57" ca="1">INDEX($A$2:$A$15,RANDBETWEEN(1,ROWS($A$2:$A$15)),1)</f>
        <v>8</v>
      </c>
      <c r="J57" cm="1">
        <f t="array" aca="1" ref="J57" ca="1">INDEX($A$2:$A$15,RANDBETWEEN(1,ROWS($A$2:$A$15)),1)</f>
        <v>1</v>
      </c>
      <c r="K57" cm="1">
        <f t="array" aca="1" ref="K57" ca="1">INDEX($A$2:$A$15,RANDBETWEEN(1,ROWS($A$2:$A$15)),1)</f>
        <v>1</v>
      </c>
      <c r="L57" cm="1">
        <f t="array" aca="1" ref="L57" ca="1">INDEX($A$2:$A$15,RANDBETWEEN(1,ROWS($A$2:$A$15)),1)</f>
        <v>5</v>
      </c>
      <c r="M57" cm="1">
        <f t="array" aca="1" ref="M57" ca="1">INDEX($A$2:$A$15,RANDBETWEEN(1,ROWS($A$2:$A$15)),1)</f>
        <v>3</v>
      </c>
      <c r="N57" cm="1">
        <f t="array" aca="1" ref="N57" ca="1">INDEX($A$2:$A$15,RANDBETWEEN(1,ROWS($A$2:$A$15)),1)</f>
        <v>5</v>
      </c>
      <c r="O57" cm="1">
        <f t="array" aca="1" ref="O57" ca="1">INDEX($A$2:$A$15,RANDBETWEEN(1,ROWS($A$2:$A$15)),1)</f>
        <v>1</v>
      </c>
      <c r="P57" cm="1">
        <f t="array" aca="1" ref="P57" ca="1">INDEX($A$2:$A$15,RANDBETWEEN(1,ROWS($A$2:$A$15)),1)</f>
        <v>4</v>
      </c>
      <c r="Q57" cm="1">
        <f t="array" aca="1" ref="Q57" ca="1">INDEX($A$2:$A$15,RANDBETWEEN(1,ROWS($A$2:$A$15)),1)</f>
        <v>5</v>
      </c>
      <c r="R57" cm="1">
        <f t="array" aca="1" ref="R57" ca="1">INDEX($A$2:$A$15,RANDBETWEEN(1,ROWS($A$2:$A$15)),1)</f>
        <v>1</v>
      </c>
      <c r="S57" cm="1">
        <f t="array" aca="1" ref="S57" ca="1">INDEX($A$2:$A$15,RANDBETWEEN(1,ROWS($A$2:$A$15)),1)</f>
        <v>7</v>
      </c>
      <c r="V57">
        <f t="shared" ca="1" si="0"/>
        <v>4.3529411764705879</v>
      </c>
      <c r="W57">
        <f t="shared" ca="1" si="1"/>
        <v>5</v>
      </c>
      <c r="X57">
        <f t="shared" ca="1" si="2"/>
        <v>2</v>
      </c>
      <c r="Y57">
        <f t="shared" ca="1" si="3"/>
        <v>2.4733877696033693</v>
      </c>
    </row>
    <row r="58" spans="3:25" x14ac:dyDescent="0.35">
      <c r="C58" cm="1">
        <f t="array" aca="1" ref="C58" ca="1">INDEX($A$2:$A$15,RANDBETWEEN(1,ROWS($A$2:$A$15)),1)</f>
        <v>2</v>
      </c>
      <c r="D58" cm="1">
        <f t="array" aca="1" ref="D58" ca="1">INDEX($A$2:$A$15,RANDBETWEEN(1,ROWS($A$2:$A$15)),1)</f>
        <v>2</v>
      </c>
      <c r="E58" cm="1">
        <f t="array" aca="1" ref="E58" ca="1">INDEX($A$2:$A$15,RANDBETWEEN(1,ROWS($A$2:$A$15)),1)</f>
        <v>5</v>
      </c>
      <c r="F58" cm="1">
        <f t="array" aca="1" ref="F58" ca="1">INDEX($A$2:$A$15,RANDBETWEEN(1,ROWS($A$2:$A$15)),1)</f>
        <v>3</v>
      </c>
      <c r="G58" cm="1">
        <f t="array" aca="1" ref="G58" ca="1">INDEX($A$2:$A$15,RANDBETWEEN(1,ROWS($A$2:$A$15)),1)</f>
        <v>7</v>
      </c>
      <c r="H58" cm="1">
        <f t="array" aca="1" ref="H58" ca="1">INDEX($A$2:$A$15,RANDBETWEEN(1,ROWS($A$2:$A$15)),1)</f>
        <v>8</v>
      </c>
      <c r="I58" cm="1">
        <f t="array" aca="1" ref="I58" ca="1">INDEX($A$2:$A$15,RANDBETWEEN(1,ROWS($A$2:$A$15)),1)</f>
        <v>3</v>
      </c>
      <c r="J58" cm="1">
        <f t="array" aca="1" ref="J58" ca="1">INDEX($A$2:$A$15,RANDBETWEEN(1,ROWS($A$2:$A$15)),1)</f>
        <v>3</v>
      </c>
      <c r="K58" cm="1">
        <f t="array" aca="1" ref="K58" ca="1">INDEX($A$2:$A$15,RANDBETWEEN(1,ROWS($A$2:$A$15)),1)</f>
        <v>4</v>
      </c>
      <c r="L58" cm="1">
        <f t="array" aca="1" ref="L58" ca="1">INDEX($A$2:$A$15,RANDBETWEEN(1,ROWS($A$2:$A$15)),1)</f>
        <v>3</v>
      </c>
      <c r="M58" cm="1">
        <f t="array" aca="1" ref="M58" ca="1">INDEX($A$2:$A$15,RANDBETWEEN(1,ROWS($A$2:$A$15)),1)</f>
        <v>2</v>
      </c>
      <c r="N58" cm="1">
        <f t="array" aca="1" ref="N58" ca="1">INDEX($A$2:$A$15,RANDBETWEEN(1,ROWS($A$2:$A$15)),1)</f>
        <v>5</v>
      </c>
      <c r="O58" cm="1">
        <f t="array" aca="1" ref="O58" ca="1">INDEX($A$2:$A$15,RANDBETWEEN(1,ROWS($A$2:$A$15)),1)</f>
        <v>2</v>
      </c>
      <c r="P58" cm="1">
        <f t="array" aca="1" ref="P58" ca="1">INDEX($A$2:$A$15,RANDBETWEEN(1,ROWS($A$2:$A$15)),1)</f>
        <v>3</v>
      </c>
      <c r="Q58" cm="1">
        <f t="array" aca="1" ref="Q58" ca="1">INDEX($A$2:$A$15,RANDBETWEEN(1,ROWS($A$2:$A$15)),1)</f>
        <v>1</v>
      </c>
      <c r="R58" cm="1">
        <f t="array" aca="1" ref="R58" ca="1">INDEX($A$2:$A$15,RANDBETWEEN(1,ROWS($A$2:$A$15)),1)</f>
        <v>5</v>
      </c>
      <c r="S58" cm="1">
        <f t="array" aca="1" ref="S58" ca="1">INDEX($A$2:$A$15,RANDBETWEEN(1,ROWS($A$2:$A$15)),1)</f>
        <v>5</v>
      </c>
      <c r="V58">
        <f t="shared" ca="1" si="0"/>
        <v>3.7058823529411766</v>
      </c>
      <c r="W58">
        <f t="shared" ca="1" si="1"/>
        <v>3</v>
      </c>
      <c r="X58">
        <f t="shared" ca="1" si="2"/>
        <v>3</v>
      </c>
      <c r="Y58">
        <f t="shared" ca="1" si="3"/>
        <v>1.8962036376122997</v>
      </c>
    </row>
    <row r="59" spans="3:25" x14ac:dyDescent="0.35">
      <c r="C59" cm="1">
        <f t="array" aca="1" ref="C59" ca="1">INDEX($A$2:$A$15,RANDBETWEEN(1,ROWS($A$2:$A$15)),1)</f>
        <v>1</v>
      </c>
      <c r="D59" cm="1">
        <f t="array" aca="1" ref="D59" ca="1">INDEX($A$2:$A$15,RANDBETWEEN(1,ROWS($A$2:$A$15)),1)</f>
        <v>7</v>
      </c>
      <c r="E59" cm="1">
        <f t="array" aca="1" ref="E59" ca="1">INDEX($A$2:$A$15,RANDBETWEEN(1,ROWS($A$2:$A$15)),1)</f>
        <v>1</v>
      </c>
      <c r="F59" cm="1">
        <f t="array" aca="1" ref="F59" ca="1">INDEX($A$2:$A$15,RANDBETWEEN(1,ROWS($A$2:$A$15)),1)</f>
        <v>2</v>
      </c>
      <c r="G59" cm="1">
        <f t="array" aca="1" ref="G59" ca="1">INDEX($A$2:$A$15,RANDBETWEEN(1,ROWS($A$2:$A$15)),1)</f>
        <v>1</v>
      </c>
      <c r="H59" cm="1">
        <f t="array" aca="1" ref="H59" ca="1">INDEX($A$2:$A$15,RANDBETWEEN(1,ROWS($A$2:$A$15)),1)</f>
        <v>1</v>
      </c>
      <c r="I59" cm="1">
        <f t="array" aca="1" ref="I59" ca="1">INDEX($A$2:$A$15,RANDBETWEEN(1,ROWS($A$2:$A$15)),1)</f>
        <v>7</v>
      </c>
      <c r="J59" cm="1">
        <f t="array" aca="1" ref="J59" ca="1">INDEX($A$2:$A$15,RANDBETWEEN(1,ROWS($A$2:$A$15)),1)</f>
        <v>5</v>
      </c>
      <c r="K59" cm="1">
        <f t="array" aca="1" ref="K59" ca="1">INDEX($A$2:$A$15,RANDBETWEEN(1,ROWS($A$2:$A$15)),1)</f>
        <v>3</v>
      </c>
      <c r="L59" cm="1">
        <f t="array" aca="1" ref="L59" ca="1">INDEX($A$2:$A$15,RANDBETWEEN(1,ROWS($A$2:$A$15)),1)</f>
        <v>3</v>
      </c>
      <c r="M59" cm="1">
        <f t="array" aca="1" ref="M59" ca="1">INDEX($A$2:$A$15,RANDBETWEEN(1,ROWS($A$2:$A$15)),1)</f>
        <v>2</v>
      </c>
      <c r="N59" cm="1">
        <f t="array" aca="1" ref="N59" ca="1">INDEX($A$2:$A$15,RANDBETWEEN(1,ROWS($A$2:$A$15)),1)</f>
        <v>4</v>
      </c>
      <c r="O59" cm="1">
        <f t="array" aca="1" ref="O59" ca="1">INDEX($A$2:$A$15,RANDBETWEEN(1,ROWS($A$2:$A$15)),1)</f>
        <v>3</v>
      </c>
      <c r="P59" cm="1">
        <f t="array" aca="1" ref="P59" ca="1">INDEX($A$2:$A$15,RANDBETWEEN(1,ROWS($A$2:$A$15)),1)</f>
        <v>1</v>
      </c>
      <c r="Q59" cm="1">
        <f t="array" aca="1" ref="Q59" ca="1">INDEX($A$2:$A$15,RANDBETWEEN(1,ROWS($A$2:$A$15)),1)</f>
        <v>5</v>
      </c>
      <c r="R59" cm="1">
        <f t="array" aca="1" ref="R59" ca="1">INDEX($A$2:$A$15,RANDBETWEEN(1,ROWS($A$2:$A$15)),1)</f>
        <v>5</v>
      </c>
      <c r="S59" cm="1">
        <f t="array" aca="1" ref="S59" ca="1">INDEX($A$2:$A$15,RANDBETWEEN(1,ROWS($A$2:$A$15)),1)</f>
        <v>1</v>
      </c>
      <c r="V59">
        <f t="shared" ca="1" si="0"/>
        <v>3.0588235294117645</v>
      </c>
      <c r="W59">
        <f t="shared" ca="1" si="1"/>
        <v>3</v>
      </c>
      <c r="X59">
        <f t="shared" ca="1" si="2"/>
        <v>4</v>
      </c>
      <c r="Y59">
        <f t="shared" ca="1" si="3"/>
        <v>2.105664628902657</v>
      </c>
    </row>
    <row r="60" spans="3:25" x14ac:dyDescent="0.35">
      <c r="C60" cm="1">
        <f t="array" aca="1" ref="C60" ca="1">INDEX($A$2:$A$15,RANDBETWEEN(1,ROWS($A$2:$A$15)),1)</f>
        <v>8</v>
      </c>
      <c r="D60" cm="1">
        <f t="array" aca="1" ref="D60" ca="1">INDEX($A$2:$A$15,RANDBETWEEN(1,ROWS($A$2:$A$15)),1)</f>
        <v>8</v>
      </c>
      <c r="E60" cm="1">
        <f t="array" aca="1" ref="E60" ca="1">INDEX($A$2:$A$15,RANDBETWEEN(1,ROWS($A$2:$A$15)),1)</f>
        <v>1</v>
      </c>
      <c r="F60" cm="1">
        <f t="array" aca="1" ref="F60" ca="1">INDEX($A$2:$A$15,RANDBETWEEN(1,ROWS($A$2:$A$15)),1)</f>
        <v>5</v>
      </c>
      <c r="G60" cm="1">
        <f t="array" aca="1" ref="G60" ca="1">INDEX($A$2:$A$15,RANDBETWEEN(1,ROWS($A$2:$A$15)),1)</f>
        <v>1</v>
      </c>
      <c r="H60" cm="1">
        <f t="array" aca="1" ref="H60" ca="1">INDEX($A$2:$A$15,RANDBETWEEN(1,ROWS($A$2:$A$15)),1)</f>
        <v>3</v>
      </c>
      <c r="I60" cm="1">
        <f t="array" aca="1" ref="I60" ca="1">INDEX($A$2:$A$15,RANDBETWEEN(1,ROWS($A$2:$A$15)),1)</f>
        <v>2</v>
      </c>
      <c r="J60" cm="1">
        <f t="array" aca="1" ref="J60" ca="1">INDEX($A$2:$A$15,RANDBETWEEN(1,ROWS($A$2:$A$15)),1)</f>
        <v>7</v>
      </c>
      <c r="K60" cm="1">
        <f t="array" aca="1" ref="K60" ca="1">INDEX($A$2:$A$15,RANDBETWEEN(1,ROWS($A$2:$A$15)),1)</f>
        <v>5</v>
      </c>
      <c r="L60" cm="1">
        <f t="array" aca="1" ref="L60" ca="1">INDEX($A$2:$A$15,RANDBETWEEN(1,ROWS($A$2:$A$15)),1)</f>
        <v>4</v>
      </c>
      <c r="M60" cm="1">
        <f t="array" aca="1" ref="M60" ca="1">INDEX($A$2:$A$15,RANDBETWEEN(1,ROWS($A$2:$A$15)),1)</f>
        <v>1</v>
      </c>
      <c r="N60" cm="1">
        <f t="array" aca="1" ref="N60" ca="1">INDEX($A$2:$A$15,RANDBETWEEN(1,ROWS($A$2:$A$15)),1)</f>
        <v>5</v>
      </c>
      <c r="O60" cm="1">
        <f t="array" aca="1" ref="O60" ca="1">INDEX($A$2:$A$15,RANDBETWEEN(1,ROWS($A$2:$A$15)),1)</f>
        <v>3</v>
      </c>
      <c r="P60" cm="1">
        <f t="array" aca="1" ref="P60" ca="1">INDEX($A$2:$A$15,RANDBETWEEN(1,ROWS($A$2:$A$15)),1)</f>
        <v>1</v>
      </c>
      <c r="Q60" cm="1">
        <f t="array" aca="1" ref="Q60" ca="1">INDEX($A$2:$A$15,RANDBETWEEN(1,ROWS($A$2:$A$15)),1)</f>
        <v>8</v>
      </c>
      <c r="R60" cm="1">
        <f t="array" aca="1" ref="R60" ca="1">INDEX($A$2:$A$15,RANDBETWEEN(1,ROWS($A$2:$A$15)),1)</f>
        <v>5</v>
      </c>
      <c r="S60" cm="1">
        <f t="array" aca="1" ref="S60" ca="1">INDEX($A$2:$A$15,RANDBETWEEN(1,ROWS($A$2:$A$15)),1)</f>
        <v>1</v>
      </c>
      <c r="V60">
        <f t="shared" ca="1" si="0"/>
        <v>4</v>
      </c>
      <c r="W60">
        <f t="shared" ca="1" si="1"/>
        <v>4</v>
      </c>
      <c r="X60">
        <f t="shared" ca="1" si="2"/>
        <v>4</v>
      </c>
      <c r="Y60">
        <f t="shared" ca="1" si="3"/>
        <v>2.6457513110645907</v>
      </c>
    </row>
    <row r="61" spans="3:25" x14ac:dyDescent="0.35">
      <c r="C61" cm="1">
        <f t="array" aca="1" ref="C61" ca="1">INDEX($A$2:$A$15,RANDBETWEEN(1,ROWS($A$2:$A$15)),1)</f>
        <v>5</v>
      </c>
      <c r="D61" cm="1">
        <f t="array" aca="1" ref="D61" ca="1">INDEX($A$2:$A$15,RANDBETWEEN(1,ROWS($A$2:$A$15)),1)</f>
        <v>4</v>
      </c>
      <c r="E61" cm="1">
        <f t="array" aca="1" ref="E61" ca="1">INDEX($A$2:$A$15,RANDBETWEEN(1,ROWS($A$2:$A$15)),1)</f>
        <v>3</v>
      </c>
      <c r="F61" cm="1">
        <f t="array" aca="1" ref="F61" ca="1">INDEX($A$2:$A$15,RANDBETWEEN(1,ROWS($A$2:$A$15)),1)</f>
        <v>7</v>
      </c>
      <c r="G61" cm="1">
        <f t="array" aca="1" ref="G61" ca="1">INDEX($A$2:$A$15,RANDBETWEEN(1,ROWS($A$2:$A$15)),1)</f>
        <v>5</v>
      </c>
      <c r="H61" cm="1">
        <f t="array" aca="1" ref="H61" ca="1">INDEX($A$2:$A$15,RANDBETWEEN(1,ROWS($A$2:$A$15)),1)</f>
        <v>5</v>
      </c>
      <c r="I61" cm="1">
        <f t="array" aca="1" ref="I61" ca="1">INDEX($A$2:$A$15,RANDBETWEEN(1,ROWS($A$2:$A$15)),1)</f>
        <v>5</v>
      </c>
      <c r="J61" cm="1">
        <f t="array" aca="1" ref="J61" ca="1">INDEX($A$2:$A$15,RANDBETWEEN(1,ROWS($A$2:$A$15)),1)</f>
        <v>7</v>
      </c>
      <c r="K61" cm="1">
        <f t="array" aca="1" ref="K61" ca="1">INDEX($A$2:$A$15,RANDBETWEEN(1,ROWS($A$2:$A$15)),1)</f>
        <v>1</v>
      </c>
      <c r="L61" cm="1">
        <f t="array" aca="1" ref="L61" ca="1">INDEX($A$2:$A$15,RANDBETWEEN(1,ROWS($A$2:$A$15)),1)</f>
        <v>1</v>
      </c>
      <c r="M61" cm="1">
        <f t="array" aca="1" ref="M61" ca="1">INDEX($A$2:$A$15,RANDBETWEEN(1,ROWS($A$2:$A$15)),1)</f>
        <v>7</v>
      </c>
      <c r="N61" cm="1">
        <f t="array" aca="1" ref="N61" ca="1">INDEX($A$2:$A$15,RANDBETWEEN(1,ROWS($A$2:$A$15)),1)</f>
        <v>3</v>
      </c>
      <c r="O61" cm="1">
        <f t="array" aca="1" ref="O61" ca="1">INDEX($A$2:$A$15,RANDBETWEEN(1,ROWS($A$2:$A$15)),1)</f>
        <v>4</v>
      </c>
      <c r="P61" cm="1">
        <f t="array" aca="1" ref="P61" ca="1">INDEX($A$2:$A$15,RANDBETWEEN(1,ROWS($A$2:$A$15)),1)</f>
        <v>8</v>
      </c>
      <c r="Q61" cm="1">
        <f t="array" aca="1" ref="Q61" ca="1">INDEX($A$2:$A$15,RANDBETWEEN(1,ROWS($A$2:$A$15)),1)</f>
        <v>1</v>
      </c>
      <c r="R61" cm="1">
        <f t="array" aca="1" ref="R61" ca="1">INDEX($A$2:$A$15,RANDBETWEEN(1,ROWS($A$2:$A$15)),1)</f>
        <v>1</v>
      </c>
      <c r="S61" cm="1">
        <f t="array" aca="1" ref="S61" ca="1">INDEX($A$2:$A$15,RANDBETWEEN(1,ROWS($A$2:$A$15)),1)</f>
        <v>5</v>
      </c>
      <c r="V61">
        <f t="shared" ca="1" si="0"/>
        <v>4.2352941176470589</v>
      </c>
      <c r="W61">
        <f t="shared" ca="1" si="1"/>
        <v>5</v>
      </c>
      <c r="X61">
        <f t="shared" ca="1" si="2"/>
        <v>2</v>
      </c>
      <c r="Y61">
        <f t="shared" ca="1" si="3"/>
        <v>2.3056835148363781</v>
      </c>
    </row>
    <row r="62" spans="3:25" x14ac:dyDescent="0.35">
      <c r="C62" cm="1">
        <f t="array" aca="1" ref="C62" ca="1">INDEX($A$2:$A$15,RANDBETWEEN(1,ROWS($A$2:$A$15)),1)</f>
        <v>1</v>
      </c>
      <c r="D62" cm="1">
        <f t="array" aca="1" ref="D62" ca="1">INDEX($A$2:$A$15,RANDBETWEEN(1,ROWS($A$2:$A$15)),1)</f>
        <v>2</v>
      </c>
      <c r="E62" cm="1">
        <f t="array" aca="1" ref="E62" ca="1">INDEX($A$2:$A$15,RANDBETWEEN(1,ROWS($A$2:$A$15)),1)</f>
        <v>5</v>
      </c>
      <c r="F62" cm="1">
        <f t="array" aca="1" ref="F62" ca="1">INDEX($A$2:$A$15,RANDBETWEEN(1,ROWS($A$2:$A$15)),1)</f>
        <v>5</v>
      </c>
      <c r="G62" cm="1">
        <f t="array" aca="1" ref="G62" ca="1">INDEX($A$2:$A$15,RANDBETWEEN(1,ROWS($A$2:$A$15)),1)</f>
        <v>4</v>
      </c>
      <c r="H62" cm="1">
        <f t="array" aca="1" ref="H62" ca="1">INDEX($A$2:$A$15,RANDBETWEEN(1,ROWS($A$2:$A$15)),1)</f>
        <v>5</v>
      </c>
      <c r="I62" cm="1">
        <f t="array" aca="1" ref="I62" ca="1">INDEX($A$2:$A$15,RANDBETWEEN(1,ROWS($A$2:$A$15)),1)</f>
        <v>2</v>
      </c>
      <c r="J62" cm="1">
        <f t="array" aca="1" ref="J62" ca="1">INDEX($A$2:$A$15,RANDBETWEEN(1,ROWS($A$2:$A$15)),1)</f>
        <v>4</v>
      </c>
      <c r="K62" cm="1">
        <f t="array" aca="1" ref="K62" ca="1">INDEX($A$2:$A$15,RANDBETWEEN(1,ROWS($A$2:$A$15)),1)</f>
        <v>5</v>
      </c>
      <c r="L62" cm="1">
        <f t="array" aca="1" ref="L62" ca="1">INDEX($A$2:$A$15,RANDBETWEEN(1,ROWS($A$2:$A$15)),1)</f>
        <v>4</v>
      </c>
      <c r="M62" cm="1">
        <f t="array" aca="1" ref="M62" ca="1">INDEX($A$2:$A$15,RANDBETWEEN(1,ROWS($A$2:$A$15)),1)</f>
        <v>5</v>
      </c>
      <c r="N62" cm="1">
        <f t="array" aca="1" ref="N62" ca="1">INDEX($A$2:$A$15,RANDBETWEEN(1,ROWS($A$2:$A$15)),1)</f>
        <v>4</v>
      </c>
      <c r="O62" cm="1">
        <f t="array" aca="1" ref="O62" ca="1">INDEX($A$2:$A$15,RANDBETWEEN(1,ROWS($A$2:$A$15)),1)</f>
        <v>4</v>
      </c>
      <c r="P62" cm="1">
        <f t="array" aca="1" ref="P62" ca="1">INDEX($A$2:$A$15,RANDBETWEEN(1,ROWS($A$2:$A$15)),1)</f>
        <v>5</v>
      </c>
      <c r="Q62" cm="1">
        <f t="array" aca="1" ref="Q62" ca="1">INDEX($A$2:$A$15,RANDBETWEEN(1,ROWS($A$2:$A$15)),1)</f>
        <v>4</v>
      </c>
      <c r="R62" cm="1">
        <f t="array" aca="1" ref="R62" ca="1">INDEX($A$2:$A$15,RANDBETWEEN(1,ROWS($A$2:$A$15)),1)</f>
        <v>5</v>
      </c>
      <c r="S62" cm="1">
        <f t="array" aca="1" ref="S62" ca="1">INDEX($A$2:$A$15,RANDBETWEEN(1,ROWS($A$2:$A$15)),1)</f>
        <v>5</v>
      </c>
      <c r="V62">
        <f t="shared" ca="1" si="0"/>
        <v>4.0588235294117645</v>
      </c>
      <c r="W62">
        <f t="shared" ca="1" si="1"/>
        <v>4</v>
      </c>
      <c r="X62">
        <f t="shared" ca="1" si="2"/>
        <v>1</v>
      </c>
      <c r="Y62">
        <f t="shared" ca="1" si="3"/>
        <v>1.2485285456935955</v>
      </c>
    </row>
    <row r="63" spans="3:25" x14ac:dyDescent="0.35">
      <c r="C63" cm="1">
        <f t="array" aca="1" ref="C63" ca="1">INDEX($A$2:$A$15,RANDBETWEEN(1,ROWS($A$2:$A$15)),1)</f>
        <v>8</v>
      </c>
      <c r="D63" cm="1">
        <f t="array" aca="1" ref="D63" ca="1">INDEX($A$2:$A$15,RANDBETWEEN(1,ROWS($A$2:$A$15)),1)</f>
        <v>5</v>
      </c>
      <c r="E63" cm="1">
        <f t="array" aca="1" ref="E63" ca="1">INDEX($A$2:$A$15,RANDBETWEEN(1,ROWS($A$2:$A$15)),1)</f>
        <v>4</v>
      </c>
      <c r="F63" cm="1">
        <f t="array" aca="1" ref="F63" ca="1">INDEX($A$2:$A$15,RANDBETWEEN(1,ROWS($A$2:$A$15)),1)</f>
        <v>1</v>
      </c>
      <c r="G63" cm="1">
        <f t="array" aca="1" ref="G63" ca="1">INDEX($A$2:$A$15,RANDBETWEEN(1,ROWS($A$2:$A$15)),1)</f>
        <v>7</v>
      </c>
      <c r="H63" cm="1">
        <f t="array" aca="1" ref="H63" ca="1">INDEX($A$2:$A$15,RANDBETWEEN(1,ROWS($A$2:$A$15)),1)</f>
        <v>4</v>
      </c>
      <c r="I63" cm="1">
        <f t="array" aca="1" ref="I63" ca="1">INDEX($A$2:$A$15,RANDBETWEEN(1,ROWS($A$2:$A$15)),1)</f>
        <v>1</v>
      </c>
      <c r="J63" cm="1">
        <f t="array" aca="1" ref="J63" ca="1">INDEX($A$2:$A$15,RANDBETWEEN(1,ROWS($A$2:$A$15)),1)</f>
        <v>8</v>
      </c>
      <c r="K63" cm="1">
        <f t="array" aca="1" ref="K63" ca="1">INDEX($A$2:$A$15,RANDBETWEEN(1,ROWS($A$2:$A$15)),1)</f>
        <v>4</v>
      </c>
      <c r="L63" cm="1">
        <f t="array" aca="1" ref="L63" ca="1">INDEX($A$2:$A$15,RANDBETWEEN(1,ROWS($A$2:$A$15)),1)</f>
        <v>5</v>
      </c>
      <c r="M63" cm="1">
        <f t="array" aca="1" ref="M63" ca="1">INDEX($A$2:$A$15,RANDBETWEEN(1,ROWS($A$2:$A$15)),1)</f>
        <v>7</v>
      </c>
      <c r="N63" cm="1">
        <f t="array" aca="1" ref="N63" ca="1">INDEX($A$2:$A$15,RANDBETWEEN(1,ROWS($A$2:$A$15)),1)</f>
        <v>1</v>
      </c>
      <c r="O63" cm="1">
        <f t="array" aca="1" ref="O63" ca="1">INDEX($A$2:$A$15,RANDBETWEEN(1,ROWS($A$2:$A$15)),1)</f>
        <v>4</v>
      </c>
      <c r="P63" cm="1">
        <f t="array" aca="1" ref="P63" ca="1">INDEX($A$2:$A$15,RANDBETWEEN(1,ROWS($A$2:$A$15)),1)</f>
        <v>5</v>
      </c>
      <c r="Q63" cm="1">
        <f t="array" aca="1" ref="Q63" ca="1">INDEX($A$2:$A$15,RANDBETWEEN(1,ROWS($A$2:$A$15)),1)</f>
        <v>4</v>
      </c>
      <c r="R63" cm="1">
        <f t="array" aca="1" ref="R63" ca="1">INDEX($A$2:$A$15,RANDBETWEEN(1,ROWS($A$2:$A$15)),1)</f>
        <v>5</v>
      </c>
      <c r="S63" cm="1">
        <f t="array" aca="1" ref="S63" ca="1">INDEX($A$2:$A$15,RANDBETWEEN(1,ROWS($A$2:$A$15)),1)</f>
        <v>4</v>
      </c>
      <c r="V63">
        <f t="shared" ca="1" si="0"/>
        <v>4.5294117647058822</v>
      </c>
      <c r="W63">
        <f t="shared" ca="1" si="1"/>
        <v>4</v>
      </c>
      <c r="X63">
        <f t="shared" ca="1" si="2"/>
        <v>1</v>
      </c>
      <c r="Y63">
        <f t="shared" ca="1" si="3"/>
        <v>2.1828206253269968</v>
      </c>
    </row>
    <row r="64" spans="3:25" x14ac:dyDescent="0.35">
      <c r="C64" cm="1">
        <f t="array" aca="1" ref="C64" ca="1">INDEX($A$2:$A$15,RANDBETWEEN(1,ROWS($A$2:$A$15)),1)</f>
        <v>1</v>
      </c>
      <c r="D64" cm="1">
        <f t="array" aca="1" ref="D64" ca="1">INDEX($A$2:$A$15,RANDBETWEEN(1,ROWS($A$2:$A$15)),1)</f>
        <v>5</v>
      </c>
      <c r="E64" cm="1">
        <f t="array" aca="1" ref="E64" ca="1">INDEX($A$2:$A$15,RANDBETWEEN(1,ROWS($A$2:$A$15)),1)</f>
        <v>5</v>
      </c>
      <c r="F64" cm="1">
        <f t="array" aca="1" ref="F64" ca="1">INDEX($A$2:$A$15,RANDBETWEEN(1,ROWS($A$2:$A$15)),1)</f>
        <v>5</v>
      </c>
      <c r="G64" cm="1">
        <f t="array" aca="1" ref="G64" ca="1">INDEX($A$2:$A$15,RANDBETWEEN(1,ROWS($A$2:$A$15)),1)</f>
        <v>7</v>
      </c>
      <c r="H64" cm="1">
        <f t="array" aca="1" ref="H64" ca="1">INDEX($A$2:$A$15,RANDBETWEEN(1,ROWS($A$2:$A$15)),1)</f>
        <v>3</v>
      </c>
      <c r="I64" cm="1">
        <f t="array" aca="1" ref="I64" ca="1">INDEX($A$2:$A$15,RANDBETWEEN(1,ROWS($A$2:$A$15)),1)</f>
        <v>4</v>
      </c>
      <c r="J64" cm="1">
        <f t="array" aca="1" ref="J64" ca="1">INDEX($A$2:$A$15,RANDBETWEEN(1,ROWS($A$2:$A$15)),1)</f>
        <v>8</v>
      </c>
      <c r="K64" cm="1">
        <f t="array" aca="1" ref="K64" ca="1">INDEX($A$2:$A$15,RANDBETWEEN(1,ROWS($A$2:$A$15)),1)</f>
        <v>2</v>
      </c>
      <c r="L64" cm="1">
        <f t="array" aca="1" ref="L64" ca="1">INDEX($A$2:$A$15,RANDBETWEEN(1,ROWS($A$2:$A$15)),1)</f>
        <v>3</v>
      </c>
      <c r="M64" cm="1">
        <f t="array" aca="1" ref="M64" ca="1">INDEX($A$2:$A$15,RANDBETWEEN(1,ROWS($A$2:$A$15)),1)</f>
        <v>5</v>
      </c>
      <c r="N64" cm="1">
        <f t="array" aca="1" ref="N64" ca="1">INDEX($A$2:$A$15,RANDBETWEEN(1,ROWS($A$2:$A$15)),1)</f>
        <v>7</v>
      </c>
      <c r="O64" cm="1">
        <f t="array" aca="1" ref="O64" ca="1">INDEX($A$2:$A$15,RANDBETWEEN(1,ROWS($A$2:$A$15)),1)</f>
        <v>5</v>
      </c>
      <c r="P64" cm="1">
        <f t="array" aca="1" ref="P64" ca="1">INDEX($A$2:$A$15,RANDBETWEEN(1,ROWS($A$2:$A$15)),1)</f>
        <v>1</v>
      </c>
      <c r="Q64" cm="1">
        <f t="array" aca="1" ref="Q64" ca="1">INDEX($A$2:$A$15,RANDBETWEEN(1,ROWS($A$2:$A$15)),1)</f>
        <v>4</v>
      </c>
      <c r="R64" cm="1">
        <f t="array" aca="1" ref="R64" ca="1">INDEX($A$2:$A$15,RANDBETWEEN(1,ROWS($A$2:$A$15)),1)</f>
        <v>5</v>
      </c>
      <c r="S64" cm="1">
        <f t="array" aca="1" ref="S64" ca="1">INDEX($A$2:$A$15,RANDBETWEEN(1,ROWS($A$2:$A$15)),1)</f>
        <v>1</v>
      </c>
      <c r="V64">
        <f t="shared" ca="1" si="0"/>
        <v>4.1764705882352944</v>
      </c>
      <c r="W64">
        <f t="shared" ca="1" si="1"/>
        <v>5</v>
      </c>
      <c r="X64">
        <f t="shared" ca="1" si="2"/>
        <v>2</v>
      </c>
      <c r="Y64">
        <f t="shared" ca="1" si="3"/>
        <v>2.1282414723677112</v>
      </c>
    </row>
    <row r="65" spans="3:25" x14ac:dyDescent="0.35">
      <c r="C65" cm="1">
        <f t="array" aca="1" ref="C65" ca="1">INDEX($A$2:$A$15,RANDBETWEEN(1,ROWS($A$2:$A$15)),1)</f>
        <v>7</v>
      </c>
      <c r="D65" cm="1">
        <f t="array" aca="1" ref="D65" ca="1">INDEX($A$2:$A$15,RANDBETWEEN(1,ROWS($A$2:$A$15)),1)</f>
        <v>1</v>
      </c>
      <c r="E65" cm="1">
        <f t="array" aca="1" ref="E65" ca="1">INDEX($A$2:$A$15,RANDBETWEEN(1,ROWS($A$2:$A$15)),1)</f>
        <v>5</v>
      </c>
      <c r="F65" cm="1">
        <f t="array" aca="1" ref="F65" ca="1">INDEX($A$2:$A$15,RANDBETWEEN(1,ROWS($A$2:$A$15)),1)</f>
        <v>1</v>
      </c>
      <c r="G65" cm="1">
        <f t="array" aca="1" ref="G65" ca="1">INDEX($A$2:$A$15,RANDBETWEEN(1,ROWS($A$2:$A$15)),1)</f>
        <v>4</v>
      </c>
      <c r="H65" cm="1">
        <f t="array" aca="1" ref="H65" ca="1">INDEX($A$2:$A$15,RANDBETWEEN(1,ROWS($A$2:$A$15)),1)</f>
        <v>8</v>
      </c>
      <c r="I65" cm="1">
        <f t="array" aca="1" ref="I65" ca="1">INDEX($A$2:$A$15,RANDBETWEEN(1,ROWS($A$2:$A$15)),1)</f>
        <v>8</v>
      </c>
      <c r="J65" cm="1">
        <f t="array" aca="1" ref="J65" ca="1">INDEX($A$2:$A$15,RANDBETWEEN(1,ROWS($A$2:$A$15)),1)</f>
        <v>8</v>
      </c>
      <c r="K65" cm="1">
        <f t="array" aca="1" ref="K65" ca="1">INDEX($A$2:$A$15,RANDBETWEEN(1,ROWS($A$2:$A$15)),1)</f>
        <v>4</v>
      </c>
      <c r="L65" cm="1">
        <f t="array" aca="1" ref="L65" ca="1">INDEX($A$2:$A$15,RANDBETWEEN(1,ROWS($A$2:$A$15)),1)</f>
        <v>1</v>
      </c>
      <c r="M65" cm="1">
        <f t="array" aca="1" ref="M65" ca="1">INDEX($A$2:$A$15,RANDBETWEEN(1,ROWS($A$2:$A$15)),1)</f>
        <v>4</v>
      </c>
      <c r="N65" cm="1">
        <f t="array" aca="1" ref="N65" ca="1">INDEX($A$2:$A$15,RANDBETWEEN(1,ROWS($A$2:$A$15)),1)</f>
        <v>3</v>
      </c>
      <c r="O65" cm="1">
        <f t="array" aca="1" ref="O65" ca="1">INDEX($A$2:$A$15,RANDBETWEEN(1,ROWS($A$2:$A$15)),1)</f>
        <v>4</v>
      </c>
      <c r="P65" cm="1">
        <f t="array" aca="1" ref="P65" ca="1">INDEX($A$2:$A$15,RANDBETWEEN(1,ROWS($A$2:$A$15)),1)</f>
        <v>7</v>
      </c>
      <c r="Q65" cm="1">
        <f t="array" aca="1" ref="Q65" ca="1">INDEX($A$2:$A$15,RANDBETWEEN(1,ROWS($A$2:$A$15)),1)</f>
        <v>2</v>
      </c>
      <c r="R65" cm="1">
        <f t="array" aca="1" ref="R65" ca="1">INDEX($A$2:$A$15,RANDBETWEEN(1,ROWS($A$2:$A$15)),1)</f>
        <v>5</v>
      </c>
      <c r="S65" cm="1">
        <f t="array" aca="1" ref="S65" ca="1">INDEX($A$2:$A$15,RANDBETWEEN(1,ROWS($A$2:$A$15)),1)</f>
        <v>2</v>
      </c>
      <c r="V65">
        <f t="shared" ca="1" si="0"/>
        <v>4.3529411764705879</v>
      </c>
      <c r="W65">
        <f t="shared" ca="1" si="1"/>
        <v>4</v>
      </c>
      <c r="X65">
        <f t="shared" ca="1" si="2"/>
        <v>5</v>
      </c>
      <c r="Y65">
        <f t="shared" ca="1" si="3"/>
        <v>2.523419715153135</v>
      </c>
    </row>
    <row r="66" spans="3:25" x14ac:dyDescent="0.35">
      <c r="C66" cm="1">
        <f t="array" aca="1" ref="C66" ca="1">INDEX($A$2:$A$15,RANDBETWEEN(1,ROWS($A$2:$A$15)),1)</f>
        <v>8</v>
      </c>
      <c r="D66" cm="1">
        <f t="array" aca="1" ref="D66" ca="1">INDEX($A$2:$A$15,RANDBETWEEN(1,ROWS($A$2:$A$15)),1)</f>
        <v>3</v>
      </c>
      <c r="E66" cm="1">
        <f t="array" aca="1" ref="E66" ca="1">INDEX($A$2:$A$15,RANDBETWEEN(1,ROWS($A$2:$A$15)),1)</f>
        <v>1</v>
      </c>
      <c r="F66" cm="1">
        <f t="array" aca="1" ref="F66" ca="1">INDEX($A$2:$A$15,RANDBETWEEN(1,ROWS($A$2:$A$15)),1)</f>
        <v>7</v>
      </c>
      <c r="G66" cm="1">
        <f t="array" aca="1" ref="G66" ca="1">INDEX($A$2:$A$15,RANDBETWEEN(1,ROWS($A$2:$A$15)),1)</f>
        <v>1</v>
      </c>
      <c r="H66" cm="1">
        <f t="array" aca="1" ref="H66" ca="1">INDEX($A$2:$A$15,RANDBETWEEN(1,ROWS($A$2:$A$15)),1)</f>
        <v>8</v>
      </c>
      <c r="I66" cm="1">
        <f t="array" aca="1" ref="I66" ca="1">INDEX($A$2:$A$15,RANDBETWEEN(1,ROWS($A$2:$A$15)),1)</f>
        <v>3</v>
      </c>
      <c r="J66" cm="1">
        <f t="array" aca="1" ref="J66" ca="1">INDEX($A$2:$A$15,RANDBETWEEN(1,ROWS($A$2:$A$15)),1)</f>
        <v>8</v>
      </c>
      <c r="K66" cm="1">
        <f t="array" aca="1" ref="K66" ca="1">INDEX($A$2:$A$15,RANDBETWEEN(1,ROWS($A$2:$A$15)),1)</f>
        <v>3</v>
      </c>
      <c r="L66" cm="1">
        <f t="array" aca="1" ref="L66" ca="1">INDEX($A$2:$A$15,RANDBETWEEN(1,ROWS($A$2:$A$15)),1)</f>
        <v>2</v>
      </c>
      <c r="M66" cm="1">
        <f t="array" aca="1" ref="M66" ca="1">INDEX($A$2:$A$15,RANDBETWEEN(1,ROWS($A$2:$A$15)),1)</f>
        <v>5</v>
      </c>
      <c r="N66" cm="1">
        <f t="array" aca="1" ref="N66" ca="1">INDEX($A$2:$A$15,RANDBETWEEN(1,ROWS($A$2:$A$15)),1)</f>
        <v>5</v>
      </c>
      <c r="O66" cm="1">
        <f t="array" aca="1" ref="O66" ca="1">INDEX($A$2:$A$15,RANDBETWEEN(1,ROWS($A$2:$A$15)),1)</f>
        <v>1</v>
      </c>
      <c r="P66" cm="1">
        <f t="array" aca="1" ref="P66" ca="1">INDEX($A$2:$A$15,RANDBETWEEN(1,ROWS($A$2:$A$15)),1)</f>
        <v>4</v>
      </c>
      <c r="Q66" cm="1">
        <f t="array" aca="1" ref="Q66" ca="1">INDEX($A$2:$A$15,RANDBETWEEN(1,ROWS($A$2:$A$15)),1)</f>
        <v>4</v>
      </c>
      <c r="R66" cm="1">
        <f t="array" aca="1" ref="R66" ca="1">INDEX($A$2:$A$15,RANDBETWEEN(1,ROWS($A$2:$A$15)),1)</f>
        <v>8</v>
      </c>
      <c r="S66" cm="1">
        <f t="array" aca="1" ref="S66" ca="1">INDEX($A$2:$A$15,RANDBETWEEN(1,ROWS($A$2:$A$15)),1)</f>
        <v>5</v>
      </c>
      <c r="V66">
        <f t="shared" ca="1" si="0"/>
        <v>4.4705882352941178</v>
      </c>
      <c r="W66">
        <f t="shared" ca="1" si="1"/>
        <v>4</v>
      </c>
      <c r="X66">
        <f t="shared" ca="1" si="2"/>
        <v>4</v>
      </c>
      <c r="Y66">
        <f t="shared" ca="1" si="3"/>
        <v>2.5767626748214401</v>
      </c>
    </row>
    <row r="67" spans="3:25" x14ac:dyDescent="0.35">
      <c r="C67" cm="1">
        <f t="array" aca="1" ref="C67" ca="1">INDEX($A$2:$A$15,RANDBETWEEN(1,ROWS($A$2:$A$15)),1)</f>
        <v>1</v>
      </c>
      <c r="D67" cm="1">
        <f t="array" aca="1" ref="D67" ca="1">INDEX($A$2:$A$15,RANDBETWEEN(1,ROWS($A$2:$A$15)),1)</f>
        <v>3</v>
      </c>
      <c r="E67" cm="1">
        <f t="array" aca="1" ref="E67" ca="1">INDEX($A$2:$A$15,RANDBETWEEN(1,ROWS($A$2:$A$15)),1)</f>
        <v>4</v>
      </c>
      <c r="F67" cm="1">
        <f t="array" aca="1" ref="F67" ca="1">INDEX($A$2:$A$15,RANDBETWEEN(1,ROWS($A$2:$A$15)),1)</f>
        <v>8</v>
      </c>
      <c r="G67" cm="1">
        <f t="array" aca="1" ref="G67" ca="1">INDEX($A$2:$A$15,RANDBETWEEN(1,ROWS($A$2:$A$15)),1)</f>
        <v>3</v>
      </c>
      <c r="H67" cm="1">
        <f t="array" aca="1" ref="H67" ca="1">INDEX($A$2:$A$15,RANDBETWEEN(1,ROWS($A$2:$A$15)),1)</f>
        <v>4</v>
      </c>
      <c r="I67" cm="1">
        <f t="array" aca="1" ref="I67" ca="1">INDEX($A$2:$A$15,RANDBETWEEN(1,ROWS($A$2:$A$15)),1)</f>
        <v>3</v>
      </c>
      <c r="J67" cm="1">
        <f t="array" aca="1" ref="J67" ca="1">INDEX($A$2:$A$15,RANDBETWEEN(1,ROWS($A$2:$A$15)),1)</f>
        <v>1</v>
      </c>
      <c r="K67" cm="1">
        <f t="array" aca="1" ref="K67" ca="1">INDEX($A$2:$A$15,RANDBETWEEN(1,ROWS($A$2:$A$15)),1)</f>
        <v>5</v>
      </c>
      <c r="L67" cm="1">
        <f t="array" aca="1" ref="L67" ca="1">INDEX($A$2:$A$15,RANDBETWEEN(1,ROWS($A$2:$A$15)),1)</f>
        <v>5</v>
      </c>
      <c r="M67" cm="1">
        <f t="array" aca="1" ref="M67" ca="1">INDEX($A$2:$A$15,RANDBETWEEN(1,ROWS($A$2:$A$15)),1)</f>
        <v>1</v>
      </c>
      <c r="N67" cm="1">
        <f t="array" aca="1" ref="N67" ca="1">INDEX($A$2:$A$15,RANDBETWEEN(1,ROWS($A$2:$A$15)),1)</f>
        <v>8</v>
      </c>
      <c r="O67" cm="1">
        <f t="array" aca="1" ref="O67" ca="1">INDEX($A$2:$A$15,RANDBETWEEN(1,ROWS($A$2:$A$15)),1)</f>
        <v>1</v>
      </c>
      <c r="P67" cm="1">
        <f t="array" aca="1" ref="P67" ca="1">INDEX($A$2:$A$15,RANDBETWEEN(1,ROWS($A$2:$A$15)),1)</f>
        <v>3</v>
      </c>
      <c r="Q67" cm="1">
        <f t="array" aca="1" ref="Q67" ca="1">INDEX($A$2:$A$15,RANDBETWEEN(1,ROWS($A$2:$A$15)),1)</f>
        <v>5</v>
      </c>
      <c r="R67" cm="1">
        <f t="array" aca="1" ref="R67" ca="1">INDEX($A$2:$A$15,RANDBETWEEN(1,ROWS($A$2:$A$15)),1)</f>
        <v>3</v>
      </c>
      <c r="S67" cm="1">
        <f t="array" aca="1" ref="S67" ca="1">INDEX($A$2:$A$15,RANDBETWEEN(1,ROWS($A$2:$A$15)),1)</f>
        <v>3</v>
      </c>
      <c r="V67">
        <f t="shared" ref="V67:V130" ca="1" si="4">AVERAGE(C67:S67)</f>
        <v>3.5882352941176472</v>
      </c>
      <c r="W67">
        <f t="shared" ref="W67:W130" ca="1" si="5">MEDIAN(C67:S67)</f>
        <v>3</v>
      </c>
      <c r="X67">
        <f t="shared" ref="X67:X130" ca="1" si="6">_xlfn.QUARTILE.INC(C67:S67, 3)-_xlfn.QUARTILE.INC(C67:S67,1)</f>
        <v>2</v>
      </c>
      <c r="Y67">
        <f t="shared" ref="Y67:Y130" ca="1" si="7">_xlfn.STDEV.S(C67:S67)</f>
        <v>2.1522901619383181</v>
      </c>
    </row>
    <row r="68" spans="3:25" x14ac:dyDescent="0.35">
      <c r="C68" cm="1">
        <f t="array" aca="1" ref="C68" ca="1">INDEX($A$2:$A$15,RANDBETWEEN(1,ROWS($A$2:$A$15)),1)</f>
        <v>1</v>
      </c>
      <c r="D68" cm="1">
        <f t="array" aca="1" ref="D68" ca="1">INDEX($A$2:$A$15,RANDBETWEEN(1,ROWS($A$2:$A$15)),1)</f>
        <v>3</v>
      </c>
      <c r="E68" cm="1">
        <f t="array" aca="1" ref="E68" ca="1">INDEX($A$2:$A$15,RANDBETWEEN(1,ROWS($A$2:$A$15)),1)</f>
        <v>7</v>
      </c>
      <c r="F68" cm="1">
        <f t="array" aca="1" ref="F68" ca="1">INDEX($A$2:$A$15,RANDBETWEEN(1,ROWS($A$2:$A$15)),1)</f>
        <v>1</v>
      </c>
      <c r="G68" cm="1">
        <f t="array" aca="1" ref="G68" ca="1">INDEX($A$2:$A$15,RANDBETWEEN(1,ROWS($A$2:$A$15)),1)</f>
        <v>3</v>
      </c>
      <c r="H68" cm="1">
        <f t="array" aca="1" ref="H68" ca="1">INDEX($A$2:$A$15,RANDBETWEEN(1,ROWS($A$2:$A$15)),1)</f>
        <v>8</v>
      </c>
      <c r="I68" cm="1">
        <f t="array" aca="1" ref="I68" ca="1">INDEX($A$2:$A$15,RANDBETWEEN(1,ROWS($A$2:$A$15)),1)</f>
        <v>5</v>
      </c>
      <c r="J68" cm="1">
        <f t="array" aca="1" ref="J68" ca="1">INDEX($A$2:$A$15,RANDBETWEEN(1,ROWS($A$2:$A$15)),1)</f>
        <v>8</v>
      </c>
      <c r="K68" cm="1">
        <f t="array" aca="1" ref="K68" ca="1">INDEX($A$2:$A$15,RANDBETWEEN(1,ROWS($A$2:$A$15)),1)</f>
        <v>1</v>
      </c>
      <c r="L68" cm="1">
        <f t="array" aca="1" ref="L68" ca="1">INDEX($A$2:$A$15,RANDBETWEEN(1,ROWS($A$2:$A$15)),1)</f>
        <v>5</v>
      </c>
      <c r="M68" cm="1">
        <f t="array" aca="1" ref="M68" ca="1">INDEX($A$2:$A$15,RANDBETWEEN(1,ROWS($A$2:$A$15)),1)</f>
        <v>3</v>
      </c>
      <c r="N68" cm="1">
        <f t="array" aca="1" ref="N68" ca="1">INDEX($A$2:$A$15,RANDBETWEEN(1,ROWS($A$2:$A$15)),1)</f>
        <v>1</v>
      </c>
      <c r="O68" cm="1">
        <f t="array" aca="1" ref="O68" ca="1">INDEX($A$2:$A$15,RANDBETWEEN(1,ROWS($A$2:$A$15)),1)</f>
        <v>4</v>
      </c>
      <c r="P68" cm="1">
        <f t="array" aca="1" ref="P68" ca="1">INDEX($A$2:$A$15,RANDBETWEEN(1,ROWS($A$2:$A$15)),1)</f>
        <v>5</v>
      </c>
      <c r="Q68" cm="1">
        <f t="array" aca="1" ref="Q68" ca="1">INDEX($A$2:$A$15,RANDBETWEEN(1,ROWS($A$2:$A$15)),1)</f>
        <v>1</v>
      </c>
      <c r="R68" cm="1">
        <f t="array" aca="1" ref="R68" ca="1">INDEX($A$2:$A$15,RANDBETWEEN(1,ROWS($A$2:$A$15)),1)</f>
        <v>4</v>
      </c>
      <c r="S68" cm="1">
        <f t="array" aca="1" ref="S68" ca="1">INDEX($A$2:$A$15,RANDBETWEEN(1,ROWS($A$2:$A$15)),1)</f>
        <v>1</v>
      </c>
      <c r="V68">
        <f t="shared" ca="1" si="4"/>
        <v>3.5882352941176472</v>
      </c>
      <c r="W68">
        <f t="shared" ca="1" si="5"/>
        <v>3</v>
      </c>
      <c r="X68">
        <f t="shared" ca="1" si="6"/>
        <v>4</v>
      </c>
      <c r="Y68">
        <f t="shared" ca="1" si="7"/>
        <v>2.4763588070343263</v>
      </c>
    </row>
    <row r="69" spans="3:25" x14ac:dyDescent="0.35">
      <c r="C69" cm="1">
        <f t="array" aca="1" ref="C69" ca="1">INDEX($A$2:$A$15,RANDBETWEEN(1,ROWS($A$2:$A$15)),1)</f>
        <v>4</v>
      </c>
      <c r="D69" cm="1">
        <f t="array" aca="1" ref="D69" ca="1">INDEX($A$2:$A$15,RANDBETWEEN(1,ROWS($A$2:$A$15)),1)</f>
        <v>5</v>
      </c>
      <c r="E69" cm="1">
        <f t="array" aca="1" ref="E69" ca="1">INDEX($A$2:$A$15,RANDBETWEEN(1,ROWS($A$2:$A$15)),1)</f>
        <v>1</v>
      </c>
      <c r="F69" cm="1">
        <f t="array" aca="1" ref="F69" ca="1">INDEX($A$2:$A$15,RANDBETWEEN(1,ROWS($A$2:$A$15)),1)</f>
        <v>5</v>
      </c>
      <c r="G69" cm="1">
        <f t="array" aca="1" ref="G69" ca="1">INDEX($A$2:$A$15,RANDBETWEEN(1,ROWS($A$2:$A$15)),1)</f>
        <v>1</v>
      </c>
      <c r="H69" cm="1">
        <f t="array" aca="1" ref="H69" ca="1">INDEX($A$2:$A$15,RANDBETWEEN(1,ROWS($A$2:$A$15)),1)</f>
        <v>1</v>
      </c>
      <c r="I69" cm="1">
        <f t="array" aca="1" ref="I69" ca="1">INDEX($A$2:$A$15,RANDBETWEEN(1,ROWS($A$2:$A$15)),1)</f>
        <v>1</v>
      </c>
      <c r="J69" cm="1">
        <f t="array" aca="1" ref="J69" ca="1">INDEX($A$2:$A$15,RANDBETWEEN(1,ROWS($A$2:$A$15)),1)</f>
        <v>1</v>
      </c>
      <c r="K69" cm="1">
        <f t="array" aca="1" ref="K69" ca="1">INDEX($A$2:$A$15,RANDBETWEEN(1,ROWS($A$2:$A$15)),1)</f>
        <v>1</v>
      </c>
      <c r="L69" cm="1">
        <f t="array" aca="1" ref="L69" ca="1">INDEX($A$2:$A$15,RANDBETWEEN(1,ROWS($A$2:$A$15)),1)</f>
        <v>4</v>
      </c>
      <c r="M69" cm="1">
        <f t="array" aca="1" ref="M69" ca="1">INDEX($A$2:$A$15,RANDBETWEEN(1,ROWS($A$2:$A$15)),1)</f>
        <v>1</v>
      </c>
      <c r="N69" cm="1">
        <f t="array" aca="1" ref="N69" ca="1">INDEX($A$2:$A$15,RANDBETWEEN(1,ROWS($A$2:$A$15)),1)</f>
        <v>1</v>
      </c>
      <c r="O69" cm="1">
        <f t="array" aca="1" ref="O69" ca="1">INDEX($A$2:$A$15,RANDBETWEEN(1,ROWS($A$2:$A$15)),1)</f>
        <v>1</v>
      </c>
      <c r="P69" cm="1">
        <f t="array" aca="1" ref="P69" ca="1">INDEX($A$2:$A$15,RANDBETWEEN(1,ROWS($A$2:$A$15)),1)</f>
        <v>3</v>
      </c>
      <c r="Q69" cm="1">
        <f t="array" aca="1" ref="Q69" ca="1">INDEX($A$2:$A$15,RANDBETWEEN(1,ROWS($A$2:$A$15)),1)</f>
        <v>3</v>
      </c>
      <c r="R69" cm="1">
        <f t="array" aca="1" ref="R69" ca="1">INDEX($A$2:$A$15,RANDBETWEEN(1,ROWS($A$2:$A$15)),1)</f>
        <v>1</v>
      </c>
      <c r="S69" cm="1">
        <f t="array" aca="1" ref="S69" ca="1">INDEX($A$2:$A$15,RANDBETWEEN(1,ROWS($A$2:$A$15)),1)</f>
        <v>1</v>
      </c>
      <c r="V69">
        <f t="shared" ca="1" si="4"/>
        <v>2.0588235294117645</v>
      </c>
      <c r="W69">
        <f t="shared" ca="1" si="5"/>
        <v>1</v>
      </c>
      <c r="X69">
        <f t="shared" ca="1" si="6"/>
        <v>2</v>
      </c>
      <c r="Y69">
        <f t="shared" ca="1" si="7"/>
        <v>1.5600716423971575</v>
      </c>
    </row>
    <row r="70" spans="3:25" x14ac:dyDescent="0.35">
      <c r="C70" cm="1">
        <f t="array" aca="1" ref="C70" ca="1">INDEX($A$2:$A$15,RANDBETWEEN(1,ROWS($A$2:$A$15)),1)</f>
        <v>3</v>
      </c>
      <c r="D70" cm="1">
        <f t="array" aca="1" ref="D70" ca="1">INDEX($A$2:$A$15,RANDBETWEEN(1,ROWS($A$2:$A$15)),1)</f>
        <v>3</v>
      </c>
      <c r="E70" cm="1">
        <f t="array" aca="1" ref="E70" ca="1">INDEX($A$2:$A$15,RANDBETWEEN(1,ROWS($A$2:$A$15)),1)</f>
        <v>2</v>
      </c>
      <c r="F70" cm="1">
        <f t="array" aca="1" ref="F70" ca="1">INDEX($A$2:$A$15,RANDBETWEEN(1,ROWS($A$2:$A$15)),1)</f>
        <v>5</v>
      </c>
      <c r="G70" cm="1">
        <f t="array" aca="1" ref="G70" ca="1">INDEX($A$2:$A$15,RANDBETWEEN(1,ROWS($A$2:$A$15)),1)</f>
        <v>8</v>
      </c>
      <c r="H70" cm="1">
        <f t="array" aca="1" ref="H70" ca="1">INDEX($A$2:$A$15,RANDBETWEEN(1,ROWS($A$2:$A$15)),1)</f>
        <v>4</v>
      </c>
      <c r="I70" cm="1">
        <f t="array" aca="1" ref="I70" ca="1">INDEX($A$2:$A$15,RANDBETWEEN(1,ROWS($A$2:$A$15)),1)</f>
        <v>4</v>
      </c>
      <c r="J70" cm="1">
        <f t="array" aca="1" ref="J70" ca="1">INDEX($A$2:$A$15,RANDBETWEEN(1,ROWS($A$2:$A$15)),1)</f>
        <v>1</v>
      </c>
      <c r="K70" cm="1">
        <f t="array" aca="1" ref="K70" ca="1">INDEX($A$2:$A$15,RANDBETWEEN(1,ROWS($A$2:$A$15)),1)</f>
        <v>2</v>
      </c>
      <c r="L70" cm="1">
        <f t="array" aca="1" ref="L70" ca="1">INDEX($A$2:$A$15,RANDBETWEEN(1,ROWS($A$2:$A$15)),1)</f>
        <v>1</v>
      </c>
      <c r="M70" cm="1">
        <f t="array" aca="1" ref="M70" ca="1">INDEX($A$2:$A$15,RANDBETWEEN(1,ROWS($A$2:$A$15)),1)</f>
        <v>5</v>
      </c>
      <c r="N70" cm="1">
        <f t="array" aca="1" ref="N70" ca="1">INDEX($A$2:$A$15,RANDBETWEEN(1,ROWS($A$2:$A$15)),1)</f>
        <v>5</v>
      </c>
      <c r="O70" cm="1">
        <f t="array" aca="1" ref="O70" ca="1">INDEX($A$2:$A$15,RANDBETWEEN(1,ROWS($A$2:$A$15)),1)</f>
        <v>1</v>
      </c>
      <c r="P70" cm="1">
        <f t="array" aca="1" ref="P70" ca="1">INDEX($A$2:$A$15,RANDBETWEEN(1,ROWS($A$2:$A$15)),1)</f>
        <v>5</v>
      </c>
      <c r="Q70" cm="1">
        <f t="array" aca="1" ref="Q70" ca="1">INDEX($A$2:$A$15,RANDBETWEEN(1,ROWS($A$2:$A$15)),1)</f>
        <v>1</v>
      </c>
      <c r="R70" cm="1">
        <f t="array" aca="1" ref="R70" ca="1">INDEX($A$2:$A$15,RANDBETWEEN(1,ROWS($A$2:$A$15)),1)</f>
        <v>1</v>
      </c>
      <c r="S70" cm="1">
        <f t="array" aca="1" ref="S70" ca="1">INDEX($A$2:$A$15,RANDBETWEEN(1,ROWS($A$2:$A$15)),1)</f>
        <v>4</v>
      </c>
      <c r="V70">
        <f t="shared" ca="1" si="4"/>
        <v>3.2352941176470589</v>
      </c>
      <c r="W70">
        <f t="shared" ca="1" si="5"/>
        <v>3</v>
      </c>
      <c r="X70">
        <f t="shared" ca="1" si="6"/>
        <v>4</v>
      </c>
      <c r="Y70">
        <f t="shared" ca="1" si="7"/>
        <v>2.0164762509358338</v>
      </c>
    </row>
    <row r="71" spans="3:25" x14ac:dyDescent="0.35">
      <c r="C71" cm="1">
        <f t="array" aca="1" ref="C71" ca="1">INDEX($A$2:$A$15,RANDBETWEEN(1,ROWS($A$2:$A$15)),1)</f>
        <v>3</v>
      </c>
      <c r="D71" cm="1">
        <f t="array" aca="1" ref="D71" ca="1">INDEX($A$2:$A$15,RANDBETWEEN(1,ROWS($A$2:$A$15)),1)</f>
        <v>3</v>
      </c>
      <c r="E71" cm="1">
        <f t="array" aca="1" ref="E71" ca="1">INDEX($A$2:$A$15,RANDBETWEEN(1,ROWS($A$2:$A$15)),1)</f>
        <v>8</v>
      </c>
      <c r="F71" cm="1">
        <f t="array" aca="1" ref="F71" ca="1">INDEX($A$2:$A$15,RANDBETWEEN(1,ROWS($A$2:$A$15)),1)</f>
        <v>3</v>
      </c>
      <c r="G71" cm="1">
        <f t="array" aca="1" ref="G71" ca="1">INDEX($A$2:$A$15,RANDBETWEEN(1,ROWS($A$2:$A$15)),1)</f>
        <v>5</v>
      </c>
      <c r="H71" cm="1">
        <f t="array" aca="1" ref="H71" ca="1">INDEX($A$2:$A$15,RANDBETWEEN(1,ROWS($A$2:$A$15)),1)</f>
        <v>5</v>
      </c>
      <c r="I71" cm="1">
        <f t="array" aca="1" ref="I71" ca="1">INDEX($A$2:$A$15,RANDBETWEEN(1,ROWS($A$2:$A$15)),1)</f>
        <v>1</v>
      </c>
      <c r="J71" cm="1">
        <f t="array" aca="1" ref="J71" ca="1">INDEX($A$2:$A$15,RANDBETWEEN(1,ROWS($A$2:$A$15)),1)</f>
        <v>5</v>
      </c>
      <c r="K71" cm="1">
        <f t="array" aca="1" ref="K71" ca="1">INDEX($A$2:$A$15,RANDBETWEEN(1,ROWS($A$2:$A$15)),1)</f>
        <v>5</v>
      </c>
      <c r="L71" cm="1">
        <f t="array" aca="1" ref="L71" ca="1">INDEX($A$2:$A$15,RANDBETWEEN(1,ROWS($A$2:$A$15)),1)</f>
        <v>2</v>
      </c>
      <c r="M71" cm="1">
        <f t="array" aca="1" ref="M71" ca="1">INDEX($A$2:$A$15,RANDBETWEEN(1,ROWS($A$2:$A$15)),1)</f>
        <v>5</v>
      </c>
      <c r="N71" cm="1">
        <f t="array" aca="1" ref="N71" ca="1">INDEX($A$2:$A$15,RANDBETWEEN(1,ROWS($A$2:$A$15)),1)</f>
        <v>8</v>
      </c>
      <c r="O71" cm="1">
        <f t="array" aca="1" ref="O71" ca="1">INDEX($A$2:$A$15,RANDBETWEEN(1,ROWS($A$2:$A$15)),1)</f>
        <v>8</v>
      </c>
      <c r="P71" cm="1">
        <f t="array" aca="1" ref="P71" ca="1">INDEX($A$2:$A$15,RANDBETWEEN(1,ROWS($A$2:$A$15)),1)</f>
        <v>7</v>
      </c>
      <c r="Q71" cm="1">
        <f t="array" aca="1" ref="Q71" ca="1">INDEX($A$2:$A$15,RANDBETWEEN(1,ROWS($A$2:$A$15)),1)</f>
        <v>4</v>
      </c>
      <c r="R71" cm="1">
        <f t="array" aca="1" ref="R71" ca="1">INDEX($A$2:$A$15,RANDBETWEEN(1,ROWS($A$2:$A$15)),1)</f>
        <v>1</v>
      </c>
      <c r="S71" cm="1">
        <f t="array" aca="1" ref="S71" ca="1">INDEX($A$2:$A$15,RANDBETWEEN(1,ROWS($A$2:$A$15)),1)</f>
        <v>1</v>
      </c>
      <c r="V71">
        <f t="shared" ca="1" si="4"/>
        <v>4.3529411764705879</v>
      </c>
      <c r="W71">
        <f t="shared" ca="1" si="5"/>
        <v>5</v>
      </c>
      <c r="X71">
        <f t="shared" ca="1" si="6"/>
        <v>2</v>
      </c>
      <c r="Y71">
        <f t="shared" ca="1" si="7"/>
        <v>2.4223226578685857</v>
      </c>
    </row>
    <row r="72" spans="3:25" x14ac:dyDescent="0.35">
      <c r="C72" cm="1">
        <f t="array" aca="1" ref="C72" ca="1">INDEX($A$2:$A$15,RANDBETWEEN(1,ROWS($A$2:$A$15)),1)</f>
        <v>7</v>
      </c>
      <c r="D72" cm="1">
        <f t="array" aca="1" ref="D72" ca="1">INDEX($A$2:$A$15,RANDBETWEEN(1,ROWS($A$2:$A$15)),1)</f>
        <v>5</v>
      </c>
      <c r="E72" cm="1">
        <f t="array" aca="1" ref="E72" ca="1">INDEX($A$2:$A$15,RANDBETWEEN(1,ROWS($A$2:$A$15)),1)</f>
        <v>4</v>
      </c>
      <c r="F72" cm="1">
        <f t="array" aca="1" ref="F72" ca="1">INDEX($A$2:$A$15,RANDBETWEEN(1,ROWS($A$2:$A$15)),1)</f>
        <v>5</v>
      </c>
      <c r="G72" cm="1">
        <f t="array" aca="1" ref="G72" ca="1">INDEX($A$2:$A$15,RANDBETWEEN(1,ROWS($A$2:$A$15)),1)</f>
        <v>7</v>
      </c>
      <c r="H72" cm="1">
        <f t="array" aca="1" ref="H72" ca="1">INDEX($A$2:$A$15,RANDBETWEEN(1,ROWS($A$2:$A$15)),1)</f>
        <v>3</v>
      </c>
      <c r="I72" cm="1">
        <f t="array" aca="1" ref="I72" ca="1">INDEX($A$2:$A$15,RANDBETWEEN(1,ROWS($A$2:$A$15)),1)</f>
        <v>5</v>
      </c>
      <c r="J72" cm="1">
        <f t="array" aca="1" ref="J72" ca="1">INDEX($A$2:$A$15,RANDBETWEEN(1,ROWS($A$2:$A$15)),1)</f>
        <v>5</v>
      </c>
      <c r="K72" cm="1">
        <f t="array" aca="1" ref="K72" ca="1">INDEX($A$2:$A$15,RANDBETWEEN(1,ROWS($A$2:$A$15)),1)</f>
        <v>5</v>
      </c>
      <c r="L72" cm="1">
        <f t="array" aca="1" ref="L72" ca="1">INDEX($A$2:$A$15,RANDBETWEEN(1,ROWS($A$2:$A$15)),1)</f>
        <v>1</v>
      </c>
      <c r="M72" cm="1">
        <f t="array" aca="1" ref="M72" ca="1">INDEX($A$2:$A$15,RANDBETWEEN(1,ROWS($A$2:$A$15)),1)</f>
        <v>5</v>
      </c>
      <c r="N72" cm="1">
        <f t="array" aca="1" ref="N72" ca="1">INDEX($A$2:$A$15,RANDBETWEEN(1,ROWS($A$2:$A$15)),1)</f>
        <v>5</v>
      </c>
      <c r="O72" cm="1">
        <f t="array" aca="1" ref="O72" ca="1">INDEX($A$2:$A$15,RANDBETWEEN(1,ROWS($A$2:$A$15)),1)</f>
        <v>1</v>
      </c>
      <c r="P72" cm="1">
        <f t="array" aca="1" ref="P72" ca="1">INDEX($A$2:$A$15,RANDBETWEEN(1,ROWS($A$2:$A$15)),1)</f>
        <v>7</v>
      </c>
      <c r="Q72" cm="1">
        <f t="array" aca="1" ref="Q72" ca="1">INDEX($A$2:$A$15,RANDBETWEEN(1,ROWS($A$2:$A$15)),1)</f>
        <v>5</v>
      </c>
      <c r="R72" cm="1">
        <f t="array" aca="1" ref="R72" ca="1">INDEX($A$2:$A$15,RANDBETWEEN(1,ROWS($A$2:$A$15)),1)</f>
        <v>5</v>
      </c>
      <c r="S72" cm="1">
        <f t="array" aca="1" ref="S72" ca="1">INDEX($A$2:$A$15,RANDBETWEEN(1,ROWS($A$2:$A$15)),1)</f>
        <v>5</v>
      </c>
      <c r="V72">
        <f t="shared" ca="1" si="4"/>
        <v>4.7058823529411766</v>
      </c>
      <c r="W72">
        <f t="shared" ca="1" si="5"/>
        <v>5</v>
      </c>
      <c r="X72">
        <f t="shared" ca="1" si="6"/>
        <v>0</v>
      </c>
      <c r="Y72">
        <f t="shared" ca="1" si="7"/>
        <v>1.7235394498804244</v>
      </c>
    </row>
    <row r="73" spans="3:25" x14ac:dyDescent="0.35">
      <c r="C73" cm="1">
        <f t="array" aca="1" ref="C73" ca="1">INDEX($A$2:$A$15,RANDBETWEEN(1,ROWS($A$2:$A$15)),1)</f>
        <v>4</v>
      </c>
      <c r="D73" cm="1">
        <f t="array" aca="1" ref="D73" ca="1">INDEX($A$2:$A$15,RANDBETWEEN(1,ROWS($A$2:$A$15)),1)</f>
        <v>1</v>
      </c>
      <c r="E73" cm="1">
        <f t="array" aca="1" ref="E73" ca="1">INDEX($A$2:$A$15,RANDBETWEEN(1,ROWS($A$2:$A$15)),1)</f>
        <v>5</v>
      </c>
      <c r="F73" cm="1">
        <f t="array" aca="1" ref="F73" ca="1">INDEX($A$2:$A$15,RANDBETWEEN(1,ROWS($A$2:$A$15)),1)</f>
        <v>5</v>
      </c>
      <c r="G73" cm="1">
        <f t="array" aca="1" ref="G73" ca="1">INDEX($A$2:$A$15,RANDBETWEEN(1,ROWS($A$2:$A$15)),1)</f>
        <v>3</v>
      </c>
      <c r="H73" cm="1">
        <f t="array" aca="1" ref="H73" ca="1">INDEX($A$2:$A$15,RANDBETWEEN(1,ROWS($A$2:$A$15)),1)</f>
        <v>8</v>
      </c>
      <c r="I73" cm="1">
        <f t="array" aca="1" ref="I73" ca="1">INDEX($A$2:$A$15,RANDBETWEEN(1,ROWS($A$2:$A$15)),1)</f>
        <v>3</v>
      </c>
      <c r="J73" cm="1">
        <f t="array" aca="1" ref="J73" ca="1">INDEX($A$2:$A$15,RANDBETWEEN(1,ROWS($A$2:$A$15)),1)</f>
        <v>3</v>
      </c>
      <c r="K73" cm="1">
        <f t="array" aca="1" ref="K73" ca="1">INDEX($A$2:$A$15,RANDBETWEEN(1,ROWS($A$2:$A$15)),1)</f>
        <v>4</v>
      </c>
      <c r="L73" cm="1">
        <f t="array" aca="1" ref="L73" ca="1">INDEX($A$2:$A$15,RANDBETWEEN(1,ROWS($A$2:$A$15)),1)</f>
        <v>1</v>
      </c>
      <c r="M73" cm="1">
        <f t="array" aca="1" ref="M73" ca="1">INDEX($A$2:$A$15,RANDBETWEEN(1,ROWS($A$2:$A$15)),1)</f>
        <v>1</v>
      </c>
      <c r="N73" cm="1">
        <f t="array" aca="1" ref="N73" ca="1">INDEX($A$2:$A$15,RANDBETWEEN(1,ROWS($A$2:$A$15)),1)</f>
        <v>3</v>
      </c>
      <c r="O73" cm="1">
        <f t="array" aca="1" ref="O73" ca="1">INDEX($A$2:$A$15,RANDBETWEEN(1,ROWS($A$2:$A$15)),1)</f>
        <v>5</v>
      </c>
      <c r="P73" cm="1">
        <f t="array" aca="1" ref="P73" ca="1">INDEX($A$2:$A$15,RANDBETWEEN(1,ROWS($A$2:$A$15)),1)</f>
        <v>1</v>
      </c>
      <c r="Q73" cm="1">
        <f t="array" aca="1" ref="Q73" ca="1">INDEX($A$2:$A$15,RANDBETWEEN(1,ROWS($A$2:$A$15)),1)</f>
        <v>8</v>
      </c>
      <c r="R73" cm="1">
        <f t="array" aca="1" ref="R73" ca="1">INDEX($A$2:$A$15,RANDBETWEEN(1,ROWS($A$2:$A$15)),1)</f>
        <v>4</v>
      </c>
      <c r="S73" cm="1">
        <f t="array" aca="1" ref="S73" ca="1">INDEX($A$2:$A$15,RANDBETWEEN(1,ROWS($A$2:$A$15)),1)</f>
        <v>3</v>
      </c>
      <c r="V73">
        <f t="shared" ca="1" si="4"/>
        <v>3.6470588235294117</v>
      </c>
      <c r="W73">
        <f t="shared" ca="1" si="5"/>
        <v>3</v>
      </c>
      <c r="X73">
        <f t="shared" ca="1" si="6"/>
        <v>2</v>
      </c>
      <c r="Y73">
        <f t="shared" ca="1" si="7"/>
        <v>2.1488711126597448</v>
      </c>
    </row>
    <row r="74" spans="3:25" x14ac:dyDescent="0.35">
      <c r="C74" cm="1">
        <f t="array" aca="1" ref="C74" ca="1">INDEX($A$2:$A$15,RANDBETWEEN(1,ROWS($A$2:$A$15)),1)</f>
        <v>1</v>
      </c>
      <c r="D74" cm="1">
        <f t="array" aca="1" ref="D74" ca="1">INDEX($A$2:$A$15,RANDBETWEEN(1,ROWS($A$2:$A$15)),1)</f>
        <v>8</v>
      </c>
      <c r="E74" cm="1">
        <f t="array" aca="1" ref="E74" ca="1">INDEX($A$2:$A$15,RANDBETWEEN(1,ROWS($A$2:$A$15)),1)</f>
        <v>5</v>
      </c>
      <c r="F74" cm="1">
        <f t="array" aca="1" ref="F74" ca="1">INDEX($A$2:$A$15,RANDBETWEEN(1,ROWS($A$2:$A$15)),1)</f>
        <v>3</v>
      </c>
      <c r="G74" cm="1">
        <f t="array" aca="1" ref="G74" ca="1">INDEX($A$2:$A$15,RANDBETWEEN(1,ROWS($A$2:$A$15)),1)</f>
        <v>4</v>
      </c>
      <c r="H74" cm="1">
        <f t="array" aca="1" ref="H74" ca="1">INDEX($A$2:$A$15,RANDBETWEEN(1,ROWS($A$2:$A$15)),1)</f>
        <v>5</v>
      </c>
      <c r="I74" cm="1">
        <f t="array" aca="1" ref="I74" ca="1">INDEX($A$2:$A$15,RANDBETWEEN(1,ROWS($A$2:$A$15)),1)</f>
        <v>5</v>
      </c>
      <c r="J74" cm="1">
        <f t="array" aca="1" ref="J74" ca="1">INDEX($A$2:$A$15,RANDBETWEEN(1,ROWS($A$2:$A$15)),1)</f>
        <v>3</v>
      </c>
      <c r="K74" cm="1">
        <f t="array" aca="1" ref="K74" ca="1">INDEX($A$2:$A$15,RANDBETWEEN(1,ROWS($A$2:$A$15)),1)</f>
        <v>8</v>
      </c>
      <c r="L74" cm="1">
        <f t="array" aca="1" ref="L74" ca="1">INDEX($A$2:$A$15,RANDBETWEEN(1,ROWS($A$2:$A$15)),1)</f>
        <v>5</v>
      </c>
      <c r="M74" cm="1">
        <f t="array" aca="1" ref="M74" ca="1">INDEX($A$2:$A$15,RANDBETWEEN(1,ROWS($A$2:$A$15)),1)</f>
        <v>5</v>
      </c>
      <c r="N74" cm="1">
        <f t="array" aca="1" ref="N74" ca="1">INDEX($A$2:$A$15,RANDBETWEEN(1,ROWS($A$2:$A$15)),1)</f>
        <v>3</v>
      </c>
      <c r="O74" cm="1">
        <f t="array" aca="1" ref="O74" ca="1">INDEX($A$2:$A$15,RANDBETWEEN(1,ROWS($A$2:$A$15)),1)</f>
        <v>5</v>
      </c>
      <c r="P74" cm="1">
        <f t="array" aca="1" ref="P74" ca="1">INDEX($A$2:$A$15,RANDBETWEEN(1,ROWS($A$2:$A$15)),1)</f>
        <v>5</v>
      </c>
      <c r="Q74" cm="1">
        <f t="array" aca="1" ref="Q74" ca="1">INDEX($A$2:$A$15,RANDBETWEEN(1,ROWS($A$2:$A$15)),1)</f>
        <v>4</v>
      </c>
      <c r="R74" cm="1">
        <f t="array" aca="1" ref="R74" ca="1">INDEX($A$2:$A$15,RANDBETWEEN(1,ROWS($A$2:$A$15)),1)</f>
        <v>5</v>
      </c>
      <c r="S74" cm="1">
        <f t="array" aca="1" ref="S74" ca="1">INDEX($A$2:$A$15,RANDBETWEEN(1,ROWS($A$2:$A$15)),1)</f>
        <v>4</v>
      </c>
      <c r="V74">
        <f t="shared" ca="1" si="4"/>
        <v>4.5882352941176467</v>
      </c>
      <c r="W74">
        <f t="shared" ca="1" si="5"/>
        <v>5</v>
      </c>
      <c r="X74">
        <f t="shared" ca="1" si="6"/>
        <v>1</v>
      </c>
      <c r="Y74">
        <f t="shared" ca="1" si="7"/>
        <v>1.6977493752543309</v>
      </c>
    </row>
    <row r="75" spans="3:25" x14ac:dyDescent="0.35">
      <c r="C75" cm="1">
        <f t="array" aca="1" ref="C75" ca="1">INDEX($A$2:$A$15,RANDBETWEEN(1,ROWS($A$2:$A$15)),1)</f>
        <v>5</v>
      </c>
      <c r="D75" cm="1">
        <f t="array" aca="1" ref="D75" ca="1">INDEX($A$2:$A$15,RANDBETWEEN(1,ROWS($A$2:$A$15)),1)</f>
        <v>4</v>
      </c>
      <c r="E75" cm="1">
        <f t="array" aca="1" ref="E75" ca="1">INDEX($A$2:$A$15,RANDBETWEEN(1,ROWS($A$2:$A$15)),1)</f>
        <v>4</v>
      </c>
      <c r="F75" cm="1">
        <f t="array" aca="1" ref="F75" ca="1">INDEX($A$2:$A$15,RANDBETWEEN(1,ROWS($A$2:$A$15)),1)</f>
        <v>2</v>
      </c>
      <c r="G75" cm="1">
        <f t="array" aca="1" ref="G75" ca="1">INDEX($A$2:$A$15,RANDBETWEEN(1,ROWS($A$2:$A$15)),1)</f>
        <v>4</v>
      </c>
      <c r="H75" cm="1">
        <f t="array" aca="1" ref="H75" ca="1">INDEX($A$2:$A$15,RANDBETWEEN(1,ROWS($A$2:$A$15)),1)</f>
        <v>2</v>
      </c>
      <c r="I75" cm="1">
        <f t="array" aca="1" ref="I75" ca="1">INDEX($A$2:$A$15,RANDBETWEEN(1,ROWS($A$2:$A$15)),1)</f>
        <v>3</v>
      </c>
      <c r="J75" cm="1">
        <f t="array" aca="1" ref="J75" ca="1">INDEX($A$2:$A$15,RANDBETWEEN(1,ROWS($A$2:$A$15)),1)</f>
        <v>1</v>
      </c>
      <c r="K75" cm="1">
        <f t="array" aca="1" ref="K75" ca="1">INDEX($A$2:$A$15,RANDBETWEEN(1,ROWS($A$2:$A$15)),1)</f>
        <v>3</v>
      </c>
      <c r="L75" cm="1">
        <f t="array" aca="1" ref="L75" ca="1">INDEX($A$2:$A$15,RANDBETWEEN(1,ROWS($A$2:$A$15)),1)</f>
        <v>8</v>
      </c>
      <c r="M75" cm="1">
        <f t="array" aca="1" ref="M75" ca="1">INDEX($A$2:$A$15,RANDBETWEEN(1,ROWS($A$2:$A$15)),1)</f>
        <v>5</v>
      </c>
      <c r="N75" cm="1">
        <f t="array" aca="1" ref="N75" ca="1">INDEX($A$2:$A$15,RANDBETWEEN(1,ROWS($A$2:$A$15)),1)</f>
        <v>5</v>
      </c>
      <c r="O75" cm="1">
        <f t="array" aca="1" ref="O75" ca="1">INDEX($A$2:$A$15,RANDBETWEEN(1,ROWS($A$2:$A$15)),1)</f>
        <v>4</v>
      </c>
      <c r="P75" cm="1">
        <f t="array" aca="1" ref="P75" ca="1">INDEX($A$2:$A$15,RANDBETWEEN(1,ROWS($A$2:$A$15)),1)</f>
        <v>3</v>
      </c>
      <c r="Q75" cm="1">
        <f t="array" aca="1" ref="Q75" ca="1">INDEX($A$2:$A$15,RANDBETWEEN(1,ROWS($A$2:$A$15)),1)</f>
        <v>1</v>
      </c>
      <c r="R75" cm="1">
        <f t="array" aca="1" ref="R75" ca="1">INDEX($A$2:$A$15,RANDBETWEEN(1,ROWS($A$2:$A$15)),1)</f>
        <v>4</v>
      </c>
      <c r="S75" cm="1">
        <f t="array" aca="1" ref="S75" ca="1">INDEX($A$2:$A$15,RANDBETWEEN(1,ROWS($A$2:$A$15)),1)</f>
        <v>5</v>
      </c>
      <c r="V75">
        <f t="shared" ca="1" si="4"/>
        <v>3.7058823529411766</v>
      </c>
      <c r="W75">
        <f t="shared" ca="1" si="5"/>
        <v>4</v>
      </c>
      <c r="X75">
        <f t="shared" ca="1" si="6"/>
        <v>2</v>
      </c>
      <c r="Y75">
        <f t="shared" ca="1" si="7"/>
        <v>1.7235394498804248</v>
      </c>
    </row>
    <row r="76" spans="3:25" x14ac:dyDescent="0.35">
      <c r="C76" cm="1">
        <f t="array" aca="1" ref="C76" ca="1">INDEX($A$2:$A$15,RANDBETWEEN(1,ROWS($A$2:$A$15)),1)</f>
        <v>5</v>
      </c>
      <c r="D76" cm="1">
        <f t="array" aca="1" ref="D76" ca="1">INDEX($A$2:$A$15,RANDBETWEEN(1,ROWS($A$2:$A$15)),1)</f>
        <v>1</v>
      </c>
      <c r="E76" cm="1">
        <f t="array" aca="1" ref="E76" ca="1">INDEX($A$2:$A$15,RANDBETWEEN(1,ROWS($A$2:$A$15)),1)</f>
        <v>4</v>
      </c>
      <c r="F76" cm="1">
        <f t="array" aca="1" ref="F76" ca="1">INDEX($A$2:$A$15,RANDBETWEEN(1,ROWS($A$2:$A$15)),1)</f>
        <v>4</v>
      </c>
      <c r="G76" cm="1">
        <f t="array" aca="1" ref="G76" ca="1">INDEX($A$2:$A$15,RANDBETWEEN(1,ROWS($A$2:$A$15)),1)</f>
        <v>3</v>
      </c>
      <c r="H76" cm="1">
        <f t="array" aca="1" ref="H76" ca="1">INDEX($A$2:$A$15,RANDBETWEEN(1,ROWS($A$2:$A$15)),1)</f>
        <v>3</v>
      </c>
      <c r="I76" cm="1">
        <f t="array" aca="1" ref="I76" ca="1">INDEX($A$2:$A$15,RANDBETWEEN(1,ROWS($A$2:$A$15)),1)</f>
        <v>5</v>
      </c>
      <c r="J76" cm="1">
        <f t="array" aca="1" ref="J76" ca="1">INDEX($A$2:$A$15,RANDBETWEEN(1,ROWS($A$2:$A$15)),1)</f>
        <v>3</v>
      </c>
      <c r="K76" cm="1">
        <f t="array" aca="1" ref="K76" ca="1">INDEX($A$2:$A$15,RANDBETWEEN(1,ROWS($A$2:$A$15)),1)</f>
        <v>7</v>
      </c>
      <c r="L76" cm="1">
        <f t="array" aca="1" ref="L76" ca="1">INDEX($A$2:$A$15,RANDBETWEEN(1,ROWS($A$2:$A$15)),1)</f>
        <v>7</v>
      </c>
      <c r="M76" cm="1">
        <f t="array" aca="1" ref="M76" ca="1">INDEX($A$2:$A$15,RANDBETWEEN(1,ROWS($A$2:$A$15)),1)</f>
        <v>1</v>
      </c>
      <c r="N76" cm="1">
        <f t="array" aca="1" ref="N76" ca="1">INDEX($A$2:$A$15,RANDBETWEEN(1,ROWS($A$2:$A$15)),1)</f>
        <v>1</v>
      </c>
      <c r="O76" cm="1">
        <f t="array" aca="1" ref="O76" ca="1">INDEX($A$2:$A$15,RANDBETWEEN(1,ROWS($A$2:$A$15)),1)</f>
        <v>4</v>
      </c>
      <c r="P76" cm="1">
        <f t="array" aca="1" ref="P76" ca="1">INDEX($A$2:$A$15,RANDBETWEEN(1,ROWS($A$2:$A$15)),1)</f>
        <v>8</v>
      </c>
      <c r="Q76" cm="1">
        <f t="array" aca="1" ref="Q76" ca="1">INDEX($A$2:$A$15,RANDBETWEEN(1,ROWS($A$2:$A$15)),1)</f>
        <v>8</v>
      </c>
      <c r="R76" cm="1">
        <f t="array" aca="1" ref="R76" ca="1">INDEX($A$2:$A$15,RANDBETWEEN(1,ROWS($A$2:$A$15)),1)</f>
        <v>5</v>
      </c>
      <c r="S76" cm="1">
        <f t="array" aca="1" ref="S76" ca="1">INDEX($A$2:$A$15,RANDBETWEEN(1,ROWS($A$2:$A$15)),1)</f>
        <v>8</v>
      </c>
      <c r="V76">
        <f t="shared" ca="1" si="4"/>
        <v>4.5294117647058822</v>
      </c>
      <c r="W76">
        <f t="shared" ca="1" si="5"/>
        <v>4</v>
      </c>
      <c r="X76">
        <f t="shared" ca="1" si="6"/>
        <v>4</v>
      </c>
      <c r="Y76">
        <f t="shared" ca="1" si="7"/>
        <v>2.4268716246132471</v>
      </c>
    </row>
    <row r="77" spans="3:25" x14ac:dyDescent="0.35">
      <c r="C77" cm="1">
        <f t="array" aca="1" ref="C77" ca="1">INDEX($A$2:$A$15,RANDBETWEEN(1,ROWS($A$2:$A$15)),1)</f>
        <v>4</v>
      </c>
      <c r="D77" cm="1">
        <f t="array" aca="1" ref="D77" ca="1">INDEX($A$2:$A$15,RANDBETWEEN(1,ROWS($A$2:$A$15)),1)</f>
        <v>5</v>
      </c>
      <c r="E77" cm="1">
        <f t="array" aca="1" ref="E77" ca="1">INDEX($A$2:$A$15,RANDBETWEEN(1,ROWS($A$2:$A$15)),1)</f>
        <v>2</v>
      </c>
      <c r="F77" cm="1">
        <f t="array" aca="1" ref="F77" ca="1">INDEX($A$2:$A$15,RANDBETWEEN(1,ROWS($A$2:$A$15)),1)</f>
        <v>1</v>
      </c>
      <c r="G77" cm="1">
        <f t="array" aca="1" ref="G77" ca="1">INDEX($A$2:$A$15,RANDBETWEEN(1,ROWS($A$2:$A$15)),1)</f>
        <v>3</v>
      </c>
      <c r="H77" cm="1">
        <f t="array" aca="1" ref="H77" ca="1">INDEX($A$2:$A$15,RANDBETWEEN(1,ROWS($A$2:$A$15)),1)</f>
        <v>5</v>
      </c>
      <c r="I77" cm="1">
        <f t="array" aca="1" ref="I77" ca="1">INDEX($A$2:$A$15,RANDBETWEEN(1,ROWS($A$2:$A$15)),1)</f>
        <v>3</v>
      </c>
      <c r="J77" cm="1">
        <f t="array" aca="1" ref="J77" ca="1">INDEX($A$2:$A$15,RANDBETWEEN(1,ROWS($A$2:$A$15)),1)</f>
        <v>4</v>
      </c>
      <c r="K77" cm="1">
        <f t="array" aca="1" ref="K77" ca="1">INDEX($A$2:$A$15,RANDBETWEEN(1,ROWS($A$2:$A$15)),1)</f>
        <v>3</v>
      </c>
      <c r="L77" cm="1">
        <f t="array" aca="1" ref="L77" ca="1">INDEX($A$2:$A$15,RANDBETWEEN(1,ROWS($A$2:$A$15)),1)</f>
        <v>5</v>
      </c>
      <c r="M77" cm="1">
        <f t="array" aca="1" ref="M77" ca="1">INDEX($A$2:$A$15,RANDBETWEEN(1,ROWS($A$2:$A$15)),1)</f>
        <v>1</v>
      </c>
      <c r="N77" cm="1">
        <f t="array" aca="1" ref="N77" ca="1">INDEX($A$2:$A$15,RANDBETWEEN(1,ROWS($A$2:$A$15)),1)</f>
        <v>3</v>
      </c>
      <c r="O77" cm="1">
        <f t="array" aca="1" ref="O77" ca="1">INDEX($A$2:$A$15,RANDBETWEEN(1,ROWS($A$2:$A$15)),1)</f>
        <v>5</v>
      </c>
      <c r="P77" cm="1">
        <f t="array" aca="1" ref="P77" ca="1">INDEX($A$2:$A$15,RANDBETWEEN(1,ROWS($A$2:$A$15)),1)</f>
        <v>5</v>
      </c>
      <c r="Q77" cm="1">
        <f t="array" aca="1" ref="Q77" ca="1">INDEX($A$2:$A$15,RANDBETWEEN(1,ROWS($A$2:$A$15)),1)</f>
        <v>3</v>
      </c>
      <c r="R77" cm="1">
        <f t="array" aca="1" ref="R77" ca="1">INDEX($A$2:$A$15,RANDBETWEEN(1,ROWS($A$2:$A$15)),1)</f>
        <v>8</v>
      </c>
      <c r="S77" cm="1">
        <f t="array" aca="1" ref="S77" ca="1">INDEX($A$2:$A$15,RANDBETWEEN(1,ROWS($A$2:$A$15)),1)</f>
        <v>1</v>
      </c>
      <c r="V77">
        <f t="shared" ca="1" si="4"/>
        <v>3.5882352941176472</v>
      </c>
      <c r="W77">
        <f t="shared" ca="1" si="5"/>
        <v>3</v>
      </c>
      <c r="X77">
        <f t="shared" ca="1" si="6"/>
        <v>2</v>
      </c>
      <c r="Y77">
        <f t="shared" ca="1" si="7"/>
        <v>1.8391174353957038</v>
      </c>
    </row>
    <row r="78" spans="3:25" x14ac:dyDescent="0.35">
      <c r="C78" cm="1">
        <f t="array" aca="1" ref="C78" ca="1">INDEX($A$2:$A$15,RANDBETWEEN(1,ROWS($A$2:$A$15)),1)</f>
        <v>1</v>
      </c>
      <c r="D78" cm="1">
        <f t="array" aca="1" ref="D78" ca="1">INDEX($A$2:$A$15,RANDBETWEEN(1,ROWS($A$2:$A$15)),1)</f>
        <v>5</v>
      </c>
      <c r="E78" cm="1">
        <f t="array" aca="1" ref="E78" ca="1">INDEX($A$2:$A$15,RANDBETWEEN(1,ROWS($A$2:$A$15)),1)</f>
        <v>8</v>
      </c>
      <c r="F78" cm="1">
        <f t="array" aca="1" ref="F78" ca="1">INDEX($A$2:$A$15,RANDBETWEEN(1,ROWS($A$2:$A$15)),1)</f>
        <v>1</v>
      </c>
      <c r="G78" cm="1">
        <f t="array" aca="1" ref="G78" ca="1">INDEX($A$2:$A$15,RANDBETWEEN(1,ROWS($A$2:$A$15)),1)</f>
        <v>7</v>
      </c>
      <c r="H78" cm="1">
        <f t="array" aca="1" ref="H78" ca="1">INDEX($A$2:$A$15,RANDBETWEEN(1,ROWS($A$2:$A$15)),1)</f>
        <v>3</v>
      </c>
      <c r="I78" cm="1">
        <f t="array" aca="1" ref="I78" ca="1">INDEX($A$2:$A$15,RANDBETWEEN(1,ROWS($A$2:$A$15)),1)</f>
        <v>1</v>
      </c>
      <c r="J78" cm="1">
        <f t="array" aca="1" ref="J78" ca="1">INDEX($A$2:$A$15,RANDBETWEEN(1,ROWS($A$2:$A$15)),1)</f>
        <v>5</v>
      </c>
      <c r="K78" cm="1">
        <f t="array" aca="1" ref="K78" ca="1">INDEX($A$2:$A$15,RANDBETWEEN(1,ROWS($A$2:$A$15)),1)</f>
        <v>3</v>
      </c>
      <c r="L78" cm="1">
        <f t="array" aca="1" ref="L78" ca="1">INDEX($A$2:$A$15,RANDBETWEEN(1,ROWS($A$2:$A$15)),1)</f>
        <v>5</v>
      </c>
      <c r="M78" cm="1">
        <f t="array" aca="1" ref="M78" ca="1">INDEX($A$2:$A$15,RANDBETWEEN(1,ROWS($A$2:$A$15)),1)</f>
        <v>7</v>
      </c>
      <c r="N78" cm="1">
        <f t="array" aca="1" ref="N78" ca="1">INDEX($A$2:$A$15,RANDBETWEEN(1,ROWS($A$2:$A$15)),1)</f>
        <v>4</v>
      </c>
      <c r="O78" cm="1">
        <f t="array" aca="1" ref="O78" ca="1">INDEX($A$2:$A$15,RANDBETWEEN(1,ROWS($A$2:$A$15)),1)</f>
        <v>4</v>
      </c>
      <c r="P78" cm="1">
        <f t="array" aca="1" ref="P78" ca="1">INDEX($A$2:$A$15,RANDBETWEEN(1,ROWS($A$2:$A$15)),1)</f>
        <v>5</v>
      </c>
      <c r="Q78" cm="1">
        <f t="array" aca="1" ref="Q78" ca="1">INDEX($A$2:$A$15,RANDBETWEEN(1,ROWS($A$2:$A$15)),1)</f>
        <v>1</v>
      </c>
      <c r="R78" cm="1">
        <f t="array" aca="1" ref="R78" ca="1">INDEX($A$2:$A$15,RANDBETWEEN(1,ROWS($A$2:$A$15)),1)</f>
        <v>8</v>
      </c>
      <c r="S78" cm="1">
        <f t="array" aca="1" ref="S78" ca="1">INDEX($A$2:$A$15,RANDBETWEEN(1,ROWS($A$2:$A$15)),1)</f>
        <v>2</v>
      </c>
      <c r="V78">
        <f t="shared" ca="1" si="4"/>
        <v>4.117647058823529</v>
      </c>
      <c r="W78">
        <f t="shared" ca="1" si="5"/>
        <v>4</v>
      </c>
      <c r="X78">
        <f t="shared" ca="1" si="6"/>
        <v>3</v>
      </c>
      <c r="Y78">
        <f t="shared" ca="1" si="7"/>
        <v>2.4464860755064719</v>
      </c>
    </row>
    <row r="79" spans="3:25" x14ac:dyDescent="0.35">
      <c r="C79" cm="1">
        <f t="array" aca="1" ref="C79" ca="1">INDEX($A$2:$A$15,RANDBETWEEN(1,ROWS($A$2:$A$15)),1)</f>
        <v>5</v>
      </c>
      <c r="D79" cm="1">
        <f t="array" aca="1" ref="D79" ca="1">INDEX($A$2:$A$15,RANDBETWEEN(1,ROWS($A$2:$A$15)),1)</f>
        <v>2</v>
      </c>
      <c r="E79" cm="1">
        <f t="array" aca="1" ref="E79" ca="1">INDEX($A$2:$A$15,RANDBETWEEN(1,ROWS($A$2:$A$15)),1)</f>
        <v>8</v>
      </c>
      <c r="F79" cm="1">
        <f t="array" aca="1" ref="F79" ca="1">INDEX($A$2:$A$15,RANDBETWEEN(1,ROWS($A$2:$A$15)),1)</f>
        <v>5</v>
      </c>
      <c r="G79" cm="1">
        <f t="array" aca="1" ref="G79" ca="1">INDEX($A$2:$A$15,RANDBETWEEN(1,ROWS($A$2:$A$15)),1)</f>
        <v>4</v>
      </c>
      <c r="H79" cm="1">
        <f t="array" aca="1" ref="H79" ca="1">INDEX($A$2:$A$15,RANDBETWEEN(1,ROWS($A$2:$A$15)),1)</f>
        <v>8</v>
      </c>
      <c r="I79" cm="1">
        <f t="array" aca="1" ref="I79" ca="1">INDEX($A$2:$A$15,RANDBETWEEN(1,ROWS($A$2:$A$15)),1)</f>
        <v>1</v>
      </c>
      <c r="J79" cm="1">
        <f t="array" aca="1" ref="J79" ca="1">INDEX($A$2:$A$15,RANDBETWEEN(1,ROWS($A$2:$A$15)),1)</f>
        <v>5</v>
      </c>
      <c r="K79" cm="1">
        <f t="array" aca="1" ref="K79" ca="1">INDEX($A$2:$A$15,RANDBETWEEN(1,ROWS($A$2:$A$15)),1)</f>
        <v>2</v>
      </c>
      <c r="L79" cm="1">
        <f t="array" aca="1" ref="L79" ca="1">INDEX($A$2:$A$15,RANDBETWEEN(1,ROWS($A$2:$A$15)),1)</f>
        <v>5</v>
      </c>
      <c r="M79" cm="1">
        <f t="array" aca="1" ref="M79" ca="1">INDEX($A$2:$A$15,RANDBETWEEN(1,ROWS($A$2:$A$15)),1)</f>
        <v>3</v>
      </c>
      <c r="N79" cm="1">
        <f t="array" aca="1" ref="N79" ca="1">INDEX($A$2:$A$15,RANDBETWEEN(1,ROWS($A$2:$A$15)),1)</f>
        <v>1</v>
      </c>
      <c r="O79" cm="1">
        <f t="array" aca="1" ref="O79" ca="1">INDEX($A$2:$A$15,RANDBETWEEN(1,ROWS($A$2:$A$15)),1)</f>
        <v>1</v>
      </c>
      <c r="P79" cm="1">
        <f t="array" aca="1" ref="P79" ca="1">INDEX($A$2:$A$15,RANDBETWEEN(1,ROWS($A$2:$A$15)),1)</f>
        <v>5</v>
      </c>
      <c r="Q79" cm="1">
        <f t="array" aca="1" ref="Q79" ca="1">INDEX($A$2:$A$15,RANDBETWEEN(1,ROWS($A$2:$A$15)),1)</f>
        <v>1</v>
      </c>
      <c r="R79" cm="1">
        <f t="array" aca="1" ref="R79" ca="1">INDEX($A$2:$A$15,RANDBETWEEN(1,ROWS($A$2:$A$15)),1)</f>
        <v>1</v>
      </c>
      <c r="S79" cm="1">
        <f t="array" aca="1" ref="S79" ca="1">INDEX($A$2:$A$15,RANDBETWEEN(1,ROWS($A$2:$A$15)),1)</f>
        <v>3</v>
      </c>
      <c r="V79">
        <f t="shared" ca="1" si="4"/>
        <v>3.5294117647058822</v>
      </c>
      <c r="W79">
        <f t="shared" ca="1" si="5"/>
        <v>3</v>
      </c>
      <c r="X79">
        <f t="shared" ca="1" si="6"/>
        <v>4</v>
      </c>
      <c r="Y79">
        <f t="shared" ca="1" si="7"/>
        <v>2.3483410915693108</v>
      </c>
    </row>
    <row r="80" spans="3:25" x14ac:dyDescent="0.35">
      <c r="C80" cm="1">
        <f t="array" aca="1" ref="C80" ca="1">INDEX($A$2:$A$15,RANDBETWEEN(1,ROWS($A$2:$A$15)),1)</f>
        <v>8</v>
      </c>
      <c r="D80" cm="1">
        <f t="array" aca="1" ref="D80" ca="1">INDEX($A$2:$A$15,RANDBETWEEN(1,ROWS($A$2:$A$15)),1)</f>
        <v>8</v>
      </c>
      <c r="E80" cm="1">
        <f t="array" aca="1" ref="E80" ca="1">INDEX($A$2:$A$15,RANDBETWEEN(1,ROWS($A$2:$A$15)),1)</f>
        <v>7</v>
      </c>
      <c r="F80" cm="1">
        <f t="array" aca="1" ref="F80" ca="1">INDEX($A$2:$A$15,RANDBETWEEN(1,ROWS($A$2:$A$15)),1)</f>
        <v>5</v>
      </c>
      <c r="G80" cm="1">
        <f t="array" aca="1" ref="G80" ca="1">INDEX($A$2:$A$15,RANDBETWEEN(1,ROWS($A$2:$A$15)),1)</f>
        <v>4</v>
      </c>
      <c r="H80" cm="1">
        <f t="array" aca="1" ref="H80" ca="1">INDEX($A$2:$A$15,RANDBETWEEN(1,ROWS($A$2:$A$15)),1)</f>
        <v>1</v>
      </c>
      <c r="I80" cm="1">
        <f t="array" aca="1" ref="I80" ca="1">INDEX($A$2:$A$15,RANDBETWEEN(1,ROWS($A$2:$A$15)),1)</f>
        <v>5</v>
      </c>
      <c r="J80" cm="1">
        <f t="array" aca="1" ref="J80" ca="1">INDEX($A$2:$A$15,RANDBETWEEN(1,ROWS($A$2:$A$15)),1)</f>
        <v>4</v>
      </c>
      <c r="K80" cm="1">
        <f t="array" aca="1" ref="K80" ca="1">INDEX($A$2:$A$15,RANDBETWEEN(1,ROWS($A$2:$A$15)),1)</f>
        <v>5</v>
      </c>
      <c r="L80" cm="1">
        <f t="array" aca="1" ref="L80" ca="1">INDEX($A$2:$A$15,RANDBETWEEN(1,ROWS($A$2:$A$15)),1)</f>
        <v>1</v>
      </c>
      <c r="M80" cm="1">
        <f t="array" aca="1" ref="M80" ca="1">INDEX($A$2:$A$15,RANDBETWEEN(1,ROWS($A$2:$A$15)),1)</f>
        <v>4</v>
      </c>
      <c r="N80" cm="1">
        <f t="array" aca="1" ref="N80" ca="1">INDEX($A$2:$A$15,RANDBETWEEN(1,ROWS($A$2:$A$15)),1)</f>
        <v>1</v>
      </c>
      <c r="O80" cm="1">
        <f t="array" aca="1" ref="O80" ca="1">INDEX($A$2:$A$15,RANDBETWEEN(1,ROWS($A$2:$A$15)),1)</f>
        <v>3</v>
      </c>
      <c r="P80" cm="1">
        <f t="array" aca="1" ref="P80" ca="1">INDEX($A$2:$A$15,RANDBETWEEN(1,ROWS($A$2:$A$15)),1)</f>
        <v>5</v>
      </c>
      <c r="Q80" cm="1">
        <f t="array" aca="1" ref="Q80" ca="1">INDEX($A$2:$A$15,RANDBETWEEN(1,ROWS($A$2:$A$15)),1)</f>
        <v>3</v>
      </c>
      <c r="R80" cm="1">
        <f t="array" aca="1" ref="R80" ca="1">INDEX($A$2:$A$15,RANDBETWEEN(1,ROWS($A$2:$A$15)),1)</f>
        <v>5</v>
      </c>
      <c r="S80" cm="1">
        <f t="array" aca="1" ref="S80" ca="1">INDEX($A$2:$A$15,RANDBETWEEN(1,ROWS($A$2:$A$15)),1)</f>
        <v>4</v>
      </c>
      <c r="V80">
        <f t="shared" ca="1" si="4"/>
        <v>4.2941176470588234</v>
      </c>
      <c r="W80">
        <f t="shared" ca="1" si="5"/>
        <v>4</v>
      </c>
      <c r="X80">
        <f t="shared" ca="1" si="6"/>
        <v>2</v>
      </c>
      <c r="Y80">
        <f t="shared" ca="1" si="7"/>
        <v>2.14373231428136</v>
      </c>
    </row>
    <row r="81" spans="3:25" x14ac:dyDescent="0.35">
      <c r="C81" cm="1">
        <f t="array" aca="1" ref="C81" ca="1">INDEX($A$2:$A$15,RANDBETWEEN(1,ROWS($A$2:$A$15)),1)</f>
        <v>7</v>
      </c>
      <c r="D81" cm="1">
        <f t="array" aca="1" ref="D81" ca="1">INDEX($A$2:$A$15,RANDBETWEEN(1,ROWS($A$2:$A$15)),1)</f>
        <v>8</v>
      </c>
      <c r="E81" cm="1">
        <f t="array" aca="1" ref="E81" ca="1">INDEX($A$2:$A$15,RANDBETWEEN(1,ROWS($A$2:$A$15)),1)</f>
        <v>5</v>
      </c>
      <c r="F81" cm="1">
        <f t="array" aca="1" ref="F81" ca="1">INDEX($A$2:$A$15,RANDBETWEEN(1,ROWS($A$2:$A$15)),1)</f>
        <v>1</v>
      </c>
      <c r="G81" cm="1">
        <f t="array" aca="1" ref="G81" ca="1">INDEX($A$2:$A$15,RANDBETWEEN(1,ROWS($A$2:$A$15)),1)</f>
        <v>4</v>
      </c>
      <c r="H81" cm="1">
        <f t="array" aca="1" ref="H81" ca="1">INDEX($A$2:$A$15,RANDBETWEEN(1,ROWS($A$2:$A$15)),1)</f>
        <v>5</v>
      </c>
      <c r="I81" cm="1">
        <f t="array" aca="1" ref="I81" ca="1">INDEX($A$2:$A$15,RANDBETWEEN(1,ROWS($A$2:$A$15)),1)</f>
        <v>5</v>
      </c>
      <c r="J81" cm="1">
        <f t="array" aca="1" ref="J81" ca="1">INDEX($A$2:$A$15,RANDBETWEEN(1,ROWS($A$2:$A$15)),1)</f>
        <v>7</v>
      </c>
      <c r="K81" cm="1">
        <f t="array" aca="1" ref="K81" ca="1">INDEX($A$2:$A$15,RANDBETWEEN(1,ROWS($A$2:$A$15)),1)</f>
        <v>3</v>
      </c>
      <c r="L81" cm="1">
        <f t="array" aca="1" ref="L81" ca="1">INDEX($A$2:$A$15,RANDBETWEEN(1,ROWS($A$2:$A$15)),1)</f>
        <v>2</v>
      </c>
      <c r="M81" cm="1">
        <f t="array" aca="1" ref="M81" ca="1">INDEX($A$2:$A$15,RANDBETWEEN(1,ROWS($A$2:$A$15)),1)</f>
        <v>3</v>
      </c>
      <c r="N81" cm="1">
        <f t="array" aca="1" ref="N81" ca="1">INDEX($A$2:$A$15,RANDBETWEEN(1,ROWS($A$2:$A$15)),1)</f>
        <v>3</v>
      </c>
      <c r="O81" cm="1">
        <f t="array" aca="1" ref="O81" ca="1">INDEX($A$2:$A$15,RANDBETWEEN(1,ROWS($A$2:$A$15)),1)</f>
        <v>1</v>
      </c>
      <c r="P81" cm="1">
        <f t="array" aca="1" ref="P81" ca="1">INDEX($A$2:$A$15,RANDBETWEEN(1,ROWS($A$2:$A$15)),1)</f>
        <v>4</v>
      </c>
      <c r="Q81" cm="1">
        <f t="array" aca="1" ref="Q81" ca="1">INDEX($A$2:$A$15,RANDBETWEEN(1,ROWS($A$2:$A$15)),1)</f>
        <v>7</v>
      </c>
      <c r="R81" cm="1">
        <f t="array" aca="1" ref="R81" ca="1">INDEX($A$2:$A$15,RANDBETWEEN(1,ROWS($A$2:$A$15)),1)</f>
        <v>3</v>
      </c>
      <c r="S81" cm="1">
        <f t="array" aca="1" ref="S81" ca="1">INDEX($A$2:$A$15,RANDBETWEEN(1,ROWS($A$2:$A$15)),1)</f>
        <v>1</v>
      </c>
      <c r="V81">
        <f t="shared" ca="1" si="4"/>
        <v>4.0588235294117645</v>
      </c>
      <c r="W81">
        <f t="shared" ca="1" si="5"/>
        <v>4</v>
      </c>
      <c r="X81">
        <f t="shared" ca="1" si="6"/>
        <v>2</v>
      </c>
      <c r="Y81">
        <f t="shared" ca="1" si="7"/>
        <v>2.2491828581535485</v>
      </c>
    </row>
    <row r="82" spans="3:25" x14ac:dyDescent="0.35">
      <c r="C82" cm="1">
        <f t="array" aca="1" ref="C82" ca="1">INDEX($A$2:$A$15,RANDBETWEEN(1,ROWS($A$2:$A$15)),1)</f>
        <v>1</v>
      </c>
      <c r="D82" cm="1">
        <f t="array" aca="1" ref="D82" ca="1">INDEX($A$2:$A$15,RANDBETWEEN(1,ROWS($A$2:$A$15)),1)</f>
        <v>3</v>
      </c>
      <c r="E82" cm="1">
        <f t="array" aca="1" ref="E82" ca="1">INDEX($A$2:$A$15,RANDBETWEEN(1,ROWS($A$2:$A$15)),1)</f>
        <v>2</v>
      </c>
      <c r="F82" cm="1">
        <f t="array" aca="1" ref="F82" ca="1">INDEX($A$2:$A$15,RANDBETWEEN(1,ROWS($A$2:$A$15)),1)</f>
        <v>4</v>
      </c>
      <c r="G82" cm="1">
        <f t="array" aca="1" ref="G82" ca="1">INDEX($A$2:$A$15,RANDBETWEEN(1,ROWS($A$2:$A$15)),1)</f>
        <v>5</v>
      </c>
      <c r="H82" cm="1">
        <f t="array" aca="1" ref="H82" ca="1">INDEX($A$2:$A$15,RANDBETWEEN(1,ROWS($A$2:$A$15)),1)</f>
        <v>5</v>
      </c>
      <c r="I82" cm="1">
        <f t="array" aca="1" ref="I82" ca="1">INDEX($A$2:$A$15,RANDBETWEEN(1,ROWS($A$2:$A$15)),1)</f>
        <v>1</v>
      </c>
      <c r="J82" cm="1">
        <f t="array" aca="1" ref="J82" ca="1">INDEX($A$2:$A$15,RANDBETWEEN(1,ROWS($A$2:$A$15)),1)</f>
        <v>7</v>
      </c>
      <c r="K82" cm="1">
        <f t="array" aca="1" ref="K82" ca="1">INDEX($A$2:$A$15,RANDBETWEEN(1,ROWS($A$2:$A$15)),1)</f>
        <v>5</v>
      </c>
      <c r="L82" cm="1">
        <f t="array" aca="1" ref="L82" ca="1">INDEX($A$2:$A$15,RANDBETWEEN(1,ROWS($A$2:$A$15)),1)</f>
        <v>5</v>
      </c>
      <c r="M82" cm="1">
        <f t="array" aca="1" ref="M82" ca="1">INDEX($A$2:$A$15,RANDBETWEEN(1,ROWS($A$2:$A$15)),1)</f>
        <v>5</v>
      </c>
      <c r="N82" cm="1">
        <f t="array" aca="1" ref="N82" ca="1">INDEX($A$2:$A$15,RANDBETWEEN(1,ROWS($A$2:$A$15)),1)</f>
        <v>5</v>
      </c>
      <c r="O82" cm="1">
        <f t="array" aca="1" ref="O82" ca="1">INDEX($A$2:$A$15,RANDBETWEEN(1,ROWS($A$2:$A$15)),1)</f>
        <v>4</v>
      </c>
      <c r="P82" cm="1">
        <f t="array" aca="1" ref="P82" ca="1">INDEX($A$2:$A$15,RANDBETWEEN(1,ROWS($A$2:$A$15)),1)</f>
        <v>5</v>
      </c>
      <c r="Q82" cm="1">
        <f t="array" aca="1" ref="Q82" ca="1">INDEX($A$2:$A$15,RANDBETWEEN(1,ROWS($A$2:$A$15)),1)</f>
        <v>2</v>
      </c>
      <c r="R82" cm="1">
        <f t="array" aca="1" ref="R82" ca="1">INDEX($A$2:$A$15,RANDBETWEEN(1,ROWS($A$2:$A$15)),1)</f>
        <v>5</v>
      </c>
      <c r="S82" cm="1">
        <f t="array" aca="1" ref="S82" ca="1">INDEX($A$2:$A$15,RANDBETWEEN(1,ROWS($A$2:$A$15)),1)</f>
        <v>2</v>
      </c>
      <c r="V82">
        <f t="shared" ca="1" si="4"/>
        <v>3.8823529411764706</v>
      </c>
      <c r="W82">
        <f t="shared" ca="1" si="5"/>
        <v>5</v>
      </c>
      <c r="X82">
        <f t="shared" ca="1" si="6"/>
        <v>3</v>
      </c>
      <c r="Y82">
        <f t="shared" ca="1" si="7"/>
        <v>1.7278003697322957</v>
      </c>
    </row>
    <row r="83" spans="3:25" x14ac:dyDescent="0.35">
      <c r="C83" cm="1">
        <f t="array" aca="1" ref="C83" ca="1">INDEX($A$2:$A$15,RANDBETWEEN(1,ROWS($A$2:$A$15)),1)</f>
        <v>7</v>
      </c>
      <c r="D83" cm="1">
        <f t="array" aca="1" ref="D83" ca="1">INDEX($A$2:$A$15,RANDBETWEEN(1,ROWS($A$2:$A$15)),1)</f>
        <v>1</v>
      </c>
      <c r="E83" cm="1">
        <f t="array" aca="1" ref="E83" ca="1">INDEX($A$2:$A$15,RANDBETWEEN(1,ROWS($A$2:$A$15)),1)</f>
        <v>1</v>
      </c>
      <c r="F83" cm="1">
        <f t="array" aca="1" ref="F83" ca="1">INDEX($A$2:$A$15,RANDBETWEEN(1,ROWS($A$2:$A$15)),1)</f>
        <v>7</v>
      </c>
      <c r="G83" cm="1">
        <f t="array" aca="1" ref="G83" ca="1">INDEX($A$2:$A$15,RANDBETWEEN(1,ROWS($A$2:$A$15)),1)</f>
        <v>5</v>
      </c>
      <c r="H83" cm="1">
        <f t="array" aca="1" ref="H83" ca="1">INDEX($A$2:$A$15,RANDBETWEEN(1,ROWS($A$2:$A$15)),1)</f>
        <v>1</v>
      </c>
      <c r="I83" cm="1">
        <f t="array" aca="1" ref="I83" ca="1">INDEX($A$2:$A$15,RANDBETWEEN(1,ROWS($A$2:$A$15)),1)</f>
        <v>4</v>
      </c>
      <c r="J83" cm="1">
        <f t="array" aca="1" ref="J83" ca="1">INDEX($A$2:$A$15,RANDBETWEEN(1,ROWS($A$2:$A$15)),1)</f>
        <v>5</v>
      </c>
      <c r="K83" cm="1">
        <f t="array" aca="1" ref="K83" ca="1">INDEX($A$2:$A$15,RANDBETWEEN(1,ROWS($A$2:$A$15)),1)</f>
        <v>5</v>
      </c>
      <c r="L83" cm="1">
        <f t="array" aca="1" ref="L83" ca="1">INDEX($A$2:$A$15,RANDBETWEEN(1,ROWS($A$2:$A$15)),1)</f>
        <v>2</v>
      </c>
      <c r="M83" cm="1">
        <f t="array" aca="1" ref="M83" ca="1">INDEX($A$2:$A$15,RANDBETWEEN(1,ROWS($A$2:$A$15)),1)</f>
        <v>1</v>
      </c>
      <c r="N83" cm="1">
        <f t="array" aca="1" ref="N83" ca="1">INDEX($A$2:$A$15,RANDBETWEEN(1,ROWS($A$2:$A$15)),1)</f>
        <v>5</v>
      </c>
      <c r="O83" cm="1">
        <f t="array" aca="1" ref="O83" ca="1">INDEX($A$2:$A$15,RANDBETWEEN(1,ROWS($A$2:$A$15)),1)</f>
        <v>5</v>
      </c>
      <c r="P83" cm="1">
        <f t="array" aca="1" ref="P83" ca="1">INDEX($A$2:$A$15,RANDBETWEEN(1,ROWS($A$2:$A$15)),1)</f>
        <v>1</v>
      </c>
      <c r="Q83" cm="1">
        <f t="array" aca="1" ref="Q83" ca="1">INDEX($A$2:$A$15,RANDBETWEEN(1,ROWS($A$2:$A$15)),1)</f>
        <v>3</v>
      </c>
      <c r="R83" cm="1">
        <f t="array" aca="1" ref="R83" ca="1">INDEX($A$2:$A$15,RANDBETWEEN(1,ROWS($A$2:$A$15)),1)</f>
        <v>1</v>
      </c>
      <c r="S83" cm="1">
        <f t="array" aca="1" ref="S83" ca="1">INDEX($A$2:$A$15,RANDBETWEEN(1,ROWS($A$2:$A$15)),1)</f>
        <v>5</v>
      </c>
      <c r="V83">
        <f t="shared" ca="1" si="4"/>
        <v>3.4705882352941178</v>
      </c>
      <c r="W83">
        <f t="shared" ca="1" si="5"/>
        <v>4</v>
      </c>
      <c r="X83">
        <f t="shared" ca="1" si="6"/>
        <v>4</v>
      </c>
      <c r="Y83">
        <f t="shared" ca="1" si="7"/>
        <v>2.2112679354508225</v>
      </c>
    </row>
    <row r="84" spans="3:25" x14ac:dyDescent="0.35">
      <c r="C84" cm="1">
        <f t="array" aca="1" ref="C84" ca="1">INDEX($A$2:$A$15,RANDBETWEEN(1,ROWS($A$2:$A$15)),1)</f>
        <v>4</v>
      </c>
      <c r="D84" cm="1">
        <f t="array" aca="1" ref="D84" ca="1">INDEX($A$2:$A$15,RANDBETWEEN(1,ROWS($A$2:$A$15)),1)</f>
        <v>1</v>
      </c>
      <c r="E84" cm="1">
        <f t="array" aca="1" ref="E84" ca="1">INDEX($A$2:$A$15,RANDBETWEEN(1,ROWS($A$2:$A$15)),1)</f>
        <v>1</v>
      </c>
      <c r="F84" cm="1">
        <f t="array" aca="1" ref="F84" ca="1">INDEX($A$2:$A$15,RANDBETWEEN(1,ROWS($A$2:$A$15)),1)</f>
        <v>5</v>
      </c>
      <c r="G84" cm="1">
        <f t="array" aca="1" ref="G84" ca="1">INDEX($A$2:$A$15,RANDBETWEEN(1,ROWS($A$2:$A$15)),1)</f>
        <v>3</v>
      </c>
      <c r="H84" cm="1">
        <f t="array" aca="1" ref="H84" ca="1">INDEX($A$2:$A$15,RANDBETWEEN(1,ROWS($A$2:$A$15)),1)</f>
        <v>4</v>
      </c>
      <c r="I84" cm="1">
        <f t="array" aca="1" ref="I84" ca="1">INDEX($A$2:$A$15,RANDBETWEEN(1,ROWS($A$2:$A$15)),1)</f>
        <v>4</v>
      </c>
      <c r="J84" cm="1">
        <f t="array" aca="1" ref="J84" ca="1">INDEX($A$2:$A$15,RANDBETWEEN(1,ROWS($A$2:$A$15)),1)</f>
        <v>4</v>
      </c>
      <c r="K84" cm="1">
        <f t="array" aca="1" ref="K84" ca="1">INDEX($A$2:$A$15,RANDBETWEEN(1,ROWS($A$2:$A$15)),1)</f>
        <v>5</v>
      </c>
      <c r="L84" cm="1">
        <f t="array" aca="1" ref="L84" ca="1">INDEX($A$2:$A$15,RANDBETWEEN(1,ROWS($A$2:$A$15)),1)</f>
        <v>5</v>
      </c>
      <c r="M84" cm="1">
        <f t="array" aca="1" ref="M84" ca="1">INDEX($A$2:$A$15,RANDBETWEEN(1,ROWS($A$2:$A$15)),1)</f>
        <v>4</v>
      </c>
      <c r="N84" cm="1">
        <f t="array" aca="1" ref="N84" ca="1">INDEX($A$2:$A$15,RANDBETWEEN(1,ROWS($A$2:$A$15)),1)</f>
        <v>1</v>
      </c>
      <c r="O84" cm="1">
        <f t="array" aca="1" ref="O84" ca="1">INDEX($A$2:$A$15,RANDBETWEEN(1,ROWS($A$2:$A$15)),1)</f>
        <v>1</v>
      </c>
      <c r="P84" cm="1">
        <f t="array" aca="1" ref="P84" ca="1">INDEX($A$2:$A$15,RANDBETWEEN(1,ROWS($A$2:$A$15)),1)</f>
        <v>4</v>
      </c>
      <c r="Q84" cm="1">
        <f t="array" aca="1" ref="Q84" ca="1">INDEX($A$2:$A$15,RANDBETWEEN(1,ROWS($A$2:$A$15)),1)</f>
        <v>1</v>
      </c>
      <c r="R84" cm="1">
        <f t="array" aca="1" ref="R84" ca="1">INDEX($A$2:$A$15,RANDBETWEEN(1,ROWS($A$2:$A$15)),1)</f>
        <v>2</v>
      </c>
      <c r="S84" cm="1">
        <f t="array" aca="1" ref="S84" ca="1">INDEX($A$2:$A$15,RANDBETWEEN(1,ROWS($A$2:$A$15)),1)</f>
        <v>4</v>
      </c>
      <c r="V84">
        <f t="shared" ca="1" si="4"/>
        <v>3.1176470588235294</v>
      </c>
      <c r="W84">
        <f t="shared" ca="1" si="5"/>
        <v>4</v>
      </c>
      <c r="X84">
        <f t="shared" ca="1" si="6"/>
        <v>3</v>
      </c>
      <c r="Y84">
        <f t="shared" ca="1" si="7"/>
        <v>1.5764815627361641</v>
      </c>
    </row>
    <row r="85" spans="3:25" x14ac:dyDescent="0.35">
      <c r="C85" cm="1">
        <f t="array" aca="1" ref="C85" ca="1">INDEX($A$2:$A$15,RANDBETWEEN(1,ROWS($A$2:$A$15)),1)</f>
        <v>4</v>
      </c>
      <c r="D85" cm="1">
        <f t="array" aca="1" ref="D85" ca="1">INDEX($A$2:$A$15,RANDBETWEEN(1,ROWS($A$2:$A$15)),1)</f>
        <v>5</v>
      </c>
      <c r="E85" cm="1">
        <f t="array" aca="1" ref="E85" ca="1">INDEX($A$2:$A$15,RANDBETWEEN(1,ROWS($A$2:$A$15)),1)</f>
        <v>3</v>
      </c>
      <c r="F85" cm="1">
        <f t="array" aca="1" ref="F85" ca="1">INDEX($A$2:$A$15,RANDBETWEEN(1,ROWS($A$2:$A$15)),1)</f>
        <v>1</v>
      </c>
      <c r="G85" cm="1">
        <f t="array" aca="1" ref="G85" ca="1">INDEX($A$2:$A$15,RANDBETWEEN(1,ROWS($A$2:$A$15)),1)</f>
        <v>1</v>
      </c>
      <c r="H85" cm="1">
        <f t="array" aca="1" ref="H85" ca="1">INDEX($A$2:$A$15,RANDBETWEEN(1,ROWS($A$2:$A$15)),1)</f>
        <v>3</v>
      </c>
      <c r="I85" cm="1">
        <f t="array" aca="1" ref="I85" ca="1">INDEX($A$2:$A$15,RANDBETWEEN(1,ROWS($A$2:$A$15)),1)</f>
        <v>1</v>
      </c>
      <c r="J85" cm="1">
        <f t="array" aca="1" ref="J85" ca="1">INDEX($A$2:$A$15,RANDBETWEEN(1,ROWS($A$2:$A$15)),1)</f>
        <v>3</v>
      </c>
      <c r="K85" cm="1">
        <f t="array" aca="1" ref="K85" ca="1">INDEX($A$2:$A$15,RANDBETWEEN(1,ROWS($A$2:$A$15)),1)</f>
        <v>2</v>
      </c>
      <c r="L85" cm="1">
        <f t="array" aca="1" ref="L85" ca="1">INDEX($A$2:$A$15,RANDBETWEEN(1,ROWS($A$2:$A$15)),1)</f>
        <v>4</v>
      </c>
      <c r="M85" cm="1">
        <f t="array" aca="1" ref="M85" ca="1">INDEX($A$2:$A$15,RANDBETWEEN(1,ROWS($A$2:$A$15)),1)</f>
        <v>5</v>
      </c>
      <c r="N85" cm="1">
        <f t="array" aca="1" ref="N85" ca="1">INDEX($A$2:$A$15,RANDBETWEEN(1,ROWS($A$2:$A$15)),1)</f>
        <v>1</v>
      </c>
      <c r="O85" cm="1">
        <f t="array" aca="1" ref="O85" ca="1">INDEX($A$2:$A$15,RANDBETWEEN(1,ROWS($A$2:$A$15)),1)</f>
        <v>3</v>
      </c>
      <c r="P85" cm="1">
        <f t="array" aca="1" ref="P85" ca="1">INDEX($A$2:$A$15,RANDBETWEEN(1,ROWS($A$2:$A$15)),1)</f>
        <v>1</v>
      </c>
      <c r="Q85" cm="1">
        <f t="array" aca="1" ref="Q85" ca="1">INDEX($A$2:$A$15,RANDBETWEEN(1,ROWS($A$2:$A$15)),1)</f>
        <v>5</v>
      </c>
      <c r="R85" cm="1">
        <f t="array" aca="1" ref="R85" ca="1">INDEX($A$2:$A$15,RANDBETWEEN(1,ROWS($A$2:$A$15)),1)</f>
        <v>5</v>
      </c>
      <c r="S85" cm="1">
        <f t="array" aca="1" ref="S85" ca="1">INDEX($A$2:$A$15,RANDBETWEEN(1,ROWS($A$2:$A$15)),1)</f>
        <v>7</v>
      </c>
      <c r="V85">
        <f t="shared" ca="1" si="4"/>
        <v>3.1764705882352939</v>
      </c>
      <c r="W85">
        <f t="shared" ca="1" si="5"/>
        <v>3</v>
      </c>
      <c r="X85">
        <f t="shared" ca="1" si="6"/>
        <v>4</v>
      </c>
      <c r="Y85">
        <f t="shared" ca="1" si="7"/>
        <v>1.8451048113063611</v>
      </c>
    </row>
    <row r="86" spans="3:25" x14ac:dyDescent="0.35">
      <c r="C86" cm="1">
        <f t="array" aca="1" ref="C86" ca="1">INDEX($A$2:$A$15,RANDBETWEEN(1,ROWS($A$2:$A$15)),1)</f>
        <v>7</v>
      </c>
      <c r="D86" cm="1">
        <f t="array" aca="1" ref="D86" ca="1">INDEX($A$2:$A$15,RANDBETWEEN(1,ROWS($A$2:$A$15)),1)</f>
        <v>1</v>
      </c>
      <c r="E86" cm="1">
        <f t="array" aca="1" ref="E86" ca="1">INDEX($A$2:$A$15,RANDBETWEEN(1,ROWS($A$2:$A$15)),1)</f>
        <v>5</v>
      </c>
      <c r="F86" cm="1">
        <f t="array" aca="1" ref="F86" ca="1">INDEX($A$2:$A$15,RANDBETWEEN(1,ROWS($A$2:$A$15)),1)</f>
        <v>4</v>
      </c>
      <c r="G86" cm="1">
        <f t="array" aca="1" ref="G86" ca="1">INDEX($A$2:$A$15,RANDBETWEEN(1,ROWS($A$2:$A$15)),1)</f>
        <v>1</v>
      </c>
      <c r="H86" cm="1">
        <f t="array" aca="1" ref="H86" ca="1">INDEX($A$2:$A$15,RANDBETWEEN(1,ROWS($A$2:$A$15)),1)</f>
        <v>4</v>
      </c>
      <c r="I86" cm="1">
        <f t="array" aca="1" ref="I86" ca="1">INDEX($A$2:$A$15,RANDBETWEEN(1,ROWS($A$2:$A$15)),1)</f>
        <v>5</v>
      </c>
      <c r="J86" cm="1">
        <f t="array" aca="1" ref="J86" ca="1">INDEX($A$2:$A$15,RANDBETWEEN(1,ROWS($A$2:$A$15)),1)</f>
        <v>5</v>
      </c>
      <c r="K86" cm="1">
        <f t="array" aca="1" ref="K86" ca="1">INDEX($A$2:$A$15,RANDBETWEEN(1,ROWS($A$2:$A$15)),1)</f>
        <v>4</v>
      </c>
      <c r="L86" cm="1">
        <f t="array" aca="1" ref="L86" ca="1">INDEX($A$2:$A$15,RANDBETWEEN(1,ROWS($A$2:$A$15)),1)</f>
        <v>5</v>
      </c>
      <c r="M86" cm="1">
        <f t="array" aca="1" ref="M86" ca="1">INDEX($A$2:$A$15,RANDBETWEEN(1,ROWS($A$2:$A$15)),1)</f>
        <v>4</v>
      </c>
      <c r="N86" cm="1">
        <f t="array" aca="1" ref="N86" ca="1">INDEX($A$2:$A$15,RANDBETWEEN(1,ROWS($A$2:$A$15)),1)</f>
        <v>2</v>
      </c>
      <c r="O86" cm="1">
        <f t="array" aca="1" ref="O86" ca="1">INDEX($A$2:$A$15,RANDBETWEEN(1,ROWS($A$2:$A$15)),1)</f>
        <v>5</v>
      </c>
      <c r="P86" cm="1">
        <f t="array" aca="1" ref="P86" ca="1">INDEX($A$2:$A$15,RANDBETWEEN(1,ROWS($A$2:$A$15)),1)</f>
        <v>4</v>
      </c>
      <c r="Q86" cm="1">
        <f t="array" aca="1" ref="Q86" ca="1">INDEX($A$2:$A$15,RANDBETWEEN(1,ROWS($A$2:$A$15)),1)</f>
        <v>1</v>
      </c>
      <c r="R86" cm="1">
        <f t="array" aca="1" ref="R86" ca="1">INDEX($A$2:$A$15,RANDBETWEEN(1,ROWS($A$2:$A$15)),1)</f>
        <v>2</v>
      </c>
      <c r="S86" cm="1">
        <f t="array" aca="1" ref="S86" ca="1">INDEX($A$2:$A$15,RANDBETWEEN(1,ROWS($A$2:$A$15)),1)</f>
        <v>1</v>
      </c>
      <c r="V86">
        <f t="shared" ca="1" si="4"/>
        <v>3.5294117647058822</v>
      </c>
      <c r="W86">
        <f t="shared" ca="1" si="5"/>
        <v>4</v>
      </c>
      <c r="X86">
        <f t="shared" ca="1" si="6"/>
        <v>3</v>
      </c>
      <c r="Y86">
        <f t="shared" ca="1" si="7"/>
        <v>1.8411153908304994</v>
      </c>
    </row>
    <row r="87" spans="3:25" x14ac:dyDescent="0.35">
      <c r="C87" cm="1">
        <f t="array" aca="1" ref="C87" ca="1">INDEX($A$2:$A$15,RANDBETWEEN(1,ROWS($A$2:$A$15)),1)</f>
        <v>8</v>
      </c>
      <c r="D87" cm="1">
        <f t="array" aca="1" ref="D87" ca="1">INDEX($A$2:$A$15,RANDBETWEEN(1,ROWS($A$2:$A$15)),1)</f>
        <v>5</v>
      </c>
      <c r="E87" cm="1">
        <f t="array" aca="1" ref="E87" ca="1">INDEX($A$2:$A$15,RANDBETWEEN(1,ROWS($A$2:$A$15)),1)</f>
        <v>1</v>
      </c>
      <c r="F87" cm="1">
        <f t="array" aca="1" ref="F87" ca="1">INDEX($A$2:$A$15,RANDBETWEEN(1,ROWS($A$2:$A$15)),1)</f>
        <v>3</v>
      </c>
      <c r="G87" cm="1">
        <f t="array" aca="1" ref="G87" ca="1">INDEX($A$2:$A$15,RANDBETWEEN(1,ROWS($A$2:$A$15)),1)</f>
        <v>5</v>
      </c>
      <c r="H87" cm="1">
        <f t="array" aca="1" ref="H87" ca="1">INDEX($A$2:$A$15,RANDBETWEEN(1,ROWS($A$2:$A$15)),1)</f>
        <v>1</v>
      </c>
      <c r="I87" cm="1">
        <f t="array" aca="1" ref="I87" ca="1">INDEX($A$2:$A$15,RANDBETWEEN(1,ROWS($A$2:$A$15)),1)</f>
        <v>1</v>
      </c>
      <c r="J87" cm="1">
        <f t="array" aca="1" ref="J87" ca="1">INDEX($A$2:$A$15,RANDBETWEEN(1,ROWS($A$2:$A$15)),1)</f>
        <v>4</v>
      </c>
      <c r="K87" cm="1">
        <f t="array" aca="1" ref="K87" ca="1">INDEX($A$2:$A$15,RANDBETWEEN(1,ROWS($A$2:$A$15)),1)</f>
        <v>1</v>
      </c>
      <c r="L87" cm="1">
        <f t="array" aca="1" ref="L87" ca="1">INDEX($A$2:$A$15,RANDBETWEEN(1,ROWS($A$2:$A$15)),1)</f>
        <v>2</v>
      </c>
      <c r="M87" cm="1">
        <f t="array" aca="1" ref="M87" ca="1">INDEX($A$2:$A$15,RANDBETWEEN(1,ROWS($A$2:$A$15)),1)</f>
        <v>3</v>
      </c>
      <c r="N87" cm="1">
        <f t="array" aca="1" ref="N87" ca="1">INDEX($A$2:$A$15,RANDBETWEEN(1,ROWS($A$2:$A$15)),1)</f>
        <v>1</v>
      </c>
      <c r="O87" cm="1">
        <f t="array" aca="1" ref="O87" ca="1">INDEX($A$2:$A$15,RANDBETWEEN(1,ROWS($A$2:$A$15)),1)</f>
        <v>2</v>
      </c>
      <c r="P87" cm="1">
        <f t="array" aca="1" ref="P87" ca="1">INDEX($A$2:$A$15,RANDBETWEEN(1,ROWS($A$2:$A$15)),1)</f>
        <v>4</v>
      </c>
      <c r="Q87" cm="1">
        <f t="array" aca="1" ref="Q87" ca="1">INDEX($A$2:$A$15,RANDBETWEEN(1,ROWS($A$2:$A$15)),1)</f>
        <v>5</v>
      </c>
      <c r="R87" cm="1">
        <f t="array" aca="1" ref="R87" ca="1">INDEX($A$2:$A$15,RANDBETWEEN(1,ROWS($A$2:$A$15)),1)</f>
        <v>5</v>
      </c>
      <c r="S87" cm="1">
        <f t="array" aca="1" ref="S87" ca="1">INDEX($A$2:$A$15,RANDBETWEEN(1,ROWS($A$2:$A$15)),1)</f>
        <v>5</v>
      </c>
      <c r="V87">
        <f t="shared" ca="1" si="4"/>
        <v>3.2941176470588234</v>
      </c>
      <c r="W87">
        <f t="shared" ca="1" si="5"/>
        <v>3</v>
      </c>
      <c r="X87">
        <f t="shared" ca="1" si="6"/>
        <v>4</v>
      </c>
      <c r="Y87">
        <f t="shared" ca="1" si="7"/>
        <v>2.0544070276588613</v>
      </c>
    </row>
    <row r="88" spans="3:25" x14ac:dyDescent="0.35">
      <c r="C88" cm="1">
        <f t="array" aca="1" ref="C88" ca="1">INDEX($A$2:$A$15,RANDBETWEEN(1,ROWS($A$2:$A$15)),1)</f>
        <v>5</v>
      </c>
      <c r="D88" cm="1">
        <f t="array" aca="1" ref="D88" ca="1">INDEX($A$2:$A$15,RANDBETWEEN(1,ROWS($A$2:$A$15)),1)</f>
        <v>2</v>
      </c>
      <c r="E88" cm="1">
        <f t="array" aca="1" ref="E88" ca="1">INDEX($A$2:$A$15,RANDBETWEEN(1,ROWS($A$2:$A$15)),1)</f>
        <v>5</v>
      </c>
      <c r="F88" cm="1">
        <f t="array" aca="1" ref="F88" ca="1">INDEX($A$2:$A$15,RANDBETWEEN(1,ROWS($A$2:$A$15)),1)</f>
        <v>2</v>
      </c>
      <c r="G88" cm="1">
        <f t="array" aca="1" ref="G88" ca="1">INDEX($A$2:$A$15,RANDBETWEEN(1,ROWS($A$2:$A$15)),1)</f>
        <v>8</v>
      </c>
      <c r="H88" cm="1">
        <f t="array" aca="1" ref="H88" ca="1">INDEX($A$2:$A$15,RANDBETWEEN(1,ROWS($A$2:$A$15)),1)</f>
        <v>5</v>
      </c>
      <c r="I88" cm="1">
        <f t="array" aca="1" ref="I88" ca="1">INDEX($A$2:$A$15,RANDBETWEEN(1,ROWS($A$2:$A$15)),1)</f>
        <v>5</v>
      </c>
      <c r="J88" cm="1">
        <f t="array" aca="1" ref="J88" ca="1">INDEX($A$2:$A$15,RANDBETWEEN(1,ROWS($A$2:$A$15)),1)</f>
        <v>1</v>
      </c>
      <c r="K88" cm="1">
        <f t="array" aca="1" ref="K88" ca="1">INDEX($A$2:$A$15,RANDBETWEEN(1,ROWS($A$2:$A$15)),1)</f>
        <v>5</v>
      </c>
      <c r="L88" cm="1">
        <f t="array" aca="1" ref="L88" ca="1">INDEX($A$2:$A$15,RANDBETWEEN(1,ROWS($A$2:$A$15)),1)</f>
        <v>8</v>
      </c>
      <c r="M88" cm="1">
        <f t="array" aca="1" ref="M88" ca="1">INDEX($A$2:$A$15,RANDBETWEEN(1,ROWS($A$2:$A$15)),1)</f>
        <v>8</v>
      </c>
      <c r="N88" cm="1">
        <f t="array" aca="1" ref="N88" ca="1">INDEX($A$2:$A$15,RANDBETWEEN(1,ROWS($A$2:$A$15)),1)</f>
        <v>8</v>
      </c>
      <c r="O88" cm="1">
        <f t="array" aca="1" ref="O88" ca="1">INDEX($A$2:$A$15,RANDBETWEEN(1,ROWS($A$2:$A$15)),1)</f>
        <v>5</v>
      </c>
      <c r="P88" cm="1">
        <f t="array" aca="1" ref="P88" ca="1">INDEX($A$2:$A$15,RANDBETWEEN(1,ROWS($A$2:$A$15)),1)</f>
        <v>1</v>
      </c>
      <c r="Q88" cm="1">
        <f t="array" aca="1" ref="Q88" ca="1">INDEX($A$2:$A$15,RANDBETWEEN(1,ROWS($A$2:$A$15)),1)</f>
        <v>5</v>
      </c>
      <c r="R88" cm="1">
        <f t="array" aca="1" ref="R88" ca="1">INDEX($A$2:$A$15,RANDBETWEEN(1,ROWS($A$2:$A$15)),1)</f>
        <v>1</v>
      </c>
      <c r="S88" cm="1">
        <f t="array" aca="1" ref="S88" ca="1">INDEX($A$2:$A$15,RANDBETWEEN(1,ROWS($A$2:$A$15)),1)</f>
        <v>1</v>
      </c>
      <c r="V88">
        <f t="shared" ca="1" si="4"/>
        <v>4.4117647058823533</v>
      </c>
      <c r="W88">
        <f t="shared" ca="1" si="5"/>
        <v>5</v>
      </c>
      <c r="X88">
        <f t="shared" ca="1" si="6"/>
        <v>3</v>
      </c>
      <c r="Y88">
        <f t="shared" ca="1" si="7"/>
        <v>2.6471405216150634</v>
      </c>
    </row>
    <row r="89" spans="3:25" x14ac:dyDescent="0.35">
      <c r="C89" cm="1">
        <f t="array" aca="1" ref="C89" ca="1">INDEX($A$2:$A$15,RANDBETWEEN(1,ROWS($A$2:$A$15)),1)</f>
        <v>5</v>
      </c>
      <c r="D89" cm="1">
        <f t="array" aca="1" ref="D89" ca="1">INDEX($A$2:$A$15,RANDBETWEEN(1,ROWS($A$2:$A$15)),1)</f>
        <v>8</v>
      </c>
      <c r="E89" cm="1">
        <f t="array" aca="1" ref="E89" ca="1">INDEX($A$2:$A$15,RANDBETWEEN(1,ROWS($A$2:$A$15)),1)</f>
        <v>5</v>
      </c>
      <c r="F89" cm="1">
        <f t="array" aca="1" ref="F89" ca="1">INDEX($A$2:$A$15,RANDBETWEEN(1,ROWS($A$2:$A$15)),1)</f>
        <v>3</v>
      </c>
      <c r="G89" cm="1">
        <f t="array" aca="1" ref="G89" ca="1">INDEX($A$2:$A$15,RANDBETWEEN(1,ROWS($A$2:$A$15)),1)</f>
        <v>8</v>
      </c>
      <c r="H89" cm="1">
        <f t="array" aca="1" ref="H89" ca="1">INDEX($A$2:$A$15,RANDBETWEEN(1,ROWS($A$2:$A$15)),1)</f>
        <v>4</v>
      </c>
      <c r="I89" cm="1">
        <f t="array" aca="1" ref="I89" ca="1">INDEX($A$2:$A$15,RANDBETWEEN(1,ROWS($A$2:$A$15)),1)</f>
        <v>3</v>
      </c>
      <c r="J89" cm="1">
        <f t="array" aca="1" ref="J89" ca="1">INDEX($A$2:$A$15,RANDBETWEEN(1,ROWS($A$2:$A$15)),1)</f>
        <v>4</v>
      </c>
      <c r="K89" cm="1">
        <f t="array" aca="1" ref="K89" ca="1">INDEX($A$2:$A$15,RANDBETWEEN(1,ROWS($A$2:$A$15)),1)</f>
        <v>8</v>
      </c>
      <c r="L89" cm="1">
        <f t="array" aca="1" ref="L89" ca="1">INDEX($A$2:$A$15,RANDBETWEEN(1,ROWS($A$2:$A$15)),1)</f>
        <v>1</v>
      </c>
      <c r="M89" cm="1">
        <f t="array" aca="1" ref="M89" ca="1">INDEX($A$2:$A$15,RANDBETWEEN(1,ROWS($A$2:$A$15)),1)</f>
        <v>5</v>
      </c>
      <c r="N89" cm="1">
        <f t="array" aca="1" ref="N89" ca="1">INDEX($A$2:$A$15,RANDBETWEEN(1,ROWS($A$2:$A$15)),1)</f>
        <v>2</v>
      </c>
      <c r="O89" cm="1">
        <f t="array" aca="1" ref="O89" ca="1">INDEX($A$2:$A$15,RANDBETWEEN(1,ROWS($A$2:$A$15)),1)</f>
        <v>4</v>
      </c>
      <c r="P89" cm="1">
        <f t="array" aca="1" ref="P89" ca="1">INDEX($A$2:$A$15,RANDBETWEEN(1,ROWS($A$2:$A$15)),1)</f>
        <v>7</v>
      </c>
      <c r="Q89" cm="1">
        <f t="array" aca="1" ref="Q89" ca="1">INDEX($A$2:$A$15,RANDBETWEEN(1,ROWS($A$2:$A$15)),1)</f>
        <v>4</v>
      </c>
      <c r="R89" cm="1">
        <f t="array" aca="1" ref="R89" ca="1">INDEX($A$2:$A$15,RANDBETWEEN(1,ROWS($A$2:$A$15)),1)</f>
        <v>5</v>
      </c>
      <c r="S89" cm="1">
        <f t="array" aca="1" ref="S89" ca="1">INDEX($A$2:$A$15,RANDBETWEEN(1,ROWS($A$2:$A$15)),1)</f>
        <v>8</v>
      </c>
      <c r="V89">
        <f t="shared" ca="1" si="4"/>
        <v>4.9411764705882355</v>
      </c>
      <c r="W89">
        <f t="shared" ca="1" si="5"/>
        <v>5</v>
      </c>
      <c r="X89">
        <f t="shared" ca="1" si="6"/>
        <v>3</v>
      </c>
      <c r="Y89">
        <f t="shared" ca="1" si="7"/>
        <v>2.1929029913363163</v>
      </c>
    </row>
    <row r="90" spans="3:25" x14ac:dyDescent="0.35">
      <c r="C90" cm="1">
        <f t="array" aca="1" ref="C90" ca="1">INDEX($A$2:$A$15,RANDBETWEEN(1,ROWS($A$2:$A$15)),1)</f>
        <v>3</v>
      </c>
      <c r="D90" cm="1">
        <f t="array" aca="1" ref="D90" ca="1">INDEX($A$2:$A$15,RANDBETWEEN(1,ROWS($A$2:$A$15)),1)</f>
        <v>5</v>
      </c>
      <c r="E90" cm="1">
        <f t="array" aca="1" ref="E90" ca="1">INDEX($A$2:$A$15,RANDBETWEEN(1,ROWS($A$2:$A$15)),1)</f>
        <v>5</v>
      </c>
      <c r="F90" cm="1">
        <f t="array" aca="1" ref="F90" ca="1">INDEX($A$2:$A$15,RANDBETWEEN(1,ROWS($A$2:$A$15)),1)</f>
        <v>8</v>
      </c>
      <c r="G90" cm="1">
        <f t="array" aca="1" ref="G90" ca="1">INDEX($A$2:$A$15,RANDBETWEEN(1,ROWS($A$2:$A$15)),1)</f>
        <v>4</v>
      </c>
      <c r="H90" cm="1">
        <f t="array" aca="1" ref="H90" ca="1">INDEX($A$2:$A$15,RANDBETWEEN(1,ROWS($A$2:$A$15)),1)</f>
        <v>3</v>
      </c>
      <c r="I90" cm="1">
        <f t="array" aca="1" ref="I90" ca="1">INDEX($A$2:$A$15,RANDBETWEEN(1,ROWS($A$2:$A$15)),1)</f>
        <v>8</v>
      </c>
      <c r="J90" cm="1">
        <f t="array" aca="1" ref="J90" ca="1">INDEX($A$2:$A$15,RANDBETWEEN(1,ROWS($A$2:$A$15)),1)</f>
        <v>8</v>
      </c>
      <c r="K90" cm="1">
        <f t="array" aca="1" ref="K90" ca="1">INDEX($A$2:$A$15,RANDBETWEEN(1,ROWS($A$2:$A$15)),1)</f>
        <v>8</v>
      </c>
      <c r="L90" cm="1">
        <f t="array" aca="1" ref="L90" ca="1">INDEX($A$2:$A$15,RANDBETWEEN(1,ROWS($A$2:$A$15)),1)</f>
        <v>4</v>
      </c>
      <c r="M90" cm="1">
        <f t="array" aca="1" ref="M90" ca="1">INDEX($A$2:$A$15,RANDBETWEEN(1,ROWS($A$2:$A$15)),1)</f>
        <v>4</v>
      </c>
      <c r="N90" cm="1">
        <f t="array" aca="1" ref="N90" ca="1">INDEX($A$2:$A$15,RANDBETWEEN(1,ROWS($A$2:$A$15)),1)</f>
        <v>4</v>
      </c>
      <c r="O90" cm="1">
        <f t="array" aca="1" ref="O90" ca="1">INDEX($A$2:$A$15,RANDBETWEEN(1,ROWS($A$2:$A$15)),1)</f>
        <v>7</v>
      </c>
      <c r="P90" cm="1">
        <f t="array" aca="1" ref="P90" ca="1">INDEX($A$2:$A$15,RANDBETWEEN(1,ROWS($A$2:$A$15)),1)</f>
        <v>7</v>
      </c>
      <c r="Q90" cm="1">
        <f t="array" aca="1" ref="Q90" ca="1">INDEX($A$2:$A$15,RANDBETWEEN(1,ROWS($A$2:$A$15)),1)</f>
        <v>2</v>
      </c>
      <c r="R90" cm="1">
        <f t="array" aca="1" ref="R90" ca="1">INDEX($A$2:$A$15,RANDBETWEEN(1,ROWS($A$2:$A$15)),1)</f>
        <v>4</v>
      </c>
      <c r="S90" cm="1">
        <f t="array" aca="1" ref="S90" ca="1">INDEX($A$2:$A$15,RANDBETWEEN(1,ROWS($A$2:$A$15)),1)</f>
        <v>7</v>
      </c>
      <c r="V90">
        <f t="shared" ca="1" si="4"/>
        <v>5.3529411764705879</v>
      </c>
      <c r="W90">
        <f t="shared" ca="1" si="5"/>
        <v>5</v>
      </c>
      <c r="X90">
        <f t="shared" ca="1" si="6"/>
        <v>3</v>
      </c>
      <c r="Y90">
        <f t="shared" ca="1" si="7"/>
        <v>2.059768690611528</v>
      </c>
    </row>
    <row r="91" spans="3:25" x14ac:dyDescent="0.35">
      <c r="C91" cm="1">
        <f t="array" aca="1" ref="C91" ca="1">INDEX($A$2:$A$15,RANDBETWEEN(1,ROWS($A$2:$A$15)),1)</f>
        <v>2</v>
      </c>
      <c r="D91" cm="1">
        <f t="array" aca="1" ref="D91" ca="1">INDEX($A$2:$A$15,RANDBETWEEN(1,ROWS($A$2:$A$15)),1)</f>
        <v>2</v>
      </c>
      <c r="E91" cm="1">
        <f t="array" aca="1" ref="E91" ca="1">INDEX($A$2:$A$15,RANDBETWEEN(1,ROWS($A$2:$A$15)),1)</f>
        <v>8</v>
      </c>
      <c r="F91" cm="1">
        <f t="array" aca="1" ref="F91" ca="1">INDEX($A$2:$A$15,RANDBETWEEN(1,ROWS($A$2:$A$15)),1)</f>
        <v>5</v>
      </c>
      <c r="G91" cm="1">
        <f t="array" aca="1" ref="G91" ca="1">INDEX($A$2:$A$15,RANDBETWEEN(1,ROWS($A$2:$A$15)),1)</f>
        <v>1</v>
      </c>
      <c r="H91" cm="1">
        <f t="array" aca="1" ref="H91" ca="1">INDEX($A$2:$A$15,RANDBETWEEN(1,ROWS($A$2:$A$15)),1)</f>
        <v>4</v>
      </c>
      <c r="I91" cm="1">
        <f t="array" aca="1" ref="I91" ca="1">INDEX($A$2:$A$15,RANDBETWEEN(1,ROWS($A$2:$A$15)),1)</f>
        <v>8</v>
      </c>
      <c r="J91" cm="1">
        <f t="array" aca="1" ref="J91" ca="1">INDEX($A$2:$A$15,RANDBETWEEN(1,ROWS($A$2:$A$15)),1)</f>
        <v>5</v>
      </c>
      <c r="K91" cm="1">
        <f t="array" aca="1" ref="K91" ca="1">INDEX($A$2:$A$15,RANDBETWEEN(1,ROWS($A$2:$A$15)),1)</f>
        <v>4</v>
      </c>
      <c r="L91" cm="1">
        <f t="array" aca="1" ref="L91" ca="1">INDEX($A$2:$A$15,RANDBETWEEN(1,ROWS($A$2:$A$15)),1)</f>
        <v>8</v>
      </c>
      <c r="M91" cm="1">
        <f t="array" aca="1" ref="M91" ca="1">INDEX($A$2:$A$15,RANDBETWEEN(1,ROWS($A$2:$A$15)),1)</f>
        <v>7</v>
      </c>
      <c r="N91" cm="1">
        <f t="array" aca="1" ref="N91" ca="1">INDEX($A$2:$A$15,RANDBETWEEN(1,ROWS($A$2:$A$15)),1)</f>
        <v>4</v>
      </c>
      <c r="O91" cm="1">
        <f t="array" aca="1" ref="O91" ca="1">INDEX($A$2:$A$15,RANDBETWEEN(1,ROWS($A$2:$A$15)),1)</f>
        <v>5</v>
      </c>
      <c r="P91" cm="1">
        <f t="array" aca="1" ref="P91" ca="1">INDEX($A$2:$A$15,RANDBETWEEN(1,ROWS($A$2:$A$15)),1)</f>
        <v>7</v>
      </c>
      <c r="Q91" cm="1">
        <f t="array" aca="1" ref="Q91" ca="1">INDEX($A$2:$A$15,RANDBETWEEN(1,ROWS($A$2:$A$15)),1)</f>
        <v>4</v>
      </c>
      <c r="R91" cm="1">
        <f t="array" aca="1" ref="R91" ca="1">INDEX($A$2:$A$15,RANDBETWEEN(1,ROWS($A$2:$A$15)),1)</f>
        <v>1</v>
      </c>
      <c r="S91" cm="1">
        <f t="array" aca="1" ref="S91" ca="1">INDEX($A$2:$A$15,RANDBETWEEN(1,ROWS($A$2:$A$15)),1)</f>
        <v>5</v>
      </c>
      <c r="V91">
        <f t="shared" ca="1" si="4"/>
        <v>4.7058823529411766</v>
      </c>
      <c r="W91">
        <f t="shared" ca="1" si="5"/>
        <v>5</v>
      </c>
      <c r="X91">
        <f t="shared" ca="1" si="6"/>
        <v>3</v>
      </c>
      <c r="Y91">
        <f t="shared" ca="1" si="7"/>
        <v>2.3389288649495339</v>
      </c>
    </row>
    <row r="92" spans="3:25" x14ac:dyDescent="0.35">
      <c r="C92" cm="1">
        <f t="array" aca="1" ref="C92" ca="1">INDEX($A$2:$A$15,RANDBETWEEN(1,ROWS($A$2:$A$15)),1)</f>
        <v>2</v>
      </c>
      <c r="D92" cm="1">
        <f t="array" aca="1" ref="D92" ca="1">INDEX($A$2:$A$15,RANDBETWEEN(1,ROWS($A$2:$A$15)),1)</f>
        <v>8</v>
      </c>
      <c r="E92" cm="1">
        <f t="array" aca="1" ref="E92" ca="1">INDEX($A$2:$A$15,RANDBETWEEN(1,ROWS($A$2:$A$15)),1)</f>
        <v>3</v>
      </c>
      <c r="F92" cm="1">
        <f t="array" aca="1" ref="F92" ca="1">INDEX($A$2:$A$15,RANDBETWEEN(1,ROWS($A$2:$A$15)),1)</f>
        <v>5</v>
      </c>
      <c r="G92" cm="1">
        <f t="array" aca="1" ref="G92" ca="1">INDEX($A$2:$A$15,RANDBETWEEN(1,ROWS($A$2:$A$15)),1)</f>
        <v>4</v>
      </c>
      <c r="H92" cm="1">
        <f t="array" aca="1" ref="H92" ca="1">INDEX($A$2:$A$15,RANDBETWEEN(1,ROWS($A$2:$A$15)),1)</f>
        <v>3</v>
      </c>
      <c r="I92" cm="1">
        <f t="array" aca="1" ref="I92" ca="1">INDEX($A$2:$A$15,RANDBETWEEN(1,ROWS($A$2:$A$15)),1)</f>
        <v>1</v>
      </c>
      <c r="J92" cm="1">
        <f t="array" aca="1" ref="J92" ca="1">INDEX($A$2:$A$15,RANDBETWEEN(1,ROWS($A$2:$A$15)),1)</f>
        <v>3</v>
      </c>
      <c r="K92" cm="1">
        <f t="array" aca="1" ref="K92" ca="1">INDEX($A$2:$A$15,RANDBETWEEN(1,ROWS($A$2:$A$15)),1)</f>
        <v>1</v>
      </c>
      <c r="L92" cm="1">
        <f t="array" aca="1" ref="L92" ca="1">INDEX($A$2:$A$15,RANDBETWEEN(1,ROWS($A$2:$A$15)),1)</f>
        <v>3</v>
      </c>
      <c r="M92" cm="1">
        <f t="array" aca="1" ref="M92" ca="1">INDEX($A$2:$A$15,RANDBETWEEN(1,ROWS($A$2:$A$15)),1)</f>
        <v>5</v>
      </c>
      <c r="N92" cm="1">
        <f t="array" aca="1" ref="N92" ca="1">INDEX($A$2:$A$15,RANDBETWEEN(1,ROWS($A$2:$A$15)),1)</f>
        <v>1</v>
      </c>
      <c r="O92" cm="1">
        <f t="array" aca="1" ref="O92" ca="1">INDEX($A$2:$A$15,RANDBETWEEN(1,ROWS($A$2:$A$15)),1)</f>
        <v>8</v>
      </c>
      <c r="P92" cm="1">
        <f t="array" aca="1" ref="P92" ca="1">INDEX($A$2:$A$15,RANDBETWEEN(1,ROWS($A$2:$A$15)),1)</f>
        <v>1</v>
      </c>
      <c r="Q92" cm="1">
        <f t="array" aca="1" ref="Q92" ca="1">INDEX($A$2:$A$15,RANDBETWEEN(1,ROWS($A$2:$A$15)),1)</f>
        <v>5</v>
      </c>
      <c r="R92" cm="1">
        <f t="array" aca="1" ref="R92" ca="1">INDEX($A$2:$A$15,RANDBETWEEN(1,ROWS($A$2:$A$15)),1)</f>
        <v>1</v>
      </c>
      <c r="S92" cm="1">
        <f t="array" aca="1" ref="S92" ca="1">INDEX($A$2:$A$15,RANDBETWEEN(1,ROWS($A$2:$A$15)),1)</f>
        <v>5</v>
      </c>
      <c r="V92">
        <f t="shared" ca="1" si="4"/>
        <v>3.4705882352941178</v>
      </c>
      <c r="W92">
        <f t="shared" ca="1" si="5"/>
        <v>3</v>
      </c>
      <c r="X92">
        <f t="shared" ca="1" si="6"/>
        <v>4</v>
      </c>
      <c r="Y92">
        <f t="shared" ca="1" si="7"/>
        <v>2.294494689981422</v>
      </c>
    </row>
    <row r="93" spans="3:25" x14ac:dyDescent="0.35">
      <c r="C93" cm="1">
        <f t="array" aca="1" ref="C93" ca="1">INDEX($A$2:$A$15,RANDBETWEEN(1,ROWS($A$2:$A$15)),1)</f>
        <v>1</v>
      </c>
      <c r="D93" cm="1">
        <f t="array" aca="1" ref="D93" ca="1">INDEX($A$2:$A$15,RANDBETWEEN(1,ROWS($A$2:$A$15)),1)</f>
        <v>1</v>
      </c>
      <c r="E93" cm="1">
        <f t="array" aca="1" ref="E93" ca="1">INDEX($A$2:$A$15,RANDBETWEEN(1,ROWS($A$2:$A$15)),1)</f>
        <v>5</v>
      </c>
      <c r="F93" cm="1">
        <f t="array" aca="1" ref="F93" ca="1">INDEX($A$2:$A$15,RANDBETWEEN(1,ROWS($A$2:$A$15)),1)</f>
        <v>4</v>
      </c>
      <c r="G93" cm="1">
        <f t="array" aca="1" ref="G93" ca="1">INDEX($A$2:$A$15,RANDBETWEEN(1,ROWS($A$2:$A$15)),1)</f>
        <v>8</v>
      </c>
      <c r="H93" cm="1">
        <f t="array" aca="1" ref="H93" ca="1">INDEX($A$2:$A$15,RANDBETWEEN(1,ROWS($A$2:$A$15)),1)</f>
        <v>1</v>
      </c>
      <c r="I93" cm="1">
        <f t="array" aca="1" ref="I93" ca="1">INDEX($A$2:$A$15,RANDBETWEEN(1,ROWS($A$2:$A$15)),1)</f>
        <v>3</v>
      </c>
      <c r="J93" cm="1">
        <f t="array" aca="1" ref="J93" ca="1">INDEX($A$2:$A$15,RANDBETWEEN(1,ROWS($A$2:$A$15)),1)</f>
        <v>5</v>
      </c>
      <c r="K93" cm="1">
        <f t="array" aca="1" ref="K93" ca="1">INDEX($A$2:$A$15,RANDBETWEEN(1,ROWS($A$2:$A$15)),1)</f>
        <v>1</v>
      </c>
      <c r="L93" cm="1">
        <f t="array" aca="1" ref="L93" ca="1">INDEX($A$2:$A$15,RANDBETWEEN(1,ROWS($A$2:$A$15)),1)</f>
        <v>1</v>
      </c>
      <c r="M93" cm="1">
        <f t="array" aca="1" ref="M93" ca="1">INDEX($A$2:$A$15,RANDBETWEEN(1,ROWS($A$2:$A$15)),1)</f>
        <v>3</v>
      </c>
      <c r="N93" cm="1">
        <f t="array" aca="1" ref="N93" ca="1">INDEX($A$2:$A$15,RANDBETWEEN(1,ROWS($A$2:$A$15)),1)</f>
        <v>8</v>
      </c>
      <c r="O93" cm="1">
        <f t="array" aca="1" ref="O93" ca="1">INDEX($A$2:$A$15,RANDBETWEEN(1,ROWS($A$2:$A$15)),1)</f>
        <v>5</v>
      </c>
      <c r="P93" cm="1">
        <f t="array" aca="1" ref="P93" ca="1">INDEX($A$2:$A$15,RANDBETWEEN(1,ROWS($A$2:$A$15)),1)</f>
        <v>1</v>
      </c>
      <c r="Q93" cm="1">
        <f t="array" aca="1" ref="Q93" ca="1">INDEX($A$2:$A$15,RANDBETWEEN(1,ROWS($A$2:$A$15)),1)</f>
        <v>3</v>
      </c>
      <c r="R93" cm="1">
        <f t="array" aca="1" ref="R93" ca="1">INDEX($A$2:$A$15,RANDBETWEEN(1,ROWS($A$2:$A$15)),1)</f>
        <v>4</v>
      </c>
      <c r="S93" cm="1">
        <f t="array" aca="1" ref="S93" ca="1">INDEX($A$2:$A$15,RANDBETWEEN(1,ROWS($A$2:$A$15)),1)</f>
        <v>4</v>
      </c>
      <c r="V93">
        <f t="shared" ca="1" si="4"/>
        <v>3.4117647058823528</v>
      </c>
      <c r="W93">
        <f t="shared" ca="1" si="5"/>
        <v>3</v>
      </c>
      <c r="X93">
        <f t="shared" ca="1" si="6"/>
        <v>4</v>
      </c>
      <c r="Y93">
        <f t="shared" ca="1" si="7"/>
        <v>2.3199898579900022</v>
      </c>
    </row>
    <row r="94" spans="3:25" x14ac:dyDescent="0.35">
      <c r="C94" cm="1">
        <f t="array" aca="1" ref="C94" ca="1">INDEX($A$2:$A$15,RANDBETWEEN(1,ROWS($A$2:$A$15)),1)</f>
        <v>1</v>
      </c>
      <c r="D94" cm="1">
        <f t="array" aca="1" ref="D94" ca="1">INDEX($A$2:$A$15,RANDBETWEEN(1,ROWS($A$2:$A$15)),1)</f>
        <v>5</v>
      </c>
      <c r="E94" cm="1">
        <f t="array" aca="1" ref="E94" ca="1">INDEX($A$2:$A$15,RANDBETWEEN(1,ROWS($A$2:$A$15)),1)</f>
        <v>1</v>
      </c>
      <c r="F94" cm="1">
        <f t="array" aca="1" ref="F94" ca="1">INDEX($A$2:$A$15,RANDBETWEEN(1,ROWS($A$2:$A$15)),1)</f>
        <v>1</v>
      </c>
      <c r="G94" cm="1">
        <f t="array" aca="1" ref="G94" ca="1">INDEX($A$2:$A$15,RANDBETWEEN(1,ROWS($A$2:$A$15)),1)</f>
        <v>4</v>
      </c>
      <c r="H94" cm="1">
        <f t="array" aca="1" ref="H94" ca="1">INDEX($A$2:$A$15,RANDBETWEEN(1,ROWS($A$2:$A$15)),1)</f>
        <v>5</v>
      </c>
      <c r="I94" cm="1">
        <f t="array" aca="1" ref="I94" ca="1">INDEX($A$2:$A$15,RANDBETWEEN(1,ROWS($A$2:$A$15)),1)</f>
        <v>1</v>
      </c>
      <c r="J94" cm="1">
        <f t="array" aca="1" ref="J94" ca="1">INDEX($A$2:$A$15,RANDBETWEEN(1,ROWS($A$2:$A$15)),1)</f>
        <v>2</v>
      </c>
      <c r="K94" cm="1">
        <f t="array" aca="1" ref="K94" ca="1">INDEX($A$2:$A$15,RANDBETWEEN(1,ROWS($A$2:$A$15)),1)</f>
        <v>1</v>
      </c>
      <c r="L94" cm="1">
        <f t="array" aca="1" ref="L94" ca="1">INDEX($A$2:$A$15,RANDBETWEEN(1,ROWS($A$2:$A$15)),1)</f>
        <v>3</v>
      </c>
      <c r="M94" cm="1">
        <f t="array" aca="1" ref="M94" ca="1">INDEX($A$2:$A$15,RANDBETWEEN(1,ROWS($A$2:$A$15)),1)</f>
        <v>7</v>
      </c>
      <c r="N94" cm="1">
        <f t="array" aca="1" ref="N94" ca="1">INDEX($A$2:$A$15,RANDBETWEEN(1,ROWS($A$2:$A$15)),1)</f>
        <v>5</v>
      </c>
      <c r="O94" cm="1">
        <f t="array" aca="1" ref="O94" ca="1">INDEX($A$2:$A$15,RANDBETWEEN(1,ROWS($A$2:$A$15)),1)</f>
        <v>4</v>
      </c>
      <c r="P94" cm="1">
        <f t="array" aca="1" ref="P94" ca="1">INDEX($A$2:$A$15,RANDBETWEEN(1,ROWS($A$2:$A$15)),1)</f>
        <v>8</v>
      </c>
      <c r="Q94" cm="1">
        <f t="array" aca="1" ref="Q94" ca="1">INDEX($A$2:$A$15,RANDBETWEEN(1,ROWS($A$2:$A$15)),1)</f>
        <v>5</v>
      </c>
      <c r="R94" cm="1">
        <f t="array" aca="1" ref="R94" ca="1">INDEX($A$2:$A$15,RANDBETWEEN(1,ROWS($A$2:$A$15)),1)</f>
        <v>5</v>
      </c>
      <c r="S94" cm="1">
        <f t="array" aca="1" ref="S94" ca="1">INDEX($A$2:$A$15,RANDBETWEEN(1,ROWS($A$2:$A$15)),1)</f>
        <v>1</v>
      </c>
      <c r="V94">
        <f t="shared" ca="1" si="4"/>
        <v>3.4705882352941178</v>
      </c>
      <c r="W94">
        <f t="shared" ca="1" si="5"/>
        <v>4</v>
      </c>
      <c r="X94">
        <f t="shared" ca="1" si="6"/>
        <v>4</v>
      </c>
      <c r="Y94">
        <f t="shared" ca="1" si="7"/>
        <v>2.294494689981422</v>
      </c>
    </row>
    <row r="95" spans="3:25" x14ac:dyDescent="0.35">
      <c r="C95" cm="1">
        <f t="array" aca="1" ref="C95" ca="1">INDEX($A$2:$A$15,RANDBETWEEN(1,ROWS($A$2:$A$15)),1)</f>
        <v>5</v>
      </c>
      <c r="D95" cm="1">
        <f t="array" aca="1" ref="D95" ca="1">INDEX($A$2:$A$15,RANDBETWEEN(1,ROWS($A$2:$A$15)),1)</f>
        <v>1</v>
      </c>
      <c r="E95" cm="1">
        <f t="array" aca="1" ref="E95" ca="1">INDEX($A$2:$A$15,RANDBETWEEN(1,ROWS($A$2:$A$15)),1)</f>
        <v>3</v>
      </c>
      <c r="F95" cm="1">
        <f t="array" aca="1" ref="F95" ca="1">INDEX($A$2:$A$15,RANDBETWEEN(1,ROWS($A$2:$A$15)),1)</f>
        <v>3</v>
      </c>
      <c r="G95" cm="1">
        <f t="array" aca="1" ref="G95" ca="1">INDEX($A$2:$A$15,RANDBETWEEN(1,ROWS($A$2:$A$15)),1)</f>
        <v>4</v>
      </c>
      <c r="H95" cm="1">
        <f t="array" aca="1" ref="H95" ca="1">INDEX($A$2:$A$15,RANDBETWEEN(1,ROWS($A$2:$A$15)),1)</f>
        <v>5</v>
      </c>
      <c r="I95" cm="1">
        <f t="array" aca="1" ref="I95" ca="1">INDEX($A$2:$A$15,RANDBETWEEN(1,ROWS($A$2:$A$15)),1)</f>
        <v>4</v>
      </c>
      <c r="J95" cm="1">
        <f t="array" aca="1" ref="J95" ca="1">INDEX($A$2:$A$15,RANDBETWEEN(1,ROWS($A$2:$A$15)),1)</f>
        <v>8</v>
      </c>
      <c r="K95" cm="1">
        <f t="array" aca="1" ref="K95" ca="1">INDEX($A$2:$A$15,RANDBETWEEN(1,ROWS($A$2:$A$15)),1)</f>
        <v>3</v>
      </c>
      <c r="L95" cm="1">
        <f t="array" aca="1" ref="L95" ca="1">INDEX($A$2:$A$15,RANDBETWEEN(1,ROWS($A$2:$A$15)),1)</f>
        <v>1</v>
      </c>
      <c r="M95" cm="1">
        <f t="array" aca="1" ref="M95" ca="1">INDEX($A$2:$A$15,RANDBETWEEN(1,ROWS($A$2:$A$15)),1)</f>
        <v>7</v>
      </c>
      <c r="N95" cm="1">
        <f t="array" aca="1" ref="N95" ca="1">INDEX($A$2:$A$15,RANDBETWEEN(1,ROWS($A$2:$A$15)),1)</f>
        <v>1</v>
      </c>
      <c r="O95" cm="1">
        <f t="array" aca="1" ref="O95" ca="1">INDEX($A$2:$A$15,RANDBETWEEN(1,ROWS($A$2:$A$15)),1)</f>
        <v>8</v>
      </c>
      <c r="P95" cm="1">
        <f t="array" aca="1" ref="P95" ca="1">INDEX($A$2:$A$15,RANDBETWEEN(1,ROWS($A$2:$A$15)),1)</f>
        <v>1</v>
      </c>
      <c r="Q95" cm="1">
        <f t="array" aca="1" ref="Q95" ca="1">INDEX($A$2:$A$15,RANDBETWEEN(1,ROWS($A$2:$A$15)),1)</f>
        <v>4</v>
      </c>
      <c r="R95" cm="1">
        <f t="array" aca="1" ref="R95" ca="1">INDEX($A$2:$A$15,RANDBETWEEN(1,ROWS($A$2:$A$15)),1)</f>
        <v>4</v>
      </c>
      <c r="S95" cm="1">
        <f t="array" aca="1" ref="S95" ca="1">INDEX($A$2:$A$15,RANDBETWEEN(1,ROWS($A$2:$A$15)),1)</f>
        <v>2</v>
      </c>
      <c r="V95">
        <f t="shared" ca="1" si="4"/>
        <v>3.7647058823529411</v>
      </c>
      <c r="W95">
        <f t="shared" ca="1" si="5"/>
        <v>4</v>
      </c>
      <c r="X95">
        <f t="shared" ca="1" si="6"/>
        <v>3</v>
      </c>
      <c r="Y95">
        <f t="shared" ca="1" si="7"/>
        <v>2.3056835148363781</v>
      </c>
    </row>
    <row r="96" spans="3:25" x14ac:dyDescent="0.35">
      <c r="C96" cm="1">
        <f t="array" aca="1" ref="C96" ca="1">INDEX($A$2:$A$15,RANDBETWEEN(1,ROWS($A$2:$A$15)),1)</f>
        <v>1</v>
      </c>
      <c r="D96" cm="1">
        <f t="array" aca="1" ref="D96" ca="1">INDEX($A$2:$A$15,RANDBETWEEN(1,ROWS($A$2:$A$15)),1)</f>
        <v>7</v>
      </c>
      <c r="E96" cm="1">
        <f t="array" aca="1" ref="E96" ca="1">INDEX($A$2:$A$15,RANDBETWEEN(1,ROWS($A$2:$A$15)),1)</f>
        <v>7</v>
      </c>
      <c r="F96" cm="1">
        <f t="array" aca="1" ref="F96" ca="1">INDEX($A$2:$A$15,RANDBETWEEN(1,ROWS($A$2:$A$15)),1)</f>
        <v>2</v>
      </c>
      <c r="G96" cm="1">
        <f t="array" aca="1" ref="G96" ca="1">INDEX($A$2:$A$15,RANDBETWEEN(1,ROWS($A$2:$A$15)),1)</f>
        <v>5</v>
      </c>
      <c r="H96" cm="1">
        <f t="array" aca="1" ref="H96" ca="1">INDEX($A$2:$A$15,RANDBETWEEN(1,ROWS($A$2:$A$15)),1)</f>
        <v>4</v>
      </c>
      <c r="I96" cm="1">
        <f t="array" aca="1" ref="I96" ca="1">INDEX($A$2:$A$15,RANDBETWEEN(1,ROWS($A$2:$A$15)),1)</f>
        <v>5</v>
      </c>
      <c r="J96" cm="1">
        <f t="array" aca="1" ref="J96" ca="1">INDEX($A$2:$A$15,RANDBETWEEN(1,ROWS($A$2:$A$15)),1)</f>
        <v>7</v>
      </c>
      <c r="K96" cm="1">
        <f t="array" aca="1" ref="K96" ca="1">INDEX($A$2:$A$15,RANDBETWEEN(1,ROWS($A$2:$A$15)),1)</f>
        <v>3</v>
      </c>
      <c r="L96" cm="1">
        <f t="array" aca="1" ref="L96" ca="1">INDEX($A$2:$A$15,RANDBETWEEN(1,ROWS($A$2:$A$15)),1)</f>
        <v>1</v>
      </c>
      <c r="M96" cm="1">
        <f t="array" aca="1" ref="M96" ca="1">INDEX($A$2:$A$15,RANDBETWEEN(1,ROWS($A$2:$A$15)),1)</f>
        <v>1</v>
      </c>
      <c r="N96" cm="1">
        <f t="array" aca="1" ref="N96" ca="1">INDEX($A$2:$A$15,RANDBETWEEN(1,ROWS($A$2:$A$15)),1)</f>
        <v>5</v>
      </c>
      <c r="O96" cm="1">
        <f t="array" aca="1" ref="O96" ca="1">INDEX($A$2:$A$15,RANDBETWEEN(1,ROWS($A$2:$A$15)),1)</f>
        <v>4</v>
      </c>
      <c r="P96" cm="1">
        <f t="array" aca="1" ref="P96" ca="1">INDEX($A$2:$A$15,RANDBETWEEN(1,ROWS($A$2:$A$15)),1)</f>
        <v>4</v>
      </c>
      <c r="Q96" cm="1">
        <f t="array" aca="1" ref="Q96" ca="1">INDEX($A$2:$A$15,RANDBETWEEN(1,ROWS($A$2:$A$15)),1)</f>
        <v>1</v>
      </c>
      <c r="R96" cm="1">
        <f t="array" aca="1" ref="R96" ca="1">INDEX($A$2:$A$15,RANDBETWEEN(1,ROWS($A$2:$A$15)),1)</f>
        <v>5</v>
      </c>
      <c r="S96" cm="1">
        <f t="array" aca="1" ref="S96" ca="1">INDEX($A$2:$A$15,RANDBETWEEN(1,ROWS($A$2:$A$15)),1)</f>
        <v>5</v>
      </c>
      <c r="V96">
        <f t="shared" ca="1" si="4"/>
        <v>3.9411764705882355</v>
      </c>
      <c r="W96">
        <f t="shared" ca="1" si="5"/>
        <v>4</v>
      </c>
      <c r="X96">
        <f t="shared" ca="1" si="6"/>
        <v>3</v>
      </c>
      <c r="Y96">
        <f t="shared" ca="1" si="7"/>
        <v>2.1351401662213569</v>
      </c>
    </row>
    <row r="97" spans="3:25" x14ac:dyDescent="0.35">
      <c r="C97" cm="1">
        <f t="array" aca="1" ref="C97" ca="1">INDEX($A$2:$A$15,RANDBETWEEN(1,ROWS($A$2:$A$15)),1)</f>
        <v>3</v>
      </c>
      <c r="D97" cm="1">
        <f t="array" aca="1" ref="D97" ca="1">INDEX($A$2:$A$15,RANDBETWEEN(1,ROWS($A$2:$A$15)),1)</f>
        <v>1</v>
      </c>
      <c r="E97" cm="1">
        <f t="array" aca="1" ref="E97" ca="1">INDEX($A$2:$A$15,RANDBETWEEN(1,ROWS($A$2:$A$15)),1)</f>
        <v>1</v>
      </c>
      <c r="F97" cm="1">
        <f t="array" aca="1" ref="F97" ca="1">INDEX($A$2:$A$15,RANDBETWEEN(1,ROWS($A$2:$A$15)),1)</f>
        <v>5</v>
      </c>
      <c r="G97" cm="1">
        <f t="array" aca="1" ref="G97" ca="1">INDEX($A$2:$A$15,RANDBETWEEN(1,ROWS($A$2:$A$15)),1)</f>
        <v>8</v>
      </c>
      <c r="H97" cm="1">
        <f t="array" aca="1" ref="H97" ca="1">INDEX($A$2:$A$15,RANDBETWEEN(1,ROWS($A$2:$A$15)),1)</f>
        <v>3</v>
      </c>
      <c r="I97" cm="1">
        <f t="array" aca="1" ref="I97" ca="1">INDEX($A$2:$A$15,RANDBETWEEN(1,ROWS($A$2:$A$15)),1)</f>
        <v>8</v>
      </c>
      <c r="J97" cm="1">
        <f t="array" aca="1" ref="J97" ca="1">INDEX($A$2:$A$15,RANDBETWEEN(1,ROWS($A$2:$A$15)),1)</f>
        <v>5</v>
      </c>
      <c r="K97" cm="1">
        <f t="array" aca="1" ref="K97" ca="1">INDEX($A$2:$A$15,RANDBETWEEN(1,ROWS($A$2:$A$15)),1)</f>
        <v>2</v>
      </c>
      <c r="L97" cm="1">
        <f t="array" aca="1" ref="L97" ca="1">INDEX($A$2:$A$15,RANDBETWEEN(1,ROWS($A$2:$A$15)),1)</f>
        <v>8</v>
      </c>
      <c r="M97" cm="1">
        <f t="array" aca="1" ref="M97" ca="1">INDEX($A$2:$A$15,RANDBETWEEN(1,ROWS($A$2:$A$15)),1)</f>
        <v>3</v>
      </c>
      <c r="N97" cm="1">
        <f t="array" aca="1" ref="N97" ca="1">INDEX($A$2:$A$15,RANDBETWEEN(1,ROWS($A$2:$A$15)),1)</f>
        <v>4</v>
      </c>
      <c r="O97" cm="1">
        <f t="array" aca="1" ref="O97" ca="1">INDEX($A$2:$A$15,RANDBETWEEN(1,ROWS($A$2:$A$15)),1)</f>
        <v>1</v>
      </c>
      <c r="P97" cm="1">
        <f t="array" aca="1" ref="P97" ca="1">INDEX($A$2:$A$15,RANDBETWEEN(1,ROWS($A$2:$A$15)),1)</f>
        <v>7</v>
      </c>
      <c r="Q97" cm="1">
        <f t="array" aca="1" ref="Q97" ca="1">INDEX($A$2:$A$15,RANDBETWEEN(1,ROWS($A$2:$A$15)),1)</f>
        <v>2</v>
      </c>
      <c r="R97" cm="1">
        <f t="array" aca="1" ref="R97" ca="1">INDEX($A$2:$A$15,RANDBETWEEN(1,ROWS($A$2:$A$15)),1)</f>
        <v>5</v>
      </c>
      <c r="S97" cm="1">
        <f t="array" aca="1" ref="S97" ca="1">INDEX($A$2:$A$15,RANDBETWEEN(1,ROWS($A$2:$A$15)),1)</f>
        <v>8</v>
      </c>
      <c r="V97">
        <f t="shared" ca="1" si="4"/>
        <v>4.3529411764705879</v>
      </c>
      <c r="W97">
        <f t="shared" ca="1" si="5"/>
        <v>4</v>
      </c>
      <c r="X97">
        <f t="shared" ca="1" si="6"/>
        <v>5</v>
      </c>
      <c r="Y97">
        <f t="shared" ca="1" si="7"/>
        <v>2.6443613706949223</v>
      </c>
    </row>
    <row r="98" spans="3:25" x14ac:dyDescent="0.35">
      <c r="C98" cm="1">
        <f t="array" aca="1" ref="C98" ca="1">INDEX($A$2:$A$15,RANDBETWEEN(1,ROWS($A$2:$A$15)),1)</f>
        <v>7</v>
      </c>
      <c r="D98" cm="1">
        <f t="array" aca="1" ref="D98" ca="1">INDEX($A$2:$A$15,RANDBETWEEN(1,ROWS($A$2:$A$15)),1)</f>
        <v>1</v>
      </c>
      <c r="E98" cm="1">
        <f t="array" aca="1" ref="E98" ca="1">INDEX($A$2:$A$15,RANDBETWEEN(1,ROWS($A$2:$A$15)),1)</f>
        <v>2</v>
      </c>
      <c r="F98" cm="1">
        <f t="array" aca="1" ref="F98" ca="1">INDEX($A$2:$A$15,RANDBETWEEN(1,ROWS($A$2:$A$15)),1)</f>
        <v>3</v>
      </c>
      <c r="G98" cm="1">
        <f t="array" aca="1" ref="G98" ca="1">INDEX($A$2:$A$15,RANDBETWEEN(1,ROWS($A$2:$A$15)),1)</f>
        <v>5</v>
      </c>
      <c r="H98" cm="1">
        <f t="array" aca="1" ref="H98" ca="1">INDEX($A$2:$A$15,RANDBETWEEN(1,ROWS($A$2:$A$15)),1)</f>
        <v>4</v>
      </c>
      <c r="I98" cm="1">
        <f t="array" aca="1" ref="I98" ca="1">INDEX($A$2:$A$15,RANDBETWEEN(1,ROWS($A$2:$A$15)),1)</f>
        <v>3</v>
      </c>
      <c r="J98" cm="1">
        <f t="array" aca="1" ref="J98" ca="1">INDEX($A$2:$A$15,RANDBETWEEN(1,ROWS($A$2:$A$15)),1)</f>
        <v>1</v>
      </c>
      <c r="K98" cm="1">
        <f t="array" aca="1" ref="K98" ca="1">INDEX($A$2:$A$15,RANDBETWEEN(1,ROWS($A$2:$A$15)),1)</f>
        <v>5</v>
      </c>
      <c r="L98" cm="1">
        <f t="array" aca="1" ref="L98" ca="1">INDEX($A$2:$A$15,RANDBETWEEN(1,ROWS($A$2:$A$15)),1)</f>
        <v>4</v>
      </c>
      <c r="M98" cm="1">
        <f t="array" aca="1" ref="M98" ca="1">INDEX($A$2:$A$15,RANDBETWEEN(1,ROWS($A$2:$A$15)),1)</f>
        <v>1</v>
      </c>
      <c r="N98" cm="1">
        <f t="array" aca="1" ref="N98" ca="1">INDEX($A$2:$A$15,RANDBETWEEN(1,ROWS($A$2:$A$15)),1)</f>
        <v>5</v>
      </c>
      <c r="O98" cm="1">
        <f t="array" aca="1" ref="O98" ca="1">INDEX($A$2:$A$15,RANDBETWEEN(1,ROWS($A$2:$A$15)),1)</f>
        <v>5</v>
      </c>
      <c r="P98" cm="1">
        <f t="array" aca="1" ref="P98" ca="1">INDEX($A$2:$A$15,RANDBETWEEN(1,ROWS($A$2:$A$15)),1)</f>
        <v>5</v>
      </c>
      <c r="Q98" cm="1">
        <f t="array" aca="1" ref="Q98" ca="1">INDEX($A$2:$A$15,RANDBETWEEN(1,ROWS($A$2:$A$15)),1)</f>
        <v>4</v>
      </c>
      <c r="R98" cm="1">
        <f t="array" aca="1" ref="R98" ca="1">INDEX($A$2:$A$15,RANDBETWEEN(1,ROWS($A$2:$A$15)),1)</f>
        <v>5</v>
      </c>
      <c r="S98" cm="1">
        <f t="array" aca="1" ref="S98" ca="1">INDEX($A$2:$A$15,RANDBETWEEN(1,ROWS($A$2:$A$15)),1)</f>
        <v>1</v>
      </c>
      <c r="V98">
        <f t="shared" ca="1" si="4"/>
        <v>3.5882352941176472</v>
      </c>
      <c r="W98">
        <f t="shared" ca="1" si="5"/>
        <v>4</v>
      </c>
      <c r="X98">
        <f t="shared" ca="1" si="6"/>
        <v>3</v>
      </c>
      <c r="Y98">
        <f t="shared" ca="1" si="7"/>
        <v>1.8391174353957038</v>
      </c>
    </row>
    <row r="99" spans="3:25" x14ac:dyDescent="0.35">
      <c r="C99" cm="1">
        <f t="array" aca="1" ref="C99" ca="1">INDEX($A$2:$A$15,RANDBETWEEN(1,ROWS($A$2:$A$15)),1)</f>
        <v>2</v>
      </c>
      <c r="D99" cm="1">
        <f t="array" aca="1" ref="D99" ca="1">INDEX($A$2:$A$15,RANDBETWEEN(1,ROWS($A$2:$A$15)),1)</f>
        <v>4</v>
      </c>
      <c r="E99" cm="1">
        <f t="array" aca="1" ref="E99" ca="1">INDEX($A$2:$A$15,RANDBETWEEN(1,ROWS($A$2:$A$15)),1)</f>
        <v>5</v>
      </c>
      <c r="F99" cm="1">
        <f t="array" aca="1" ref="F99" ca="1">INDEX($A$2:$A$15,RANDBETWEEN(1,ROWS($A$2:$A$15)),1)</f>
        <v>8</v>
      </c>
      <c r="G99" cm="1">
        <f t="array" aca="1" ref="G99" ca="1">INDEX($A$2:$A$15,RANDBETWEEN(1,ROWS($A$2:$A$15)),1)</f>
        <v>8</v>
      </c>
      <c r="H99" cm="1">
        <f t="array" aca="1" ref="H99" ca="1">INDEX($A$2:$A$15,RANDBETWEEN(1,ROWS($A$2:$A$15)),1)</f>
        <v>5</v>
      </c>
      <c r="I99" cm="1">
        <f t="array" aca="1" ref="I99" ca="1">INDEX($A$2:$A$15,RANDBETWEEN(1,ROWS($A$2:$A$15)),1)</f>
        <v>1</v>
      </c>
      <c r="J99" cm="1">
        <f t="array" aca="1" ref="J99" ca="1">INDEX($A$2:$A$15,RANDBETWEEN(1,ROWS($A$2:$A$15)),1)</f>
        <v>5</v>
      </c>
      <c r="K99" cm="1">
        <f t="array" aca="1" ref="K99" ca="1">INDEX($A$2:$A$15,RANDBETWEEN(1,ROWS($A$2:$A$15)),1)</f>
        <v>4</v>
      </c>
      <c r="L99" cm="1">
        <f t="array" aca="1" ref="L99" ca="1">INDEX($A$2:$A$15,RANDBETWEEN(1,ROWS($A$2:$A$15)),1)</f>
        <v>4</v>
      </c>
      <c r="M99" cm="1">
        <f t="array" aca="1" ref="M99" ca="1">INDEX($A$2:$A$15,RANDBETWEEN(1,ROWS($A$2:$A$15)),1)</f>
        <v>8</v>
      </c>
      <c r="N99" cm="1">
        <f t="array" aca="1" ref="N99" ca="1">INDEX($A$2:$A$15,RANDBETWEEN(1,ROWS($A$2:$A$15)),1)</f>
        <v>4</v>
      </c>
      <c r="O99" cm="1">
        <f t="array" aca="1" ref="O99" ca="1">INDEX($A$2:$A$15,RANDBETWEEN(1,ROWS($A$2:$A$15)),1)</f>
        <v>1</v>
      </c>
      <c r="P99" cm="1">
        <f t="array" aca="1" ref="P99" ca="1">INDEX($A$2:$A$15,RANDBETWEEN(1,ROWS($A$2:$A$15)),1)</f>
        <v>5</v>
      </c>
      <c r="Q99" cm="1">
        <f t="array" aca="1" ref="Q99" ca="1">INDEX($A$2:$A$15,RANDBETWEEN(1,ROWS($A$2:$A$15)),1)</f>
        <v>2</v>
      </c>
      <c r="R99" cm="1">
        <f t="array" aca="1" ref="R99" ca="1">INDEX($A$2:$A$15,RANDBETWEEN(1,ROWS($A$2:$A$15)),1)</f>
        <v>3</v>
      </c>
      <c r="S99" cm="1">
        <f t="array" aca="1" ref="S99" ca="1">INDEX($A$2:$A$15,RANDBETWEEN(1,ROWS($A$2:$A$15)),1)</f>
        <v>5</v>
      </c>
      <c r="V99">
        <f t="shared" ca="1" si="4"/>
        <v>4.3529411764705879</v>
      </c>
      <c r="W99">
        <f t="shared" ca="1" si="5"/>
        <v>4</v>
      </c>
      <c r="X99">
        <f t="shared" ca="1" si="6"/>
        <v>2</v>
      </c>
      <c r="Y99">
        <f t="shared" ca="1" si="7"/>
        <v>2.2062744749517291</v>
      </c>
    </row>
    <row r="100" spans="3:25" x14ac:dyDescent="0.35">
      <c r="C100" cm="1">
        <f t="array" aca="1" ref="C100" ca="1">INDEX($A$2:$A$15,RANDBETWEEN(1,ROWS($A$2:$A$15)),1)</f>
        <v>3</v>
      </c>
      <c r="D100" cm="1">
        <f t="array" aca="1" ref="D100" ca="1">INDEX($A$2:$A$15,RANDBETWEEN(1,ROWS($A$2:$A$15)),1)</f>
        <v>3</v>
      </c>
      <c r="E100" cm="1">
        <f t="array" aca="1" ref="E100" ca="1">INDEX($A$2:$A$15,RANDBETWEEN(1,ROWS($A$2:$A$15)),1)</f>
        <v>5</v>
      </c>
      <c r="F100" cm="1">
        <f t="array" aca="1" ref="F100" ca="1">INDEX($A$2:$A$15,RANDBETWEEN(1,ROWS($A$2:$A$15)),1)</f>
        <v>1</v>
      </c>
      <c r="G100" cm="1">
        <f t="array" aca="1" ref="G100" ca="1">INDEX($A$2:$A$15,RANDBETWEEN(1,ROWS($A$2:$A$15)),1)</f>
        <v>4</v>
      </c>
      <c r="H100" cm="1">
        <f t="array" aca="1" ref="H100" ca="1">INDEX($A$2:$A$15,RANDBETWEEN(1,ROWS($A$2:$A$15)),1)</f>
        <v>5</v>
      </c>
      <c r="I100" cm="1">
        <f t="array" aca="1" ref="I100" ca="1">INDEX($A$2:$A$15,RANDBETWEEN(1,ROWS($A$2:$A$15)),1)</f>
        <v>5</v>
      </c>
      <c r="J100" cm="1">
        <f t="array" aca="1" ref="J100" ca="1">INDEX($A$2:$A$15,RANDBETWEEN(1,ROWS($A$2:$A$15)),1)</f>
        <v>2</v>
      </c>
      <c r="K100" cm="1">
        <f t="array" aca="1" ref="K100" ca="1">INDEX($A$2:$A$15,RANDBETWEEN(1,ROWS($A$2:$A$15)),1)</f>
        <v>7</v>
      </c>
      <c r="L100" cm="1">
        <f t="array" aca="1" ref="L100" ca="1">INDEX($A$2:$A$15,RANDBETWEEN(1,ROWS($A$2:$A$15)),1)</f>
        <v>1</v>
      </c>
      <c r="M100" cm="1">
        <f t="array" aca="1" ref="M100" ca="1">INDEX($A$2:$A$15,RANDBETWEEN(1,ROWS($A$2:$A$15)),1)</f>
        <v>5</v>
      </c>
      <c r="N100" cm="1">
        <f t="array" aca="1" ref="N100" ca="1">INDEX($A$2:$A$15,RANDBETWEEN(1,ROWS($A$2:$A$15)),1)</f>
        <v>1</v>
      </c>
      <c r="O100" cm="1">
        <f t="array" aca="1" ref="O100" ca="1">INDEX($A$2:$A$15,RANDBETWEEN(1,ROWS($A$2:$A$15)),1)</f>
        <v>2</v>
      </c>
      <c r="P100" cm="1">
        <f t="array" aca="1" ref="P100" ca="1">INDEX($A$2:$A$15,RANDBETWEEN(1,ROWS($A$2:$A$15)),1)</f>
        <v>5</v>
      </c>
      <c r="Q100" cm="1">
        <f t="array" aca="1" ref="Q100" ca="1">INDEX($A$2:$A$15,RANDBETWEEN(1,ROWS($A$2:$A$15)),1)</f>
        <v>4</v>
      </c>
      <c r="R100" cm="1">
        <f t="array" aca="1" ref="R100" ca="1">INDEX($A$2:$A$15,RANDBETWEEN(1,ROWS($A$2:$A$15)),1)</f>
        <v>4</v>
      </c>
      <c r="S100" cm="1">
        <f t="array" aca="1" ref="S100" ca="1">INDEX($A$2:$A$15,RANDBETWEEN(1,ROWS($A$2:$A$15)),1)</f>
        <v>5</v>
      </c>
      <c r="V100">
        <f t="shared" ca="1" si="4"/>
        <v>3.6470588235294117</v>
      </c>
      <c r="W100">
        <f t="shared" ca="1" si="5"/>
        <v>4</v>
      </c>
      <c r="X100">
        <f t="shared" ca="1" si="6"/>
        <v>3</v>
      </c>
      <c r="Y100">
        <f t="shared" ca="1" si="7"/>
        <v>1.7656860023298393</v>
      </c>
    </row>
    <row r="101" spans="3:25" x14ac:dyDescent="0.35">
      <c r="C101" cm="1">
        <f t="array" aca="1" ref="C101" ca="1">INDEX($A$2:$A$15,RANDBETWEEN(1,ROWS($A$2:$A$15)),1)</f>
        <v>2</v>
      </c>
      <c r="D101" cm="1">
        <f t="array" aca="1" ref="D101" ca="1">INDEX($A$2:$A$15,RANDBETWEEN(1,ROWS($A$2:$A$15)),1)</f>
        <v>2</v>
      </c>
      <c r="E101" cm="1">
        <f t="array" aca="1" ref="E101" ca="1">INDEX($A$2:$A$15,RANDBETWEEN(1,ROWS($A$2:$A$15)),1)</f>
        <v>5</v>
      </c>
      <c r="F101" cm="1">
        <f t="array" aca="1" ref="F101" ca="1">INDEX($A$2:$A$15,RANDBETWEEN(1,ROWS($A$2:$A$15)),1)</f>
        <v>5</v>
      </c>
      <c r="G101" cm="1">
        <f t="array" aca="1" ref="G101" ca="1">INDEX($A$2:$A$15,RANDBETWEEN(1,ROWS($A$2:$A$15)),1)</f>
        <v>1</v>
      </c>
      <c r="H101" cm="1">
        <f t="array" aca="1" ref="H101" ca="1">INDEX($A$2:$A$15,RANDBETWEEN(1,ROWS($A$2:$A$15)),1)</f>
        <v>5</v>
      </c>
      <c r="I101" cm="1">
        <f t="array" aca="1" ref="I101" ca="1">INDEX($A$2:$A$15,RANDBETWEEN(1,ROWS($A$2:$A$15)),1)</f>
        <v>5</v>
      </c>
      <c r="J101" cm="1">
        <f t="array" aca="1" ref="J101" ca="1">INDEX($A$2:$A$15,RANDBETWEEN(1,ROWS($A$2:$A$15)),1)</f>
        <v>3</v>
      </c>
      <c r="K101" cm="1">
        <f t="array" aca="1" ref="K101" ca="1">INDEX($A$2:$A$15,RANDBETWEEN(1,ROWS($A$2:$A$15)),1)</f>
        <v>5</v>
      </c>
      <c r="L101" cm="1">
        <f t="array" aca="1" ref="L101" ca="1">INDEX($A$2:$A$15,RANDBETWEEN(1,ROWS($A$2:$A$15)),1)</f>
        <v>1</v>
      </c>
      <c r="M101" cm="1">
        <f t="array" aca="1" ref="M101" ca="1">INDEX($A$2:$A$15,RANDBETWEEN(1,ROWS($A$2:$A$15)),1)</f>
        <v>4</v>
      </c>
      <c r="N101" cm="1">
        <f t="array" aca="1" ref="N101" ca="1">INDEX($A$2:$A$15,RANDBETWEEN(1,ROWS($A$2:$A$15)),1)</f>
        <v>3</v>
      </c>
      <c r="O101" cm="1">
        <f t="array" aca="1" ref="O101" ca="1">INDEX($A$2:$A$15,RANDBETWEEN(1,ROWS($A$2:$A$15)),1)</f>
        <v>4</v>
      </c>
      <c r="P101" cm="1">
        <f t="array" aca="1" ref="P101" ca="1">INDEX($A$2:$A$15,RANDBETWEEN(1,ROWS($A$2:$A$15)),1)</f>
        <v>5</v>
      </c>
      <c r="Q101" cm="1">
        <f t="array" aca="1" ref="Q101" ca="1">INDEX($A$2:$A$15,RANDBETWEEN(1,ROWS($A$2:$A$15)),1)</f>
        <v>8</v>
      </c>
      <c r="R101" cm="1">
        <f t="array" aca="1" ref="R101" ca="1">INDEX($A$2:$A$15,RANDBETWEEN(1,ROWS($A$2:$A$15)),1)</f>
        <v>1</v>
      </c>
      <c r="S101" cm="1">
        <f t="array" aca="1" ref="S101" ca="1">INDEX($A$2:$A$15,RANDBETWEEN(1,ROWS($A$2:$A$15)),1)</f>
        <v>7</v>
      </c>
      <c r="V101">
        <f t="shared" ca="1" si="4"/>
        <v>3.8823529411764706</v>
      </c>
      <c r="W101">
        <f t="shared" ca="1" si="5"/>
        <v>4</v>
      </c>
      <c r="X101">
        <f t="shared" ca="1" si="6"/>
        <v>3</v>
      </c>
      <c r="Y101">
        <f t="shared" ca="1" si="7"/>
        <v>2.0579830217101058</v>
      </c>
    </row>
    <row r="102" spans="3:25" x14ac:dyDescent="0.35">
      <c r="C102" cm="1">
        <f t="array" aca="1" ref="C102" ca="1">INDEX($A$2:$A$15,RANDBETWEEN(1,ROWS($A$2:$A$15)),1)</f>
        <v>1</v>
      </c>
      <c r="D102" cm="1">
        <f t="array" aca="1" ref="D102" ca="1">INDEX($A$2:$A$15,RANDBETWEEN(1,ROWS($A$2:$A$15)),1)</f>
        <v>2</v>
      </c>
      <c r="E102" cm="1">
        <f t="array" aca="1" ref="E102" ca="1">INDEX($A$2:$A$15,RANDBETWEEN(1,ROWS($A$2:$A$15)),1)</f>
        <v>3</v>
      </c>
      <c r="F102" cm="1">
        <f t="array" aca="1" ref="F102" ca="1">INDEX($A$2:$A$15,RANDBETWEEN(1,ROWS($A$2:$A$15)),1)</f>
        <v>5</v>
      </c>
      <c r="G102" cm="1">
        <f t="array" aca="1" ref="G102" ca="1">INDEX($A$2:$A$15,RANDBETWEEN(1,ROWS($A$2:$A$15)),1)</f>
        <v>5</v>
      </c>
      <c r="H102" cm="1">
        <f t="array" aca="1" ref="H102" ca="1">INDEX($A$2:$A$15,RANDBETWEEN(1,ROWS($A$2:$A$15)),1)</f>
        <v>1</v>
      </c>
      <c r="I102" cm="1">
        <f t="array" aca="1" ref="I102" ca="1">INDEX($A$2:$A$15,RANDBETWEEN(1,ROWS($A$2:$A$15)),1)</f>
        <v>5</v>
      </c>
      <c r="J102" cm="1">
        <f t="array" aca="1" ref="J102" ca="1">INDEX($A$2:$A$15,RANDBETWEEN(1,ROWS($A$2:$A$15)),1)</f>
        <v>7</v>
      </c>
      <c r="K102" cm="1">
        <f t="array" aca="1" ref="K102" ca="1">INDEX($A$2:$A$15,RANDBETWEEN(1,ROWS($A$2:$A$15)),1)</f>
        <v>4</v>
      </c>
      <c r="L102" cm="1">
        <f t="array" aca="1" ref="L102" ca="1">INDEX($A$2:$A$15,RANDBETWEEN(1,ROWS($A$2:$A$15)),1)</f>
        <v>5</v>
      </c>
      <c r="M102" cm="1">
        <f t="array" aca="1" ref="M102" ca="1">INDEX($A$2:$A$15,RANDBETWEEN(1,ROWS($A$2:$A$15)),1)</f>
        <v>5</v>
      </c>
      <c r="N102" cm="1">
        <f t="array" aca="1" ref="N102" ca="1">INDEX($A$2:$A$15,RANDBETWEEN(1,ROWS($A$2:$A$15)),1)</f>
        <v>5</v>
      </c>
      <c r="O102" cm="1">
        <f t="array" aca="1" ref="O102" ca="1">INDEX($A$2:$A$15,RANDBETWEEN(1,ROWS($A$2:$A$15)),1)</f>
        <v>7</v>
      </c>
      <c r="P102" cm="1">
        <f t="array" aca="1" ref="P102" ca="1">INDEX($A$2:$A$15,RANDBETWEEN(1,ROWS($A$2:$A$15)),1)</f>
        <v>5</v>
      </c>
      <c r="Q102" cm="1">
        <f t="array" aca="1" ref="Q102" ca="1">INDEX($A$2:$A$15,RANDBETWEEN(1,ROWS($A$2:$A$15)),1)</f>
        <v>1</v>
      </c>
      <c r="R102" cm="1">
        <f t="array" aca="1" ref="R102" ca="1">INDEX($A$2:$A$15,RANDBETWEEN(1,ROWS($A$2:$A$15)),1)</f>
        <v>5</v>
      </c>
      <c r="S102" cm="1">
        <f t="array" aca="1" ref="S102" ca="1">INDEX($A$2:$A$15,RANDBETWEEN(1,ROWS($A$2:$A$15)),1)</f>
        <v>5</v>
      </c>
      <c r="V102">
        <f t="shared" ca="1" si="4"/>
        <v>4.1764705882352944</v>
      </c>
      <c r="W102">
        <f t="shared" ca="1" si="5"/>
        <v>5</v>
      </c>
      <c r="X102">
        <f t="shared" ca="1" si="6"/>
        <v>2</v>
      </c>
      <c r="Y102">
        <f t="shared" ca="1" si="7"/>
        <v>1.9116515803633998</v>
      </c>
    </row>
    <row r="103" spans="3:25" x14ac:dyDescent="0.35">
      <c r="C103" cm="1">
        <f t="array" aca="1" ref="C103" ca="1">INDEX($A$2:$A$15,RANDBETWEEN(1,ROWS($A$2:$A$15)),1)</f>
        <v>1</v>
      </c>
      <c r="D103" cm="1">
        <f t="array" aca="1" ref="D103" ca="1">INDEX($A$2:$A$15,RANDBETWEEN(1,ROWS($A$2:$A$15)),1)</f>
        <v>1</v>
      </c>
      <c r="E103" cm="1">
        <f t="array" aca="1" ref="E103" ca="1">INDEX($A$2:$A$15,RANDBETWEEN(1,ROWS($A$2:$A$15)),1)</f>
        <v>8</v>
      </c>
      <c r="F103" cm="1">
        <f t="array" aca="1" ref="F103" ca="1">INDEX($A$2:$A$15,RANDBETWEEN(1,ROWS($A$2:$A$15)),1)</f>
        <v>3</v>
      </c>
      <c r="G103" cm="1">
        <f t="array" aca="1" ref="G103" ca="1">INDEX($A$2:$A$15,RANDBETWEEN(1,ROWS($A$2:$A$15)),1)</f>
        <v>1</v>
      </c>
      <c r="H103" cm="1">
        <f t="array" aca="1" ref="H103" ca="1">INDEX($A$2:$A$15,RANDBETWEEN(1,ROWS($A$2:$A$15)),1)</f>
        <v>3</v>
      </c>
      <c r="I103" cm="1">
        <f t="array" aca="1" ref="I103" ca="1">INDEX($A$2:$A$15,RANDBETWEEN(1,ROWS($A$2:$A$15)),1)</f>
        <v>3</v>
      </c>
      <c r="J103" cm="1">
        <f t="array" aca="1" ref="J103" ca="1">INDEX($A$2:$A$15,RANDBETWEEN(1,ROWS($A$2:$A$15)),1)</f>
        <v>1</v>
      </c>
      <c r="K103" cm="1">
        <f t="array" aca="1" ref="K103" ca="1">INDEX($A$2:$A$15,RANDBETWEEN(1,ROWS($A$2:$A$15)),1)</f>
        <v>1</v>
      </c>
      <c r="L103" cm="1">
        <f t="array" aca="1" ref="L103" ca="1">INDEX($A$2:$A$15,RANDBETWEEN(1,ROWS($A$2:$A$15)),1)</f>
        <v>7</v>
      </c>
      <c r="M103" cm="1">
        <f t="array" aca="1" ref="M103" ca="1">INDEX($A$2:$A$15,RANDBETWEEN(1,ROWS($A$2:$A$15)),1)</f>
        <v>1</v>
      </c>
      <c r="N103" cm="1">
        <f t="array" aca="1" ref="N103" ca="1">INDEX($A$2:$A$15,RANDBETWEEN(1,ROWS($A$2:$A$15)),1)</f>
        <v>1</v>
      </c>
      <c r="O103" cm="1">
        <f t="array" aca="1" ref="O103" ca="1">INDEX($A$2:$A$15,RANDBETWEEN(1,ROWS($A$2:$A$15)),1)</f>
        <v>3</v>
      </c>
      <c r="P103" cm="1">
        <f t="array" aca="1" ref="P103" ca="1">INDEX($A$2:$A$15,RANDBETWEEN(1,ROWS($A$2:$A$15)),1)</f>
        <v>1</v>
      </c>
      <c r="Q103" cm="1">
        <f t="array" aca="1" ref="Q103" ca="1">INDEX($A$2:$A$15,RANDBETWEEN(1,ROWS($A$2:$A$15)),1)</f>
        <v>5</v>
      </c>
      <c r="R103" cm="1">
        <f t="array" aca="1" ref="R103" ca="1">INDEX($A$2:$A$15,RANDBETWEEN(1,ROWS($A$2:$A$15)),1)</f>
        <v>5</v>
      </c>
      <c r="S103" cm="1">
        <f t="array" aca="1" ref="S103" ca="1">INDEX($A$2:$A$15,RANDBETWEEN(1,ROWS($A$2:$A$15)),1)</f>
        <v>4</v>
      </c>
      <c r="V103">
        <f t="shared" ca="1" si="4"/>
        <v>2.8823529411764706</v>
      </c>
      <c r="W103">
        <f t="shared" ca="1" si="5"/>
        <v>3</v>
      </c>
      <c r="X103">
        <f t="shared" ca="1" si="6"/>
        <v>3</v>
      </c>
      <c r="Y103">
        <f t="shared" ca="1" si="7"/>
        <v>2.2605959651488052</v>
      </c>
    </row>
    <row r="104" spans="3:25" x14ac:dyDescent="0.35">
      <c r="C104" cm="1">
        <f t="array" aca="1" ref="C104" ca="1">INDEX($A$2:$A$15,RANDBETWEEN(1,ROWS($A$2:$A$15)),1)</f>
        <v>3</v>
      </c>
      <c r="D104" cm="1">
        <f t="array" aca="1" ref="D104" ca="1">INDEX($A$2:$A$15,RANDBETWEEN(1,ROWS($A$2:$A$15)),1)</f>
        <v>4</v>
      </c>
      <c r="E104" cm="1">
        <f t="array" aca="1" ref="E104" ca="1">INDEX($A$2:$A$15,RANDBETWEEN(1,ROWS($A$2:$A$15)),1)</f>
        <v>5</v>
      </c>
      <c r="F104" cm="1">
        <f t="array" aca="1" ref="F104" ca="1">INDEX($A$2:$A$15,RANDBETWEEN(1,ROWS($A$2:$A$15)),1)</f>
        <v>5</v>
      </c>
      <c r="G104" cm="1">
        <f t="array" aca="1" ref="G104" ca="1">INDEX($A$2:$A$15,RANDBETWEEN(1,ROWS($A$2:$A$15)),1)</f>
        <v>5</v>
      </c>
      <c r="H104" cm="1">
        <f t="array" aca="1" ref="H104" ca="1">INDEX($A$2:$A$15,RANDBETWEEN(1,ROWS($A$2:$A$15)),1)</f>
        <v>2</v>
      </c>
      <c r="I104" cm="1">
        <f t="array" aca="1" ref="I104" ca="1">INDEX($A$2:$A$15,RANDBETWEEN(1,ROWS($A$2:$A$15)),1)</f>
        <v>4</v>
      </c>
      <c r="J104" cm="1">
        <f t="array" aca="1" ref="J104" ca="1">INDEX($A$2:$A$15,RANDBETWEEN(1,ROWS($A$2:$A$15)),1)</f>
        <v>8</v>
      </c>
      <c r="K104" cm="1">
        <f t="array" aca="1" ref="K104" ca="1">INDEX($A$2:$A$15,RANDBETWEEN(1,ROWS($A$2:$A$15)),1)</f>
        <v>5</v>
      </c>
      <c r="L104" cm="1">
        <f t="array" aca="1" ref="L104" ca="1">INDEX($A$2:$A$15,RANDBETWEEN(1,ROWS($A$2:$A$15)),1)</f>
        <v>7</v>
      </c>
      <c r="M104" cm="1">
        <f t="array" aca="1" ref="M104" ca="1">INDEX($A$2:$A$15,RANDBETWEEN(1,ROWS($A$2:$A$15)),1)</f>
        <v>3</v>
      </c>
      <c r="N104" cm="1">
        <f t="array" aca="1" ref="N104" ca="1">INDEX($A$2:$A$15,RANDBETWEEN(1,ROWS($A$2:$A$15)),1)</f>
        <v>4</v>
      </c>
      <c r="O104" cm="1">
        <f t="array" aca="1" ref="O104" ca="1">INDEX($A$2:$A$15,RANDBETWEEN(1,ROWS($A$2:$A$15)),1)</f>
        <v>5</v>
      </c>
      <c r="P104" cm="1">
        <f t="array" aca="1" ref="P104" ca="1">INDEX($A$2:$A$15,RANDBETWEEN(1,ROWS($A$2:$A$15)),1)</f>
        <v>1</v>
      </c>
      <c r="Q104" cm="1">
        <f t="array" aca="1" ref="Q104" ca="1">INDEX($A$2:$A$15,RANDBETWEEN(1,ROWS($A$2:$A$15)),1)</f>
        <v>3</v>
      </c>
      <c r="R104" cm="1">
        <f t="array" aca="1" ref="R104" ca="1">INDEX($A$2:$A$15,RANDBETWEEN(1,ROWS($A$2:$A$15)),1)</f>
        <v>3</v>
      </c>
      <c r="S104" cm="1">
        <f t="array" aca="1" ref="S104" ca="1">INDEX($A$2:$A$15,RANDBETWEEN(1,ROWS($A$2:$A$15)),1)</f>
        <v>4</v>
      </c>
      <c r="V104">
        <f t="shared" ca="1" si="4"/>
        <v>4.1764705882352944</v>
      </c>
      <c r="W104">
        <f t="shared" ca="1" si="5"/>
        <v>4</v>
      </c>
      <c r="X104">
        <f t="shared" ca="1" si="6"/>
        <v>2</v>
      </c>
      <c r="Y104">
        <f t="shared" ca="1" si="7"/>
        <v>1.7042334830374282</v>
      </c>
    </row>
    <row r="105" spans="3:25" x14ac:dyDescent="0.35">
      <c r="C105" cm="1">
        <f t="array" aca="1" ref="C105" ca="1">INDEX($A$2:$A$15,RANDBETWEEN(1,ROWS($A$2:$A$15)),1)</f>
        <v>3</v>
      </c>
      <c r="D105" cm="1">
        <f t="array" aca="1" ref="D105" ca="1">INDEX($A$2:$A$15,RANDBETWEEN(1,ROWS($A$2:$A$15)),1)</f>
        <v>8</v>
      </c>
      <c r="E105" cm="1">
        <f t="array" aca="1" ref="E105" ca="1">INDEX($A$2:$A$15,RANDBETWEEN(1,ROWS($A$2:$A$15)),1)</f>
        <v>3</v>
      </c>
      <c r="F105" cm="1">
        <f t="array" aca="1" ref="F105" ca="1">INDEX($A$2:$A$15,RANDBETWEEN(1,ROWS($A$2:$A$15)),1)</f>
        <v>1</v>
      </c>
      <c r="G105" cm="1">
        <f t="array" aca="1" ref="G105" ca="1">INDEX($A$2:$A$15,RANDBETWEEN(1,ROWS($A$2:$A$15)),1)</f>
        <v>5</v>
      </c>
      <c r="H105" cm="1">
        <f t="array" aca="1" ref="H105" ca="1">INDEX($A$2:$A$15,RANDBETWEEN(1,ROWS($A$2:$A$15)),1)</f>
        <v>1</v>
      </c>
      <c r="I105" cm="1">
        <f t="array" aca="1" ref="I105" ca="1">INDEX($A$2:$A$15,RANDBETWEEN(1,ROWS($A$2:$A$15)),1)</f>
        <v>4</v>
      </c>
      <c r="J105" cm="1">
        <f t="array" aca="1" ref="J105" ca="1">INDEX($A$2:$A$15,RANDBETWEEN(1,ROWS($A$2:$A$15)),1)</f>
        <v>5</v>
      </c>
      <c r="K105" cm="1">
        <f t="array" aca="1" ref="K105" ca="1">INDEX($A$2:$A$15,RANDBETWEEN(1,ROWS($A$2:$A$15)),1)</f>
        <v>3</v>
      </c>
      <c r="L105" cm="1">
        <f t="array" aca="1" ref="L105" ca="1">INDEX($A$2:$A$15,RANDBETWEEN(1,ROWS($A$2:$A$15)),1)</f>
        <v>3</v>
      </c>
      <c r="M105" cm="1">
        <f t="array" aca="1" ref="M105" ca="1">INDEX($A$2:$A$15,RANDBETWEEN(1,ROWS($A$2:$A$15)),1)</f>
        <v>5</v>
      </c>
      <c r="N105" cm="1">
        <f t="array" aca="1" ref="N105" ca="1">INDEX($A$2:$A$15,RANDBETWEEN(1,ROWS($A$2:$A$15)),1)</f>
        <v>5</v>
      </c>
      <c r="O105" cm="1">
        <f t="array" aca="1" ref="O105" ca="1">INDEX($A$2:$A$15,RANDBETWEEN(1,ROWS($A$2:$A$15)),1)</f>
        <v>4</v>
      </c>
      <c r="P105" cm="1">
        <f t="array" aca="1" ref="P105" ca="1">INDEX($A$2:$A$15,RANDBETWEEN(1,ROWS($A$2:$A$15)),1)</f>
        <v>1</v>
      </c>
      <c r="Q105" cm="1">
        <f t="array" aca="1" ref="Q105" ca="1">INDEX($A$2:$A$15,RANDBETWEEN(1,ROWS($A$2:$A$15)),1)</f>
        <v>5</v>
      </c>
      <c r="R105" cm="1">
        <f t="array" aca="1" ref="R105" ca="1">INDEX($A$2:$A$15,RANDBETWEEN(1,ROWS($A$2:$A$15)),1)</f>
        <v>5</v>
      </c>
      <c r="S105" cm="1">
        <f t="array" aca="1" ref="S105" ca="1">INDEX($A$2:$A$15,RANDBETWEEN(1,ROWS($A$2:$A$15)),1)</f>
        <v>7</v>
      </c>
      <c r="V105">
        <f t="shared" ca="1" si="4"/>
        <v>4</v>
      </c>
      <c r="W105">
        <f t="shared" ca="1" si="5"/>
        <v>4</v>
      </c>
      <c r="X105">
        <f t="shared" ca="1" si="6"/>
        <v>2</v>
      </c>
      <c r="Y105">
        <f t="shared" ca="1" si="7"/>
        <v>1.9685019685029528</v>
      </c>
    </row>
    <row r="106" spans="3:25" x14ac:dyDescent="0.35">
      <c r="C106" cm="1">
        <f t="array" aca="1" ref="C106" ca="1">INDEX($A$2:$A$15,RANDBETWEEN(1,ROWS($A$2:$A$15)),1)</f>
        <v>5</v>
      </c>
      <c r="D106" cm="1">
        <f t="array" aca="1" ref="D106" ca="1">INDEX($A$2:$A$15,RANDBETWEEN(1,ROWS($A$2:$A$15)),1)</f>
        <v>5</v>
      </c>
      <c r="E106" cm="1">
        <f t="array" aca="1" ref="E106" ca="1">INDEX($A$2:$A$15,RANDBETWEEN(1,ROWS($A$2:$A$15)),1)</f>
        <v>7</v>
      </c>
      <c r="F106" cm="1">
        <f t="array" aca="1" ref="F106" ca="1">INDEX($A$2:$A$15,RANDBETWEEN(1,ROWS($A$2:$A$15)),1)</f>
        <v>5</v>
      </c>
      <c r="G106" cm="1">
        <f t="array" aca="1" ref="G106" ca="1">INDEX($A$2:$A$15,RANDBETWEEN(1,ROWS($A$2:$A$15)),1)</f>
        <v>5</v>
      </c>
      <c r="H106" cm="1">
        <f t="array" aca="1" ref="H106" ca="1">INDEX($A$2:$A$15,RANDBETWEEN(1,ROWS($A$2:$A$15)),1)</f>
        <v>1</v>
      </c>
      <c r="I106" cm="1">
        <f t="array" aca="1" ref="I106" ca="1">INDEX($A$2:$A$15,RANDBETWEEN(1,ROWS($A$2:$A$15)),1)</f>
        <v>3</v>
      </c>
      <c r="J106" cm="1">
        <f t="array" aca="1" ref="J106" ca="1">INDEX($A$2:$A$15,RANDBETWEEN(1,ROWS($A$2:$A$15)),1)</f>
        <v>1</v>
      </c>
      <c r="K106" cm="1">
        <f t="array" aca="1" ref="K106" ca="1">INDEX($A$2:$A$15,RANDBETWEEN(1,ROWS($A$2:$A$15)),1)</f>
        <v>1</v>
      </c>
      <c r="L106" cm="1">
        <f t="array" aca="1" ref="L106" ca="1">INDEX($A$2:$A$15,RANDBETWEEN(1,ROWS($A$2:$A$15)),1)</f>
        <v>5</v>
      </c>
      <c r="M106" cm="1">
        <f t="array" aca="1" ref="M106" ca="1">INDEX($A$2:$A$15,RANDBETWEEN(1,ROWS($A$2:$A$15)),1)</f>
        <v>8</v>
      </c>
      <c r="N106" cm="1">
        <f t="array" aca="1" ref="N106" ca="1">INDEX($A$2:$A$15,RANDBETWEEN(1,ROWS($A$2:$A$15)),1)</f>
        <v>3</v>
      </c>
      <c r="O106" cm="1">
        <f t="array" aca="1" ref="O106" ca="1">INDEX($A$2:$A$15,RANDBETWEEN(1,ROWS($A$2:$A$15)),1)</f>
        <v>5</v>
      </c>
      <c r="P106" cm="1">
        <f t="array" aca="1" ref="P106" ca="1">INDEX($A$2:$A$15,RANDBETWEEN(1,ROWS($A$2:$A$15)),1)</f>
        <v>2</v>
      </c>
      <c r="Q106" cm="1">
        <f t="array" aca="1" ref="Q106" ca="1">INDEX($A$2:$A$15,RANDBETWEEN(1,ROWS($A$2:$A$15)),1)</f>
        <v>8</v>
      </c>
      <c r="R106" cm="1">
        <f t="array" aca="1" ref="R106" ca="1">INDEX($A$2:$A$15,RANDBETWEEN(1,ROWS($A$2:$A$15)),1)</f>
        <v>1</v>
      </c>
      <c r="S106" cm="1">
        <f t="array" aca="1" ref="S106" ca="1">INDEX($A$2:$A$15,RANDBETWEEN(1,ROWS($A$2:$A$15)),1)</f>
        <v>5</v>
      </c>
      <c r="V106">
        <f t="shared" ca="1" si="4"/>
        <v>4.117647058823529</v>
      </c>
      <c r="W106">
        <f t="shared" ca="1" si="5"/>
        <v>5</v>
      </c>
      <c r="X106">
        <f t="shared" ca="1" si="6"/>
        <v>3</v>
      </c>
      <c r="Y106">
        <f t="shared" ca="1" si="7"/>
        <v>2.3686059439356009</v>
      </c>
    </row>
    <row r="107" spans="3:25" x14ac:dyDescent="0.35">
      <c r="C107" cm="1">
        <f t="array" aca="1" ref="C107" ca="1">INDEX($A$2:$A$15,RANDBETWEEN(1,ROWS($A$2:$A$15)),1)</f>
        <v>8</v>
      </c>
      <c r="D107" cm="1">
        <f t="array" aca="1" ref="D107" ca="1">INDEX($A$2:$A$15,RANDBETWEEN(1,ROWS($A$2:$A$15)),1)</f>
        <v>1</v>
      </c>
      <c r="E107" cm="1">
        <f t="array" aca="1" ref="E107" ca="1">INDEX($A$2:$A$15,RANDBETWEEN(1,ROWS($A$2:$A$15)),1)</f>
        <v>1</v>
      </c>
      <c r="F107" cm="1">
        <f t="array" aca="1" ref="F107" ca="1">INDEX($A$2:$A$15,RANDBETWEEN(1,ROWS($A$2:$A$15)),1)</f>
        <v>3</v>
      </c>
      <c r="G107" cm="1">
        <f t="array" aca="1" ref="G107" ca="1">INDEX($A$2:$A$15,RANDBETWEEN(1,ROWS($A$2:$A$15)),1)</f>
        <v>4</v>
      </c>
      <c r="H107" cm="1">
        <f t="array" aca="1" ref="H107" ca="1">INDEX($A$2:$A$15,RANDBETWEEN(1,ROWS($A$2:$A$15)),1)</f>
        <v>8</v>
      </c>
      <c r="I107" cm="1">
        <f t="array" aca="1" ref="I107" ca="1">INDEX($A$2:$A$15,RANDBETWEEN(1,ROWS($A$2:$A$15)),1)</f>
        <v>5</v>
      </c>
      <c r="J107" cm="1">
        <f t="array" aca="1" ref="J107" ca="1">INDEX($A$2:$A$15,RANDBETWEEN(1,ROWS($A$2:$A$15)),1)</f>
        <v>4</v>
      </c>
      <c r="K107" cm="1">
        <f t="array" aca="1" ref="K107" ca="1">INDEX($A$2:$A$15,RANDBETWEEN(1,ROWS($A$2:$A$15)),1)</f>
        <v>1</v>
      </c>
      <c r="L107" cm="1">
        <f t="array" aca="1" ref="L107" ca="1">INDEX($A$2:$A$15,RANDBETWEEN(1,ROWS($A$2:$A$15)),1)</f>
        <v>7</v>
      </c>
      <c r="M107" cm="1">
        <f t="array" aca="1" ref="M107" ca="1">INDEX($A$2:$A$15,RANDBETWEEN(1,ROWS($A$2:$A$15)),1)</f>
        <v>4</v>
      </c>
      <c r="N107" cm="1">
        <f t="array" aca="1" ref="N107" ca="1">INDEX($A$2:$A$15,RANDBETWEEN(1,ROWS($A$2:$A$15)),1)</f>
        <v>5</v>
      </c>
      <c r="O107" cm="1">
        <f t="array" aca="1" ref="O107" ca="1">INDEX($A$2:$A$15,RANDBETWEEN(1,ROWS($A$2:$A$15)),1)</f>
        <v>1</v>
      </c>
      <c r="P107" cm="1">
        <f t="array" aca="1" ref="P107" ca="1">INDEX($A$2:$A$15,RANDBETWEEN(1,ROWS($A$2:$A$15)),1)</f>
        <v>4</v>
      </c>
      <c r="Q107" cm="1">
        <f t="array" aca="1" ref="Q107" ca="1">INDEX($A$2:$A$15,RANDBETWEEN(1,ROWS($A$2:$A$15)),1)</f>
        <v>2</v>
      </c>
      <c r="R107" cm="1">
        <f t="array" aca="1" ref="R107" ca="1">INDEX($A$2:$A$15,RANDBETWEEN(1,ROWS($A$2:$A$15)),1)</f>
        <v>4</v>
      </c>
      <c r="S107" cm="1">
        <f t="array" aca="1" ref="S107" ca="1">INDEX($A$2:$A$15,RANDBETWEEN(1,ROWS($A$2:$A$15)),1)</f>
        <v>5</v>
      </c>
      <c r="V107">
        <f t="shared" ca="1" si="4"/>
        <v>3.9411764705882355</v>
      </c>
      <c r="W107">
        <f t="shared" ca="1" si="5"/>
        <v>4</v>
      </c>
      <c r="X107">
        <f t="shared" ca="1" si="6"/>
        <v>3</v>
      </c>
      <c r="Y107">
        <f t="shared" ca="1" si="7"/>
        <v>2.3040884378451634</v>
      </c>
    </row>
    <row r="108" spans="3:25" x14ac:dyDescent="0.35">
      <c r="C108" cm="1">
        <f t="array" aca="1" ref="C108" ca="1">INDEX($A$2:$A$15,RANDBETWEEN(1,ROWS($A$2:$A$15)),1)</f>
        <v>4</v>
      </c>
      <c r="D108" cm="1">
        <f t="array" aca="1" ref="D108" ca="1">INDEX($A$2:$A$15,RANDBETWEEN(1,ROWS($A$2:$A$15)),1)</f>
        <v>3</v>
      </c>
      <c r="E108" cm="1">
        <f t="array" aca="1" ref="E108" ca="1">INDEX($A$2:$A$15,RANDBETWEEN(1,ROWS($A$2:$A$15)),1)</f>
        <v>5</v>
      </c>
      <c r="F108" cm="1">
        <f t="array" aca="1" ref="F108" ca="1">INDEX($A$2:$A$15,RANDBETWEEN(1,ROWS($A$2:$A$15)),1)</f>
        <v>3</v>
      </c>
      <c r="G108" cm="1">
        <f t="array" aca="1" ref="G108" ca="1">INDEX($A$2:$A$15,RANDBETWEEN(1,ROWS($A$2:$A$15)),1)</f>
        <v>4</v>
      </c>
      <c r="H108" cm="1">
        <f t="array" aca="1" ref="H108" ca="1">INDEX($A$2:$A$15,RANDBETWEEN(1,ROWS($A$2:$A$15)),1)</f>
        <v>1</v>
      </c>
      <c r="I108" cm="1">
        <f t="array" aca="1" ref="I108" ca="1">INDEX($A$2:$A$15,RANDBETWEEN(1,ROWS($A$2:$A$15)),1)</f>
        <v>4</v>
      </c>
      <c r="J108" cm="1">
        <f t="array" aca="1" ref="J108" ca="1">INDEX($A$2:$A$15,RANDBETWEEN(1,ROWS($A$2:$A$15)),1)</f>
        <v>3</v>
      </c>
      <c r="K108" cm="1">
        <f t="array" aca="1" ref="K108" ca="1">INDEX($A$2:$A$15,RANDBETWEEN(1,ROWS($A$2:$A$15)),1)</f>
        <v>5</v>
      </c>
      <c r="L108" cm="1">
        <f t="array" aca="1" ref="L108" ca="1">INDEX($A$2:$A$15,RANDBETWEEN(1,ROWS($A$2:$A$15)),1)</f>
        <v>5</v>
      </c>
      <c r="M108" cm="1">
        <f t="array" aca="1" ref="M108" ca="1">INDEX($A$2:$A$15,RANDBETWEEN(1,ROWS($A$2:$A$15)),1)</f>
        <v>1</v>
      </c>
      <c r="N108" cm="1">
        <f t="array" aca="1" ref="N108" ca="1">INDEX($A$2:$A$15,RANDBETWEEN(1,ROWS($A$2:$A$15)),1)</f>
        <v>5</v>
      </c>
      <c r="O108" cm="1">
        <f t="array" aca="1" ref="O108" ca="1">INDEX($A$2:$A$15,RANDBETWEEN(1,ROWS($A$2:$A$15)),1)</f>
        <v>3</v>
      </c>
      <c r="P108" cm="1">
        <f t="array" aca="1" ref="P108" ca="1">INDEX($A$2:$A$15,RANDBETWEEN(1,ROWS($A$2:$A$15)),1)</f>
        <v>5</v>
      </c>
      <c r="Q108" cm="1">
        <f t="array" aca="1" ref="Q108" ca="1">INDEX($A$2:$A$15,RANDBETWEEN(1,ROWS($A$2:$A$15)),1)</f>
        <v>2</v>
      </c>
      <c r="R108" cm="1">
        <f t="array" aca="1" ref="R108" ca="1">INDEX($A$2:$A$15,RANDBETWEEN(1,ROWS($A$2:$A$15)),1)</f>
        <v>4</v>
      </c>
      <c r="S108" cm="1">
        <f t="array" aca="1" ref="S108" ca="1">INDEX($A$2:$A$15,RANDBETWEEN(1,ROWS($A$2:$A$15)),1)</f>
        <v>7</v>
      </c>
      <c r="V108">
        <f t="shared" ca="1" si="4"/>
        <v>3.7647058823529411</v>
      </c>
      <c r="W108">
        <f t="shared" ca="1" si="5"/>
        <v>4</v>
      </c>
      <c r="X108">
        <f t="shared" ca="1" si="6"/>
        <v>2</v>
      </c>
      <c r="Y108">
        <f t="shared" ca="1" si="7"/>
        <v>1.56242646885805</v>
      </c>
    </row>
    <row r="109" spans="3:25" x14ac:dyDescent="0.35">
      <c r="C109" cm="1">
        <f t="array" aca="1" ref="C109" ca="1">INDEX($A$2:$A$15,RANDBETWEEN(1,ROWS($A$2:$A$15)),1)</f>
        <v>7</v>
      </c>
      <c r="D109" cm="1">
        <f t="array" aca="1" ref="D109" ca="1">INDEX($A$2:$A$15,RANDBETWEEN(1,ROWS($A$2:$A$15)),1)</f>
        <v>1</v>
      </c>
      <c r="E109" cm="1">
        <f t="array" aca="1" ref="E109" ca="1">INDEX($A$2:$A$15,RANDBETWEEN(1,ROWS($A$2:$A$15)),1)</f>
        <v>4</v>
      </c>
      <c r="F109" cm="1">
        <f t="array" aca="1" ref="F109" ca="1">INDEX($A$2:$A$15,RANDBETWEEN(1,ROWS($A$2:$A$15)),1)</f>
        <v>1</v>
      </c>
      <c r="G109" cm="1">
        <f t="array" aca="1" ref="G109" ca="1">INDEX($A$2:$A$15,RANDBETWEEN(1,ROWS($A$2:$A$15)),1)</f>
        <v>2</v>
      </c>
      <c r="H109" cm="1">
        <f t="array" aca="1" ref="H109" ca="1">INDEX($A$2:$A$15,RANDBETWEEN(1,ROWS($A$2:$A$15)),1)</f>
        <v>3</v>
      </c>
      <c r="I109" cm="1">
        <f t="array" aca="1" ref="I109" ca="1">INDEX($A$2:$A$15,RANDBETWEEN(1,ROWS($A$2:$A$15)),1)</f>
        <v>4</v>
      </c>
      <c r="J109" cm="1">
        <f t="array" aca="1" ref="J109" ca="1">INDEX($A$2:$A$15,RANDBETWEEN(1,ROWS($A$2:$A$15)),1)</f>
        <v>1</v>
      </c>
      <c r="K109" cm="1">
        <f t="array" aca="1" ref="K109" ca="1">INDEX($A$2:$A$15,RANDBETWEEN(1,ROWS($A$2:$A$15)),1)</f>
        <v>1</v>
      </c>
      <c r="L109" cm="1">
        <f t="array" aca="1" ref="L109" ca="1">INDEX($A$2:$A$15,RANDBETWEEN(1,ROWS($A$2:$A$15)),1)</f>
        <v>7</v>
      </c>
      <c r="M109" cm="1">
        <f t="array" aca="1" ref="M109" ca="1">INDEX($A$2:$A$15,RANDBETWEEN(1,ROWS($A$2:$A$15)),1)</f>
        <v>5</v>
      </c>
      <c r="N109" cm="1">
        <f t="array" aca="1" ref="N109" ca="1">INDEX($A$2:$A$15,RANDBETWEEN(1,ROWS($A$2:$A$15)),1)</f>
        <v>5</v>
      </c>
      <c r="O109" cm="1">
        <f t="array" aca="1" ref="O109" ca="1">INDEX($A$2:$A$15,RANDBETWEEN(1,ROWS($A$2:$A$15)),1)</f>
        <v>4</v>
      </c>
      <c r="P109" cm="1">
        <f t="array" aca="1" ref="P109" ca="1">INDEX($A$2:$A$15,RANDBETWEEN(1,ROWS($A$2:$A$15)),1)</f>
        <v>4</v>
      </c>
      <c r="Q109" cm="1">
        <f t="array" aca="1" ref="Q109" ca="1">INDEX($A$2:$A$15,RANDBETWEEN(1,ROWS($A$2:$A$15)),1)</f>
        <v>5</v>
      </c>
      <c r="R109" cm="1">
        <f t="array" aca="1" ref="R109" ca="1">INDEX($A$2:$A$15,RANDBETWEEN(1,ROWS($A$2:$A$15)),1)</f>
        <v>7</v>
      </c>
      <c r="S109" cm="1">
        <f t="array" aca="1" ref="S109" ca="1">INDEX($A$2:$A$15,RANDBETWEEN(1,ROWS($A$2:$A$15)),1)</f>
        <v>5</v>
      </c>
      <c r="V109">
        <f t="shared" ca="1" si="4"/>
        <v>3.8823529411764706</v>
      </c>
      <c r="W109">
        <f t="shared" ca="1" si="5"/>
        <v>4</v>
      </c>
      <c r="X109">
        <f t="shared" ca="1" si="6"/>
        <v>3</v>
      </c>
      <c r="Y109">
        <f t="shared" ca="1" si="7"/>
        <v>2.1178512973405517</v>
      </c>
    </row>
    <row r="110" spans="3:25" x14ac:dyDescent="0.35">
      <c r="C110" cm="1">
        <f t="array" aca="1" ref="C110" ca="1">INDEX($A$2:$A$15,RANDBETWEEN(1,ROWS($A$2:$A$15)),1)</f>
        <v>1</v>
      </c>
      <c r="D110" cm="1">
        <f t="array" aca="1" ref="D110" ca="1">INDEX($A$2:$A$15,RANDBETWEEN(1,ROWS($A$2:$A$15)),1)</f>
        <v>5</v>
      </c>
      <c r="E110" cm="1">
        <f t="array" aca="1" ref="E110" ca="1">INDEX($A$2:$A$15,RANDBETWEEN(1,ROWS($A$2:$A$15)),1)</f>
        <v>1</v>
      </c>
      <c r="F110" cm="1">
        <f t="array" aca="1" ref="F110" ca="1">INDEX($A$2:$A$15,RANDBETWEEN(1,ROWS($A$2:$A$15)),1)</f>
        <v>1</v>
      </c>
      <c r="G110" cm="1">
        <f t="array" aca="1" ref="G110" ca="1">INDEX($A$2:$A$15,RANDBETWEEN(1,ROWS($A$2:$A$15)),1)</f>
        <v>5</v>
      </c>
      <c r="H110" cm="1">
        <f t="array" aca="1" ref="H110" ca="1">INDEX($A$2:$A$15,RANDBETWEEN(1,ROWS($A$2:$A$15)),1)</f>
        <v>5</v>
      </c>
      <c r="I110" cm="1">
        <f t="array" aca="1" ref="I110" ca="1">INDEX($A$2:$A$15,RANDBETWEEN(1,ROWS($A$2:$A$15)),1)</f>
        <v>5</v>
      </c>
      <c r="J110" cm="1">
        <f t="array" aca="1" ref="J110" ca="1">INDEX($A$2:$A$15,RANDBETWEEN(1,ROWS($A$2:$A$15)),1)</f>
        <v>3</v>
      </c>
      <c r="K110" cm="1">
        <f t="array" aca="1" ref="K110" ca="1">INDEX($A$2:$A$15,RANDBETWEEN(1,ROWS($A$2:$A$15)),1)</f>
        <v>1</v>
      </c>
      <c r="L110" cm="1">
        <f t="array" aca="1" ref="L110" ca="1">INDEX($A$2:$A$15,RANDBETWEEN(1,ROWS($A$2:$A$15)),1)</f>
        <v>3</v>
      </c>
      <c r="M110" cm="1">
        <f t="array" aca="1" ref="M110" ca="1">INDEX($A$2:$A$15,RANDBETWEEN(1,ROWS($A$2:$A$15)),1)</f>
        <v>2</v>
      </c>
      <c r="N110" cm="1">
        <f t="array" aca="1" ref="N110" ca="1">INDEX($A$2:$A$15,RANDBETWEEN(1,ROWS($A$2:$A$15)),1)</f>
        <v>7</v>
      </c>
      <c r="O110" cm="1">
        <f t="array" aca="1" ref="O110" ca="1">INDEX($A$2:$A$15,RANDBETWEEN(1,ROWS($A$2:$A$15)),1)</f>
        <v>5</v>
      </c>
      <c r="P110" cm="1">
        <f t="array" aca="1" ref="P110" ca="1">INDEX($A$2:$A$15,RANDBETWEEN(1,ROWS($A$2:$A$15)),1)</f>
        <v>4</v>
      </c>
      <c r="Q110" cm="1">
        <f t="array" aca="1" ref="Q110" ca="1">INDEX($A$2:$A$15,RANDBETWEEN(1,ROWS($A$2:$A$15)),1)</f>
        <v>7</v>
      </c>
      <c r="R110" cm="1">
        <f t="array" aca="1" ref="R110" ca="1">INDEX($A$2:$A$15,RANDBETWEEN(1,ROWS($A$2:$A$15)),1)</f>
        <v>1</v>
      </c>
      <c r="S110" cm="1">
        <f t="array" aca="1" ref="S110" ca="1">INDEX($A$2:$A$15,RANDBETWEEN(1,ROWS($A$2:$A$15)),1)</f>
        <v>1</v>
      </c>
      <c r="V110">
        <f t="shared" ca="1" si="4"/>
        <v>3.3529411764705883</v>
      </c>
      <c r="W110">
        <f t="shared" ca="1" si="5"/>
        <v>3</v>
      </c>
      <c r="X110">
        <f t="shared" ca="1" si="6"/>
        <v>4</v>
      </c>
      <c r="Y110">
        <f t="shared" ca="1" si="7"/>
        <v>2.1777619380509727</v>
      </c>
    </row>
    <row r="111" spans="3:25" x14ac:dyDescent="0.35">
      <c r="C111" cm="1">
        <f t="array" aca="1" ref="C111" ca="1">INDEX($A$2:$A$15,RANDBETWEEN(1,ROWS($A$2:$A$15)),1)</f>
        <v>2</v>
      </c>
      <c r="D111" cm="1">
        <f t="array" aca="1" ref="D111" ca="1">INDEX($A$2:$A$15,RANDBETWEEN(1,ROWS($A$2:$A$15)),1)</f>
        <v>1</v>
      </c>
      <c r="E111" cm="1">
        <f t="array" aca="1" ref="E111" ca="1">INDEX($A$2:$A$15,RANDBETWEEN(1,ROWS($A$2:$A$15)),1)</f>
        <v>5</v>
      </c>
      <c r="F111" cm="1">
        <f t="array" aca="1" ref="F111" ca="1">INDEX($A$2:$A$15,RANDBETWEEN(1,ROWS($A$2:$A$15)),1)</f>
        <v>8</v>
      </c>
      <c r="G111" cm="1">
        <f t="array" aca="1" ref="G111" ca="1">INDEX($A$2:$A$15,RANDBETWEEN(1,ROWS($A$2:$A$15)),1)</f>
        <v>4</v>
      </c>
      <c r="H111" cm="1">
        <f t="array" aca="1" ref="H111" ca="1">INDEX($A$2:$A$15,RANDBETWEEN(1,ROWS($A$2:$A$15)),1)</f>
        <v>2</v>
      </c>
      <c r="I111" cm="1">
        <f t="array" aca="1" ref="I111" ca="1">INDEX($A$2:$A$15,RANDBETWEEN(1,ROWS($A$2:$A$15)),1)</f>
        <v>8</v>
      </c>
      <c r="J111" cm="1">
        <f t="array" aca="1" ref="J111" ca="1">INDEX($A$2:$A$15,RANDBETWEEN(1,ROWS($A$2:$A$15)),1)</f>
        <v>5</v>
      </c>
      <c r="K111" cm="1">
        <f t="array" aca="1" ref="K111" ca="1">INDEX($A$2:$A$15,RANDBETWEEN(1,ROWS($A$2:$A$15)),1)</f>
        <v>3</v>
      </c>
      <c r="L111" cm="1">
        <f t="array" aca="1" ref="L111" ca="1">INDEX($A$2:$A$15,RANDBETWEEN(1,ROWS($A$2:$A$15)),1)</f>
        <v>1</v>
      </c>
      <c r="M111" cm="1">
        <f t="array" aca="1" ref="M111" ca="1">INDEX($A$2:$A$15,RANDBETWEEN(1,ROWS($A$2:$A$15)),1)</f>
        <v>3</v>
      </c>
      <c r="N111" cm="1">
        <f t="array" aca="1" ref="N111" ca="1">INDEX($A$2:$A$15,RANDBETWEEN(1,ROWS($A$2:$A$15)),1)</f>
        <v>2</v>
      </c>
      <c r="O111" cm="1">
        <f t="array" aca="1" ref="O111" ca="1">INDEX($A$2:$A$15,RANDBETWEEN(1,ROWS($A$2:$A$15)),1)</f>
        <v>1</v>
      </c>
      <c r="P111" cm="1">
        <f t="array" aca="1" ref="P111" ca="1">INDEX($A$2:$A$15,RANDBETWEEN(1,ROWS($A$2:$A$15)),1)</f>
        <v>8</v>
      </c>
      <c r="Q111" cm="1">
        <f t="array" aca="1" ref="Q111" ca="1">INDEX($A$2:$A$15,RANDBETWEEN(1,ROWS($A$2:$A$15)),1)</f>
        <v>4</v>
      </c>
      <c r="R111" cm="1">
        <f t="array" aca="1" ref="R111" ca="1">INDEX($A$2:$A$15,RANDBETWEEN(1,ROWS($A$2:$A$15)),1)</f>
        <v>5</v>
      </c>
      <c r="S111" cm="1">
        <f t="array" aca="1" ref="S111" ca="1">INDEX($A$2:$A$15,RANDBETWEEN(1,ROWS($A$2:$A$15)),1)</f>
        <v>5</v>
      </c>
      <c r="V111">
        <f t="shared" ca="1" si="4"/>
        <v>3.9411764705882355</v>
      </c>
      <c r="W111">
        <f t="shared" ca="1" si="5"/>
        <v>4</v>
      </c>
      <c r="X111">
        <f t="shared" ca="1" si="6"/>
        <v>3</v>
      </c>
      <c r="Y111">
        <f t="shared" ca="1" si="7"/>
        <v>2.4101501051618683</v>
      </c>
    </row>
    <row r="112" spans="3:25" x14ac:dyDescent="0.35">
      <c r="C112" cm="1">
        <f t="array" aca="1" ref="C112" ca="1">INDEX($A$2:$A$15,RANDBETWEEN(1,ROWS($A$2:$A$15)),1)</f>
        <v>4</v>
      </c>
      <c r="D112" cm="1">
        <f t="array" aca="1" ref="D112" ca="1">INDEX($A$2:$A$15,RANDBETWEEN(1,ROWS($A$2:$A$15)),1)</f>
        <v>8</v>
      </c>
      <c r="E112" cm="1">
        <f t="array" aca="1" ref="E112" ca="1">INDEX($A$2:$A$15,RANDBETWEEN(1,ROWS($A$2:$A$15)),1)</f>
        <v>5</v>
      </c>
      <c r="F112" cm="1">
        <f t="array" aca="1" ref="F112" ca="1">INDEX($A$2:$A$15,RANDBETWEEN(1,ROWS($A$2:$A$15)),1)</f>
        <v>1</v>
      </c>
      <c r="G112" cm="1">
        <f t="array" aca="1" ref="G112" ca="1">INDEX($A$2:$A$15,RANDBETWEEN(1,ROWS($A$2:$A$15)),1)</f>
        <v>8</v>
      </c>
      <c r="H112" cm="1">
        <f t="array" aca="1" ref="H112" ca="1">INDEX($A$2:$A$15,RANDBETWEEN(1,ROWS($A$2:$A$15)),1)</f>
        <v>5</v>
      </c>
      <c r="I112" cm="1">
        <f t="array" aca="1" ref="I112" ca="1">INDEX($A$2:$A$15,RANDBETWEEN(1,ROWS($A$2:$A$15)),1)</f>
        <v>4</v>
      </c>
      <c r="J112" cm="1">
        <f t="array" aca="1" ref="J112" ca="1">INDEX($A$2:$A$15,RANDBETWEEN(1,ROWS($A$2:$A$15)),1)</f>
        <v>4</v>
      </c>
      <c r="K112" cm="1">
        <f t="array" aca="1" ref="K112" ca="1">INDEX($A$2:$A$15,RANDBETWEEN(1,ROWS($A$2:$A$15)),1)</f>
        <v>1</v>
      </c>
      <c r="L112" cm="1">
        <f t="array" aca="1" ref="L112" ca="1">INDEX($A$2:$A$15,RANDBETWEEN(1,ROWS($A$2:$A$15)),1)</f>
        <v>8</v>
      </c>
      <c r="M112" cm="1">
        <f t="array" aca="1" ref="M112" ca="1">INDEX($A$2:$A$15,RANDBETWEEN(1,ROWS($A$2:$A$15)),1)</f>
        <v>5</v>
      </c>
      <c r="N112" cm="1">
        <f t="array" aca="1" ref="N112" ca="1">INDEX($A$2:$A$15,RANDBETWEEN(1,ROWS($A$2:$A$15)),1)</f>
        <v>4</v>
      </c>
      <c r="O112" cm="1">
        <f t="array" aca="1" ref="O112" ca="1">INDEX($A$2:$A$15,RANDBETWEEN(1,ROWS($A$2:$A$15)),1)</f>
        <v>3</v>
      </c>
      <c r="P112" cm="1">
        <f t="array" aca="1" ref="P112" ca="1">INDEX($A$2:$A$15,RANDBETWEEN(1,ROWS($A$2:$A$15)),1)</f>
        <v>1</v>
      </c>
      <c r="Q112" cm="1">
        <f t="array" aca="1" ref="Q112" ca="1">INDEX($A$2:$A$15,RANDBETWEEN(1,ROWS($A$2:$A$15)),1)</f>
        <v>3</v>
      </c>
      <c r="R112" cm="1">
        <f t="array" aca="1" ref="R112" ca="1">INDEX($A$2:$A$15,RANDBETWEEN(1,ROWS($A$2:$A$15)),1)</f>
        <v>5</v>
      </c>
      <c r="S112" cm="1">
        <f t="array" aca="1" ref="S112" ca="1">INDEX($A$2:$A$15,RANDBETWEEN(1,ROWS($A$2:$A$15)),1)</f>
        <v>5</v>
      </c>
      <c r="V112">
        <f t="shared" ca="1" si="4"/>
        <v>4.3529411764705879</v>
      </c>
      <c r="W112">
        <f t="shared" ca="1" si="5"/>
        <v>4</v>
      </c>
      <c r="X112">
        <f t="shared" ca="1" si="6"/>
        <v>2</v>
      </c>
      <c r="Y112">
        <f t="shared" ca="1" si="7"/>
        <v>2.2344232049510069</v>
      </c>
    </row>
    <row r="113" spans="3:25" x14ac:dyDescent="0.35">
      <c r="C113" cm="1">
        <f t="array" aca="1" ref="C113" ca="1">INDEX($A$2:$A$15,RANDBETWEEN(1,ROWS($A$2:$A$15)),1)</f>
        <v>3</v>
      </c>
      <c r="D113" cm="1">
        <f t="array" aca="1" ref="D113" ca="1">INDEX($A$2:$A$15,RANDBETWEEN(1,ROWS($A$2:$A$15)),1)</f>
        <v>8</v>
      </c>
      <c r="E113" cm="1">
        <f t="array" aca="1" ref="E113" ca="1">INDEX($A$2:$A$15,RANDBETWEEN(1,ROWS($A$2:$A$15)),1)</f>
        <v>5</v>
      </c>
      <c r="F113" cm="1">
        <f t="array" aca="1" ref="F113" ca="1">INDEX($A$2:$A$15,RANDBETWEEN(1,ROWS($A$2:$A$15)),1)</f>
        <v>5</v>
      </c>
      <c r="G113" cm="1">
        <f t="array" aca="1" ref="G113" ca="1">INDEX($A$2:$A$15,RANDBETWEEN(1,ROWS($A$2:$A$15)),1)</f>
        <v>4</v>
      </c>
      <c r="H113" cm="1">
        <f t="array" aca="1" ref="H113" ca="1">INDEX($A$2:$A$15,RANDBETWEEN(1,ROWS($A$2:$A$15)),1)</f>
        <v>7</v>
      </c>
      <c r="I113" cm="1">
        <f t="array" aca="1" ref="I113" ca="1">INDEX($A$2:$A$15,RANDBETWEEN(1,ROWS($A$2:$A$15)),1)</f>
        <v>8</v>
      </c>
      <c r="J113" cm="1">
        <f t="array" aca="1" ref="J113" ca="1">INDEX($A$2:$A$15,RANDBETWEEN(1,ROWS($A$2:$A$15)),1)</f>
        <v>5</v>
      </c>
      <c r="K113" cm="1">
        <f t="array" aca="1" ref="K113" ca="1">INDEX($A$2:$A$15,RANDBETWEEN(1,ROWS($A$2:$A$15)),1)</f>
        <v>5</v>
      </c>
      <c r="L113" cm="1">
        <f t="array" aca="1" ref="L113" ca="1">INDEX($A$2:$A$15,RANDBETWEEN(1,ROWS($A$2:$A$15)),1)</f>
        <v>5</v>
      </c>
      <c r="M113" cm="1">
        <f t="array" aca="1" ref="M113" ca="1">INDEX($A$2:$A$15,RANDBETWEEN(1,ROWS($A$2:$A$15)),1)</f>
        <v>7</v>
      </c>
      <c r="N113" cm="1">
        <f t="array" aca="1" ref="N113" ca="1">INDEX($A$2:$A$15,RANDBETWEEN(1,ROWS($A$2:$A$15)),1)</f>
        <v>1</v>
      </c>
      <c r="O113" cm="1">
        <f t="array" aca="1" ref="O113" ca="1">INDEX($A$2:$A$15,RANDBETWEEN(1,ROWS($A$2:$A$15)),1)</f>
        <v>5</v>
      </c>
      <c r="P113" cm="1">
        <f t="array" aca="1" ref="P113" ca="1">INDEX($A$2:$A$15,RANDBETWEEN(1,ROWS($A$2:$A$15)),1)</f>
        <v>1</v>
      </c>
      <c r="Q113" cm="1">
        <f t="array" aca="1" ref="Q113" ca="1">INDEX($A$2:$A$15,RANDBETWEEN(1,ROWS($A$2:$A$15)),1)</f>
        <v>5</v>
      </c>
      <c r="R113" cm="1">
        <f t="array" aca="1" ref="R113" ca="1">INDEX($A$2:$A$15,RANDBETWEEN(1,ROWS($A$2:$A$15)),1)</f>
        <v>4</v>
      </c>
      <c r="S113" cm="1">
        <f t="array" aca="1" ref="S113" ca="1">INDEX($A$2:$A$15,RANDBETWEEN(1,ROWS($A$2:$A$15)),1)</f>
        <v>1</v>
      </c>
      <c r="V113">
        <f t="shared" ca="1" si="4"/>
        <v>4.6470588235294121</v>
      </c>
      <c r="W113">
        <f t="shared" ca="1" si="5"/>
        <v>5</v>
      </c>
      <c r="X113">
        <f t="shared" ca="1" si="6"/>
        <v>1</v>
      </c>
      <c r="Y113">
        <f t="shared" ca="1" si="7"/>
        <v>2.2062744749517291</v>
      </c>
    </row>
    <row r="114" spans="3:25" x14ac:dyDescent="0.35">
      <c r="C114" cm="1">
        <f t="array" aca="1" ref="C114" ca="1">INDEX($A$2:$A$15,RANDBETWEEN(1,ROWS($A$2:$A$15)),1)</f>
        <v>5</v>
      </c>
      <c r="D114" cm="1">
        <f t="array" aca="1" ref="D114" ca="1">INDEX($A$2:$A$15,RANDBETWEEN(1,ROWS($A$2:$A$15)),1)</f>
        <v>3</v>
      </c>
      <c r="E114" cm="1">
        <f t="array" aca="1" ref="E114" ca="1">INDEX($A$2:$A$15,RANDBETWEEN(1,ROWS($A$2:$A$15)),1)</f>
        <v>8</v>
      </c>
      <c r="F114" cm="1">
        <f t="array" aca="1" ref="F114" ca="1">INDEX($A$2:$A$15,RANDBETWEEN(1,ROWS($A$2:$A$15)),1)</f>
        <v>2</v>
      </c>
      <c r="G114" cm="1">
        <f t="array" aca="1" ref="G114" ca="1">INDEX($A$2:$A$15,RANDBETWEEN(1,ROWS($A$2:$A$15)),1)</f>
        <v>4</v>
      </c>
      <c r="H114" cm="1">
        <f t="array" aca="1" ref="H114" ca="1">INDEX($A$2:$A$15,RANDBETWEEN(1,ROWS($A$2:$A$15)),1)</f>
        <v>4</v>
      </c>
      <c r="I114" cm="1">
        <f t="array" aca="1" ref="I114" ca="1">INDEX($A$2:$A$15,RANDBETWEEN(1,ROWS($A$2:$A$15)),1)</f>
        <v>1</v>
      </c>
      <c r="J114" cm="1">
        <f t="array" aca="1" ref="J114" ca="1">INDEX($A$2:$A$15,RANDBETWEEN(1,ROWS($A$2:$A$15)),1)</f>
        <v>1</v>
      </c>
      <c r="K114" cm="1">
        <f t="array" aca="1" ref="K114" ca="1">INDEX($A$2:$A$15,RANDBETWEEN(1,ROWS($A$2:$A$15)),1)</f>
        <v>5</v>
      </c>
      <c r="L114" cm="1">
        <f t="array" aca="1" ref="L114" ca="1">INDEX($A$2:$A$15,RANDBETWEEN(1,ROWS($A$2:$A$15)),1)</f>
        <v>5</v>
      </c>
      <c r="M114" cm="1">
        <f t="array" aca="1" ref="M114" ca="1">INDEX($A$2:$A$15,RANDBETWEEN(1,ROWS($A$2:$A$15)),1)</f>
        <v>3</v>
      </c>
      <c r="N114" cm="1">
        <f t="array" aca="1" ref="N114" ca="1">INDEX($A$2:$A$15,RANDBETWEEN(1,ROWS($A$2:$A$15)),1)</f>
        <v>4</v>
      </c>
      <c r="O114" cm="1">
        <f t="array" aca="1" ref="O114" ca="1">INDEX($A$2:$A$15,RANDBETWEEN(1,ROWS($A$2:$A$15)),1)</f>
        <v>4</v>
      </c>
      <c r="P114" cm="1">
        <f t="array" aca="1" ref="P114" ca="1">INDEX($A$2:$A$15,RANDBETWEEN(1,ROWS($A$2:$A$15)),1)</f>
        <v>3</v>
      </c>
      <c r="Q114" cm="1">
        <f t="array" aca="1" ref="Q114" ca="1">INDEX($A$2:$A$15,RANDBETWEEN(1,ROWS($A$2:$A$15)),1)</f>
        <v>3</v>
      </c>
      <c r="R114" cm="1">
        <f t="array" aca="1" ref="R114" ca="1">INDEX($A$2:$A$15,RANDBETWEEN(1,ROWS($A$2:$A$15)),1)</f>
        <v>4</v>
      </c>
      <c r="S114" cm="1">
        <f t="array" aca="1" ref="S114" ca="1">INDEX($A$2:$A$15,RANDBETWEEN(1,ROWS($A$2:$A$15)),1)</f>
        <v>5</v>
      </c>
      <c r="V114">
        <f t="shared" ca="1" si="4"/>
        <v>3.7647058823529411</v>
      </c>
      <c r="W114">
        <f t="shared" ca="1" si="5"/>
        <v>4</v>
      </c>
      <c r="X114">
        <f t="shared" ca="1" si="6"/>
        <v>2</v>
      </c>
      <c r="Y114">
        <f t="shared" ca="1" si="7"/>
        <v>1.6781467369059939</v>
      </c>
    </row>
    <row r="115" spans="3:25" x14ac:dyDescent="0.35">
      <c r="C115" cm="1">
        <f t="array" aca="1" ref="C115" ca="1">INDEX($A$2:$A$15,RANDBETWEEN(1,ROWS($A$2:$A$15)),1)</f>
        <v>3</v>
      </c>
      <c r="D115" cm="1">
        <f t="array" aca="1" ref="D115" ca="1">INDEX($A$2:$A$15,RANDBETWEEN(1,ROWS($A$2:$A$15)),1)</f>
        <v>1</v>
      </c>
      <c r="E115" cm="1">
        <f t="array" aca="1" ref="E115" ca="1">INDEX($A$2:$A$15,RANDBETWEEN(1,ROWS($A$2:$A$15)),1)</f>
        <v>4</v>
      </c>
      <c r="F115" cm="1">
        <f t="array" aca="1" ref="F115" ca="1">INDEX($A$2:$A$15,RANDBETWEEN(1,ROWS($A$2:$A$15)),1)</f>
        <v>4</v>
      </c>
      <c r="G115" cm="1">
        <f t="array" aca="1" ref="G115" ca="1">INDEX($A$2:$A$15,RANDBETWEEN(1,ROWS($A$2:$A$15)),1)</f>
        <v>7</v>
      </c>
      <c r="H115" cm="1">
        <f t="array" aca="1" ref="H115" ca="1">INDEX($A$2:$A$15,RANDBETWEEN(1,ROWS($A$2:$A$15)),1)</f>
        <v>1</v>
      </c>
      <c r="I115" cm="1">
        <f t="array" aca="1" ref="I115" ca="1">INDEX($A$2:$A$15,RANDBETWEEN(1,ROWS($A$2:$A$15)),1)</f>
        <v>5</v>
      </c>
      <c r="J115" cm="1">
        <f t="array" aca="1" ref="J115" ca="1">INDEX($A$2:$A$15,RANDBETWEEN(1,ROWS($A$2:$A$15)),1)</f>
        <v>1</v>
      </c>
      <c r="K115" cm="1">
        <f t="array" aca="1" ref="K115" ca="1">INDEX($A$2:$A$15,RANDBETWEEN(1,ROWS($A$2:$A$15)),1)</f>
        <v>4</v>
      </c>
      <c r="L115" cm="1">
        <f t="array" aca="1" ref="L115" ca="1">INDEX($A$2:$A$15,RANDBETWEEN(1,ROWS($A$2:$A$15)),1)</f>
        <v>8</v>
      </c>
      <c r="M115" cm="1">
        <f t="array" aca="1" ref="M115" ca="1">INDEX($A$2:$A$15,RANDBETWEEN(1,ROWS($A$2:$A$15)),1)</f>
        <v>7</v>
      </c>
      <c r="N115" cm="1">
        <f t="array" aca="1" ref="N115" ca="1">INDEX($A$2:$A$15,RANDBETWEEN(1,ROWS($A$2:$A$15)),1)</f>
        <v>1</v>
      </c>
      <c r="O115" cm="1">
        <f t="array" aca="1" ref="O115" ca="1">INDEX($A$2:$A$15,RANDBETWEEN(1,ROWS($A$2:$A$15)),1)</f>
        <v>1</v>
      </c>
      <c r="P115" cm="1">
        <f t="array" aca="1" ref="P115" ca="1">INDEX($A$2:$A$15,RANDBETWEEN(1,ROWS($A$2:$A$15)),1)</f>
        <v>1</v>
      </c>
      <c r="Q115" cm="1">
        <f t="array" aca="1" ref="Q115" ca="1">INDEX($A$2:$A$15,RANDBETWEEN(1,ROWS($A$2:$A$15)),1)</f>
        <v>1</v>
      </c>
      <c r="R115" cm="1">
        <f t="array" aca="1" ref="R115" ca="1">INDEX($A$2:$A$15,RANDBETWEEN(1,ROWS($A$2:$A$15)),1)</f>
        <v>5</v>
      </c>
      <c r="S115" cm="1">
        <f t="array" aca="1" ref="S115" ca="1">INDEX($A$2:$A$15,RANDBETWEEN(1,ROWS($A$2:$A$15)),1)</f>
        <v>5</v>
      </c>
      <c r="V115">
        <f t="shared" ca="1" si="4"/>
        <v>3.4705882352941178</v>
      </c>
      <c r="W115">
        <f t="shared" ca="1" si="5"/>
        <v>4</v>
      </c>
      <c r="X115">
        <f t="shared" ca="1" si="6"/>
        <v>4</v>
      </c>
      <c r="Y115">
        <f t="shared" ca="1" si="7"/>
        <v>2.4524897313450555</v>
      </c>
    </row>
    <row r="116" spans="3:25" x14ac:dyDescent="0.35">
      <c r="C116" cm="1">
        <f t="array" aca="1" ref="C116" ca="1">INDEX($A$2:$A$15,RANDBETWEEN(1,ROWS($A$2:$A$15)),1)</f>
        <v>1</v>
      </c>
      <c r="D116" cm="1">
        <f t="array" aca="1" ref="D116" ca="1">INDEX($A$2:$A$15,RANDBETWEEN(1,ROWS($A$2:$A$15)),1)</f>
        <v>2</v>
      </c>
      <c r="E116" cm="1">
        <f t="array" aca="1" ref="E116" ca="1">INDEX($A$2:$A$15,RANDBETWEEN(1,ROWS($A$2:$A$15)),1)</f>
        <v>3</v>
      </c>
      <c r="F116" cm="1">
        <f t="array" aca="1" ref="F116" ca="1">INDEX($A$2:$A$15,RANDBETWEEN(1,ROWS($A$2:$A$15)),1)</f>
        <v>2</v>
      </c>
      <c r="G116" cm="1">
        <f t="array" aca="1" ref="G116" ca="1">INDEX($A$2:$A$15,RANDBETWEEN(1,ROWS($A$2:$A$15)),1)</f>
        <v>4</v>
      </c>
      <c r="H116" cm="1">
        <f t="array" aca="1" ref="H116" ca="1">INDEX($A$2:$A$15,RANDBETWEEN(1,ROWS($A$2:$A$15)),1)</f>
        <v>2</v>
      </c>
      <c r="I116" cm="1">
        <f t="array" aca="1" ref="I116" ca="1">INDEX($A$2:$A$15,RANDBETWEEN(1,ROWS($A$2:$A$15)),1)</f>
        <v>3</v>
      </c>
      <c r="J116" cm="1">
        <f t="array" aca="1" ref="J116" ca="1">INDEX($A$2:$A$15,RANDBETWEEN(1,ROWS($A$2:$A$15)),1)</f>
        <v>4</v>
      </c>
      <c r="K116" cm="1">
        <f t="array" aca="1" ref="K116" ca="1">INDEX($A$2:$A$15,RANDBETWEEN(1,ROWS($A$2:$A$15)),1)</f>
        <v>1</v>
      </c>
      <c r="L116" cm="1">
        <f t="array" aca="1" ref="L116" ca="1">INDEX($A$2:$A$15,RANDBETWEEN(1,ROWS($A$2:$A$15)),1)</f>
        <v>5</v>
      </c>
      <c r="M116" cm="1">
        <f t="array" aca="1" ref="M116" ca="1">INDEX($A$2:$A$15,RANDBETWEEN(1,ROWS($A$2:$A$15)),1)</f>
        <v>5</v>
      </c>
      <c r="N116" cm="1">
        <f t="array" aca="1" ref="N116" ca="1">INDEX($A$2:$A$15,RANDBETWEEN(1,ROWS($A$2:$A$15)),1)</f>
        <v>4</v>
      </c>
      <c r="O116" cm="1">
        <f t="array" aca="1" ref="O116" ca="1">INDEX($A$2:$A$15,RANDBETWEEN(1,ROWS($A$2:$A$15)),1)</f>
        <v>1</v>
      </c>
      <c r="P116" cm="1">
        <f t="array" aca="1" ref="P116" ca="1">INDEX($A$2:$A$15,RANDBETWEEN(1,ROWS($A$2:$A$15)),1)</f>
        <v>5</v>
      </c>
      <c r="Q116" cm="1">
        <f t="array" aca="1" ref="Q116" ca="1">INDEX($A$2:$A$15,RANDBETWEEN(1,ROWS($A$2:$A$15)),1)</f>
        <v>2</v>
      </c>
      <c r="R116" cm="1">
        <f t="array" aca="1" ref="R116" ca="1">INDEX($A$2:$A$15,RANDBETWEEN(1,ROWS($A$2:$A$15)),1)</f>
        <v>4</v>
      </c>
      <c r="S116" cm="1">
        <f t="array" aca="1" ref="S116" ca="1">INDEX($A$2:$A$15,RANDBETWEEN(1,ROWS($A$2:$A$15)),1)</f>
        <v>5</v>
      </c>
      <c r="V116">
        <f t="shared" ca="1" si="4"/>
        <v>3.1176470588235294</v>
      </c>
      <c r="W116">
        <f t="shared" ca="1" si="5"/>
        <v>3</v>
      </c>
      <c r="X116">
        <f t="shared" ca="1" si="6"/>
        <v>2</v>
      </c>
      <c r="Y116">
        <f t="shared" ca="1" si="7"/>
        <v>1.4950900031928038</v>
      </c>
    </row>
    <row r="117" spans="3:25" x14ac:dyDescent="0.35">
      <c r="C117" cm="1">
        <f t="array" aca="1" ref="C117" ca="1">INDEX($A$2:$A$15,RANDBETWEEN(1,ROWS($A$2:$A$15)),1)</f>
        <v>5</v>
      </c>
      <c r="D117" cm="1">
        <f t="array" aca="1" ref="D117" ca="1">INDEX($A$2:$A$15,RANDBETWEEN(1,ROWS($A$2:$A$15)),1)</f>
        <v>5</v>
      </c>
      <c r="E117" cm="1">
        <f t="array" aca="1" ref="E117" ca="1">INDEX($A$2:$A$15,RANDBETWEEN(1,ROWS($A$2:$A$15)),1)</f>
        <v>8</v>
      </c>
      <c r="F117" cm="1">
        <f t="array" aca="1" ref="F117" ca="1">INDEX($A$2:$A$15,RANDBETWEEN(1,ROWS($A$2:$A$15)),1)</f>
        <v>5</v>
      </c>
      <c r="G117" cm="1">
        <f t="array" aca="1" ref="G117" ca="1">INDEX($A$2:$A$15,RANDBETWEEN(1,ROWS($A$2:$A$15)),1)</f>
        <v>1</v>
      </c>
      <c r="H117" cm="1">
        <f t="array" aca="1" ref="H117" ca="1">INDEX($A$2:$A$15,RANDBETWEEN(1,ROWS($A$2:$A$15)),1)</f>
        <v>4</v>
      </c>
      <c r="I117" cm="1">
        <f t="array" aca="1" ref="I117" ca="1">INDEX($A$2:$A$15,RANDBETWEEN(1,ROWS($A$2:$A$15)),1)</f>
        <v>3</v>
      </c>
      <c r="J117" cm="1">
        <f t="array" aca="1" ref="J117" ca="1">INDEX($A$2:$A$15,RANDBETWEEN(1,ROWS($A$2:$A$15)),1)</f>
        <v>5</v>
      </c>
      <c r="K117" cm="1">
        <f t="array" aca="1" ref="K117" ca="1">INDEX($A$2:$A$15,RANDBETWEEN(1,ROWS($A$2:$A$15)),1)</f>
        <v>1</v>
      </c>
      <c r="L117" cm="1">
        <f t="array" aca="1" ref="L117" ca="1">INDEX($A$2:$A$15,RANDBETWEEN(1,ROWS($A$2:$A$15)),1)</f>
        <v>3</v>
      </c>
      <c r="M117" cm="1">
        <f t="array" aca="1" ref="M117" ca="1">INDEX($A$2:$A$15,RANDBETWEEN(1,ROWS($A$2:$A$15)),1)</f>
        <v>4</v>
      </c>
      <c r="N117" cm="1">
        <f t="array" aca="1" ref="N117" ca="1">INDEX($A$2:$A$15,RANDBETWEEN(1,ROWS($A$2:$A$15)),1)</f>
        <v>5</v>
      </c>
      <c r="O117" cm="1">
        <f t="array" aca="1" ref="O117" ca="1">INDEX($A$2:$A$15,RANDBETWEEN(1,ROWS($A$2:$A$15)),1)</f>
        <v>7</v>
      </c>
      <c r="P117" cm="1">
        <f t="array" aca="1" ref="P117" ca="1">INDEX($A$2:$A$15,RANDBETWEEN(1,ROWS($A$2:$A$15)),1)</f>
        <v>5</v>
      </c>
      <c r="Q117" cm="1">
        <f t="array" aca="1" ref="Q117" ca="1">INDEX($A$2:$A$15,RANDBETWEEN(1,ROWS($A$2:$A$15)),1)</f>
        <v>5</v>
      </c>
      <c r="R117" cm="1">
        <f t="array" aca="1" ref="R117" ca="1">INDEX($A$2:$A$15,RANDBETWEEN(1,ROWS($A$2:$A$15)),1)</f>
        <v>4</v>
      </c>
      <c r="S117" cm="1">
        <f t="array" aca="1" ref="S117" ca="1">INDEX($A$2:$A$15,RANDBETWEEN(1,ROWS($A$2:$A$15)),1)</f>
        <v>2</v>
      </c>
      <c r="V117">
        <f t="shared" ca="1" si="4"/>
        <v>4.2352941176470589</v>
      </c>
      <c r="W117">
        <f t="shared" ca="1" si="5"/>
        <v>5</v>
      </c>
      <c r="X117">
        <f t="shared" ca="1" si="6"/>
        <v>2</v>
      </c>
      <c r="Y117">
        <f t="shared" ca="1" si="7"/>
        <v>1.8550408272025269</v>
      </c>
    </row>
    <row r="118" spans="3:25" x14ac:dyDescent="0.35">
      <c r="C118" cm="1">
        <f t="array" aca="1" ref="C118" ca="1">INDEX($A$2:$A$15,RANDBETWEEN(1,ROWS($A$2:$A$15)),1)</f>
        <v>8</v>
      </c>
      <c r="D118" cm="1">
        <f t="array" aca="1" ref="D118" ca="1">INDEX($A$2:$A$15,RANDBETWEEN(1,ROWS($A$2:$A$15)),1)</f>
        <v>1</v>
      </c>
      <c r="E118" cm="1">
        <f t="array" aca="1" ref="E118" ca="1">INDEX($A$2:$A$15,RANDBETWEEN(1,ROWS($A$2:$A$15)),1)</f>
        <v>1</v>
      </c>
      <c r="F118" cm="1">
        <f t="array" aca="1" ref="F118" ca="1">INDEX($A$2:$A$15,RANDBETWEEN(1,ROWS($A$2:$A$15)),1)</f>
        <v>3</v>
      </c>
      <c r="G118" cm="1">
        <f t="array" aca="1" ref="G118" ca="1">INDEX($A$2:$A$15,RANDBETWEEN(1,ROWS($A$2:$A$15)),1)</f>
        <v>2</v>
      </c>
      <c r="H118" cm="1">
        <f t="array" aca="1" ref="H118" ca="1">INDEX($A$2:$A$15,RANDBETWEEN(1,ROWS($A$2:$A$15)),1)</f>
        <v>8</v>
      </c>
      <c r="I118" cm="1">
        <f t="array" aca="1" ref="I118" ca="1">INDEX($A$2:$A$15,RANDBETWEEN(1,ROWS($A$2:$A$15)),1)</f>
        <v>1</v>
      </c>
      <c r="J118" cm="1">
        <f t="array" aca="1" ref="J118" ca="1">INDEX($A$2:$A$15,RANDBETWEEN(1,ROWS($A$2:$A$15)),1)</f>
        <v>4</v>
      </c>
      <c r="K118" cm="1">
        <f t="array" aca="1" ref="K118" ca="1">INDEX($A$2:$A$15,RANDBETWEEN(1,ROWS($A$2:$A$15)),1)</f>
        <v>1</v>
      </c>
      <c r="L118" cm="1">
        <f t="array" aca="1" ref="L118" ca="1">INDEX($A$2:$A$15,RANDBETWEEN(1,ROWS($A$2:$A$15)),1)</f>
        <v>4</v>
      </c>
      <c r="M118" cm="1">
        <f t="array" aca="1" ref="M118" ca="1">INDEX($A$2:$A$15,RANDBETWEEN(1,ROWS($A$2:$A$15)),1)</f>
        <v>2</v>
      </c>
      <c r="N118" cm="1">
        <f t="array" aca="1" ref="N118" ca="1">INDEX($A$2:$A$15,RANDBETWEEN(1,ROWS($A$2:$A$15)),1)</f>
        <v>7</v>
      </c>
      <c r="O118" cm="1">
        <f t="array" aca="1" ref="O118" ca="1">INDEX($A$2:$A$15,RANDBETWEEN(1,ROWS($A$2:$A$15)),1)</f>
        <v>5</v>
      </c>
      <c r="P118" cm="1">
        <f t="array" aca="1" ref="P118" ca="1">INDEX($A$2:$A$15,RANDBETWEEN(1,ROWS($A$2:$A$15)),1)</f>
        <v>2</v>
      </c>
      <c r="Q118" cm="1">
        <f t="array" aca="1" ref="Q118" ca="1">INDEX($A$2:$A$15,RANDBETWEEN(1,ROWS($A$2:$A$15)),1)</f>
        <v>5</v>
      </c>
      <c r="R118" cm="1">
        <f t="array" aca="1" ref="R118" ca="1">INDEX($A$2:$A$15,RANDBETWEEN(1,ROWS($A$2:$A$15)),1)</f>
        <v>7</v>
      </c>
      <c r="S118" cm="1">
        <f t="array" aca="1" ref="S118" ca="1">INDEX($A$2:$A$15,RANDBETWEEN(1,ROWS($A$2:$A$15)),1)</f>
        <v>5</v>
      </c>
      <c r="V118">
        <f t="shared" ca="1" si="4"/>
        <v>3.8823529411764706</v>
      </c>
      <c r="W118">
        <f t="shared" ca="1" si="5"/>
        <v>4</v>
      </c>
      <c r="X118">
        <f t="shared" ca="1" si="6"/>
        <v>3</v>
      </c>
      <c r="Y118">
        <f t="shared" ca="1" si="7"/>
        <v>2.5219623545261451</v>
      </c>
    </row>
    <row r="119" spans="3:25" x14ac:dyDescent="0.35">
      <c r="C119" cm="1">
        <f t="array" aca="1" ref="C119" ca="1">INDEX($A$2:$A$15,RANDBETWEEN(1,ROWS($A$2:$A$15)),1)</f>
        <v>5</v>
      </c>
      <c r="D119" cm="1">
        <f t="array" aca="1" ref="D119" ca="1">INDEX($A$2:$A$15,RANDBETWEEN(1,ROWS($A$2:$A$15)),1)</f>
        <v>5</v>
      </c>
      <c r="E119" cm="1">
        <f t="array" aca="1" ref="E119" ca="1">INDEX($A$2:$A$15,RANDBETWEEN(1,ROWS($A$2:$A$15)),1)</f>
        <v>4</v>
      </c>
      <c r="F119" cm="1">
        <f t="array" aca="1" ref="F119" ca="1">INDEX($A$2:$A$15,RANDBETWEEN(1,ROWS($A$2:$A$15)),1)</f>
        <v>2</v>
      </c>
      <c r="G119" cm="1">
        <f t="array" aca="1" ref="G119" ca="1">INDEX($A$2:$A$15,RANDBETWEEN(1,ROWS($A$2:$A$15)),1)</f>
        <v>7</v>
      </c>
      <c r="H119" cm="1">
        <f t="array" aca="1" ref="H119" ca="1">INDEX($A$2:$A$15,RANDBETWEEN(1,ROWS($A$2:$A$15)),1)</f>
        <v>7</v>
      </c>
      <c r="I119" cm="1">
        <f t="array" aca="1" ref="I119" ca="1">INDEX($A$2:$A$15,RANDBETWEEN(1,ROWS($A$2:$A$15)),1)</f>
        <v>8</v>
      </c>
      <c r="J119" cm="1">
        <f t="array" aca="1" ref="J119" ca="1">INDEX($A$2:$A$15,RANDBETWEEN(1,ROWS($A$2:$A$15)),1)</f>
        <v>5</v>
      </c>
      <c r="K119" cm="1">
        <f t="array" aca="1" ref="K119" ca="1">INDEX($A$2:$A$15,RANDBETWEEN(1,ROWS($A$2:$A$15)),1)</f>
        <v>4</v>
      </c>
      <c r="L119" cm="1">
        <f t="array" aca="1" ref="L119" ca="1">INDEX($A$2:$A$15,RANDBETWEEN(1,ROWS($A$2:$A$15)),1)</f>
        <v>7</v>
      </c>
      <c r="M119" cm="1">
        <f t="array" aca="1" ref="M119" ca="1">INDEX($A$2:$A$15,RANDBETWEEN(1,ROWS($A$2:$A$15)),1)</f>
        <v>5</v>
      </c>
      <c r="N119" cm="1">
        <f t="array" aca="1" ref="N119" ca="1">INDEX($A$2:$A$15,RANDBETWEEN(1,ROWS($A$2:$A$15)),1)</f>
        <v>4</v>
      </c>
      <c r="O119" cm="1">
        <f t="array" aca="1" ref="O119" ca="1">INDEX($A$2:$A$15,RANDBETWEEN(1,ROWS($A$2:$A$15)),1)</f>
        <v>4</v>
      </c>
      <c r="P119" cm="1">
        <f t="array" aca="1" ref="P119" ca="1">INDEX($A$2:$A$15,RANDBETWEEN(1,ROWS($A$2:$A$15)),1)</f>
        <v>5</v>
      </c>
      <c r="Q119" cm="1">
        <f t="array" aca="1" ref="Q119" ca="1">INDEX($A$2:$A$15,RANDBETWEEN(1,ROWS($A$2:$A$15)),1)</f>
        <v>5</v>
      </c>
      <c r="R119" cm="1">
        <f t="array" aca="1" ref="R119" ca="1">INDEX($A$2:$A$15,RANDBETWEEN(1,ROWS($A$2:$A$15)),1)</f>
        <v>7</v>
      </c>
      <c r="S119" cm="1">
        <f t="array" aca="1" ref="S119" ca="1">INDEX($A$2:$A$15,RANDBETWEEN(1,ROWS($A$2:$A$15)),1)</f>
        <v>1</v>
      </c>
      <c r="V119">
        <f t="shared" ca="1" si="4"/>
        <v>5</v>
      </c>
      <c r="W119">
        <f t="shared" ca="1" si="5"/>
        <v>5</v>
      </c>
      <c r="X119">
        <f t="shared" ca="1" si="6"/>
        <v>3</v>
      </c>
      <c r="Y119">
        <f t="shared" ca="1" si="7"/>
        <v>1.8371173070873836</v>
      </c>
    </row>
    <row r="120" spans="3:25" x14ac:dyDescent="0.35">
      <c r="C120" cm="1">
        <f t="array" aca="1" ref="C120" ca="1">INDEX($A$2:$A$15,RANDBETWEEN(1,ROWS($A$2:$A$15)),1)</f>
        <v>8</v>
      </c>
      <c r="D120" cm="1">
        <f t="array" aca="1" ref="D120" ca="1">INDEX($A$2:$A$15,RANDBETWEEN(1,ROWS($A$2:$A$15)),1)</f>
        <v>4</v>
      </c>
      <c r="E120" cm="1">
        <f t="array" aca="1" ref="E120" ca="1">INDEX($A$2:$A$15,RANDBETWEEN(1,ROWS($A$2:$A$15)),1)</f>
        <v>4</v>
      </c>
      <c r="F120" cm="1">
        <f t="array" aca="1" ref="F120" ca="1">INDEX($A$2:$A$15,RANDBETWEEN(1,ROWS($A$2:$A$15)),1)</f>
        <v>7</v>
      </c>
      <c r="G120" cm="1">
        <f t="array" aca="1" ref="G120" ca="1">INDEX($A$2:$A$15,RANDBETWEEN(1,ROWS($A$2:$A$15)),1)</f>
        <v>1</v>
      </c>
      <c r="H120" cm="1">
        <f t="array" aca="1" ref="H120" ca="1">INDEX($A$2:$A$15,RANDBETWEEN(1,ROWS($A$2:$A$15)),1)</f>
        <v>5</v>
      </c>
      <c r="I120" cm="1">
        <f t="array" aca="1" ref="I120" ca="1">INDEX($A$2:$A$15,RANDBETWEEN(1,ROWS($A$2:$A$15)),1)</f>
        <v>1</v>
      </c>
      <c r="J120" cm="1">
        <f t="array" aca="1" ref="J120" ca="1">INDEX($A$2:$A$15,RANDBETWEEN(1,ROWS($A$2:$A$15)),1)</f>
        <v>3</v>
      </c>
      <c r="K120" cm="1">
        <f t="array" aca="1" ref="K120" ca="1">INDEX($A$2:$A$15,RANDBETWEEN(1,ROWS($A$2:$A$15)),1)</f>
        <v>4</v>
      </c>
      <c r="L120" cm="1">
        <f t="array" aca="1" ref="L120" ca="1">INDEX($A$2:$A$15,RANDBETWEEN(1,ROWS($A$2:$A$15)),1)</f>
        <v>4</v>
      </c>
      <c r="M120" cm="1">
        <f t="array" aca="1" ref="M120" ca="1">INDEX($A$2:$A$15,RANDBETWEEN(1,ROWS($A$2:$A$15)),1)</f>
        <v>2</v>
      </c>
      <c r="N120" cm="1">
        <f t="array" aca="1" ref="N120" ca="1">INDEX($A$2:$A$15,RANDBETWEEN(1,ROWS($A$2:$A$15)),1)</f>
        <v>1</v>
      </c>
      <c r="O120" cm="1">
        <f t="array" aca="1" ref="O120" ca="1">INDEX($A$2:$A$15,RANDBETWEEN(1,ROWS($A$2:$A$15)),1)</f>
        <v>4</v>
      </c>
      <c r="P120" cm="1">
        <f t="array" aca="1" ref="P120" ca="1">INDEX($A$2:$A$15,RANDBETWEEN(1,ROWS($A$2:$A$15)),1)</f>
        <v>7</v>
      </c>
      <c r="Q120" cm="1">
        <f t="array" aca="1" ref="Q120" ca="1">INDEX($A$2:$A$15,RANDBETWEEN(1,ROWS($A$2:$A$15)),1)</f>
        <v>4</v>
      </c>
      <c r="R120" cm="1">
        <f t="array" aca="1" ref="R120" ca="1">INDEX($A$2:$A$15,RANDBETWEEN(1,ROWS($A$2:$A$15)),1)</f>
        <v>4</v>
      </c>
      <c r="S120" cm="1">
        <f t="array" aca="1" ref="S120" ca="1">INDEX($A$2:$A$15,RANDBETWEEN(1,ROWS($A$2:$A$15)),1)</f>
        <v>7</v>
      </c>
      <c r="V120">
        <f t="shared" ca="1" si="4"/>
        <v>4.117647058823529</v>
      </c>
      <c r="W120">
        <f t="shared" ca="1" si="5"/>
        <v>4</v>
      </c>
      <c r="X120">
        <f t="shared" ca="1" si="6"/>
        <v>2</v>
      </c>
      <c r="Y120">
        <f t="shared" ca="1" si="7"/>
        <v>2.1760730956581074</v>
      </c>
    </row>
    <row r="121" spans="3:25" x14ac:dyDescent="0.35">
      <c r="C121" cm="1">
        <f t="array" aca="1" ref="C121" ca="1">INDEX($A$2:$A$15,RANDBETWEEN(1,ROWS($A$2:$A$15)),1)</f>
        <v>4</v>
      </c>
      <c r="D121" cm="1">
        <f t="array" aca="1" ref="D121" ca="1">INDEX($A$2:$A$15,RANDBETWEEN(1,ROWS($A$2:$A$15)),1)</f>
        <v>8</v>
      </c>
      <c r="E121" cm="1">
        <f t="array" aca="1" ref="E121" ca="1">INDEX($A$2:$A$15,RANDBETWEEN(1,ROWS($A$2:$A$15)),1)</f>
        <v>2</v>
      </c>
      <c r="F121" cm="1">
        <f t="array" aca="1" ref="F121" ca="1">INDEX($A$2:$A$15,RANDBETWEEN(1,ROWS($A$2:$A$15)),1)</f>
        <v>5</v>
      </c>
      <c r="G121" cm="1">
        <f t="array" aca="1" ref="G121" ca="1">INDEX($A$2:$A$15,RANDBETWEEN(1,ROWS($A$2:$A$15)),1)</f>
        <v>5</v>
      </c>
      <c r="H121" cm="1">
        <f t="array" aca="1" ref="H121" ca="1">INDEX($A$2:$A$15,RANDBETWEEN(1,ROWS($A$2:$A$15)),1)</f>
        <v>5</v>
      </c>
      <c r="I121" cm="1">
        <f t="array" aca="1" ref="I121" ca="1">INDEX($A$2:$A$15,RANDBETWEEN(1,ROWS($A$2:$A$15)),1)</f>
        <v>4</v>
      </c>
      <c r="J121" cm="1">
        <f t="array" aca="1" ref="J121" ca="1">INDEX($A$2:$A$15,RANDBETWEEN(1,ROWS($A$2:$A$15)),1)</f>
        <v>3</v>
      </c>
      <c r="K121" cm="1">
        <f t="array" aca="1" ref="K121" ca="1">INDEX($A$2:$A$15,RANDBETWEEN(1,ROWS($A$2:$A$15)),1)</f>
        <v>5</v>
      </c>
      <c r="L121" cm="1">
        <f t="array" aca="1" ref="L121" ca="1">INDEX($A$2:$A$15,RANDBETWEEN(1,ROWS($A$2:$A$15)),1)</f>
        <v>4</v>
      </c>
      <c r="M121" cm="1">
        <f t="array" aca="1" ref="M121" ca="1">INDEX($A$2:$A$15,RANDBETWEEN(1,ROWS($A$2:$A$15)),1)</f>
        <v>3</v>
      </c>
      <c r="N121" cm="1">
        <f t="array" aca="1" ref="N121" ca="1">INDEX($A$2:$A$15,RANDBETWEEN(1,ROWS($A$2:$A$15)),1)</f>
        <v>5</v>
      </c>
      <c r="O121" cm="1">
        <f t="array" aca="1" ref="O121" ca="1">INDEX($A$2:$A$15,RANDBETWEEN(1,ROWS($A$2:$A$15)),1)</f>
        <v>2</v>
      </c>
      <c r="P121" cm="1">
        <f t="array" aca="1" ref="P121" ca="1">INDEX($A$2:$A$15,RANDBETWEEN(1,ROWS($A$2:$A$15)),1)</f>
        <v>8</v>
      </c>
      <c r="Q121" cm="1">
        <f t="array" aca="1" ref="Q121" ca="1">INDEX($A$2:$A$15,RANDBETWEEN(1,ROWS($A$2:$A$15)),1)</f>
        <v>4</v>
      </c>
      <c r="R121" cm="1">
        <f t="array" aca="1" ref="R121" ca="1">INDEX($A$2:$A$15,RANDBETWEEN(1,ROWS($A$2:$A$15)),1)</f>
        <v>8</v>
      </c>
      <c r="S121" cm="1">
        <f t="array" aca="1" ref="S121" ca="1">INDEX($A$2:$A$15,RANDBETWEEN(1,ROWS($A$2:$A$15)),1)</f>
        <v>5</v>
      </c>
      <c r="V121">
        <f t="shared" ca="1" si="4"/>
        <v>4.7058823529411766</v>
      </c>
      <c r="W121">
        <f t="shared" ca="1" si="5"/>
        <v>5</v>
      </c>
      <c r="X121">
        <f t="shared" ca="1" si="6"/>
        <v>1</v>
      </c>
      <c r="Y121">
        <f t="shared" ca="1" si="7"/>
        <v>1.8629514849544837</v>
      </c>
    </row>
    <row r="122" spans="3:25" x14ac:dyDescent="0.35">
      <c r="C122" cm="1">
        <f t="array" aca="1" ref="C122" ca="1">INDEX($A$2:$A$15,RANDBETWEEN(1,ROWS($A$2:$A$15)),1)</f>
        <v>1</v>
      </c>
      <c r="D122" cm="1">
        <f t="array" aca="1" ref="D122" ca="1">INDEX($A$2:$A$15,RANDBETWEEN(1,ROWS($A$2:$A$15)),1)</f>
        <v>5</v>
      </c>
      <c r="E122" cm="1">
        <f t="array" aca="1" ref="E122" ca="1">INDEX($A$2:$A$15,RANDBETWEEN(1,ROWS($A$2:$A$15)),1)</f>
        <v>8</v>
      </c>
      <c r="F122" cm="1">
        <f t="array" aca="1" ref="F122" ca="1">INDEX($A$2:$A$15,RANDBETWEEN(1,ROWS($A$2:$A$15)),1)</f>
        <v>2</v>
      </c>
      <c r="G122" cm="1">
        <f t="array" aca="1" ref="G122" ca="1">INDEX($A$2:$A$15,RANDBETWEEN(1,ROWS($A$2:$A$15)),1)</f>
        <v>4</v>
      </c>
      <c r="H122" cm="1">
        <f t="array" aca="1" ref="H122" ca="1">INDEX($A$2:$A$15,RANDBETWEEN(1,ROWS($A$2:$A$15)),1)</f>
        <v>3</v>
      </c>
      <c r="I122" cm="1">
        <f t="array" aca="1" ref="I122" ca="1">INDEX($A$2:$A$15,RANDBETWEEN(1,ROWS($A$2:$A$15)),1)</f>
        <v>2</v>
      </c>
      <c r="J122" cm="1">
        <f t="array" aca="1" ref="J122" ca="1">INDEX($A$2:$A$15,RANDBETWEEN(1,ROWS($A$2:$A$15)),1)</f>
        <v>7</v>
      </c>
      <c r="K122" cm="1">
        <f t="array" aca="1" ref="K122" ca="1">INDEX($A$2:$A$15,RANDBETWEEN(1,ROWS($A$2:$A$15)),1)</f>
        <v>1</v>
      </c>
      <c r="L122" cm="1">
        <f t="array" aca="1" ref="L122" ca="1">INDEX($A$2:$A$15,RANDBETWEEN(1,ROWS($A$2:$A$15)),1)</f>
        <v>2</v>
      </c>
      <c r="M122" cm="1">
        <f t="array" aca="1" ref="M122" ca="1">INDEX($A$2:$A$15,RANDBETWEEN(1,ROWS($A$2:$A$15)),1)</f>
        <v>5</v>
      </c>
      <c r="N122" cm="1">
        <f t="array" aca="1" ref="N122" ca="1">INDEX($A$2:$A$15,RANDBETWEEN(1,ROWS($A$2:$A$15)),1)</f>
        <v>4</v>
      </c>
      <c r="O122" cm="1">
        <f t="array" aca="1" ref="O122" ca="1">INDEX($A$2:$A$15,RANDBETWEEN(1,ROWS($A$2:$A$15)),1)</f>
        <v>7</v>
      </c>
      <c r="P122" cm="1">
        <f t="array" aca="1" ref="P122" ca="1">INDEX($A$2:$A$15,RANDBETWEEN(1,ROWS($A$2:$A$15)),1)</f>
        <v>5</v>
      </c>
      <c r="Q122" cm="1">
        <f t="array" aca="1" ref="Q122" ca="1">INDEX($A$2:$A$15,RANDBETWEEN(1,ROWS($A$2:$A$15)),1)</f>
        <v>5</v>
      </c>
      <c r="R122" cm="1">
        <f t="array" aca="1" ref="R122" ca="1">INDEX($A$2:$A$15,RANDBETWEEN(1,ROWS($A$2:$A$15)),1)</f>
        <v>4</v>
      </c>
      <c r="S122" cm="1">
        <f t="array" aca="1" ref="S122" ca="1">INDEX($A$2:$A$15,RANDBETWEEN(1,ROWS($A$2:$A$15)),1)</f>
        <v>5</v>
      </c>
      <c r="V122">
        <f t="shared" ca="1" si="4"/>
        <v>4.117647058823529</v>
      </c>
      <c r="W122">
        <f t="shared" ca="1" si="5"/>
        <v>4</v>
      </c>
      <c r="X122">
        <f t="shared" ca="1" si="6"/>
        <v>3</v>
      </c>
      <c r="Y122">
        <f t="shared" ca="1" si="7"/>
        <v>2.0881317289977321</v>
      </c>
    </row>
    <row r="123" spans="3:25" x14ac:dyDescent="0.35">
      <c r="C123" cm="1">
        <f t="array" aca="1" ref="C123" ca="1">INDEX($A$2:$A$15,RANDBETWEEN(1,ROWS($A$2:$A$15)),1)</f>
        <v>4</v>
      </c>
      <c r="D123" cm="1">
        <f t="array" aca="1" ref="D123" ca="1">INDEX($A$2:$A$15,RANDBETWEEN(1,ROWS($A$2:$A$15)),1)</f>
        <v>3</v>
      </c>
      <c r="E123" cm="1">
        <f t="array" aca="1" ref="E123" ca="1">INDEX($A$2:$A$15,RANDBETWEEN(1,ROWS($A$2:$A$15)),1)</f>
        <v>3</v>
      </c>
      <c r="F123" cm="1">
        <f t="array" aca="1" ref="F123" ca="1">INDEX($A$2:$A$15,RANDBETWEEN(1,ROWS($A$2:$A$15)),1)</f>
        <v>1</v>
      </c>
      <c r="G123" cm="1">
        <f t="array" aca="1" ref="G123" ca="1">INDEX($A$2:$A$15,RANDBETWEEN(1,ROWS($A$2:$A$15)),1)</f>
        <v>3</v>
      </c>
      <c r="H123" cm="1">
        <f t="array" aca="1" ref="H123" ca="1">INDEX($A$2:$A$15,RANDBETWEEN(1,ROWS($A$2:$A$15)),1)</f>
        <v>7</v>
      </c>
      <c r="I123" cm="1">
        <f t="array" aca="1" ref="I123" ca="1">INDEX($A$2:$A$15,RANDBETWEEN(1,ROWS($A$2:$A$15)),1)</f>
        <v>7</v>
      </c>
      <c r="J123" cm="1">
        <f t="array" aca="1" ref="J123" ca="1">INDEX($A$2:$A$15,RANDBETWEEN(1,ROWS($A$2:$A$15)),1)</f>
        <v>1</v>
      </c>
      <c r="K123" cm="1">
        <f t="array" aca="1" ref="K123" ca="1">INDEX($A$2:$A$15,RANDBETWEEN(1,ROWS($A$2:$A$15)),1)</f>
        <v>5</v>
      </c>
      <c r="L123" cm="1">
        <f t="array" aca="1" ref="L123" ca="1">INDEX($A$2:$A$15,RANDBETWEEN(1,ROWS($A$2:$A$15)),1)</f>
        <v>8</v>
      </c>
      <c r="M123" cm="1">
        <f t="array" aca="1" ref="M123" ca="1">INDEX($A$2:$A$15,RANDBETWEEN(1,ROWS($A$2:$A$15)),1)</f>
        <v>2</v>
      </c>
      <c r="N123" cm="1">
        <f t="array" aca="1" ref="N123" ca="1">INDEX($A$2:$A$15,RANDBETWEEN(1,ROWS($A$2:$A$15)),1)</f>
        <v>8</v>
      </c>
      <c r="O123" cm="1">
        <f t="array" aca="1" ref="O123" ca="1">INDEX($A$2:$A$15,RANDBETWEEN(1,ROWS($A$2:$A$15)),1)</f>
        <v>1</v>
      </c>
      <c r="P123" cm="1">
        <f t="array" aca="1" ref="P123" ca="1">INDEX($A$2:$A$15,RANDBETWEEN(1,ROWS($A$2:$A$15)),1)</f>
        <v>3</v>
      </c>
      <c r="Q123" cm="1">
        <f t="array" aca="1" ref="Q123" ca="1">INDEX($A$2:$A$15,RANDBETWEEN(1,ROWS($A$2:$A$15)),1)</f>
        <v>5</v>
      </c>
      <c r="R123" cm="1">
        <f t="array" aca="1" ref="R123" ca="1">INDEX($A$2:$A$15,RANDBETWEEN(1,ROWS($A$2:$A$15)),1)</f>
        <v>7</v>
      </c>
      <c r="S123" cm="1">
        <f t="array" aca="1" ref="S123" ca="1">INDEX($A$2:$A$15,RANDBETWEEN(1,ROWS($A$2:$A$15)),1)</f>
        <v>5</v>
      </c>
      <c r="V123">
        <f t="shared" ca="1" si="4"/>
        <v>4.2941176470588234</v>
      </c>
      <c r="W123">
        <f t="shared" ca="1" si="5"/>
        <v>4</v>
      </c>
      <c r="X123">
        <f t="shared" ca="1" si="6"/>
        <v>4</v>
      </c>
      <c r="Y123">
        <f t="shared" ca="1" si="7"/>
        <v>2.4434787159486606</v>
      </c>
    </row>
    <row r="124" spans="3:25" x14ac:dyDescent="0.35">
      <c r="C124" cm="1">
        <f t="array" aca="1" ref="C124" ca="1">INDEX($A$2:$A$15,RANDBETWEEN(1,ROWS($A$2:$A$15)),1)</f>
        <v>2</v>
      </c>
      <c r="D124" cm="1">
        <f t="array" aca="1" ref="D124" ca="1">INDEX($A$2:$A$15,RANDBETWEEN(1,ROWS($A$2:$A$15)),1)</f>
        <v>3</v>
      </c>
      <c r="E124" cm="1">
        <f t="array" aca="1" ref="E124" ca="1">INDEX($A$2:$A$15,RANDBETWEEN(1,ROWS($A$2:$A$15)),1)</f>
        <v>3</v>
      </c>
      <c r="F124" cm="1">
        <f t="array" aca="1" ref="F124" ca="1">INDEX($A$2:$A$15,RANDBETWEEN(1,ROWS($A$2:$A$15)),1)</f>
        <v>5</v>
      </c>
      <c r="G124" cm="1">
        <f t="array" aca="1" ref="G124" ca="1">INDEX($A$2:$A$15,RANDBETWEEN(1,ROWS($A$2:$A$15)),1)</f>
        <v>2</v>
      </c>
      <c r="H124" cm="1">
        <f t="array" aca="1" ref="H124" ca="1">INDEX($A$2:$A$15,RANDBETWEEN(1,ROWS($A$2:$A$15)),1)</f>
        <v>5</v>
      </c>
      <c r="I124" cm="1">
        <f t="array" aca="1" ref="I124" ca="1">INDEX($A$2:$A$15,RANDBETWEEN(1,ROWS($A$2:$A$15)),1)</f>
        <v>5</v>
      </c>
      <c r="J124" cm="1">
        <f t="array" aca="1" ref="J124" ca="1">INDEX($A$2:$A$15,RANDBETWEEN(1,ROWS($A$2:$A$15)),1)</f>
        <v>5</v>
      </c>
      <c r="K124" cm="1">
        <f t="array" aca="1" ref="K124" ca="1">INDEX($A$2:$A$15,RANDBETWEEN(1,ROWS($A$2:$A$15)),1)</f>
        <v>5</v>
      </c>
      <c r="L124" cm="1">
        <f t="array" aca="1" ref="L124" ca="1">INDEX($A$2:$A$15,RANDBETWEEN(1,ROWS($A$2:$A$15)),1)</f>
        <v>5</v>
      </c>
      <c r="M124" cm="1">
        <f t="array" aca="1" ref="M124" ca="1">INDEX($A$2:$A$15,RANDBETWEEN(1,ROWS($A$2:$A$15)),1)</f>
        <v>5</v>
      </c>
      <c r="N124" cm="1">
        <f t="array" aca="1" ref="N124" ca="1">INDEX($A$2:$A$15,RANDBETWEEN(1,ROWS($A$2:$A$15)),1)</f>
        <v>5</v>
      </c>
      <c r="O124" cm="1">
        <f t="array" aca="1" ref="O124" ca="1">INDEX($A$2:$A$15,RANDBETWEEN(1,ROWS($A$2:$A$15)),1)</f>
        <v>4</v>
      </c>
      <c r="P124" cm="1">
        <f t="array" aca="1" ref="P124" ca="1">INDEX($A$2:$A$15,RANDBETWEEN(1,ROWS($A$2:$A$15)),1)</f>
        <v>2</v>
      </c>
      <c r="Q124" cm="1">
        <f t="array" aca="1" ref="Q124" ca="1">INDEX($A$2:$A$15,RANDBETWEEN(1,ROWS($A$2:$A$15)),1)</f>
        <v>5</v>
      </c>
      <c r="R124" cm="1">
        <f t="array" aca="1" ref="R124" ca="1">INDEX($A$2:$A$15,RANDBETWEEN(1,ROWS($A$2:$A$15)),1)</f>
        <v>2</v>
      </c>
      <c r="S124" cm="1">
        <f t="array" aca="1" ref="S124" ca="1">INDEX($A$2:$A$15,RANDBETWEEN(1,ROWS($A$2:$A$15)),1)</f>
        <v>8</v>
      </c>
      <c r="V124">
        <f t="shared" ca="1" si="4"/>
        <v>4.1764705882352944</v>
      </c>
      <c r="W124">
        <f t="shared" ca="1" si="5"/>
        <v>5</v>
      </c>
      <c r="X124">
        <f t="shared" ca="1" si="6"/>
        <v>2</v>
      </c>
      <c r="Y124">
        <f t="shared" ca="1" si="7"/>
        <v>1.6292365588538344</v>
      </c>
    </row>
    <row r="125" spans="3:25" x14ac:dyDescent="0.35">
      <c r="C125" cm="1">
        <f t="array" aca="1" ref="C125" ca="1">INDEX($A$2:$A$15,RANDBETWEEN(1,ROWS($A$2:$A$15)),1)</f>
        <v>1</v>
      </c>
      <c r="D125" cm="1">
        <f t="array" aca="1" ref="D125" ca="1">INDEX($A$2:$A$15,RANDBETWEEN(1,ROWS($A$2:$A$15)),1)</f>
        <v>4</v>
      </c>
      <c r="E125" cm="1">
        <f t="array" aca="1" ref="E125" ca="1">INDEX($A$2:$A$15,RANDBETWEEN(1,ROWS($A$2:$A$15)),1)</f>
        <v>5</v>
      </c>
      <c r="F125" cm="1">
        <f t="array" aca="1" ref="F125" ca="1">INDEX($A$2:$A$15,RANDBETWEEN(1,ROWS($A$2:$A$15)),1)</f>
        <v>5</v>
      </c>
      <c r="G125" cm="1">
        <f t="array" aca="1" ref="G125" ca="1">INDEX($A$2:$A$15,RANDBETWEEN(1,ROWS($A$2:$A$15)),1)</f>
        <v>2</v>
      </c>
      <c r="H125" cm="1">
        <f t="array" aca="1" ref="H125" ca="1">INDEX($A$2:$A$15,RANDBETWEEN(1,ROWS($A$2:$A$15)),1)</f>
        <v>4</v>
      </c>
      <c r="I125" cm="1">
        <f t="array" aca="1" ref="I125" ca="1">INDEX($A$2:$A$15,RANDBETWEEN(1,ROWS($A$2:$A$15)),1)</f>
        <v>5</v>
      </c>
      <c r="J125" cm="1">
        <f t="array" aca="1" ref="J125" ca="1">INDEX($A$2:$A$15,RANDBETWEEN(1,ROWS($A$2:$A$15)),1)</f>
        <v>4</v>
      </c>
      <c r="K125" cm="1">
        <f t="array" aca="1" ref="K125" ca="1">INDEX($A$2:$A$15,RANDBETWEEN(1,ROWS($A$2:$A$15)),1)</f>
        <v>2</v>
      </c>
      <c r="L125" cm="1">
        <f t="array" aca="1" ref="L125" ca="1">INDEX($A$2:$A$15,RANDBETWEEN(1,ROWS($A$2:$A$15)),1)</f>
        <v>2</v>
      </c>
      <c r="M125" cm="1">
        <f t="array" aca="1" ref="M125" ca="1">INDEX($A$2:$A$15,RANDBETWEEN(1,ROWS($A$2:$A$15)),1)</f>
        <v>8</v>
      </c>
      <c r="N125" cm="1">
        <f t="array" aca="1" ref="N125" ca="1">INDEX($A$2:$A$15,RANDBETWEEN(1,ROWS($A$2:$A$15)),1)</f>
        <v>5</v>
      </c>
      <c r="O125" cm="1">
        <f t="array" aca="1" ref="O125" ca="1">INDEX($A$2:$A$15,RANDBETWEEN(1,ROWS($A$2:$A$15)),1)</f>
        <v>3</v>
      </c>
      <c r="P125" cm="1">
        <f t="array" aca="1" ref="P125" ca="1">INDEX($A$2:$A$15,RANDBETWEEN(1,ROWS($A$2:$A$15)),1)</f>
        <v>5</v>
      </c>
      <c r="Q125" cm="1">
        <f t="array" aca="1" ref="Q125" ca="1">INDEX($A$2:$A$15,RANDBETWEEN(1,ROWS($A$2:$A$15)),1)</f>
        <v>1</v>
      </c>
      <c r="R125" cm="1">
        <f t="array" aca="1" ref="R125" ca="1">INDEX($A$2:$A$15,RANDBETWEEN(1,ROWS($A$2:$A$15)),1)</f>
        <v>5</v>
      </c>
      <c r="S125" cm="1">
        <f t="array" aca="1" ref="S125" ca="1">INDEX($A$2:$A$15,RANDBETWEEN(1,ROWS($A$2:$A$15)),1)</f>
        <v>5</v>
      </c>
      <c r="V125">
        <f t="shared" ca="1" si="4"/>
        <v>3.8823529411764706</v>
      </c>
      <c r="W125">
        <f t="shared" ca="1" si="5"/>
        <v>4</v>
      </c>
      <c r="X125">
        <f t="shared" ca="1" si="6"/>
        <v>3</v>
      </c>
      <c r="Y125">
        <f t="shared" ca="1" si="7"/>
        <v>1.833110503392269</v>
      </c>
    </row>
    <row r="126" spans="3:25" x14ac:dyDescent="0.35">
      <c r="C126" cm="1">
        <f t="array" aca="1" ref="C126" ca="1">INDEX($A$2:$A$15,RANDBETWEEN(1,ROWS($A$2:$A$15)),1)</f>
        <v>5</v>
      </c>
      <c r="D126" cm="1">
        <f t="array" aca="1" ref="D126" ca="1">INDEX($A$2:$A$15,RANDBETWEEN(1,ROWS($A$2:$A$15)),1)</f>
        <v>3</v>
      </c>
      <c r="E126" cm="1">
        <f t="array" aca="1" ref="E126" ca="1">INDEX($A$2:$A$15,RANDBETWEEN(1,ROWS($A$2:$A$15)),1)</f>
        <v>5</v>
      </c>
      <c r="F126" cm="1">
        <f t="array" aca="1" ref="F126" ca="1">INDEX($A$2:$A$15,RANDBETWEEN(1,ROWS($A$2:$A$15)),1)</f>
        <v>2</v>
      </c>
      <c r="G126" cm="1">
        <f t="array" aca="1" ref="G126" ca="1">INDEX($A$2:$A$15,RANDBETWEEN(1,ROWS($A$2:$A$15)),1)</f>
        <v>1</v>
      </c>
      <c r="H126" cm="1">
        <f t="array" aca="1" ref="H126" ca="1">INDEX($A$2:$A$15,RANDBETWEEN(1,ROWS($A$2:$A$15)),1)</f>
        <v>5</v>
      </c>
      <c r="I126" cm="1">
        <f t="array" aca="1" ref="I126" ca="1">INDEX($A$2:$A$15,RANDBETWEEN(1,ROWS($A$2:$A$15)),1)</f>
        <v>8</v>
      </c>
      <c r="J126" cm="1">
        <f t="array" aca="1" ref="J126" ca="1">INDEX($A$2:$A$15,RANDBETWEEN(1,ROWS($A$2:$A$15)),1)</f>
        <v>1</v>
      </c>
      <c r="K126" cm="1">
        <f t="array" aca="1" ref="K126" ca="1">INDEX($A$2:$A$15,RANDBETWEEN(1,ROWS($A$2:$A$15)),1)</f>
        <v>4</v>
      </c>
      <c r="L126" cm="1">
        <f t="array" aca="1" ref="L126" ca="1">INDEX($A$2:$A$15,RANDBETWEEN(1,ROWS($A$2:$A$15)),1)</f>
        <v>3</v>
      </c>
      <c r="M126" cm="1">
        <f t="array" aca="1" ref="M126" ca="1">INDEX($A$2:$A$15,RANDBETWEEN(1,ROWS($A$2:$A$15)),1)</f>
        <v>5</v>
      </c>
      <c r="N126" cm="1">
        <f t="array" aca="1" ref="N126" ca="1">INDEX($A$2:$A$15,RANDBETWEEN(1,ROWS($A$2:$A$15)),1)</f>
        <v>8</v>
      </c>
      <c r="O126" cm="1">
        <f t="array" aca="1" ref="O126" ca="1">INDEX($A$2:$A$15,RANDBETWEEN(1,ROWS($A$2:$A$15)),1)</f>
        <v>5</v>
      </c>
      <c r="P126" cm="1">
        <f t="array" aca="1" ref="P126" ca="1">INDEX($A$2:$A$15,RANDBETWEEN(1,ROWS($A$2:$A$15)),1)</f>
        <v>5</v>
      </c>
      <c r="Q126" cm="1">
        <f t="array" aca="1" ref="Q126" ca="1">INDEX($A$2:$A$15,RANDBETWEEN(1,ROWS($A$2:$A$15)),1)</f>
        <v>4</v>
      </c>
      <c r="R126" cm="1">
        <f t="array" aca="1" ref="R126" ca="1">INDEX($A$2:$A$15,RANDBETWEEN(1,ROWS($A$2:$A$15)),1)</f>
        <v>5</v>
      </c>
      <c r="S126" cm="1">
        <f t="array" aca="1" ref="S126" ca="1">INDEX($A$2:$A$15,RANDBETWEEN(1,ROWS($A$2:$A$15)),1)</f>
        <v>8</v>
      </c>
      <c r="V126">
        <f t="shared" ca="1" si="4"/>
        <v>4.5294117647058822</v>
      </c>
      <c r="W126">
        <f t="shared" ca="1" si="5"/>
        <v>5</v>
      </c>
      <c r="X126">
        <f t="shared" ca="1" si="6"/>
        <v>2</v>
      </c>
      <c r="Y126">
        <f t="shared" ca="1" si="7"/>
        <v>2.153997651426979</v>
      </c>
    </row>
    <row r="127" spans="3:25" x14ac:dyDescent="0.35">
      <c r="C127" cm="1">
        <f t="array" aca="1" ref="C127" ca="1">INDEX($A$2:$A$15,RANDBETWEEN(1,ROWS($A$2:$A$15)),1)</f>
        <v>3</v>
      </c>
      <c r="D127" cm="1">
        <f t="array" aca="1" ref="D127" ca="1">INDEX($A$2:$A$15,RANDBETWEEN(1,ROWS($A$2:$A$15)),1)</f>
        <v>5</v>
      </c>
      <c r="E127" cm="1">
        <f t="array" aca="1" ref="E127" ca="1">INDEX($A$2:$A$15,RANDBETWEEN(1,ROWS($A$2:$A$15)),1)</f>
        <v>4</v>
      </c>
      <c r="F127" cm="1">
        <f t="array" aca="1" ref="F127" ca="1">INDEX($A$2:$A$15,RANDBETWEEN(1,ROWS($A$2:$A$15)),1)</f>
        <v>7</v>
      </c>
      <c r="G127" cm="1">
        <f t="array" aca="1" ref="G127" ca="1">INDEX($A$2:$A$15,RANDBETWEEN(1,ROWS($A$2:$A$15)),1)</f>
        <v>3</v>
      </c>
      <c r="H127" cm="1">
        <f t="array" aca="1" ref="H127" ca="1">INDEX($A$2:$A$15,RANDBETWEEN(1,ROWS($A$2:$A$15)),1)</f>
        <v>8</v>
      </c>
      <c r="I127" cm="1">
        <f t="array" aca="1" ref="I127" ca="1">INDEX($A$2:$A$15,RANDBETWEEN(1,ROWS($A$2:$A$15)),1)</f>
        <v>3</v>
      </c>
      <c r="J127" cm="1">
        <f t="array" aca="1" ref="J127" ca="1">INDEX($A$2:$A$15,RANDBETWEEN(1,ROWS($A$2:$A$15)),1)</f>
        <v>1</v>
      </c>
      <c r="K127" cm="1">
        <f t="array" aca="1" ref="K127" ca="1">INDEX($A$2:$A$15,RANDBETWEEN(1,ROWS($A$2:$A$15)),1)</f>
        <v>5</v>
      </c>
      <c r="L127" cm="1">
        <f t="array" aca="1" ref="L127" ca="1">INDEX($A$2:$A$15,RANDBETWEEN(1,ROWS($A$2:$A$15)),1)</f>
        <v>1</v>
      </c>
      <c r="M127" cm="1">
        <f t="array" aca="1" ref="M127" ca="1">INDEX($A$2:$A$15,RANDBETWEEN(1,ROWS($A$2:$A$15)),1)</f>
        <v>1</v>
      </c>
      <c r="N127" cm="1">
        <f t="array" aca="1" ref="N127" ca="1">INDEX($A$2:$A$15,RANDBETWEEN(1,ROWS($A$2:$A$15)),1)</f>
        <v>8</v>
      </c>
      <c r="O127" cm="1">
        <f t="array" aca="1" ref="O127" ca="1">INDEX($A$2:$A$15,RANDBETWEEN(1,ROWS($A$2:$A$15)),1)</f>
        <v>5</v>
      </c>
      <c r="P127" cm="1">
        <f t="array" aca="1" ref="P127" ca="1">INDEX($A$2:$A$15,RANDBETWEEN(1,ROWS($A$2:$A$15)),1)</f>
        <v>5</v>
      </c>
      <c r="Q127" cm="1">
        <f t="array" aca="1" ref="Q127" ca="1">INDEX($A$2:$A$15,RANDBETWEEN(1,ROWS($A$2:$A$15)),1)</f>
        <v>7</v>
      </c>
      <c r="R127" cm="1">
        <f t="array" aca="1" ref="R127" ca="1">INDEX($A$2:$A$15,RANDBETWEEN(1,ROWS($A$2:$A$15)),1)</f>
        <v>8</v>
      </c>
      <c r="S127" cm="1">
        <f t="array" aca="1" ref="S127" ca="1">INDEX($A$2:$A$15,RANDBETWEEN(1,ROWS($A$2:$A$15)),1)</f>
        <v>5</v>
      </c>
      <c r="V127">
        <f t="shared" ca="1" si="4"/>
        <v>4.6470588235294121</v>
      </c>
      <c r="W127">
        <f t="shared" ca="1" si="5"/>
        <v>5</v>
      </c>
      <c r="X127">
        <f t="shared" ca="1" si="6"/>
        <v>4</v>
      </c>
      <c r="Y127">
        <f t="shared" ca="1" si="7"/>
        <v>2.4223226578685857</v>
      </c>
    </row>
    <row r="128" spans="3:25" x14ac:dyDescent="0.35">
      <c r="C128" cm="1">
        <f t="array" aca="1" ref="C128" ca="1">INDEX($A$2:$A$15,RANDBETWEEN(1,ROWS($A$2:$A$15)),1)</f>
        <v>5</v>
      </c>
      <c r="D128" cm="1">
        <f t="array" aca="1" ref="D128" ca="1">INDEX($A$2:$A$15,RANDBETWEEN(1,ROWS($A$2:$A$15)),1)</f>
        <v>7</v>
      </c>
      <c r="E128" cm="1">
        <f t="array" aca="1" ref="E128" ca="1">INDEX($A$2:$A$15,RANDBETWEEN(1,ROWS($A$2:$A$15)),1)</f>
        <v>4</v>
      </c>
      <c r="F128" cm="1">
        <f t="array" aca="1" ref="F128" ca="1">INDEX($A$2:$A$15,RANDBETWEEN(1,ROWS($A$2:$A$15)),1)</f>
        <v>3</v>
      </c>
      <c r="G128" cm="1">
        <f t="array" aca="1" ref="G128" ca="1">INDEX($A$2:$A$15,RANDBETWEEN(1,ROWS($A$2:$A$15)),1)</f>
        <v>8</v>
      </c>
      <c r="H128" cm="1">
        <f t="array" aca="1" ref="H128" ca="1">INDEX($A$2:$A$15,RANDBETWEEN(1,ROWS($A$2:$A$15)),1)</f>
        <v>5</v>
      </c>
      <c r="I128" cm="1">
        <f t="array" aca="1" ref="I128" ca="1">INDEX($A$2:$A$15,RANDBETWEEN(1,ROWS($A$2:$A$15)),1)</f>
        <v>2</v>
      </c>
      <c r="J128" cm="1">
        <f t="array" aca="1" ref="J128" ca="1">INDEX($A$2:$A$15,RANDBETWEEN(1,ROWS($A$2:$A$15)),1)</f>
        <v>8</v>
      </c>
      <c r="K128" cm="1">
        <f t="array" aca="1" ref="K128" ca="1">INDEX($A$2:$A$15,RANDBETWEEN(1,ROWS($A$2:$A$15)),1)</f>
        <v>5</v>
      </c>
      <c r="L128" cm="1">
        <f t="array" aca="1" ref="L128" ca="1">INDEX($A$2:$A$15,RANDBETWEEN(1,ROWS($A$2:$A$15)),1)</f>
        <v>5</v>
      </c>
      <c r="M128" cm="1">
        <f t="array" aca="1" ref="M128" ca="1">INDEX($A$2:$A$15,RANDBETWEEN(1,ROWS($A$2:$A$15)),1)</f>
        <v>3</v>
      </c>
      <c r="N128" cm="1">
        <f t="array" aca="1" ref="N128" ca="1">INDEX($A$2:$A$15,RANDBETWEEN(1,ROWS($A$2:$A$15)),1)</f>
        <v>4</v>
      </c>
      <c r="O128" cm="1">
        <f t="array" aca="1" ref="O128" ca="1">INDEX($A$2:$A$15,RANDBETWEEN(1,ROWS($A$2:$A$15)),1)</f>
        <v>5</v>
      </c>
      <c r="P128" cm="1">
        <f t="array" aca="1" ref="P128" ca="1">INDEX($A$2:$A$15,RANDBETWEEN(1,ROWS($A$2:$A$15)),1)</f>
        <v>3</v>
      </c>
      <c r="Q128" cm="1">
        <f t="array" aca="1" ref="Q128" ca="1">INDEX($A$2:$A$15,RANDBETWEEN(1,ROWS($A$2:$A$15)),1)</f>
        <v>1</v>
      </c>
      <c r="R128" cm="1">
        <f t="array" aca="1" ref="R128" ca="1">INDEX($A$2:$A$15,RANDBETWEEN(1,ROWS($A$2:$A$15)),1)</f>
        <v>2</v>
      </c>
      <c r="S128" cm="1">
        <f t="array" aca="1" ref="S128" ca="1">INDEX($A$2:$A$15,RANDBETWEEN(1,ROWS($A$2:$A$15)),1)</f>
        <v>5</v>
      </c>
      <c r="V128">
        <f t="shared" ca="1" si="4"/>
        <v>4.4117647058823533</v>
      </c>
      <c r="W128">
        <f t="shared" ca="1" si="5"/>
        <v>5</v>
      </c>
      <c r="X128">
        <f t="shared" ca="1" si="6"/>
        <v>2</v>
      </c>
      <c r="Y128">
        <f t="shared" ca="1" si="7"/>
        <v>2.0018373912924274</v>
      </c>
    </row>
    <row r="129" spans="3:25" x14ac:dyDescent="0.35">
      <c r="C129" cm="1">
        <f t="array" aca="1" ref="C129" ca="1">INDEX($A$2:$A$15,RANDBETWEEN(1,ROWS($A$2:$A$15)),1)</f>
        <v>5</v>
      </c>
      <c r="D129" cm="1">
        <f t="array" aca="1" ref="D129" ca="1">INDEX($A$2:$A$15,RANDBETWEEN(1,ROWS($A$2:$A$15)),1)</f>
        <v>5</v>
      </c>
      <c r="E129" cm="1">
        <f t="array" aca="1" ref="E129" ca="1">INDEX($A$2:$A$15,RANDBETWEEN(1,ROWS($A$2:$A$15)),1)</f>
        <v>5</v>
      </c>
      <c r="F129" cm="1">
        <f t="array" aca="1" ref="F129" ca="1">INDEX($A$2:$A$15,RANDBETWEEN(1,ROWS($A$2:$A$15)),1)</f>
        <v>2</v>
      </c>
      <c r="G129" cm="1">
        <f t="array" aca="1" ref="G129" ca="1">INDEX($A$2:$A$15,RANDBETWEEN(1,ROWS($A$2:$A$15)),1)</f>
        <v>1</v>
      </c>
      <c r="H129" cm="1">
        <f t="array" aca="1" ref="H129" ca="1">INDEX($A$2:$A$15,RANDBETWEEN(1,ROWS($A$2:$A$15)),1)</f>
        <v>7</v>
      </c>
      <c r="I129" cm="1">
        <f t="array" aca="1" ref="I129" ca="1">INDEX($A$2:$A$15,RANDBETWEEN(1,ROWS($A$2:$A$15)),1)</f>
        <v>4</v>
      </c>
      <c r="J129" cm="1">
        <f t="array" aca="1" ref="J129" ca="1">INDEX($A$2:$A$15,RANDBETWEEN(1,ROWS($A$2:$A$15)),1)</f>
        <v>2</v>
      </c>
      <c r="K129" cm="1">
        <f t="array" aca="1" ref="K129" ca="1">INDEX($A$2:$A$15,RANDBETWEEN(1,ROWS($A$2:$A$15)),1)</f>
        <v>5</v>
      </c>
      <c r="L129" cm="1">
        <f t="array" aca="1" ref="L129" ca="1">INDEX($A$2:$A$15,RANDBETWEEN(1,ROWS($A$2:$A$15)),1)</f>
        <v>5</v>
      </c>
      <c r="M129" cm="1">
        <f t="array" aca="1" ref="M129" ca="1">INDEX($A$2:$A$15,RANDBETWEEN(1,ROWS($A$2:$A$15)),1)</f>
        <v>5</v>
      </c>
      <c r="N129" cm="1">
        <f t="array" aca="1" ref="N129" ca="1">INDEX($A$2:$A$15,RANDBETWEEN(1,ROWS($A$2:$A$15)),1)</f>
        <v>5</v>
      </c>
      <c r="O129" cm="1">
        <f t="array" aca="1" ref="O129" ca="1">INDEX($A$2:$A$15,RANDBETWEEN(1,ROWS($A$2:$A$15)),1)</f>
        <v>7</v>
      </c>
      <c r="P129" cm="1">
        <f t="array" aca="1" ref="P129" ca="1">INDEX($A$2:$A$15,RANDBETWEEN(1,ROWS($A$2:$A$15)),1)</f>
        <v>5</v>
      </c>
      <c r="Q129" cm="1">
        <f t="array" aca="1" ref="Q129" ca="1">INDEX($A$2:$A$15,RANDBETWEEN(1,ROWS($A$2:$A$15)),1)</f>
        <v>1</v>
      </c>
      <c r="R129" cm="1">
        <f t="array" aca="1" ref="R129" ca="1">INDEX($A$2:$A$15,RANDBETWEEN(1,ROWS($A$2:$A$15)),1)</f>
        <v>3</v>
      </c>
      <c r="S129" cm="1">
        <f t="array" aca="1" ref="S129" ca="1">INDEX($A$2:$A$15,RANDBETWEEN(1,ROWS($A$2:$A$15)),1)</f>
        <v>7</v>
      </c>
      <c r="V129">
        <f t="shared" ca="1" si="4"/>
        <v>4.3529411764705879</v>
      </c>
      <c r="W129">
        <f t="shared" ca="1" si="5"/>
        <v>5</v>
      </c>
      <c r="X129">
        <f t="shared" ca="1" si="6"/>
        <v>2</v>
      </c>
      <c r="Y129">
        <f t="shared" ca="1" si="7"/>
        <v>1.9345922202943775</v>
      </c>
    </row>
    <row r="130" spans="3:25" x14ac:dyDescent="0.35">
      <c r="C130" cm="1">
        <f t="array" aca="1" ref="C130" ca="1">INDEX($A$2:$A$15,RANDBETWEEN(1,ROWS($A$2:$A$15)),1)</f>
        <v>4</v>
      </c>
      <c r="D130" cm="1">
        <f t="array" aca="1" ref="D130" ca="1">INDEX($A$2:$A$15,RANDBETWEEN(1,ROWS($A$2:$A$15)),1)</f>
        <v>8</v>
      </c>
      <c r="E130" cm="1">
        <f t="array" aca="1" ref="E130" ca="1">INDEX($A$2:$A$15,RANDBETWEEN(1,ROWS($A$2:$A$15)),1)</f>
        <v>4</v>
      </c>
      <c r="F130" cm="1">
        <f t="array" aca="1" ref="F130" ca="1">INDEX($A$2:$A$15,RANDBETWEEN(1,ROWS($A$2:$A$15)),1)</f>
        <v>8</v>
      </c>
      <c r="G130" cm="1">
        <f t="array" aca="1" ref="G130" ca="1">INDEX($A$2:$A$15,RANDBETWEEN(1,ROWS($A$2:$A$15)),1)</f>
        <v>1</v>
      </c>
      <c r="H130" cm="1">
        <f t="array" aca="1" ref="H130" ca="1">INDEX($A$2:$A$15,RANDBETWEEN(1,ROWS($A$2:$A$15)),1)</f>
        <v>5</v>
      </c>
      <c r="I130" cm="1">
        <f t="array" aca="1" ref="I130" ca="1">INDEX($A$2:$A$15,RANDBETWEEN(1,ROWS($A$2:$A$15)),1)</f>
        <v>4</v>
      </c>
      <c r="J130" cm="1">
        <f t="array" aca="1" ref="J130" ca="1">INDEX($A$2:$A$15,RANDBETWEEN(1,ROWS($A$2:$A$15)),1)</f>
        <v>1</v>
      </c>
      <c r="K130" cm="1">
        <f t="array" aca="1" ref="K130" ca="1">INDEX($A$2:$A$15,RANDBETWEEN(1,ROWS($A$2:$A$15)),1)</f>
        <v>1</v>
      </c>
      <c r="L130" cm="1">
        <f t="array" aca="1" ref="L130" ca="1">INDEX($A$2:$A$15,RANDBETWEEN(1,ROWS($A$2:$A$15)),1)</f>
        <v>1</v>
      </c>
      <c r="M130" cm="1">
        <f t="array" aca="1" ref="M130" ca="1">INDEX($A$2:$A$15,RANDBETWEEN(1,ROWS($A$2:$A$15)),1)</f>
        <v>4</v>
      </c>
      <c r="N130" cm="1">
        <f t="array" aca="1" ref="N130" ca="1">INDEX($A$2:$A$15,RANDBETWEEN(1,ROWS($A$2:$A$15)),1)</f>
        <v>8</v>
      </c>
      <c r="O130" cm="1">
        <f t="array" aca="1" ref="O130" ca="1">INDEX($A$2:$A$15,RANDBETWEEN(1,ROWS($A$2:$A$15)),1)</f>
        <v>3</v>
      </c>
      <c r="P130" cm="1">
        <f t="array" aca="1" ref="P130" ca="1">INDEX($A$2:$A$15,RANDBETWEEN(1,ROWS($A$2:$A$15)),1)</f>
        <v>2</v>
      </c>
      <c r="Q130" cm="1">
        <f t="array" aca="1" ref="Q130" ca="1">INDEX($A$2:$A$15,RANDBETWEEN(1,ROWS($A$2:$A$15)),1)</f>
        <v>5</v>
      </c>
      <c r="R130" cm="1">
        <f t="array" aca="1" ref="R130" ca="1">INDEX($A$2:$A$15,RANDBETWEEN(1,ROWS($A$2:$A$15)),1)</f>
        <v>3</v>
      </c>
      <c r="S130" cm="1">
        <f t="array" aca="1" ref="S130" ca="1">INDEX($A$2:$A$15,RANDBETWEEN(1,ROWS($A$2:$A$15)),1)</f>
        <v>5</v>
      </c>
      <c r="V130">
        <f t="shared" ca="1" si="4"/>
        <v>3.9411764705882355</v>
      </c>
      <c r="W130">
        <f t="shared" ca="1" si="5"/>
        <v>4</v>
      </c>
      <c r="X130">
        <f t="shared" ca="1" si="6"/>
        <v>3</v>
      </c>
      <c r="Y130">
        <f t="shared" ca="1" si="7"/>
        <v>2.4101501051618683</v>
      </c>
    </row>
    <row r="131" spans="3:25" x14ac:dyDescent="0.35">
      <c r="C131" cm="1">
        <f t="array" aca="1" ref="C131" ca="1">INDEX($A$2:$A$15,RANDBETWEEN(1,ROWS($A$2:$A$15)),1)</f>
        <v>1</v>
      </c>
      <c r="D131" cm="1">
        <f t="array" aca="1" ref="D131" ca="1">INDEX($A$2:$A$15,RANDBETWEEN(1,ROWS($A$2:$A$15)),1)</f>
        <v>1</v>
      </c>
      <c r="E131" cm="1">
        <f t="array" aca="1" ref="E131" ca="1">INDEX($A$2:$A$15,RANDBETWEEN(1,ROWS($A$2:$A$15)),1)</f>
        <v>3</v>
      </c>
      <c r="F131" cm="1">
        <f t="array" aca="1" ref="F131" ca="1">INDEX($A$2:$A$15,RANDBETWEEN(1,ROWS($A$2:$A$15)),1)</f>
        <v>4</v>
      </c>
      <c r="G131" cm="1">
        <f t="array" aca="1" ref="G131" ca="1">INDEX($A$2:$A$15,RANDBETWEEN(1,ROWS($A$2:$A$15)),1)</f>
        <v>5</v>
      </c>
      <c r="H131" cm="1">
        <f t="array" aca="1" ref="H131" ca="1">INDEX($A$2:$A$15,RANDBETWEEN(1,ROWS($A$2:$A$15)),1)</f>
        <v>1</v>
      </c>
      <c r="I131" cm="1">
        <f t="array" aca="1" ref="I131" ca="1">INDEX($A$2:$A$15,RANDBETWEEN(1,ROWS($A$2:$A$15)),1)</f>
        <v>2</v>
      </c>
      <c r="J131" cm="1">
        <f t="array" aca="1" ref="J131" ca="1">INDEX($A$2:$A$15,RANDBETWEEN(1,ROWS($A$2:$A$15)),1)</f>
        <v>8</v>
      </c>
      <c r="K131" cm="1">
        <f t="array" aca="1" ref="K131" ca="1">INDEX($A$2:$A$15,RANDBETWEEN(1,ROWS($A$2:$A$15)),1)</f>
        <v>4</v>
      </c>
      <c r="L131" cm="1">
        <f t="array" aca="1" ref="L131" ca="1">INDEX($A$2:$A$15,RANDBETWEEN(1,ROWS($A$2:$A$15)),1)</f>
        <v>5</v>
      </c>
      <c r="M131" cm="1">
        <f t="array" aca="1" ref="M131" ca="1">INDEX($A$2:$A$15,RANDBETWEEN(1,ROWS($A$2:$A$15)),1)</f>
        <v>4</v>
      </c>
      <c r="N131" cm="1">
        <f t="array" aca="1" ref="N131" ca="1">INDEX($A$2:$A$15,RANDBETWEEN(1,ROWS($A$2:$A$15)),1)</f>
        <v>5</v>
      </c>
      <c r="O131" cm="1">
        <f t="array" aca="1" ref="O131" ca="1">INDEX($A$2:$A$15,RANDBETWEEN(1,ROWS($A$2:$A$15)),1)</f>
        <v>3</v>
      </c>
      <c r="P131" cm="1">
        <f t="array" aca="1" ref="P131" ca="1">INDEX($A$2:$A$15,RANDBETWEEN(1,ROWS($A$2:$A$15)),1)</f>
        <v>2</v>
      </c>
      <c r="Q131" cm="1">
        <f t="array" aca="1" ref="Q131" ca="1">INDEX($A$2:$A$15,RANDBETWEEN(1,ROWS($A$2:$A$15)),1)</f>
        <v>5</v>
      </c>
      <c r="R131" cm="1">
        <f t="array" aca="1" ref="R131" ca="1">INDEX($A$2:$A$15,RANDBETWEEN(1,ROWS($A$2:$A$15)),1)</f>
        <v>5</v>
      </c>
      <c r="S131" cm="1">
        <f t="array" aca="1" ref="S131" ca="1">INDEX($A$2:$A$15,RANDBETWEEN(1,ROWS($A$2:$A$15)),1)</f>
        <v>5</v>
      </c>
      <c r="V131">
        <f t="shared" ref="V131:V194" ca="1" si="8">AVERAGE(C131:S131)</f>
        <v>3.7058823529411766</v>
      </c>
      <c r="W131">
        <f t="shared" ref="W131:W194" ca="1" si="9">MEDIAN(C131:S131)</f>
        <v>4</v>
      </c>
      <c r="X131">
        <f t="shared" ref="X131:X194" ca="1" si="10">_xlfn.QUARTILE.INC(C131:S131, 3)-_xlfn.QUARTILE.INC(C131:S131,1)</f>
        <v>3</v>
      </c>
      <c r="Y131">
        <f t="shared" ref="Y131:Y194" ca="1" si="11">_xlfn.STDEV.S(C131:S131)</f>
        <v>1.8962036376122997</v>
      </c>
    </row>
    <row r="132" spans="3:25" x14ac:dyDescent="0.35">
      <c r="C132" cm="1">
        <f t="array" aca="1" ref="C132" ca="1">INDEX($A$2:$A$15,RANDBETWEEN(1,ROWS($A$2:$A$15)),1)</f>
        <v>5</v>
      </c>
      <c r="D132" cm="1">
        <f t="array" aca="1" ref="D132" ca="1">INDEX($A$2:$A$15,RANDBETWEEN(1,ROWS($A$2:$A$15)),1)</f>
        <v>1</v>
      </c>
      <c r="E132" cm="1">
        <f t="array" aca="1" ref="E132" ca="1">INDEX($A$2:$A$15,RANDBETWEEN(1,ROWS($A$2:$A$15)),1)</f>
        <v>5</v>
      </c>
      <c r="F132" cm="1">
        <f t="array" aca="1" ref="F132" ca="1">INDEX($A$2:$A$15,RANDBETWEEN(1,ROWS($A$2:$A$15)),1)</f>
        <v>8</v>
      </c>
      <c r="G132" cm="1">
        <f t="array" aca="1" ref="G132" ca="1">INDEX($A$2:$A$15,RANDBETWEEN(1,ROWS($A$2:$A$15)),1)</f>
        <v>4</v>
      </c>
      <c r="H132" cm="1">
        <f t="array" aca="1" ref="H132" ca="1">INDEX($A$2:$A$15,RANDBETWEEN(1,ROWS($A$2:$A$15)),1)</f>
        <v>7</v>
      </c>
      <c r="I132" cm="1">
        <f t="array" aca="1" ref="I132" ca="1">INDEX($A$2:$A$15,RANDBETWEEN(1,ROWS($A$2:$A$15)),1)</f>
        <v>7</v>
      </c>
      <c r="J132" cm="1">
        <f t="array" aca="1" ref="J132" ca="1">INDEX($A$2:$A$15,RANDBETWEEN(1,ROWS($A$2:$A$15)),1)</f>
        <v>2</v>
      </c>
      <c r="K132" cm="1">
        <f t="array" aca="1" ref="K132" ca="1">INDEX($A$2:$A$15,RANDBETWEEN(1,ROWS($A$2:$A$15)),1)</f>
        <v>5</v>
      </c>
      <c r="L132" cm="1">
        <f t="array" aca="1" ref="L132" ca="1">INDEX($A$2:$A$15,RANDBETWEEN(1,ROWS($A$2:$A$15)),1)</f>
        <v>3</v>
      </c>
      <c r="M132" cm="1">
        <f t="array" aca="1" ref="M132" ca="1">INDEX($A$2:$A$15,RANDBETWEEN(1,ROWS($A$2:$A$15)),1)</f>
        <v>1</v>
      </c>
      <c r="N132" cm="1">
        <f t="array" aca="1" ref="N132" ca="1">INDEX($A$2:$A$15,RANDBETWEEN(1,ROWS($A$2:$A$15)),1)</f>
        <v>3</v>
      </c>
      <c r="O132" cm="1">
        <f t="array" aca="1" ref="O132" ca="1">INDEX($A$2:$A$15,RANDBETWEEN(1,ROWS($A$2:$A$15)),1)</f>
        <v>5</v>
      </c>
      <c r="P132" cm="1">
        <f t="array" aca="1" ref="P132" ca="1">INDEX($A$2:$A$15,RANDBETWEEN(1,ROWS($A$2:$A$15)),1)</f>
        <v>4</v>
      </c>
      <c r="Q132" cm="1">
        <f t="array" aca="1" ref="Q132" ca="1">INDEX($A$2:$A$15,RANDBETWEEN(1,ROWS($A$2:$A$15)),1)</f>
        <v>2</v>
      </c>
      <c r="R132" cm="1">
        <f t="array" aca="1" ref="R132" ca="1">INDEX($A$2:$A$15,RANDBETWEEN(1,ROWS($A$2:$A$15)),1)</f>
        <v>5</v>
      </c>
      <c r="S132" cm="1">
        <f t="array" aca="1" ref="S132" ca="1">INDEX($A$2:$A$15,RANDBETWEEN(1,ROWS($A$2:$A$15)),1)</f>
        <v>5</v>
      </c>
      <c r="V132">
        <f t="shared" ca="1" si="8"/>
        <v>4.2352941176470589</v>
      </c>
      <c r="W132">
        <f t="shared" ca="1" si="9"/>
        <v>5</v>
      </c>
      <c r="X132">
        <f t="shared" ca="1" si="10"/>
        <v>2</v>
      </c>
      <c r="Y132">
        <f t="shared" ca="1" si="11"/>
        <v>2.0472363006229242</v>
      </c>
    </row>
    <row r="133" spans="3:25" x14ac:dyDescent="0.35">
      <c r="C133" cm="1">
        <f t="array" aca="1" ref="C133" ca="1">INDEX($A$2:$A$15,RANDBETWEEN(1,ROWS($A$2:$A$15)),1)</f>
        <v>3</v>
      </c>
      <c r="D133" cm="1">
        <f t="array" aca="1" ref="D133" ca="1">INDEX($A$2:$A$15,RANDBETWEEN(1,ROWS($A$2:$A$15)),1)</f>
        <v>1</v>
      </c>
      <c r="E133" cm="1">
        <f t="array" aca="1" ref="E133" ca="1">INDEX($A$2:$A$15,RANDBETWEEN(1,ROWS($A$2:$A$15)),1)</f>
        <v>4</v>
      </c>
      <c r="F133" cm="1">
        <f t="array" aca="1" ref="F133" ca="1">INDEX($A$2:$A$15,RANDBETWEEN(1,ROWS($A$2:$A$15)),1)</f>
        <v>4</v>
      </c>
      <c r="G133" cm="1">
        <f t="array" aca="1" ref="G133" ca="1">INDEX($A$2:$A$15,RANDBETWEEN(1,ROWS($A$2:$A$15)),1)</f>
        <v>5</v>
      </c>
      <c r="H133" cm="1">
        <f t="array" aca="1" ref="H133" ca="1">INDEX($A$2:$A$15,RANDBETWEEN(1,ROWS($A$2:$A$15)),1)</f>
        <v>5</v>
      </c>
      <c r="I133" cm="1">
        <f t="array" aca="1" ref="I133" ca="1">INDEX($A$2:$A$15,RANDBETWEEN(1,ROWS($A$2:$A$15)),1)</f>
        <v>1</v>
      </c>
      <c r="J133" cm="1">
        <f t="array" aca="1" ref="J133" ca="1">INDEX($A$2:$A$15,RANDBETWEEN(1,ROWS($A$2:$A$15)),1)</f>
        <v>7</v>
      </c>
      <c r="K133" cm="1">
        <f t="array" aca="1" ref="K133" ca="1">INDEX($A$2:$A$15,RANDBETWEEN(1,ROWS($A$2:$A$15)),1)</f>
        <v>5</v>
      </c>
      <c r="L133" cm="1">
        <f t="array" aca="1" ref="L133" ca="1">INDEX($A$2:$A$15,RANDBETWEEN(1,ROWS($A$2:$A$15)),1)</f>
        <v>1</v>
      </c>
      <c r="M133" cm="1">
        <f t="array" aca="1" ref="M133" ca="1">INDEX($A$2:$A$15,RANDBETWEEN(1,ROWS($A$2:$A$15)),1)</f>
        <v>5</v>
      </c>
      <c r="N133" cm="1">
        <f t="array" aca="1" ref="N133" ca="1">INDEX($A$2:$A$15,RANDBETWEEN(1,ROWS($A$2:$A$15)),1)</f>
        <v>8</v>
      </c>
      <c r="O133" cm="1">
        <f t="array" aca="1" ref="O133" ca="1">INDEX($A$2:$A$15,RANDBETWEEN(1,ROWS($A$2:$A$15)),1)</f>
        <v>4</v>
      </c>
      <c r="P133" cm="1">
        <f t="array" aca="1" ref="P133" ca="1">INDEX($A$2:$A$15,RANDBETWEEN(1,ROWS($A$2:$A$15)),1)</f>
        <v>1</v>
      </c>
      <c r="Q133" cm="1">
        <f t="array" aca="1" ref="Q133" ca="1">INDEX($A$2:$A$15,RANDBETWEEN(1,ROWS($A$2:$A$15)),1)</f>
        <v>5</v>
      </c>
      <c r="R133" cm="1">
        <f t="array" aca="1" ref="R133" ca="1">INDEX($A$2:$A$15,RANDBETWEEN(1,ROWS($A$2:$A$15)),1)</f>
        <v>1</v>
      </c>
      <c r="S133" cm="1">
        <f t="array" aca="1" ref="S133" ca="1">INDEX($A$2:$A$15,RANDBETWEEN(1,ROWS($A$2:$A$15)),1)</f>
        <v>1</v>
      </c>
      <c r="V133">
        <f t="shared" ca="1" si="8"/>
        <v>3.5882352941176472</v>
      </c>
      <c r="W133">
        <f t="shared" ca="1" si="9"/>
        <v>4</v>
      </c>
      <c r="X133">
        <f t="shared" ca="1" si="10"/>
        <v>4</v>
      </c>
      <c r="Y133">
        <f t="shared" ca="1" si="11"/>
        <v>2.265469695488437</v>
      </c>
    </row>
    <row r="134" spans="3:25" x14ac:dyDescent="0.35">
      <c r="C134" cm="1">
        <f t="array" aca="1" ref="C134" ca="1">INDEX($A$2:$A$15,RANDBETWEEN(1,ROWS($A$2:$A$15)),1)</f>
        <v>3</v>
      </c>
      <c r="D134" cm="1">
        <f t="array" aca="1" ref="D134" ca="1">INDEX($A$2:$A$15,RANDBETWEEN(1,ROWS($A$2:$A$15)),1)</f>
        <v>4</v>
      </c>
      <c r="E134" cm="1">
        <f t="array" aca="1" ref="E134" ca="1">INDEX($A$2:$A$15,RANDBETWEEN(1,ROWS($A$2:$A$15)),1)</f>
        <v>4</v>
      </c>
      <c r="F134" cm="1">
        <f t="array" aca="1" ref="F134" ca="1">INDEX($A$2:$A$15,RANDBETWEEN(1,ROWS($A$2:$A$15)),1)</f>
        <v>5</v>
      </c>
      <c r="G134" cm="1">
        <f t="array" aca="1" ref="G134" ca="1">INDEX($A$2:$A$15,RANDBETWEEN(1,ROWS($A$2:$A$15)),1)</f>
        <v>1</v>
      </c>
      <c r="H134" cm="1">
        <f t="array" aca="1" ref="H134" ca="1">INDEX($A$2:$A$15,RANDBETWEEN(1,ROWS($A$2:$A$15)),1)</f>
        <v>1</v>
      </c>
      <c r="I134" cm="1">
        <f t="array" aca="1" ref="I134" ca="1">INDEX($A$2:$A$15,RANDBETWEEN(1,ROWS($A$2:$A$15)),1)</f>
        <v>8</v>
      </c>
      <c r="J134" cm="1">
        <f t="array" aca="1" ref="J134" ca="1">INDEX($A$2:$A$15,RANDBETWEEN(1,ROWS($A$2:$A$15)),1)</f>
        <v>1</v>
      </c>
      <c r="K134" cm="1">
        <f t="array" aca="1" ref="K134" ca="1">INDEX($A$2:$A$15,RANDBETWEEN(1,ROWS($A$2:$A$15)),1)</f>
        <v>7</v>
      </c>
      <c r="L134" cm="1">
        <f t="array" aca="1" ref="L134" ca="1">INDEX($A$2:$A$15,RANDBETWEEN(1,ROWS($A$2:$A$15)),1)</f>
        <v>3</v>
      </c>
      <c r="M134" cm="1">
        <f t="array" aca="1" ref="M134" ca="1">INDEX($A$2:$A$15,RANDBETWEEN(1,ROWS($A$2:$A$15)),1)</f>
        <v>3</v>
      </c>
      <c r="N134" cm="1">
        <f t="array" aca="1" ref="N134" ca="1">INDEX($A$2:$A$15,RANDBETWEEN(1,ROWS($A$2:$A$15)),1)</f>
        <v>3</v>
      </c>
      <c r="O134" cm="1">
        <f t="array" aca="1" ref="O134" ca="1">INDEX($A$2:$A$15,RANDBETWEEN(1,ROWS($A$2:$A$15)),1)</f>
        <v>1</v>
      </c>
      <c r="P134" cm="1">
        <f t="array" aca="1" ref="P134" ca="1">INDEX($A$2:$A$15,RANDBETWEEN(1,ROWS($A$2:$A$15)),1)</f>
        <v>4</v>
      </c>
      <c r="Q134" cm="1">
        <f t="array" aca="1" ref="Q134" ca="1">INDEX($A$2:$A$15,RANDBETWEEN(1,ROWS($A$2:$A$15)),1)</f>
        <v>1</v>
      </c>
      <c r="R134" cm="1">
        <f t="array" aca="1" ref="R134" ca="1">INDEX($A$2:$A$15,RANDBETWEEN(1,ROWS($A$2:$A$15)),1)</f>
        <v>1</v>
      </c>
      <c r="S134" cm="1">
        <f t="array" aca="1" ref="S134" ca="1">INDEX($A$2:$A$15,RANDBETWEEN(1,ROWS($A$2:$A$15)),1)</f>
        <v>5</v>
      </c>
      <c r="V134">
        <f t="shared" ca="1" si="8"/>
        <v>3.2352941176470589</v>
      </c>
      <c r="W134">
        <f t="shared" ca="1" si="9"/>
        <v>3</v>
      </c>
      <c r="X134">
        <f t="shared" ca="1" si="10"/>
        <v>3</v>
      </c>
      <c r="Y134">
        <f t="shared" ca="1" si="11"/>
        <v>2.1659123875605486</v>
      </c>
    </row>
    <row r="135" spans="3:25" x14ac:dyDescent="0.35">
      <c r="C135" cm="1">
        <f t="array" aca="1" ref="C135" ca="1">INDEX($A$2:$A$15,RANDBETWEEN(1,ROWS($A$2:$A$15)),1)</f>
        <v>4</v>
      </c>
      <c r="D135" cm="1">
        <f t="array" aca="1" ref="D135" ca="1">INDEX($A$2:$A$15,RANDBETWEEN(1,ROWS($A$2:$A$15)),1)</f>
        <v>5</v>
      </c>
      <c r="E135" cm="1">
        <f t="array" aca="1" ref="E135" ca="1">INDEX($A$2:$A$15,RANDBETWEEN(1,ROWS($A$2:$A$15)),1)</f>
        <v>3</v>
      </c>
      <c r="F135" cm="1">
        <f t="array" aca="1" ref="F135" ca="1">INDEX($A$2:$A$15,RANDBETWEEN(1,ROWS($A$2:$A$15)),1)</f>
        <v>5</v>
      </c>
      <c r="G135" cm="1">
        <f t="array" aca="1" ref="G135" ca="1">INDEX($A$2:$A$15,RANDBETWEEN(1,ROWS($A$2:$A$15)),1)</f>
        <v>5</v>
      </c>
      <c r="H135" cm="1">
        <f t="array" aca="1" ref="H135" ca="1">INDEX($A$2:$A$15,RANDBETWEEN(1,ROWS($A$2:$A$15)),1)</f>
        <v>3</v>
      </c>
      <c r="I135" cm="1">
        <f t="array" aca="1" ref="I135" ca="1">INDEX($A$2:$A$15,RANDBETWEEN(1,ROWS($A$2:$A$15)),1)</f>
        <v>4</v>
      </c>
      <c r="J135" cm="1">
        <f t="array" aca="1" ref="J135" ca="1">INDEX($A$2:$A$15,RANDBETWEEN(1,ROWS($A$2:$A$15)),1)</f>
        <v>4</v>
      </c>
      <c r="K135" cm="1">
        <f t="array" aca="1" ref="K135" ca="1">INDEX($A$2:$A$15,RANDBETWEEN(1,ROWS($A$2:$A$15)),1)</f>
        <v>4</v>
      </c>
      <c r="L135" cm="1">
        <f t="array" aca="1" ref="L135" ca="1">INDEX($A$2:$A$15,RANDBETWEEN(1,ROWS($A$2:$A$15)),1)</f>
        <v>4</v>
      </c>
      <c r="M135" cm="1">
        <f t="array" aca="1" ref="M135" ca="1">INDEX($A$2:$A$15,RANDBETWEEN(1,ROWS($A$2:$A$15)),1)</f>
        <v>4</v>
      </c>
      <c r="N135" cm="1">
        <f t="array" aca="1" ref="N135" ca="1">INDEX($A$2:$A$15,RANDBETWEEN(1,ROWS($A$2:$A$15)),1)</f>
        <v>2</v>
      </c>
      <c r="O135" cm="1">
        <f t="array" aca="1" ref="O135" ca="1">INDEX($A$2:$A$15,RANDBETWEEN(1,ROWS($A$2:$A$15)),1)</f>
        <v>4</v>
      </c>
      <c r="P135" cm="1">
        <f t="array" aca="1" ref="P135" ca="1">INDEX($A$2:$A$15,RANDBETWEEN(1,ROWS($A$2:$A$15)),1)</f>
        <v>3</v>
      </c>
      <c r="Q135" cm="1">
        <f t="array" aca="1" ref="Q135" ca="1">INDEX($A$2:$A$15,RANDBETWEEN(1,ROWS($A$2:$A$15)),1)</f>
        <v>8</v>
      </c>
      <c r="R135" cm="1">
        <f t="array" aca="1" ref="R135" ca="1">INDEX($A$2:$A$15,RANDBETWEEN(1,ROWS($A$2:$A$15)),1)</f>
        <v>5</v>
      </c>
      <c r="S135" cm="1">
        <f t="array" aca="1" ref="S135" ca="1">INDEX($A$2:$A$15,RANDBETWEEN(1,ROWS($A$2:$A$15)),1)</f>
        <v>1</v>
      </c>
      <c r="V135">
        <f t="shared" ca="1" si="8"/>
        <v>4</v>
      </c>
      <c r="W135">
        <f t="shared" ca="1" si="9"/>
        <v>4</v>
      </c>
      <c r="X135">
        <f t="shared" ca="1" si="10"/>
        <v>2</v>
      </c>
      <c r="Y135">
        <f t="shared" ca="1" si="11"/>
        <v>1.5</v>
      </c>
    </row>
    <row r="136" spans="3:25" x14ac:dyDescent="0.35">
      <c r="C136" cm="1">
        <f t="array" aca="1" ref="C136" ca="1">INDEX($A$2:$A$15,RANDBETWEEN(1,ROWS($A$2:$A$15)),1)</f>
        <v>1</v>
      </c>
      <c r="D136" cm="1">
        <f t="array" aca="1" ref="D136" ca="1">INDEX($A$2:$A$15,RANDBETWEEN(1,ROWS($A$2:$A$15)),1)</f>
        <v>4</v>
      </c>
      <c r="E136" cm="1">
        <f t="array" aca="1" ref="E136" ca="1">INDEX($A$2:$A$15,RANDBETWEEN(1,ROWS($A$2:$A$15)),1)</f>
        <v>8</v>
      </c>
      <c r="F136" cm="1">
        <f t="array" aca="1" ref="F136" ca="1">INDEX($A$2:$A$15,RANDBETWEEN(1,ROWS($A$2:$A$15)),1)</f>
        <v>1</v>
      </c>
      <c r="G136" cm="1">
        <f t="array" aca="1" ref="G136" ca="1">INDEX($A$2:$A$15,RANDBETWEEN(1,ROWS($A$2:$A$15)),1)</f>
        <v>3</v>
      </c>
      <c r="H136" cm="1">
        <f t="array" aca="1" ref="H136" ca="1">INDEX($A$2:$A$15,RANDBETWEEN(1,ROWS($A$2:$A$15)),1)</f>
        <v>5</v>
      </c>
      <c r="I136" cm="1">
        <f t="array" aca="1" ref="I136" ca="1">INDEX($A$2:$A$15,RANDBETWEEN(1,ROWS($A$2:$A$15)),1)</f>
        <v>5</v>
      </c>
      <c r="J136" cm="1">
        <f t="array" aca="1" ref="J136" ca="1">INDEX($A$2:$A$15,RANDBETWEEN(1,ROWS($A$2:$A$15)),1)</f>
        <v>5</v>
      </c>
      <c r="K136" cm="1">
        <f t="array" aca="1" ref="K136" ca="1">INDEX($A$2:$A$15,RANDBETWEEN(1,ROWS($A$2:$A$15)),1)</f>
        <v>4</v>
      </c>
      <c r="L136" cm="1">
        <f t="array" aca="1" ref="L136" ca="1">INDEX($A$2:$A$15,RANDBETWEEN(1,ROWS($A$2:$A$15)),1)</f>
        <v>5</v>
      </c>
      <c r="M136" cm="1">
        <f t="array" aca="1" ref="M136" ca="1">INDEX($A$2:$A$15,RANDBETWEEN(1,ROWS($A$2:$A$15)),1)</f>
        <v>3</v>
      </c>
      <c r="N136" cm="1">
        <f t="array" aca="1" ref="N136" ca="1">INDEX($A$2:$A$15,RANDBETWEEN(1,ROWS($A$2:$A$15)),1)</f>
        <v>4</v>
      </c>
      <c r="O136" cm="1">
        <f t="array" aca="1" ref="O136" ca="1">INDEX($A$2:$A$15,RANDBETWEEN(1,ROWS($A$2:$A$15)),1)</f>
        <v>1</v>
      </c>
      <c r="P136" cm="1">
        <f t="array" aca="1" ref="P136" ca="1">INDEX($A$2:$A$15,RANDBETWEEN(1,ROWS($A$2:$A$15)),1)</f>
        <v>2</v>
      </c>
      <c r="Q136" cm="1">
        <f t="array" aca="1" ref="Q136" ca="1">INDEX($A$2:$A$15,RANDBETWEEN(1,ROWS($A$2:$A$15)),1)</f>
        <v>5</v>
      </c>
      <c r="R136" cm="1">
        <f t="array" aca="1" ref="R136" ca="1">INDEX($A$2:$A$15,RANDBETWEEN(1,ROWS($A$2:$A$15)),1)</f>
        <v>1</v>
      </c>
      <c r="S136" cm="1">
        <f t="array" aca="1" ref="S136" ca="1">INDEX($A$2:$A$15,RANDBETWEEN(1,ROWS($A$2:$A$15)),1)</f>
        <v>5</v>
      </c>
      <c r="V136">
        <f t="shared" ca="1" si="8"/>
        <v>3.6470588235294117</v>
      </c>
      <c r="W136">
        <f t="shared" ca="1" si="9"/>
        <v>4</v>
      </c>
      <c r="X136">
        <f t="shared" ca="1" si="10"/>
        <v>3</v>
      </c>
      <c r="Y136">
        <f t="shared" ca="1" si="11"/>
        <v>1.9666334327534272</v>
      </c>
    </row>
    <row r="137" spans="3:25" x14ac:dyDescent="0.35">
      <c r="C137" cm="1">
        <f t="array" aca="1" ref="C137" ca="1">INDEX($A$2:$A$15,RANDBETWEEN(1,ROWS($A$2:$A$15)),1)</f>
        <v>3</v>
      </c>
      <c r="D137" cm="1">
        <f t="array" aca="1" ref="D137" ca="1">INDEX($A$2:$A$15,RANDBETWEEN(1,ROWS($A$2:$A$15)),1)</f>
        <v>4</v>
      </c>
      <c r="E137" cm="1">
        <f t="array" aca="1" ref="E137" ca="1">INDEX($A$2:$A$15,RANDBETWEEN(1,ROWS($A$2:$A$15)),1)</f>
        <v>7</v>
      </c>
      <c r="F137" cm="1">
        <f t="array" aca="1" ref="F137" ca="1">INDEX($A$2:$A$15,RANDBETWEEN(1,ROWS($A$2:$A$15)),1)</f>
        <v>7</v>
      </c>
      <c r="G137" cm="1">
        <f t="array" aca="1" ref="G137" ca="1">INDEX($A$2:$A$15,RANDBETWEEN(1,ROWS($A$2:$A$15)),1)</f>
        <v>1</v>
      </c>
      <c r="H137" cm="1">
        <f t="array" aca="1" ref="H137" ca="1">INDEX($A$2:$A$15,RANDBETWEEN(1,ROWS($A$2:$A$15)),1)</f>
        <v>5</v>
      </c>
      <c r="I137" cm="1">
        <f t="array" aca="1" ref="I137" ca="1">INDEX($A$2:$A$15,RANDBETWEEN(1,ROWS($A$2:$A$15)),1)</f>
        <v>5</v>
      </c>
      <c r="J137" cm="1">
        <f t="array" aca="1" ref="J137" ca="1">INDEX($A$2:$A$15,RANDBETWEEN(1,ROWS($A$2:$A$15)),1)</f>
        <v>5</v>
      </c>
      <c r="K137" cm="1">
        <f t="array" aca="1" ref="K137" ca="1">INDEX($A$2:$A$15,RANDBETWEEN(1,ROWS($A$2:$A$15)),1)</f>
        <v>8</v>
      </c>
      <c r="L137" cm="1">
        <f t="array" aca="1" ref="L137" ca="1">INDEX($A$2:$A$15,RANDBETWEEN(1,ROWS($A$2:$A$15)),1)</f>
        <v>1</v>
      </c>
      <c r="M137" cm="1">
        <f t="array" aca="1" ref="M137" ca="1">INDEX($A$2:$A$15,RANDBETWEEN(1,ROWS($A$2:$A$15)),1)</f>
        <v>1</v>
      </c>
      <c r="N137" cm="1">
        <f t="array" aca="1" ref="N137" ca="1">INDEX($A$2:$A$15,RANDBETWEEN(1,ROWS($A$2:$A$15)),1)</f>
        <v>1</v>
      </c>
      <c r="O137" cm="1">
        <f t="array" aca="1" ref="O137" ca="1">INDEX($A$2:$A$15,RANDBETWEEN(1,ROWS($A$2:$A$15)),1)</f>
        <v>5</v>
      </c>
      <c r="P137" cm="1">
        <f t="array" aca="1" ref="P137" ca="1">INDEX($A$2:$A$15,RANDBETWEEN(1,ROWS($A$2:$A$15)),1)</f>
        <v>3</v>
      </c>
      <c r="Q137" cm="1">
        <f t="array" aca="1" ref="Q137" ca="1">INDEX($A$2:$A$15,RANDBETWEEN(1,ROWS($A$2:$A$15)),1)</f>
        <v>1</v>
      </c>
      <c r="R137" cm="1">
        <f t="array" aca="1" ref="R137" ca="1">INDEX($A$2:$A$15,RANDBETWEEN(1,ROWS($A$2:$A$15)),1)</f>
        <v>4</v>
      </c>
      <c r="S137" cm="1">
        <f t="array" aca="1" ref="S137" ca="1">INDEX($A$2:$A$15,RANDBETWEEN(1,ROWS($A$2:$A$15)),1)</f>
        <v>1</v>
      </c>
      <c r="V137">
        <f t="shared" ca="1" si="8"/>
        <v>3.6470588235294117</v>
      </c>
      <c r="W137">
        <f t="shared" ca="1" si="9"/>
        <v>4</v>
      </c>
      <c r="X137">
        <f t="shared" ca="1" si="10"/>
        <v>4</v>
      </c>
      <c r="Y137">
        <f t="shared" ca="1" si="11"/>
        <v>2.3963820769700996</v>
      </c>
    </row>
    <row r="138" spans="3:25" x14ac:dyDescent="0.35">
      <c r="C138" cm="1">
        <f t="array" aca="1" ref="C138" ca="1">INDEX($A$2:$A$15,RANDBETWEEN(1,ROWS($A$2:$A$15)),1)</f>
        <v>3</v>
      </c>
      <c r="D138" cm="1">
        <f t="array" aca="1" ref="D138" ca="1">INDEX($A$2:$A$15,RANDBETWEEN(1,ROWS($A$2:$A$15)),1)</f>
        <v>4</v>
      </c>
      <c r="E138" cm="1">
        <f t="array" aca="1" ref="E138" ca="1">INDEX($A$2:$A$15,RANDBETWEEN(1,ROWS($A$2:$A$15)),1)</f>
        <v>5</v>
      </c>
      <c r="F138" cm="1">
        <f t="array" aca="1" ref="F138" ca="1">INDEX($A$2:$A$15,RANDBETWEEN(1,ROWS($A$2:$A$15)),1)</f>
        <v>3</v>
      </c>
      <c r="G138" cm="1">
        <f t="array" aca="1" ref="G138" ca="1">INDEX($A$2:$A$15,RANDBETWEEN(1,ROWS($A$2:$A$15)),1)</f>
        <v>2</v>
      </c>
      <c r="H138" cm="1">
        <f t="array" aca="1" ref="H138" ca="1">INDEX($A$2:$A$15,RANDBETWEEN(1,ROWS($A$2:$A$15)),1)</f>
        <v>8</v>
      </c>
      <c r="I138" cm="1">
        <f t="array" aca="1" ref="I138" ca="1">INDEX($A$2:$A$15,RANDBETWEEN(1,ROWS($A$2:$A$15)),1)</f>
        <v>5</v>
      </c>
      <c r="J138" cm="1">
        <f t="array" aca="1" ref="J138" ca="1">INDEX($A$2:$A$15,RANDBETWEEN(1,ROWS($A$2:$A$15)),1)</f>
        <v>4</v>
      </c>
      <c r="K138" cm="1">
        <f t="array" aca="1" ref="K138" ca="1">INDEX($A$2:$A$15,RANDBETWEEN(1,ROWS($A$2:$A$15)),1)</f>
        <v>7</v>
      </c>
      <c r="L138" cm="1">
        <f t="array" aca="1" ref="L138" ca="1">INDEX($A$2:$A$15,RANDBETWEEN(1,ROWS($A$2:$A$15)),1)</f>
        <v>3</v>
      </c>
      <c r="M138" cm="1">
        <f t="array" aca="1" ref="M138" ca="1">INDEX($A$2:$A$15,RANDBETWEEN(1,ROWS($A$2:$A$15)),1)</f>
        <v>1</v>
      </c>
      <c r="N138" cm="1">
        <f t="array" aca="1" ref="N138" ca="1">INDEX($A$2:$A$15,RANDBETWEEN(1,ROWS($A$2:$A$15)),1)</f>
        <v>3</v>
      </c>
      <c r="O138" cm="1">
        <f t="array" aca="1" ref="O138" ca="1">INDEX($A$2:$A$15,RANDBETWEEN(1,ROWS($A$2:$A$15)),1)</f>
        <v>3</v>
      </c>
      <c r="P138" cm="1">
        <f t="array" aca="1" ref="P138" ca="1">INDEX($A$2:$A$15,RANDBETWEEN(1,ROWS($A$2:$A$15)),1)</f>
        <v>5</v>
      </c>
      <c r="Q138" cm="1">
        <f t="array" aca="1" ref="Q138" ca="1">INDEX($A$2:$A$15,RANDBETWEEN(1,ROWS($A$2:$A$15)),1)</f>
        <v>2</v>
      </c>
      <c r="R138" cm="1">
        <f t="array" aca="1" ref="R138" ca="1">INDEX($A$2:$A$15,RANDBETWEEN(1,ROWS($A$2:$A$15)),1)</f>
        <v>1</v>
      </c>
      <c r="S138" cm="1">
        <f t="array" aca="1" ref="S138" ca="1">INDEX($A$2:$A$15,RANDBETWEEN(1,ROWS($A$2:$A$15)),1)</f>
        <v>3</v>
      </c>
      <c r="V138">
        <f t="shared" ca="1" si="8"/>
        <v>3.6470588235294117</v>
      </c>
      <c r="W138">
        <f t="shared" ca="1" si="9"/>
        <v>3</v>
      </c>
      <c r="X138">
        <f t="shared" ca="1" si="10"/>
        <v>2</v>
      </c>
      <c r="Y138">
        <f t="shared" ca="1" si="11"/>
        <v>1.9020113193205579</v>
      </c>
    </row>
    <row r="139" spans="3:25" x14ac:dyDescent="0.35">
      <c r="C139" cm="1">
        <f t="array" aca="1" ref="C139" ca="1">INDEX($A$2:$A$15,RANDBETWEEN(1,ROWS($A$2:$A$15)),1)</f>
        <v>5</v>
      </c>
      <c r="D139" cm="1">
        <f t="array" aca="1" ref="D139" ca="1">INDEX($A$2:$A$15,RANDBETWEEN(1,ROWS($A$2:$A$15)),1)</f>
        <v>3</v>
      </c>
      <c r="E139" cm="1">
        <f t="array" aca="1" ref="E139" ca="1">INDEX($A$2:$A$15,RANDBETWEEN(1,ROWS($A$2:$A$15)),1)</f>
        <v>2</v>
      </c>
      <c r="F139" cm="1">
        <f t="array" aca="1" ref="F139" ca="1">INDEX($A$2:$A$15,RANDBETWEEN(1,ROWS($A$2:$A$15)),1)</f>
        <v>1</v>
      </c>
      <c r="G139" cm="1">
        <f t="array" aca="1" ref="G139" ca="1">INDEX($A$2:$A$15,RANDBETWEEN(1,ROWS($A$2:$A$15)),1)</f>
        <v>5</v>
      </c>
      <c r="H139" cm="1">
        <f t="array" aca="1" ref="H139" ca="1">INDEX($A$2:$A$15,RANDBETWEEN(1,ROWS($A$2:$A$15)),1)</f>
        <v>3</v>
      </c>
      <c r="I139" cm="1">
        <f t="array" aca="1" ref="I139" ca="1">INDEX($A$2:$A$15,RANDBETWEEN(1,ROWS($A$2:$A$15)),1)</f>
        <v>3</v>
      </c>
      <c r="J139" cm="1">
        <f t="array" aca="1" ref="J139" ca="1">INDEX($A$2:$A$15,RANDBETWEEN(1,ROWS($A$2:$A$15)),1)</f>
        <v>5</v>
      </c>
      <c r="K139" cm="1">
        <f t="array" aca="1" ref="K139" ca="1">INDEX($A$2:$A$15,RANDBETWEEN(1,ROWS($A$2:$A$15)),1)</f>
        <v>5</v>
      </c>
      <c r="L139" cm="1">
        <f t="array" aca="1" ref="L139" ca="1">INDEX($A$2:$A$15,RANDBETWEEN(1,ROWS($A$2:$A$15)),1)</f>
        <v>5</v>
      </c>
      <c r="M139" cm="1">
        <f t="array" aca="1" ref="M139" ca="1">INDEX($A$2:$A$15,RANDBETWEEN(1,ROWS($A$2:$A$15)),1)</f>
        <v>5</v>
      </c>
      <c r="N139" cm="1">
        <f t="array" aca="1" ref="N139" ca="1">INDEX($A$2:$A$15,RANDBETWEEN(1,ROWS($A$2:$A$15)),1)</f>
        <v>7</v>
      </c>
      <c r="O139" cm="1">
        <f t="array" aca="1" ref="O139" ca="1">INDEX($A$2:$A$15,RANDBETWEEN(1,ROWS($A$2:$A$15)),1)</f>
        <v>1</v>
      </c>
      <c r="P139" cm="1">
        <f t="array" aca="1" ref="P139" ca="1">INDEX($A$2:$A$15,RANDBETWEEN(1,ROWS($A$2:$A$15)),1)</f>
        <v>5</v>
      </c>
      <c r="Q139" cm="1">
        <f t="array" aca="1" ref="Q139" ca="1">INDEX($A$2:$A$15,RANDBETWEEN(1,ROWS($A$2:$A$15)),1)</f>
        <v>4</v>
      </c>
      <c r="R139" cm="1">
        <f t="array" aca="1" ref="R139" ca="1">INDEX($A$2:$A$15,RANDBETWEEN(1,ROWS($A$2:$A$15)),1)</f>
        <v>8</v>
      </c>
      <c r="S139" cm="1">
        <f t="array" aca="1" ref="S139" ca="1">INDEX($A$2:$A$15,RANDBETWEEN(1,ROWS($A$2:$A$15)),1)</f>
        <v>2</v>
      </c>
      <c r="V139">
        <f t="shared" ca="1" si="8"/>
        <v>4.0588235294117645</v>
      </c>
      <c r="W139">
        <f t="shared" ca="1" si="9"/>
        <v>5</v>
      </c>
      <c r="X139">
        <f t="shared" ca="1" si="10"/>
        <v>2</v>
      </c>
      <c r="Y139">
        <f t="shared" ca="1" si="11"/>
        <v>1.951620744256364</v>
      </c>
    </row>
    <row r="140" spans="3:25" x14ac:dyDescent="0.35">
      <c r="C140" cm="1">
        <f t="array" aca="1" ref="C140" ca="1">INDEX($A$2:$A$15,RANDBETWEEN(1,ROWS($A$2:$A$15)),1)</f>
        <v>4</v>
      </c>
      <c r="D140" cm="1">
        <f t="array" aca="1" ref="D140" ca="1">INDEX($A$2:$A$15,RANDBETWEEN(1,ROWS($A$2:$A$15)),1)</f>
        <v>5</v>
      </c>
      <c r="E140" cm="1">
        <f t="array" aca="1" ref="E140" ca="1">INDEX($A$2:$A$15,RANDBETWEEN(1,ROWS($A$2:$A$15)),1)</f>
        <v>5</v>
      </c>
      <c r="F140" cm="1">
        <f t="array" aca="1" ref="F140" ca="1">INDEX($A$2:$A$15,RANDBETWEEN(1,ROWS($A$2:$A$15)),1)</f>
        <v>4</v>
      </c>
      <c r="G140" cm="1">
        <f t="array" aca="1" ref="G140" ca="1">INDEX($A$2:$A$15,RANDBETWEEN(1,ROWS($A$2:$A$15)),1)</f>
        <v>1</v>
      </c>
      <c r="H140" cm="1">
        <f t="array" aca="1" ref="H140" ca="1">INDEX($A$2:$A$15,RANDBETWEEN(1,ROWS($A$2:$A$15)),1)</f>
        <v>4</v>
      </c>
      <c r="I140" cm="1">
        <f t="array" aca="1" ref="I140" ca="1">INDEX($A$2:$A$15,RANDBETWEEN(1,ROWS($A$2:$A$15)),1)</f>
        <v>5</v>
      </c>
      <c r="J140" cm="1">
        <f t="array" aca="1" ref="J140" ca="1">INDEX($A$2:$A$15,RANDBETWEEN(1,ROWS($A$2:$A$15)),1)</f>
        <v>5</v>
      </c>
      <c r="K140" cm="1">
        <f t="array" aca="1" ref="K140" ca="1">INDEX($A$2:$A$15,RANDBETWEEN(1,ROWS($A$2:$A$15)),1)</f>
        <v>4</v>
      </c>
      <c r="L140" cm="1">
        <f t="array" aca="1" ref="L140" ca="1">INDEX($A$2:$A$15,RANDBETWEEN(1,ROWS($A$2:$A$15)),1)</f>
        <v>5</v>
      </c>
      <c r="M140" cm="1">
        <f t="array" aca="1" ref="M140" ca="1">INDEX($A$2:$A$15,RANDBETWEEN(1,ROWS($A$2:$A$15)),1)</f>
        <v>3</v>
      </c>
      <c r="N140" cm="1">
        <f t="array" aca="1" ref="N140" ca="1">INDEX($A$2:$A$15,RANDBETWEEN(1,ROWS($A$2:$A$15)),1)</f>
        <v>3</v>
      </c>
      <c r="O140" cm="1">
        <f t="array" aca="1" ref="O140" ca="1">INDEX($A$2:$A$15,RANDBETWEEN(1,ROWS($A$2:$A$15)),1)</f>
        <v>7</v>
      </c>
      <c r="P140" cm="1">
        <f t="array" aca="1" ref="P140" ca="1">INDEX($A$2:$A$15,RANDBETWEEN(1,ROWS($A$2:$A$15)),1)</f>
        <v>3</v>
      </c>
      <c r="Q140" cm="1">
        <f t="array" aca="1" ref="Q140" ca="1">INDEX($A$2:$A$15,RANDBETWEEN(1,ROWS($A$2:$A$15)),1)</f>
        <v>4</v>
      </c>
      <c r="R140" cm="1">
        <f t="array" aca="1" ref="R140" ca="1">INDEX($A$2:$A$15,RANDBETWEEN(1,ROWS($A$2:$A$15)),1)</f>
        <v>1</v>
      </c>
      <c r="S140" cm="1">
        <f t="array" aca="1" ref="S140" ca="1">INDEX($A$2:$A$15,RANDBETWEEN(1,ROWS($A$2:$A$15)),1)</f>
        <v>7</v>
      </c>
      <c r="V140">
        <f t="shared" ca="1" si="8"/>
        <v>4.117647058823529</v>
      </c>
      <c r="W140">
        <f t="shared" ca="1" si="9"/>
        <v>4</v>
      </c>
      <c r="X140">
        <f t="shared" ca="1" si="10"/>
        <v>2</v>
      </c>
      <c r="Y140">
        <f t="shared" ca="1" si="11"/>
        <v>1.6538724611187703</v>
      </c>
    </row>
    <row r="141" spans="3:25" x14ac:dyDescent="0.35">
      <c r="C141" cm="1">
        <f t="array" aca="1" ref="C141" ca="1">INDEX($A$2:$A$15,RANDBETWEEN(1,ROWS($A$2:$A$15)),1)</f>
        <v>1</v>
      </c>
      <c r="D141" cm="1">
        <f t="array" aca="1" ref="D141" ca="1">INDEX($A$2:$A$15,RANDBETWEEN(1,ROWS($A$2:$A$15)),1)</f>
        <v>7</v>
      </c>
      <c r="E141" cm="1">
        <f t="array" aca="1" ref="E141" ca="1">INDEX($A$2:$A$15,RANDBETWEEN(1,ROWS($A$2:$A$15)),1)</f>
        <v>5</v>
      </c>
      <c r="F141" cm="1">
        <f t="array" aca="1" ref="F141" ca="1">INDEX($A$2:$A$15,RANDBETWEEN(1,ROWS($A$2:$A$15)),1)</f>
        <v>1</v>
      </c>
      <c r="G141" cm="1">
        <f t="array" aca="1" ref="G141" ca="1">INDEX($A$2:$A$15,RANDBETWEEN(1,ROWS($A$2:$A$15)),1)</f>
        <v>8</v>
      </c>
      <c r="H141" cm="1">
        <f t="array" aca="1" ref="H141" ca="1">INDEX($A$2:$A$15,RANDBETWEEN(1,ROWS($A$2:$A$15)),1)</f>
        <v>5</v>
      </c>
      <c r="I141" cm="1">
        <f t="array" aca="1" ref="I141" ca="1">INDEX($A$2:$A$15,RANDBETWEEN(1,ROWS($A$2:$A$15)),1)</f>
        <v>8</v>
      </c>
      <c r="J141" cm="1">
        <f t="array" aca="1" ref="J141" ca="1">INDEX($A$2:$A$15,RANDBETWEEN(1,ROWS($A$2:$A$15)),1)</f>
        <v>5</v>
      </c>
      <c r="K141" cm="1">
        <f t="array" aca="1" ref="K141" ca="1">INDEX($A$2:$A$15,RANDBETWEEN(1,ROWS($A$2:$A$15)),1)</f>
        <v>2</v>
      </c>
      <c r="L141" cm="1">
        <f t="array" aca="1" ref="L141" ca="1">INDEX($A$2:$A$15,RANDBETWEEN(1,ROWS($A$2:$A$15)),1)</f>
        <v>1</v>
      </c>
      <c r="M141" cm="1">
        <f t="array" aca="1" ref="M141" ca="1">INDEX($A$2:$A$15,RANDBETWEEN(1,ROWS($A$2:$A$15)),1)</f>
        <v>3</v>
      </c>
      <c r="N141" cm="1">
        <f t="array" aca="1" ref="N141" ca="1">INDEX($A$2:$A$15,RANDBETWEEN(1,ROWS($A$2:$A$15)),1)</f>
        <v>1</v>
      </c>
      <c r="O141" cm="1">
        <f t="array" aca="1" ref="O141" ca="1">INDEX($A$2:$A$15,RANDBETWEEN(1,ROWS($A$2:$A$15)),1)</f>
        <v>4</v>
      </c>
      <c r="P141" cm="1">
        <f t="array" aca="1" ref="P141" ca="1">INDEX($A$2:$A$15,RANDBETWEEN(1,ROWS($A$2:$A$15)),1)</f>
        <v>2</v>
      </c>
      <c r="Q141" cm="1">
        <f t="array" aca="1" ref="Q141" ca="1">INDEX($A$2:$A$15,RANDBETWEEN(1,ROWS($A$2:$A$15)),1)</f>
        <v>1</v>
      </c>
      <c r="R141" cm="1">
        <f t="array" aca="1" ref="R141" ca="1">INDEX($A$2:$A$15,RANDBETWEEN(1,ROWS($A$2:$A$15)),1)</f>
        <v>4</v>
      </c>
      <c r="S141" cm="1">
        <f t="array" aca="1" ref="S141" ca="1">INDEX($A$2:$A$15,RANDBETWEEN(1,ROWS($A$2:$A$15)),1)</f>
        <v>4</v>
      </c>
      <c r="V141">
        <f t="shared" ca="1" si="8"/>
        <v>3.6470588235294117</v>
      </c>
      <c r="W141">
        <f t="shared" ca="1" si="9"/>
        <v>4</v>
      </c>
      <c r="X141">
        <f t="shared" ca="1" si="10"/>
        <v>4</v>
      </c>
      <c r="Y141">
        <f t="shared" ca="1" si="11"/>
        <v>2.4479883698301199</v>
      </c>
    </row>
    <row r="142" spans="3:25" x14ac:dyDescent="0.35">
      <c r="C142" cm="1">
        <f t="array" aca="1" ref="C142" ca="1">INDEX($A$2:$A$15,RANDBETWEEN(1,ROWS($A$2:$A$15)),1)</f>
        <v>5</v>
      </c>
      <c r="D142" cm="1">
        <f t="array" aca="1" ref="D142" ca="1">INDEX($A$2:$A$15,RANDBETWEEN(1,ROWS($A$2:$A$15)),1)</f>
        <v>3</v>
      </c>
      <c r="E142" cm="1">
        <f t="array" aca="1" ref="E142" ca="1">INDEX($A$2:$A$15,RANDBETWEEN(1,ROWS($A$2:$A$15)),1)</f>
        <v>8</v>
      </c>
      <c r="F142" cm="1">
        <f t="array" aca="1" ref="F142" ca="1">INDEX($A$2:$A$15,RANDBETWEEN(1,ROWS($A$2:$A$15)),1)</f>
        <v>3</v>
      </c>
      <c r="G142" cm="1">
        <f t="array" aca="1" ref="G142" ca="1">INDEX($A$2:$A$15,RANDBETWEEN(1,ROWS($A$2:$A$15)),1)</f>
        <v>5</v>
      </c>
      <c r="H142" cm="1">
        <f t="array" aca="1" ref="H142" ca="1">INDEX($A$2:$A$15,RANDBETWEEN(1,ROWS($A$2:$A$15)),1)</f>
        <v>1</v>
      </c>
      <c r="I142" cm="1">
        <f t="array" aca="1" ref="I142" ca="1">INDEX($A$2:$A$15,RANDBETWEEN(1,ROWS($A$2:$A$15)),1)</f>
        <v>1</v>
      </c>
      <c r="J142" cm="1">
        <f t="array" aca="1" ref="J142" ca="1">INDEX($A$2:$A$15,RANDBETWEEN(1,ROWS($A$2:$A$15)),1)</f>
        <v>5</v>
      </c>
      <c r="K142" cm="1">
        <f t="array" aca="1" ref="K142" ca="1">INDEX($A$2:$A$15,RANDBETWEEN(1,ROWS($A$2:$A$15)),1)</f>
        <v>5</v>
      </c>
      <c r="L142" cm="1">
        <f t="array" aca="1" ref="L142" ca="1">INDEX($A$2:$A$15,RANDBETWEEN(1,ROWS($A$2:$A$15)),1)</f>
        <v>4</v>
      </c>
      <c r="M142" cm="1">
        <f t="array" aca="1" ref="M142" ca="1">INDEX($A$2:$A$15,RANDBETWEEN(1,ROWS($A$2:$A$15)),1)</f>
        <v>5</v>
      </c>
      <c r="N142" cm="1">
        <f t="array" aca="1" ref="N142" ca="1">INDEX($A$2:$A$15,RANDBETWEEN(1,ROWS($A$2:$A$15)),1)</f>
        <v>8</v>
      </c>
      <c r="O142" cm="1">
        <f t="array" aca="1" ref="O142" ca="1">INDEX($A$2:$A$15,RANDBETWEEN(1,ROWS($A$2:$A$15)),1)</f>
        <v>1</v>
      </c>
      <c r="P142" cm="1">
        <f t="array" aca="1" ref="P142" ca="1">INDEX($A$2:$A$15,RANDBETWEEN(1,ROWS($A$2:$A$15)),1)</f>
        <v>4</v>
      </c>
      <c r="Q142" cm="1">
        <f t="array" aca="1" ref="Q142" ca="1">INDEX($A$2:$A$15,RANDBETWEEN(1,ROWS($A$2:$A$15)),1)</f>
        <v>8</v>
      </c>
      <c r="R142" cm="1">
        <f t="array" aca="1" ref="R142" ca="1">INDEX($A$2:$A$15,RANDBETWEEN(1,ROWS($A$2:$A$15)),1)</f>
        <v>4</v>
      </c>
      <c r="S142" cm="1">
        <f t="array" aca="1" ref="S142" ca="1">INDEX($A$2:$A$15,RANDBETWEEN(1,ROWS($A$2:$A$15)),1)</f>
        <v>5</v>
      </c>
      <c r="V142">
        <f t="shared" ca="1" si="8"/>
        <v>4.4117647058823533</v>
      </c>
      <c r="W142">
        <f t="shared" ca="1" si="9"/>
        <v>5</v>
      </c>
      <c r="X142">
        <f t="shared" ca="1" si="10"/>
        <v>2</v>
      </c>
      <c r="Y142">
        <f t="shared" ca="1" si="11"/>
        <v>2.2377115411009685</v>
      </c>
    </row>
    <row r="143" spans="3:25" x14ac:dyDescent="0.35">
      <c r="C143" cm="1">
        <f t="array" aca="1" ref="C143" ca="1">INDEX($A$2:$A$15,RANDBETWEEN(1,ROWS($A$2:$A$15)),1)</f>
        <v>5</v>
      </c>
      <c r="D143" cm="1">
        <f t="array" aca="1" ref="D143" ca="1">INDEX($A$2:$A$15,RANDBETWEEN(1,ROWS($A$2:$A$15)),1)</f>
        <v>5</v>
      </c>
      <c r="E143" cm="1">
        <f t="array" aca="1" ref="E143" ca="1">INDEX($A$2:$A$15,RANDBETWEEN(1,ROWS($A$2:$A$15)),1)</f>
        <v>4</v>
      </c>
      <c r="F143" cm="1">
        <f t="array" aca="1" ref="F143" ca="1">INDEX($A$2:$A$15,RANDBETWEEN(1,ROWS($A$2:$A$15)),1)</f>
        <v>2</v>
      </c>
      <c r="G143" cm="1">
        <f t="array" aca="1" ref="G143" ca="1">INDEX($A$2:$A$15,RANDBETWEEN(1,ROWS($A$2:$A$15)),1)</f>
        <v>5</v>
      </c>
      <c r="H143" cm="1">
        <f t="array" aca="1" ref="H143" ca="1">INDEX($A$2:$A$15,RANDBETWEEN(1,ROWS($A$2:$A$15)),1)</f>
        <v>5</v>
      </c>
      <c r="I143" cm="1">
        <f t="array" aca="1" ref="I143" ca="1">INDEX($A$2:$A$15,RANDBETWEEN(1,ROWS($A$2:$A$15)),1)</f>
        <v>5</v>
      </c>
      <c r="J143" cm="1">
        <f t="array" aca="1" ref="J143" ca="1">INDEX($A$2:$A$15,RANDBETWEEN(1,ROWS($A$2:$A$15)),1)</f>
        <v>8</v>
      </c>
      <c r="K143" cm="1">
        <f t="array" aca="1" ref="K143" ca="1">INDEX($A$2:$A$15,RANDBETWEEN(1,ROWS($A$2:$A$15)),1)</f>
        <v>3</v>
      </c>
      <c r="L143" cm="1">
        <f t="array" aca="1" ref="L143" ca="1">INDEX($A$2:$A$15,RANDBETWEEN(1,ROWS($A$2:$A$15)),1)</f>
        <v>4</v>
      </c>
      <c r="M143" cm="1">
        <f t="array" aca="1" ref="M143" ca="1">INDEX($A$2:$A$15,RANDBETWEEN(1,ROWS($A$2:$A$15)),1)</f>
        <v>1</v>
      </c>
      <c r="N143" cm="1">
        <f t="array" aca="1" ref="N143" ca="1">INDEX($A$2:$A$15,RANDBETWEEN(1,ROWS($A$2:$A$15)),1)</f>
        <v>3</v>
      </c>
      <c r="O143" cm="1">
        <f t="array" aca="1" ref="O143" ca="1">INDEX($A$2:$A$15,RANDBETWEEN(1,ROWS($A$2:$A$15)),1)</f>
        <v>4</v>
      </c>
      <c r="P143" cm="1">
        <f t="array" aca="1" ref="P143" ca="1">INDEX($A$2:$A$15,RANDBETWEEN(1,ROWS($A$2:$A$15)),1)</f>
        <v>3</v>
      </c>
      <c r="Q143" cm="1">
        <f t="array" aca="1" ref="Q143" ca="1">INDEX($A$2:$A$15,RANDBETWEEN(1,ROWS($A$2:$A$15)),1)</f>
        <v>1</v>
      </c>
      <c r="R143" cm="1">
        <f t="array" aca="1" ref="R143" ca="1">INDEX($A$2:$A$15,RANDBETWEEN(1,ROWS($A$2:$A$15)),1)</f>
        <v>1</v>
      </c>
      <c r="S143" cm="1">
        <f t="array" aca="1" ref="S143" ca="1">INDEX($A$2:$A$15,RANDBETWEEN(1,ROWS($A$2:$A$15)),1)</f>
        <v>1</v>
      </c>
      <c r="V143">
        <f t="shared" ca="1" si="8"/>
        <v>3.5294117647058822</v>
      </c>
      <c r="W143">
        <f t="shared" ca="1" si="9"/>
        <v>4</v>
      </c>
      <c r="X143">
        <f t="shared" ca="1" si="10"/>
        <v>3</v>
      </c>
      <c r="Y143">
        <f t="shared" ca="1" si="11"/>
        <v>1.940285000290664</v>
      </c>
    </row>
    <row r="144" spans="3:25" x14ac:dyDescent="0.35">
      <c r="C144" cm="1">
        <f t="array" aca="1" ref="C144" ca="1">INDEX($A$2:$A$15,RANDBETWEEN(1,ROWS($A$2:$A$15)),1)</f>
        <v>1</v>
      </c>
      <c r="D144" cm="1">
        <f t="array" aca="1" ref="D144" ca="1">INDEX($A$2:$A$15,RANDBETWEEN(1,ROWS($A$2:$A$15)),1)</f>
        <v>1</v>
      </c>
      <c r="E144" cm="1">
        <f t="array" aca="1" ref="E144" ca="1">INDEX($A$2:$A$15,RANDBETWEEN(1,ROWS($A$2:$A$15)),1)</f>
        <v>5</v>
      </c>
      <c r="F144" cm="1">
        <f t="array" aca="1" ref="F144" ca="1">INDEX($A$2:$A$15,RANDBETWEEN(1,ROWS($A$2:$A$15)),1)</f>
        <v>5</v>
      </c>
      <c r="G144" cm="1">
        <f t="array" aca="1" ref="G144" ca="1">INDEX($A$2:$A$15,RANDBETWEEN(1,ROWS($A$2:$A$15)),1)</f>
        <v>1</v>
      </c>
      <c r="H144" cm="1">
        <f t="array" aca="1" ref="H144" ca="1">INDEX($A$2:$A$15,RANDBETWEEN(1,ROWS($A$2:$A$15)),1)</f>
        <v>2</v>
      </c>
      <c r="I144" cm="1">
        <f t="array" aca="1" ref="I144" ca="1">INDEX($A$2:$A$15,RANDBETWEEN(1,ROWS($A$2:$A$15)),1)</f>
        <v>1</v>
      </c>
      <c r="J144" cm="1">
        <f t="array" aca="1" ref="J144" ca="1">INDEX($A$2:$A$15,RANDBETWEEN(1,ROWS($A$2:$A$15)),1)</f>
        <v>1</v>
      </c>
      <c r="K144" cm="1">
        <f t="array" aca="1" ref="K144" ca="1">INDEX($A$2:$A$15,RANDBETWEEN(1,ROWS($A$2:$A$15)),1)</f>
        <v>5</v>
      </c>
      <c r="L144" cm="1">
        <f t="array" aca="1" ref="L144" ca="1">INDEX($A$2:$A$15,RANDBETWEEN(1,ROWS($A$2:$A$15)),1)</f>
        <v>1</v>
      </c>
      <c r="M144" cm="1">
        <f t="array" aca="1" ref="M144" ca="1">INDEX($A$2:$A$15,RANDBETWEEN(1,ROWS($A$2:$A$15)),1)</f>
        <v>8</v>
      </c>
      <c r="N144" cm="1">
        <f t="array" aca="1" ref="N144" ca="1">INDEX($A$2:$A$15,RANDBETWEEN(1,ROWS($A$2:$A$15)),1)</f>
        <v>3</v>
      </c>
      <c r="O144" cm="1">
        <f t="array" aca="1" ref="O144" ca="1">INDEX($A$2:$A$15,RANDBETWEEN(1,ROWS($A$2:$A$15)),1)</f>
        <v>5</v>
      </c>
      <c r="P144" cm="1">
        <f t="array" aca="1" ref="P144" ca="1">INDEX($A$2:$A$15,RANDBETWEEN(1,ROWS($A$2:$A$15)),1)</f>
        <v>5</v>
      </c>
      <c r="Q144" cm="1">
        <f t="array" aca="1" ref="Q144" ca="1">INDEX($A$2:$A$15,RANDBETWEEN(1,ROWS($A$2:$A$15)),1)</f>
        <v>4</v>
      </c>
      <c r="R144" cm="1">
        <f t="array" aca="1" ref="R144" ca="1">INDEX($A$2:$A$15,RANDBETWEEN(1,ROWS($A$2:$A$15)),1)</f>
        <v>5</v>
      </c>
      <c r="S144" cm="1">
        <f t="array" aca="1" ref="S144" ca="1">INDEX($A$2:$A$15,RANDBETWEEN(1,ROWS($A$2:$A$15)),1)</f>
        <v>4</v>
      </c>
      <c r="V144">
        <f t="shared" ca="1" si="8"/>
        <v>3.3529411764705883</v>
      </c>
      <c r="W144">
        <f t="shared" ca="1" si="9"/>
        <v>4</v>
      </c>
      <c r="X144">
        <f t="shared" ca="1" si="10"/>
        <v>4</v>
      </c>
      <c r="Y144">
        <f t="shared" ca="1" si="11"/>
        <v>2.1488711126597448</v>
      </c>
    </row>
    <row r="145" spans="3:25" x14ac:dyDescent="0.35">
      <c r="C145" cm="1">
        <f t="array" aca="1" ref="C145" ca="1">INDEX($A$2:$A$15,RANDBETWEEN(1,ROWS($A$2:$A$15)),1)</f>
        <v>8</v>
      </c>
      <c r="D145" cm="1">
        <f t="array" aca="1" ref="D145" ca="1">INDEX($A$2:$A$15,RANDBETWEEN(1,ROWS($A$2:$A$15)),1)</f>
        <v>8</v>
      </c>
      <c r="E145" cm="1">
        <f t="array" aca="1" ref="E145" ca="1">INDEX($A$2:$A$15,RANDBETWEEN(1,ROWS($A$2:$A$15)),1)</f>
        <v>7</v>
      </c>
      <c r="F145" cm="1">
        <f t="array" aca="1" ref="F145" ca="1">INDEX($A$2:$A$15,RANDBETWEEN(1,ROWS($A$2:$A$15)),1)</f>
        <v>4</v>
      </c>
      <c r="G145" cm="1">
        <f t="array" aca="1" ref="G145" ca="1">INDEX($A$2:$A$15,RANDBETWEEN(1,ROWS($A$2:$A$15)),1)</f>
        <v>3</v>
      </c>
      <c r="H145" cm="1">
        <f t="array" aca="1" ref="H145" ca="1">INDEX($A$2:$A$15,RANDBETWEEN(1,ROWS($A$2:$A$15)),1)</f>
        <v>8</v>
      </c>
      <c r="I145" cm="1">
        <f t="array" aca="1" ref="I145" ca="1">INDEX($A$2:$A$15,RANDBETWEEN(1,ROWS($A$2:$A$15)),1)</f>
        <v>5</v>
      </c>
      <c r="J145" cm="1">
        <f t="array" aca="1" ref="J145" ca="1">INDEX($A$2:$A$15,RANDBETWEEN(1,ROWS($A$2:$A$15)),1)</f>
        <v>1</v>
      </c>
      <c r="K145" cm="1">
        <f t="array" aca="1" ref="K145" ca="1">INDEX($A$2:$A$15,RANDBETWEEN(1,ROWS($A$2:$A$15)),1)</f>
        <v>7</v>
      </c>
      <c r="L145" cm="1">
        <f t="array" aca="1" ref="L145" ca="1">INDEX($A$2:$A$15,RANDBETWEEN(1,ROWS($A$2:$A$15)),1)</f>
        <v>8</v>
      </c>
      <c r="M145" cm="1">
        <f t="array" aca="1" ref="M145" ca="1">INDEX($A$2:$A$15,RANDBETWEEN(1,ROWS($A$2:$A$15)),1)</f>
        <v>3</v>
      </c>
      <c r="N145" cm="1">
        <f t="array" aca="1" ref="N145" ca="1">INDEX($A$2:$A$15,RANDBETWEEN(1,ROWS($A$2:$A$15)),1)</f>
        <v>3</v>
      </c>
      <c r="O145" cm="1">
        <f t="array" aca="1" ref="O145" ca="1">INDEX($A$2:$A$15,RANDBETWEEN(1,ROWS($A$2:$A$15)),1)</f>
        <v>4</v>
      </c>
      <c r="P145" cm="1">
        <f t="array" aca="1" ref="P145" ca="1">INDEX($A$2:$A$15,RANDBETWEEN(1,ROWS($A$2:$A$15)),1)</f>
        <v>3</v>
      </c>
      <c r="Q145" cm="1">
        <f t="array" aca="1" ref="Q145" ca="1">INDEX($A$2:$A$15,RANDBETWEEN(1,ROWS($A$2:$A$15)),1)</f>
        <v>3</v>
      </c>
      <c r="R145" cm="1">
        <f t="array" aca="1" ref="R145" ca="1">INDEX($A$2:$A$15,RANDBETWEEN(1,ROWS($A$2:$A$15)),1)</f>
        <v>5</v>
      </c>
      <c r="S145" cm="1">
        <f t="array" aca="1" ref="S145" ca="1">INDEX($A$2:$A$15,RANDBETWEEN(1,ROWS($A$2:$A$15)),1)</f>
        <v>3</v>
      </c>
      <c r="V145">
        <f t="shared" ca="1" si="8"/>
        <v>4.882352941176471</v>
      </c>
      <c r="W145">
        <f t="shared" ca="1" si="9"/>
        <v>4</v>
      </c>
      <c r="X145">
        <f t="shared" ca="1" si="10"/>
        <v>4</v>
      </c>
      <c r="Y145">
        <f t="shared" ca="1" si="11"/>
        <v>2.3152308994238693</v>
      </c>
    </row>
    <row r="146" spans="3:25" x14ac:dyDescent="0.35">
      <c r="C146" cm="1">
        <f t="array" aca="1" ref="C146" ca="1">INDEX($A$2:$A$15,RANDBETWEEN(1,ROWS($A$2:$A$15)),1)</f>
        <v>4</v>
      </c>
      <c r="D146" cm="1">
        <f t="array" aca="1" ref="D146" ca="1">INDEX($A$2:$A$15,RANDBETWEEN(1,ROWS($A$2:$A$15)),1)</f>
        <v>5</v>
      </c>
      <c r="E146" cm="1">
        <f t="array" aca="1" ref="E146" ca="1">INDEX($A$2:$A$15,RANDBETWEEN(1,ROWS($A$2:$A$15)),1)</f>
        <v>5</v>
      </c>
      <c r="F146" cm="1">
        <f t="array" aca="1" ref="F146" ca="1">INDEX($A$2:$A$15,RANDBETWEEN(1,ROWS($A$2:$A$15)),1)</f>
        <v>5</v>
      </c>
      <c r="G146" cm="1">
        <f t="array" aca="1" ref="G146" ca="1">INDEX($A$2:$A$15,RANDBETWEEN(1,ROWS($A$2:$A$15)),1)</f>
        <v>3</v>
      </c>
      <c r="H146" cm="1">
        <f t="array" aca="1" ref="H146" ca="1">INDEX($A$2:$A$15,RANDBETWEEN(1,ROWS($A$2:$A$15)),1)</f>
        <v>4</v>
      </c>
      <c r="I146" cm="1">
        <f t="array" aca="1" ref="I146" ca="1">INDEX($A$2:$A$15,RANDBETWEEN(1,ROWS($A$2:$A$15)),1)</f>
        <v>5</v>
      </c>
      <c r="J146" cm="1">
        <f t="array" aca="1" ref="J146" ca="1">INDEX($A$2:$A$15,RANDBETWEEN(1,ROWS($A$2:$A$15)),1)</f>
        <v>4</v>
      </c>
      <c r="K146" cm="1">
        <f t="array" aca="1" ref="K146" ca="1">INDEX($A$2:$A$15,RANDBETWEEN(1,ROWS($A$2:$A$15)),1)</f>
        <v>1</v>
      </c>
      <c r="L146" cm="1">
        <f t="array" aca="1" ref="L146" ca="1">INDEX($A$2:$A$15,RANDBETWEEN(1,ROWS($A$2:$A$15)),1)</f>
        <v>7</v>
      </c>
      <c r="M146" cm="1">
        <f t="array" aca="1" ref="M146" ca="1">INDEX($A$2:$A$15,RANDBETWEEN(1,ROWS($A$2:$A$15)),1)</f>
        <v>1</v>
      </c>
      <c r="N146" cm="1">
        <f t="array" aca="1" ref="N146" ca="1">INDEX($A$2:$A$15,RANDBETWEEN(1,ROWS($A$2:$A$15)),1)</f>
        <v>1</v>
      </c>
      <c r="O146" cm="1">
        <f t="array" aca="1" ref="O146" ca="1">INDEX($A$2:$A$15,RANDBETWEEN(1,ROWS($A$2:$A$15)),1)</f>
        <v>7</v>
      </c>
      <c r="P146" cm="1">
        <f t="array" aca="1" ref="P146" ca="1">INDEX($A$2:$A$15,RANDBETWEEN(1,ROWS($A$2:$A$15)),1)</f>
        <v>8</v>
      </c>
      <c r="Q146" cm="1">
        <f t="array" aca="1" ref="Q146" ca="1">INDEX($A$2:$A$15,RANDBETWEEN(1,ROWS($A$2:$A$15)),1)</f>
        <v>1</v>
      </c>
      <c r="R146" cm="1">
        <f t="array" aca="1" ref="R146" ca="1">INDEX($A$2:$A$15,RANDBETWEEN(1,ROWS($A$2:$A$15)),1)</f>
        <v>2</v>
      </c>
      <c r="S146" cm="1">
        <f t="array" aca="1" ref="S146" ca="1">INDEX($A$2:$A$15,RANDBETWEEN(1,ROWS($A$2:$A$15)),1)</f>
        <v>3</v>
      </c>
      <c r="V146">
        <f t="shared" ca="1" si="8"/>
        <v>3.8823529411764706</v>
      </c>
      <c r="W146">
        <f t="shared" ca="1" si="9"/>
        <v>4</v>
      </c>
      <c r="X146">
        <f t="shared" ca="1" si="10"/>
        <v>3</v>
      </c>
      <c r="Y146">
        <f t="shared" ca="1" si="11"/>
        <v>2.2327772207829106</v>
      </c>
    </row>
    <row r="147" spans="3:25" x14ac:dyDescent="0.35">
      <c r="C147" cm="1">
        <f t="array" aca="1" ref="C147" ca="1">INDEX($A$2:$A$15,RANDBETWEEN(1,ROWS($A$2:$A$15)),1)</f>
        <v>1</v>
      </c>
      <c r="D147" cm="1">
        <f t="array" aca="1" ref="D147" ca="1">INDEX($A$2:$A$15,RANDBETWEEN(1,ROWS($A$2:$A$15)),1)</f>
        <v>1</v>
      </c>
      <c r="E147" cm="1">
        <f t="array" aca="1" ref="E147" ca="1">INDEX($A$2:$A$15,RANDBETWEEN(1,ROWS($A$2:$A$15)),1)</f>
        <v>1</v>
      </c>
      <c r="F147" cm="1">
        <f t="array" aca="1" ref="F147" ca="1">INDEX($A$2:$A$15,RANDBETWEEN(1,ROWS($A$2:$A$15)),1)</f>
        <v>5</v>
      </c>
      <c r="G147" cm="1">
        <f t="array" aca="1" ref="G147" ca="1">INDEX($A$2:$A$15,RANDBETWEEN(1,ROWS($A$2:$A$15)),1)</f>
        <v>7</v>
      </c>
      <c r="H147" cm="1">
        <f t="array" aca="1" ref="H147" ca="1">INDEX($A$2:$A$15,RANDBETWEEN(1,ROWS($A$2:$A$15)),1)</f>
        <v>2</v>
      </c>
      <c r="I147" cm="1">
        <f t="array" aca="1" ref="I147" ca="1">INDEX($A$2:$A$15,RANDBETWEEN(1,ROWS($A$2:$A$15)),1)</f>
        <v>8</v>
      </c>
      <c r="J147" cm="1">
        <f t="array" aca="1" ref="J147" ca="1">INDEX($A$2:$A$15,RANDBETWEEN(1,ROWS($A$2:$A$15)),1)</f>
        <v>5</v>
      </c>
      <c r="K147" cm="1">
        <f t="array" aca="1" ref="K147" ca="1">INDEX($A$2:$A$15,RANDBETWEEN(1,ROWS($A$2:$A$15)),1)</f>
        <v>8</v>
      </c>
      <c r="L147" cm="1">
        <f t="array" aca="1" ref="L147" ca="1">INDEX($A$2:$A$15,RANDBETWEEN(1,ROWS($A$2:$A$15)),1)</f>
        <v>1</v>
      </c>
      <c r="M147" cm="1">
        <f t="array" aca="1" ref="M147" ca="1">INDEX($A$2:$A$15,RANDBETWEEN(1,ROWS($A$2:$A$15)),1)</f>
        <v>5</v>
      </c>
      <c r="N147" cm="1">
        <f t="array" aca="1" ref="N147" ca="1">INDEX($A$2:$A$15,RANDBETWEEN(1,ROWS($A$2:$A$15)),1)</f>
        <v>5</v>
      </c>
      <c r="O147" cm="1">
        <f t="array" aca="1" ref="O147" ca="1">INDEX($A$2:$A$15,RANDBETWEEN(1,ROWS($A$2:$A$15)),1)</f>
        <v>4</v>
      </c>
      <c r="P147" cm="1">
        <f t="array" aca="1" ref="P147" ca="1">INDEX($A$2:$A$15,RANDBETWEEN(1,ROWS($A$2:$A$15)),1)</f>
        <v>5</v>
      </c>
      <c r="Q147" cm="1">
        <f t="array" aca="1" ref="Q147" ca="1">INDEX($A$2:$A$15,RANDBETWEEN(1,ROWS($A$2:$A$15)),1)</f>
        <v>8</v>
      </c>
      <c r="R147" cm="1">
        <f t="array" aca="1" ref="R147" ca="1">INDEX($A$2:$A$15,RANDBETWEEN(1,ROWS($A$2:$A$15)),1)</f>
        <v>5</v>
      </c>
      <c r="S147" cm="1">
        <f t="array" aca="1" ref="S147" ca="1">INDEX($A$2:$A$15,RANDBETWEEN(1,ROWS($A$2:$A$15)),1)</f>
        <v>4</v>
      </c>
      <c r="V147">
        <f t="shared" ca="1" si="8"/>
        <v>4.4117647058823533</v>
      </c>
      <c r="W147">
        <f t="shared" ca="1" si="9"/>
        <v>5</v>
      </c>
      <c r="X147">
        <f t="shared" ca="1" si="10"/>
        <v>3</v>
      </c>
      <c r="Y147">
        <f t="shared" ca="1" si="11"/>
        <v>2.5014701559635828</v>
      </c>
    </row>
    <row r="148" spans="3:25" x14ac:dyDescent="0.35">
      <c r="C148" cm="1">
        <f t="array" aca="1" ref="C148" ca="1">INDEX($A$2:$A$15,RANDBETWEEN(1,ROWS($A$2:$A$15)),1)</f>
        <v>2</v>
      </c>
      <c r="D148" cm="1">
        <f t="array" aca="1" ref="D148" ca="1">INDEX($A$2:$A$15,RANDBETWEEN(1,ROWS($A$2:$A$15)),1)</f>
        <v>5</v>
      </c>
      <c r="E148" cm="1">
        <f t="array" aca="1" ref="E148" ca="1">INDEX($A$2:$A$15,RANDBETWEEN(1,ROWS($A$2:$A$15)),1)</f>
        <v>2</v>
      </c>
      <c r="F148" cm="1">
        <f t="array" aca="1" ref="F148" ca="1">INDEX($A$2:$A$15,RANDBETWEEN(1,ROWS($A$2:$A$15)),1)</f>
        <v>4</v>
      </c>
      <c r="G148" cm="1">
        <f t="array" aca="1" ref="G148" ca="1">INDEX($A$2:$A$15,RANDBETWEEN(1,ROWS($A$2:$A$15)),1)</f>
        <v>5</v>
      </c>
      <c r="H148" cm="1">
        <f t="array" aca="1" ref="H148" ca="1">INDEX($A$2:$A$15,RANDBETWEEN(1,ROWS($A$2:$A$15)),1)</f>
        <v>1</v>
      </c>
      <c r="I148" cm="1">
        <f t="array" aca="1" ref="I148" ca="1">INDEX($A$2:$A$15,RANDBETWEEN(1,ROWS($A$2:$A$15)),1)</f>
        <v>8</v>
      </c>
      <c r="J148" cm="1">
        <f t="array" aca="1" ref="J148" ca="1">INDEX($A$2:$A$15,RANDBETWEEN(1,ROWS($A$2:$A$15)),1)</f>
        <v>3</v>
      </c>
      <c r="K148" cm="1">
        <f t="array" aca="1" ref="K148" ca="1">INDEX($A$2:$A$15,RANDBETWEEN(1,ROWS($A$2:$A$15)),1)</f>
        <v>4</v>
      </c>
      <c r="L148" cm="1">
        <f t="array" aca="1" ref="L148" ca="1">INDEX($A$2:$A$15,RANDBETWEEN(1,ROWS($A$2:$A$15)),1)</f>
        <v>1</v>
      </c>
      <c r="M148" cm="1">
        <f t="array" aca="1" ref="M148" ca="1">INDEX($A$2:$A$15,RANDBETWEEN(1,ROWS($A$2:$A$15)),1)</f>
        <v>8</v>
      </c>
      <c r="N148" cm="1">
        <f t="array" aca="1" ref="N148" ca="1">INDEX($A$2:$A$15,RANDBETWEEN(1,ROWS($A$2:$A$15)),1)</f>
        <v>4</v>
      </c>
      <c r="O148" cm="1">
        <f t="array" aca="1" ref="O148" ca="1">INDEX($A$2:$A$15,RANDBETWEEN(1,ROWS($A$2:$A$15)),1)</f>
        <v>3</v>
      </c>
      <c r="P148" cm="1">
        <f t="array" aca="1" ref="P148" ca="1">INDEX($A$2:$A$15,RANDBETWEEN(1,ROWS($A$2:$A$15)),1)</f>
        <v>4</v>
      </c>
      <c r="Q148" cm="1">
        <f t="array" aca="1" ref="Q148" ca="1">INDEX($A$2:$A$15,RANDBETWEEN(1,ROWS($A$2:$A$15)),1)</f>
        <v>5</v>
      </c>
      <c r="R148" cm="1">
        <f t="array" aca="1" ref="R148" ca="1">INDEX($A$2:$A$15,RANDBETWEEN(1,ROWS($A$2:$A$15)),1)</f>
        <v>5</v>
      </c>
      <c r="S148" cm="1">
        <f t="array" aca="1" ref="S148" ca="1">INDEX($A$2:$A$15,RANDBETWEEN(1,ROWS($A$2:$A$15)),1)</f>
        <v>7</v>
      </c>
      <c r="V148">
        <f t="shared" ca="1" si="8"/>
        <v>4.1764705882352944</v>
      </c>
      <c r="W148">
        <f t="shared" ca="1" si="9"/>
        <v>4</v>
      </c>
      <c r="X148">
        <f t="shared" ca="1" si="10"/>
        <v>2</v>
      </c>
      <c r="Y148">
        <f t="shared" ca="1" si="11"/>
        <v>2.1282414723677112</v>
      </c>
    </row>
    <row r="149" spans="3:25" x14ac:dyDescent="0.35">
      <c r="C149" cm="1">
        <f t="array" aca="1" ref="C149" ca="1">INDEX($A$2:$A$15,RANDBETWEEN(1,ROWS($A$2:$A$15)),1)</f>
        <v>5</v>
      </c>
      <c r="D149" cm="1">
        <f t="array" aca="1" ref="D149" ca="1">INDEX($A$2:$A$15,RANDBETWEEN(1,ROWS($A$2:$A$15)),1)</f>
        <v>2</v>
      </c>
      <c r="E149" cm="1">
        <f t="array" aca="1" ref="E149" ca="1">INDEX($A$2:$A$15,RANDBETWEEN(1,ROWS($A$2:$A$15)),1)</f>
        <v>1</v>
      </c>
      <c r="F149" cm="1">
        <f t="array" aca="1" ref="F149" ca="1">INDEX($A$2:$A$15,RANDBETWEEN(1,ROWS($A$2:$A$15)),1)</f>
        <v>7</v>
      </c>
      <c r="G149" cm="1">
        <f t="array" aca="1" ref="G149" ca="1">INDEX($A$2:$A$15,RANDBETWEEN(1,ROWS($A$2:$A$15)),1)</f>
        <v>5</v>
      </c>
      <c r="H149" cm="1">
        <f t="array" aca="1" ref="H149" ca="1">INDEX($A$2:$A$15,RANDBETWEEN(1,ROWS($A$2:$A$15)),1)</f>
        <v>2</v>
      </c>
      <c r="I149" cm="1">
        <f t="array" aca="1" ref="I149" ca="1">INDEX($A$2:$A$15,RANDBETWEEN(1,ROWS($A$2:$A$15)),1)</f>
        <v>4</v>
      </c>
      <c r="J149" cm="1">
        <f t="array" aca="1" ref="J149" ca="1">INDEX($A$2:$A$15,RANDBETWEEN(1,ROWS($A$2:$A$15)),1)</f>
        <v>8</v>
      </c>
      <c r="K149" cm="1">
        <f t="array" aca="1" ref="K149" ca="1">INDEX($A$2:$A$15,RANDBETWEEN(1,ROWS($A$2:$A$15)),1)</f>
        <v>4</v>
      </c>
      <c r="L149" cm="1">
        <f t="array" aca="1" ref="L149" ca="1">INDEX($A$2:$A$15,RANDBETWEEN(1,ROWS($A$2:$A$15)),1)</f>
        <v>7</v>
      </c>
      <c r="M149" cm="1">
        <f t="array" aca="1" ref="M149" ca="1">INDEX($A$2:$A$15,RANDBETWEEN(1,ROWS($A$2:$A$15)),1)</f>
        <v>4</v>
      </c>
      <c r="N149" cm="1">
        <f t="array" aca="1" ref="N149" ca="1">INDEX($A$2:$A$15,RANDBETWEEN(1,ROWS($A$2:$A$15)),1)</f>
        <v>7</v>
      </c>
      <c r="O149" cm="1">
        <f t="array" aca="1" ref="O149" ca="1">INDEX($A$2:$A$15,RANDBETWEEN(1,ROWS($A$2:$A$15)),1)</f>
        <v>5</v>
      </c>
      <c r="P149" cm="1">
        <f t="array" aca="1" ref="P149" ca="1">INDEX($A$2:$A$15,RANDBETWEEN(1,ROWS($A$2:$A$15)),1)</f>
        <v>5</v>
      </c>
      <c r="Q149" cm="1">
        <f t="array" aca="1" ref="Q149" ca="1">INDEX($A$2:$A$15,RANDBETWEEN(1,ROWS($A$2:$A$15)),1)</f>
        <v>5</v>
      </c>
      <c r="R149" cm="1">
        <f t="array" aca="1" ref="R149" ca="1">INDEX($A$2:$A$15,RANDBETWEEN(1,ROWS($A$2:$A$15)),1)</f>
        <v>1</v>
      </c>
      <c r="S149" cm="1">
        <f t="array" aca="1" ref="S149" ca="1">INDEX($A$2:$A$15,RANDBETWEEN(1,ROWS($A$2:$A$15)),1)</f>
        <v>5</v>
      </c>
      <c r="V149">
        <f t="shared" ca="1" si="8"/>
        <v>4.5294117647058822</v>
      </c>
      <c r="W149">
        <f t="shared" ca="1" si="9"/>
        <v>5</v>
      </c>
      <c r="X149">
        <f t="shared" ca="1" si="10"/>
        <v>1</v>
      </c>
      <c r="Y149">
        <f t="shared" ca="1" si="11"/>
        <v>2.0951624954530237</v>
      </c>
    </row>
    <row r="150" spans="3:25" x14ac:dyDescent="0.35">
      <c r="C150" cm="1">
        <f t="array" aca="1" ref="C150" ca="1">INDEX($A$2:$A$15,RANDBETWEEN(1,ROWS($A$2:$A$15)),1)</f>
        <v>3</v>
      </c>
      <c r="D150" cm="1">
        <f t="array" aca="1" ref="D150" ca="1">INDEX($A$2:$A$15,RANDBETWEEN(1,ROWS($A$2:$A$15)),1)</f>
        <v>5</v>
      </c>
      <c r="E150" cm="1">
        <f t="array" aca="1" ref="E150" ca="1">INDEX($A$2:$A$15,RANDBETWEEN(1,ROWS($A$2:$A$15)),1)</f>
        <v>4</v>
      </c>
      <c r="F150" cm="1">
        <f t="array" aca="1" ref="F150" ca="1">INDEX($A$2:$A$15,RANDBETWEEN(1,ROWS($A$2:$A$15)),1)</f>
        <v>5</v>
      </c>
      <c r="G150" cm="1">
        <f t="array" aca="1" ref="G150" ca="1">INDEX($A$2:$A$15,RANDBETWEEN(1,ROWS($A$2:$A$15)),1)</f>
        <v>1</v>
      </c>
      <c r="H150" cm="1">
        <f t="array" aca="1" ref="H150" ca="1">INDEX($A$2:$A$15,RANDBETWEEN(1,ROWS($A$2:$A$15)),1)</f>
        <v>3</v>
      </c>
      <c r="I150" cm="1">
        <f t="array" aca="1" ref="I150" ca="1">INDEX($A$2:$A$15,RANDBETWEEN(1,ROWS($A$2:$A$15)),1)</f>
        <v>4</v>
      </c>
      <c r="J150" cm="1">
        <f t="array" aca="1" ref="J150" ca="1">INDEX($A$2:$A$15,RANDBETWEEN(1,ROWS($A$2:$A$15)),1)</f>
        <v>4</v>
      </c>
      <c r="K150" cm="1">
        <f t="array" aca="1" ref="K150" ca="1">INDEX($A$2:$A$15,RANDBETWEEN(1,ROWS($A$2:$A$15)),1)</f>
        <v>3</v>
      </c>
      <c r="L150" cm="1">
        <f t="array" aca="1" ref="L150" ca="1">INDEX($A$2:$A$15,RANDBETWEEN(1,ROWS($A$2:$A$15)),1)</f>
        <v>4</v>
      </c>
      <c r="M150" cm="1">
        <f t="array" aca="1" ref="M150" ca="1">INDEX($A$2:$A$15,RANDBETWEEN(1,ROWS($A$2:$A$15)),1)</f>
        <v>5</v>
      </c>
      <c r="N150" cm="1">
        <f t="array" aca="1" ref="N150" ca="1">INDEX($A$2:$A$15,RANDBETWEEN(1,ROWS($A$2:$A$15)),1)</f>
        <v>5</v>
      </c>
      <c r="O150" cm="1">
        <f t="array" aca="1" ref="O150" ca="1">INDEX($A$2:$A$15,RANDBETWEEN(1,ROWS($A$2:$A$15)),1)</f>
        <v>1</v>
      </c>
      <c r="P150" cm="1">
        <f t="array" aca="1" ref="P150" ca="1">INDEX($A$2:$A$15,RANDBETWEEN(1,ROWS($A$2:$A$15)),1)</f>
        <v>4</v>
      </c>
      <c r="Q150" cm="1">
        <f t="array" aca="1" ref="Q150" ca="1">INDEX($A$2:$A$15,RANDBETWEEN(1,ROWS($A$2:$A$15)),1)</f>
        <v>4</v>
      </c>
      <c r="R150" cm="1">
        <f t="array" aca="1" ref="R150" ca="1">INDEX($A$2:$A$15,RANDBETWEEN(1,ROWS($A$2:$A$15)),1)</f>
        <v>4</v>
      </c>
      <c r="S150" cm="1">
        <f t="array" aca="1" ref="S150" ca="1">INDEX($A$2:$A$15,RANDBETWEEN(1,ROWS($A$2:$A$15)),1)</f>
        <v>1</v>
      </c>
      <c r="V150">
        <f t="shared" ca="1" si="8"/>
        <v>3.5294117647058822</v>
      </c>
      <c r="W150">
        <f t="shared" ca="1" si="9"/>
        <v>4</v>
      </c>
      <c r="X150">
        <f t="shared" ca="1" si="10"/>
        <v>1</v>
      </c>
      <c r="Y150">
        <f t="shared" ca="1" si="11"/>
        <v>1.3746657347707996</v>
      </c>
    </row>
    <row r="151" spans="3:25" x14ac:dyDescent="0.35">
      <c r="C151" cm="1">
        <f t="array" aca="1" ref="C151" ca="1">INDEX($A$2:$A$15,RANDBETWEEN(1,ROWS($A$2:$A$15)),1)</f>
        <v>5</v>
      </c>
      <c r="D151" cm="1">
        <f t="array" aca="1" ref="D151" ca="1">INDEX($A$2:$A$15,RANDBETWEEN(1,ROWS($A$2:$A$15)),1)</f>
        <v>1</v>
      </c>
      <c r="E151" cm="1">
        <f t="array" aca="1" ref="E151" ca="1">INDEX($A$2:$A$15,RANDBETWEEN(1,ROWS($A$2:$A$15)),1)</f>
        <v>5</v>
      </c>
      <c r="F151" cm="1">
        <f t="array" aca="1" ref="F151" ca="1">INDEX($A$2:$A$15,RANDBETWEEN(1,ROWS($A$2:$A$15)),1)</f>
        <v>2</v>
      </c>
      <c r="G151" cm="1">
        <f t="array" aca="1" ref="G151" ca="1">INDEX($A$2:$A$15,RANDBETWEEN(1,ROWS($A$2:$A$15)),1)</f>
        <v>5</v>
      </c>
      <c r="H151" cm="1">
        <f t="array" aca="1" ref="H151" ca="1">INDEX($A$2:$A$15,RANDBETWEEN(1,ROWS($A$2:$A$15)),1)</f>
        <v>5</v>
      </c>
      <c r="I151" cm="1">
        <f t="array" aca="1" ref="I151" ca="1">INDEX($A$2:$A$15,RANDBETWEEN(1,ROWS($A$2:$A$15)),1)</f>
        <v>1</v>
      </c>
      <c r="J151" cm="1">
        <f t="array" aca="1" ref="J151" ca="1">INDEX($A$2:$A$15,RANDBETWEEN(1,ROWS($A$2:$A$15)),1)</f>
        <v>5</v>
      </c>
      <c r="K151" cm="1">
        <f t="array" aca="1" ref="K151" ca="1">INDEX($A$2:$A$15,RANDBETWEEN(1,ROWS($A$2:$A$15)),1)</f>
        <v>1</v>
      </c>
      <c r="L151" cm="1">
        <f t="array" aca="1" ref="L151" ca="1">INDEX($A$2:$A$15,RANDBETWEEN(1,ROWS($A$2:$A$15)),1)</f>
        <v>1</v>
      </c>
      <c r="M151" cm="1">
        <f t="array" aca="1" ref="M151" ca="1">INDEX($A$2:$A$15,RANDBETWEEN(1,ROWS($A$2:$A$15)),1)</f>
        <v>8</v>
      </c>
      <c r="N151" cm="1">
        <f t="array" aca="1" ref="N151" ca="1">INDEX($A$2:$A$15,RANDBETWEEN(1,ROWS($A$2:$A$15)),1)</f>
        <v>3</v>
      </c>
      <c r="O151" cm="1">
        <f t="array" aca="1" ref="O151" ca="1">INDEX($A$2:$A$15,RANDBETWEEN(1,ROWS($A$2:$A$15)),1)</f>
        <v>3</v>
      </c>
      <c r="P151" cm="1">
        <f t="array" aca="1" ref="P151" ca="1">INDEX($A$2:$A$15,RANDBETWEEN(1,ROWS($A$2:$A$15)),1)</f>
        <v>3</v>
      </c>
      <c r="Q151" cm="1">
        <f t="array" aca="1" ref="Q151" ca="1">INDEX($A$2:$A$15,RANDBETWEEN(1,ROWS($A$2:$A$15)),1)</f>
        <v>3</v>
      </c>
      <c r="R151" cm="1">
        <f t="array" aca="1" ref="R151" ca="1">INDEX($A$2:$A$15,RANDBETWEEN(1,ROWS($A$2:$A$15)),1)</f>
        <v>5</v>
      </c>
      <c r="S151" cm="1">
        <f t="array" aca="1" ref="S151" ca="1">INDEX($A$2:$A$15,RANDBETWEEN(1,ROWS($A$2:$A$15)),1)</f>
        <v>5</v>
      </c>
      <c r="V151">
        <f t="shared" ca="1" si="8"/>
        <v>3.5882352941176472</v>
      </c>
      <c r="W151">
        <f t="shared" ca="1" si="9"/>
        <v>3</v>
      </c>
      <c r="X151">
        <f t="shared" ca="1" si="10"/>
        <v>3</v>
      </c>
      <c r="Y151">
        <f t="shared" ca="1" si="11"/>
        <v>2.0018373912924274</v>
      </c>
    </row>
    <row r="152" spans="3:25" x14ac:dyDescent="0.35">
      <c r="C152" cm="1">
        <f t="array" aca="1" ref="C152" ca="1">INDEX($A$2:$A$15,RANDBETWEEN(1,ROWS($A$2:$A$15)),1)</f>
        <v>1</v>
      </c>
      <c r="D152" cm="1">
        <f t="array" aca="1" ref="D152" ca="1">INDEX($A$2:$A$15,RANDBETWEEN(1,ROWS($A$2:$A$15)),1)</f>
        <v>1</v>
      </c>
      <c r="E152" cm="1">
        <f t="array" aca="1" ref="E152" ca="1">INDEX($A$2:$A$15,RANDBETWEEN(1,ROWS($A$2:$A$15)),1)</f>
        <v>5</v>
      </c>
      <c r="F152" cm="1">
        <f t="array" aca="1" ref="F152" ca="1">INDEX($A$2:$A$15,RANDBETWEEN(1,ROWS($A$2:$A$15)),1)</f>
        <v>2</v>
      </c>
      <c r="G152" cm="1">
        <f t="array" aca="1" ref="G152" ca="1">INDEX($A$2:$A$15,RANDBETWEEN(1,ROWS($A$2:$A$15)),1)</f>
        <v>5</v>
      </c>
      <c r="H152" cm="1">
        <f t="array" aca="1" ref="H152" ca="1">INDEX($A$2:$A$15,RANDBETWEEN(1,ROWS($A$2:$A$15)),1)</f>
        <v>1</v>
      </c>
      <c r="I152" cm="1">
        <f t="array" aca="1" ref="I152" ca="1">INDEX($A$2:$A$15,RANDBETWEEN(1,ROWS($A$2:$A$15)),1)</f>
        <v>1</v>
      </c>
      <c r="J152" cm="1">
        <f t="array" aca="1" ref="J152" ca="1">INDEX($A$2:$A$15,RANDBETWEEN(1,ROWS($A$2:$A$15)),1)</f>
        <v>7</v>
      </c>
      <c r="K152" cm="1">
        <f t="array" aca="1" ref="K152" ca="1">INDEX($A$2:$A$15,RANDBETWEEN(1,ROWS($A$2:$A$15)),1)</f>
        <v>3</v>
      </c>
      <c r="L152" cm="1">
        <f t="array" aca="1" ref="L152" ca="1">INDEX($A$2:$A$15,RANDBETWEEN(1,ROWS($A$2:$A$15)),1)</f>
        <v>8</v>
      </c>
      <c r="M152" cm="1">
        <f t="array" aca="1" ref="M152" ca="1">INDEX($A$2:$A$15,RANDBETWEEN(1,ROWS($A$2:$A$15)),1)</f>
        <v>3</v>
      </c>
      <c r="N152" cm="1">
        <f t="array" aca="1" ref="N152" ca="1">INDEX($A$2:$A$15,RANDBETWEEN(1,ROWS($A$2:$A$15)),1)</f>
        <v>5</v>
      </c>
      <c r="O152" cm="1">
        <f t="array" aca="1" ref="O152" ca="1">INDEX($A$2:$A$15,RANDBETWEEN(1,ROWS($A$2:$A$15)),1)</f>
        <v>8</v>
      </c>
      <c r="P152" cm="1">
        <f t="array" aca="1" ref="P152" ca="1">INDEX($A$2:$A$15,RANDBETWEEN(1,ROWS($A$2:$A$15)),1)</f>
        <v>5</v>
      </c>
      <c r="Q152" cm="1">
        <f t="array" aca="1" ref="Q152" ca="1">INDEX($A$2:$A$15,RANDBETWEEN(1,ROWS($A$2:$A$15)),1)</f>
        <v>5</v>
      </c>
      <c r="R152" cm="1">
        <f t="array" aca="1" ref="R152" ca="1">INDEX($A$2:$A$15,RANDBETWEEN(1,ROWS($A$2:$A$15)),1)</f>
        <v>1</v>
      </c>
      <c r="S152" cm="1">
        <f t="array" aca="1" ref="S152" ca="1">INDEX($A$2:$A$15,RANDBETWEEN(1,ROWS($A$2:$A$15)),1)</f>
        <v>8</v>
      </c>
      <c r="V152">
        <f t="shared" ca="1" si="8"/>
        <v>4.0588235294117645</v>
      </c>
      <c r="W152">
        <f t="shared" ca="1" si="9"/>
        <v>5</v>
      </c>
      <c r="X152">
        <f t="shared" ca="1" si="10"/>
        <v>4</v>
      </c>
      <c r="Y152">
        <f t="shared" ca="1" si="11"/>
        <v>2.6568446566202857</v>
      </c>
    </row>
    <row r="153" spans="3:25" x14ac:dyDescent="0.35">
      <c r="C153" cm="1">
        <f t="array" aca="1" ref="C153" ca="1">INDEX($A$2:$A$15,RANDBETWEEN(1,ROWS($A$2:$A$15)),1)</f>
        <v>5</v>
      </c>
      <c r="D153" cm="1">
        <f t="array" aca="1" ref="D153" ca="1">INDEX($A$2:$A$15,RANDBETWEEN(1,ROWS($A$2:$A$15)),1)</f>
        <v>2</v>
      </c>
      <c r="E153" cm="1">
        <f t="array" aca="1" ref="E153" ca="1">INDEX($A$2:$A$15,RANDBETWEEN(1,ROWS($A$2:$A$15)),1)</f>
        <v>4</v>
      </c>
      <c r="F153" cm="1">
        <f t="array" aca="1" ref="F153" ca="1">INDEX($A$2:$A$15,RANDBETWEEN(1,ROWS($A$2:$A$15)),1)</f>
        <v>4</v>
      </c>
      <c r="G153" cm="1">
        <f t="array" aca="1" ref="G153" ca="1">INDEX($A$2:$A$15,RANDBETWEEN(1,ROWS($A$2:$A$15)),1)</f>
        <v>5</v>
      </c>
      <c r="H153" cm="1">
        <f t="array" aca="1" ref="H153" ca="1">INDEX($A$2:$A$15,RANDBETWEEN(1,ROWS($A$2:$A$15)),1)</f>
        <v>5</v>
      </c>
      <c r="I153" cm="1">
        <f t="array" aca="1" ref="I153" ca="1">INDEX($A$2:$A$15,RANDBETWEEN(1,ROWS($A$2:$A$15)),1)</f>
        <v>4</v>
      </c>
      <c r="J153" cm="1">
        <f t="array" aca="1" ref="J153" ca="1">INDEX($A$2:$A$15,RANDBETWEEN(1,ROWS($A$2:$A$15)),1)</f>
        <v>2</v>
      </c>
      <c r="K153" cm="1">
        <f t="array" aca="1" ref="K153" ca="1">INDEX($A$2:$A$15,RANDBETWEEN(1,ROWS($A$2:$A$15)),1)</f>
        <v>2</v>
      </c>
      <c r="L153" cm="1">
        <f t="array" aca="1" ref="L153" ca="1">INDEX($A$2:$A$15,RANDBETWEEN(1,ROWS($A$2:$A$15)),1)</f>
        <v>1</v>
      </c>
      <c r="M153" cm="1">
        <f t="array" aca="1" ref="M153" ca="1">INDEX($A$2:$A$15,RANDBETWEEN(1,ROWS($A$2:$A$15)),1)</f>
        <v>4</v>
      </c>
      <c r="N153" cm="1">
        <f t="array" aca="1" ref="N153" ca="1">INDEX($A$2:$A$15,RANDBETWEEN(1,ROWS($A$2:$A$15)),1)</f>
        <v>4</v>
      </c>
      <c r="O153" cm="1">
        <f t="array" aca="1" ref="O153" ca="1">INDEX($A$2:$A$15,RANDBETWEEN(1,ROWS($A$2:$A$15)),1)</f>
        <v>3</v>
      </c>
      <c r="P153" cm="1">
        <f t="array" aca="1" ref="P153" ca="1">INDEX($A$2:$A$15,RANDBETWEEN(1,ROWS($A$2:$A$15)),1)</f>
        <v>7</v>
      </c>
      <c r="Q153" cm="1">
        <f t="array" aca="1" ref="Q153" ca="1">INDEX($A$2:$A$15,RANDBETWEEN(1,ROWS($A$2:$A$15)),1)</f>
        <v>8</v>
      </c>
      <c r="R153" cm="1">
        <f t="array" aca="1" ref="R153" ca="1">INDEX($A$2:$A$15,RANDBETWEEN(1,ROWS($A$2:$A$15)),1)</f>
        <v>2</v>
      </c>
      <c r="S153" cm="1">
        <f t="array" aca="1" ref="S153" ca="1">INDEX($A$2:$A$15,RANDBETWEEN(1,ROWS($A$2:$A$15)),1)</f>
        <v>2</v>
      </c>
      <c r="V153">
        <f t="shared" ca="1" si="8"/>
        <v>3.7647058823529411</v>
      </c>
      <c r="W153">
        <f t="shared" ca="1" si="9"/>
        <v>4</v>
      </c>
      <c r="X153">
        <f t="shared" ca="1" si="10"/>
        <v>3</v>
      </c>
      <c r="Y153">
        <f t="shared" ca="1" si="11"/>
        <v>1.8884322785284717</v>
      </c>
    </row>
    <row r="154" spans="3:25" x14ac:dyDescent="0.35">
      <c r="C154" cm="1">
        <f t="array" aca="1" ref="C154" ca="1">INDEX($A$2:$A$15,RANDBETWEEN(1,ROWS($A$2:$A$15)),1)</f>
        <v>1</v>
      </c>
      <c r="D154" cm="1">
        <f t="array" aca="1" ref="D154" ca="1">INDEX($A$2:$A$15,RANDBETWEEN(1,ROWS($A$2:$A$15)),1)</f>
        <v>5</v>
      </c>
      <c r="E154" cm="1">
        <f t="array" aca="1" ref="E154" ca="1">INDEX($A$2:$A$15,RANDBETWEEN(1,ROWS($A$2:$A$15)),1)</f>
        <v>3</v>
      </c>
      <c r="F154" cm="1">
        <f t="array" aca="1" ref="F154" ca="1">INDEX($A$2:$A$15,RANDBETWEEN(1,ROWS($A$2:$A$15)),1)</f>
        <v>3</v>
      </c>
      <c r="G154" cm="1">
        <f t="array" aca="1" ref="G154" ca="1">INDEX($A$2:$A$15,RANDBETWEEN(1,ROWS($A$2:$A$15)),1)</f>
        <v>1</v>
      </c>
      <c r="H154" cm="1">
        <f t="array" aca="1" ref="H154" ca="1">INDEX($A$2:$A$15,RANDBETWEEN(1,ROWS($A$2:$A$15)),1)</f>
        <v>2</v>
      </c>
      <c r="I154" cm="1">
        <f t="array" aca="1" ref="I154" ca="1">INDEX($A$2:$A$15,RANDBETWEEN(1,ROWS($A$2:$A$15)),1)</f>
        <v>8</v>
      </c>
      <c r="J154" cm="1">
        <f t="array" aca="1" ref="J154" ca="1">INDEX($A$2:$A$15,RANDBETWEEN(1,ROWS($A$2:$A$15)),1)</f>
        <v>2</v>
      </c>
      <c r="K154" cm="1">
        <f t="array" aca="1" ref="K154" ca="1">INDEX($A$2:$A$15,RANDBETWEEN(1,ROWS($A$2:$A$15)),1)</f>
        <v>3</v>
      </c>
      <c r="L154" cm="1">
        <f t="array" aca="1" ref="L154" ca="1">INDEX($A$2:$A$15,RANDBETWEEN(1,ROWS($A$2:$A$15)),1)</f>
        <v>5</v>
      </c>
      <c r="M154" cm="1">
        <f t="array" aca="1" ref="M154" ca="1">INDEX($A$2:$A$15,RANDBETWEEN(1,ROWS($A$2:$A$15)),1)</f>
        <v>8</v>
      </c>
      <c r="N154" cm="1">
        <f t="array" aca="1" ref="N154" ca="1">INDEX($A$2:$A$15,RANDBETWEEN(1,ROWS($A$2:$A$15)),1)</f>
        <v>2</v>
      </c>
      <c r="O154" cm="1">
        <f t="array" aca="1" ref="O154" ca="1">INDEX($A$2:$A$15,RANDBETWEEN(1,ROWS($A$2:$A$15)),1)</f>
        <v>1</v>
      </c>
      <c r="P154" cm="1">
        <f t="array" aca="1" ref="P154" ca="1">INDEX($A$2:$A$15,RANDBETWEEN(1,ROWS($A$2:$A$15)),1)</f>
        <v>1</v>
      </c>
      <c r="Q154" cm="1">
        <f t="array" aca="1" ref="Q154" ca="1">INDEX($A$2:$A$15,RANDBETWEEN(1,ROWS($A$2:$A$15)),1)</f>
        <v>5</v>
      </c>
      <c r="R154" cm="1">
        <f t="array" aca="1" ref="R154" ca="1">INDEX($A$2:$A$15,RANDBETWEEN(1,ROWS($A$2:$A$15)),1)</f>
        <v>1</v>
      </c>
      <c r="S154" cm="1">
        <f t="array" aca="1" ref="S154" ca="1">INDEX($A$2:$A$15,RANDBETWEEN(1,ROWS($A$2:$A$15)),1)</f>
        <v>5</v>
      </c>
      <c r="V154">
        <f t="shared" ca="1" si="8"/>
        <v>3.2941176470588234</v>
      </c>
      <c r="W154">
        <f t="shared" ca="1" si="9"/>
        <v>3</v>
      </c>
      <c r="X154">
        <f t="shared" ca="1" si="10"/>
        <v>4</v>
      </c>
      <c r="Y154">
        <f t="shared" ca="1" si="11"/>
        <v>2.3389288649495343</v>
      </c>
    </row>
    <row r="155" spans="3:25" x14ac:dyDescent="0.35">
      <c r="C155" cm="1">
        <f t="array" aca="1" ref="C155" ca="1">INDEX($A$2:$A$15,RANDBETWEEN(1,ROWS($A$2:$A$15)),1)</f>
        <v>4</v>
      </c>
      <c r="D155" cm="1">
        <f t="array" aca="1" ref="D155" ca="1">INDEX($A$2:$A$15,RANDBETWEEN(1,ROWS($A$2:$A$15)),1)</f>
        <v>3</v>
      </c>
      <c r="E155" cm="1">
        <f t="array" aca="1" ref="E155" ca="1">INDEX($A$2:$A$15,RANDBETWEEN(1,ROWS($A$2:$A$15)),1)</f>
        <v>1</v>
      </c>
      <c r="F155" cm="1">
        <f t="array" aca="1" ref="F155" ca="1">INDEX($A$2:$A$15,RANDBETWEEN(1,ROWS($A$2:$A$15)),1)</f>
        <v>3</v>
      </c>
      <c r="G155" cm="1">
        <f t="array" aca="1" ref="G155" ca="1">INDEX($A$2:$A$15,RANDBETWEEN(1,ROWS($A$2:$A$15)),1)</f>
        <v>2</v>
      </c>
      <c r="H155" cm="1">
        <f t="array" aca="1" ref="H155" ca="1">INDEX($A$2:$A$15,RANDBETWEEN(1,ROWS($A$2:$A$15)),1)</f>
        <v>8</v>
      </c>
      <c r="I155" cm="1">
        <f t="array" aca="1" ref="I155" ca="1">INDEX($A$2:$A$15,RANDBETWEEN(1,ROWS($A$2:$A$15)),1)</f>
        <v>5</v>
      </c>
      <c r="J155" cm="1">
        <f t="array" aca="1" ref="J155" ca="1">INDEX($A$2:$A$15,RANDBETWEEN(1,ROWS($A$2:$A$15)),1)</f>
        <v>8</v>
      </c>
      <c r="K155" cm="1">
        <f t="array" aca="1" ref="K155" ca="1">INDEX($A$2:$A$15,RANDBETWEEN(1,ROWS($A$2:$A$15)),1)</f>
        <v>7</v>
      </c>
      <c r="L155" cm="1">
        <f t="array" aca="1" ref="L155" ca="1">INDEX($A$2:$A$15,RANDBETWEEN(1,ROWS($A$2:$A$15)),1)</f>
        <v>4</v>
      </c>
      <c r="M155" cm="1">
        <f t="array" aca="1" ref="M155" ca="1">INDEX($A$2:$A$15,RANDBETWEEN(1,ROWS($A$2:$A$15)),1)</f>
        <v>4</v>
      </c>
      <c r="N155" cm="1">
        <f t="array" aca="1" ref="N155" ca="1">INDEX($A$2:$A$15,RANDBETWEEN(1,ROWS($A$2:$A$15)),1)</f>
        <v>7</v>
      </c>
      <c r="O155" cm="1">
        <f t="array" aca="1" ref="O155" ca="1">INDEX($A$2:$A$15,RANDBETWEEN(1,ROWS($A$2:$A$15)),1)</f>
        <v>3</v>
      </c>
      <c r="P155" cm="1">
        <f t="array" aca="1" ref="P155" ca="1">INDEX($A$2:$A$15,RANDBETWEEN(1,ROWS($A$2:$A$15)),1)</f>
        <v>5</v>
      </c>
      <c r="Q155" cm="1">
        <f t="array" aca="1" ref="Q155" ca="1">INDEX($A$2:$A$15,RANDBETWEEN(1,ROWS($A$2:$A$15)),1)</f>
        <v>5</v>
      </c>
      <c r="R155" cm="1">
        <f t="array" aca="1" ref="R155" ca="1">INDEX($A$2:$A$15,RANDBETWEEN(1,ROWS($A$2:$A$15)),1)</f>
        <v>1</v>
      </c>
      <c r="S155" cm="1">
        <f t="array" aca="1" ref="S155" ca="1">INDEX($A$2:$A$15,RANDBETWEEN(1,ROWS($A$2:$A$15)),1)</f>
        <v>4</v>
      </c>
      <c r="V155">
        <f t="shared" ca="1" si="8"/>
        <v>4.3529411764705879</v>
      </c>
      <c r="W155">
        <f t="shared" ca="1" si="9"/>
        <v>4</v>
      </c>
      <c r="X155">
        <f t="shared" ca="1" si="10"/>
        <v>2</v>
      </c>
      <c r="Y155">
        <f t="shared" ca="1" si="11"/>
        <v>2.1777619380509727</v>
      </c>
    </row>
    <row r="156" spans="3:25" x14ac:dyDescent="0.35">
      <c r="C156" cm="1">
        <f t="array" aca="1" ref="C156" ca="1">INDEX($A$2:$A$15,RANDBETWEEN(1,ROWS($A$2:$A$15)),1)</f>
        <v>3</v>
      </c>
      <c r="D156" cm="1">
        <f t="array" aca="1" ref="D156" ca="1">INDEX($A$2:$A$15,RANDBETWEEN(1,ROWS($A$2:$A$15)),1)</f>
        <v>1</v>
      </c>
      <c r="E156" cm="1">
        <f t="array" aca="1" ref="E156" ca="1">INDEX($A$2:$A$15,RANDBETWEEN(1,ROWS($A$2:$A$15)),1)</f>
        <v>4</v>
      </c>
      <c r="F156" cm="1">
        <f t="array" aca="1" ref="F156" ca="1">INDEX($A$2:$A$15,RANDBETWEEN(1,ROWS($A$2:$A$15)),1)</f>
        <v>3</v>
      </c>
      <c r="G156" cm="1">
        <f t="array" aca="1" ref="G156" ca="1">INDEX($A$2:$A$15,RANDBETWEEN(1,ROWS($A$2:$A$15)),1)</f>
        <v>8</v>
      </c>
      <c r="H156" cm="1">
        <f t="array" aca="1" ref="H156" ca="1">INDEX($A$2:$A$15,RANDBETWEEN(1,ROWS($A$2:$A$15)),1)</f>
        <v>7</v>
      </c>
      <c r="I156" cm="1">
        <f t="array" aca="1" ref="I156" ca="1">INDEX($A$2:$A$15,RANDBETWEEN(1,ROWS($A$2:$A$15)),1)</f>
        <v>5</v>
      </c>
      <c r="J156" cm="1">
        <f t="array" aca="1" ref="J156" ca="1">INDEX($A$2:$A$15,RANDBETWEEN(1,ROWS($A$2:$A$15)),1)</f>
        <v>2</v>
      </c>
      <c r="K156" cm="1">
        <f t="array" aca="1" ref="K156" ca="1">INDEX($A$2:$A$15,RANDBETWEEN(1,ROWS($A$2:$A$15)),1)</f>
        <v>8</v>
      </c>
      <c r="L156" cm="1">
        <f t="array" aca="1" ref="L156" ca="1">INDEX($A$2:$A$15,RANDBETWEEN(1,ROWS($A$2:$A$15)),1)</f>
        <v>4</v>
      </c>
      <c r="M156" cm="1">
        <f t="array" aca="1" ref="M156" ca="1">INDEX($A$2:$A$15,RANDBETWEEN(1,ROWS($A$2:$A$15)),1)</f>
        <v>5</v>
      </c>
      <c r="N156" cm="1">
        <f t="array" aca="1" ref="N156" ca="1">INDEX($A$2:$A$15,RANDBETWEEN(1,ROWS($A$2:$A$15)),1)</f>
        <v>4</v>
      </c>
      <c r="O156" cm="1">
        <f t="array" aca="1" ref="O156" ca="1">INDEX($A$2:$A$15,RANDBETWEEN(1,ROWS($A$2:$A$15)),1)</f>
        <v>1</v>
      </c>
      <c r="P156" cm="1">
        <f t="array" aca="1" ref="P156" ca="1">INDEX($A$2:$A$15,RANDBETWEEN(1,ROWS($A$2:$A$15)),1)</f>
        <v>5</v>
      </c>
      <c r="Q156" cm="1">
        <f t="array" aca="1" ref="Q156" ca="1">INDEX($A$2:$A$15,RANDBETWEEN(1,ROWS($A$2:$A$15)),1)</f>
        <v>2</v>
      </c>
      <c r="R156" cm="1">
        <f t="array" aca="1" ref="R156" ca="1">INDEX($A$2:$A$15,RANDBETWEEN(1,ROWS($A$2:$A$15)),1)</f>
        <v>1</v>
      </c>
      <c r="S156" cm="1">
        <f t="array" aca="1" ref="S156" ca="1">INDEX($A$2:$A$15,RANDBETWEEN(1,ROWS($A$2:$A$15)),1)</f>
        <v>7</v>
      </c>
      <c r="V156">
        <f t="shared" ca="1" si="8"/>
        <v>4.117647058823529</v>
      </c>
      <c r="W156">
        <f t="shared" ca="1" si="9"/>
        <v>4</v>
      </c>
      <c r="X156">
        <f t="shared" ca="1" si="10"/>
        <v>3</v>
      </c>
      <c r="Y156">
        <f t="shared" ca="1" si="11"/>
        <v>2.3686059439356009</v>
      </c>
    </row>
    <row r="157" spans="3:25" x14ac:dyDescent="0.35">
      <c r="C157" cm="1">
        <f t="array" aca="1" ref="C157" ca="1">INDEX($A$2:$A$15,RANDBETWEEN(1,ROWS($A$2:$A$15)),1)</f>
        <v>4</v>
      </c>
      <c r="D157" cm="1">
        <f t="array" aca="1" ref="D157" ca="1">INDEX($A$2:$A$15,RANDBETWEEN(1,ROWS($A$2:$A$15)),1)</f>
        <v>4</v>
      </c>
      <c r="E157" cm="1">
        <f t="array" aca="1" ref="E157" ca="1">INDEX($A$2:$A$15,RANDBETWEEN(1,ROWS($A$2:$A$15)),1)</f>
        <v>1</v>
      </c>
      <c r="F157" cm="1">
        <f t="array" aca="1" ref="F157" ca="1">INDEX($A$2:$A$15,RANDBETWEEN(1,ROWS($A$2:$A$15)),1)</f>
        <v>5</v>
      </c>
      <c r="G157" cm="1">
        <f t="array" aca="1" ref="G157" ca="1">INDEX($A$2:$A$15,RANDBETWEEN(1,ROWS($A$2:$A$15)),1)</f>
        <v>1</v>
      </c>
      <c r="H157" cm="1">
        <f t="array" aca="1" ref="H157" ca="1">INDEX($A$2:$A$15,RANDBETWEEN(1,ROWS($A$2:$A$15)),1)</f>
        <v>2</v>
      </c>
      <c r="I157" cm="1">
        <f t="array" aca="1" ref="I157" ca="1">INDEX($A$2:$A$15,RANDBETWEEN(1,ROWS($A$2:$A$15)),1)</f>
        <v>1</v>
      </c>
      <c r="J157" cm="1">
        <f t="array" aca="1" ref="J157" ca="1">INDEX($A$2:$A$15,RANDBETWEEN(1,ROWS($A$2:$A$15)),1)</f>
        <v>5</v>
      </c>
      <c r="K157" cm="1">
        <f t="array" aca="1" ref="K157" ca="1">INDEX($A$2:$A$15,RANDBETWEEN(1,ROWS($A$2:$A$15)),1)</f>
        <v>4</v>
      </c>
      <c r="L157" cm="1">
        <f t="array" aca="1" ref="L157" ca="1">INDEX($A$2:$A$15,RANDBETWEEN(1,ROWS($A$2:$A$15)),1)</f>
        <v>1</v>
      </c>
      <c r="M157" cm="1">
        <f t="array" aca="1" ref="M157" ca="1">INDEX($A$2:$A$15,RANDBETWEEN(1,ROWS($A$2:$A$15)),1)</f>
        <v>5</v>
      </c>
      <c r="N157" cm="1">
        <f t="array" aca="1" ref="N157" ca="1">INDEX($A$2:$A$15,RANDBETWEEN(1,ROWS($A$2:$A$15)),1)</f>
        <v>8</v>
      </c>
      <c r="O157" cm="1">
        <f t="array" aca="1" ref="O157" ca="1">INDEX($A$2:$A$15,RANDBETWEEN(1,ROWS($A$2:$A$15)),1)</f>
        <v>4</v>
      </c>
      <c r="P157" cm="1">
        <f t="array" aca="1" ref="P157" ca="1">INDEX($A$2:$A$15,RANDBETWEEN(1,ROWS($A$2:$A$15)),1)</f>
        <v>1</v>
      </c>
      <c r="Q157" cm="1">
        <f t="array" aca="1" ref="Q157" ca="1">INDEX($A$2:$A$15,RANDBETWEEN(1,ROWS($A$2:$A$15)),1)</f>
        <v>1</v>
      </c>
      <c r="R157" cm="1">
        <f t="array" aca="1" ref="R157" ca="1">INDEX($A$2:$A$15,RANDBETWEEN(1,ROWS($A$2:$A$15)),1)</f>
        <v>7</v>
      </c>
      <c r="S157" cm="1">
        <f t="array" aca="1" ref="S157" ca="1">INDEX($A$2:$A$15,RANDBETWEEN(1,ROWS($A$2:$A$15)),1)</f>
        <v>1</v>
      </c>
      <c r="V157">
        <f t="shared" ca="1" si="8"/>
        <v>3.2352941176470589</v>
      </c>
      <c r="W157">
        <f t="shared" ca="1" si="9"/>
        <v>4</v>
      </c>
      <c r="X157">
        <f t="shared" ca="1" si="10"/>
        <v>4</v>
      </c>
      <c r="Y157">
        <f t="shared" ca="1" si="11"/>
        <v>2.3056835148363781</v>
      </c>
    </row>
    <row r="158" spans="3:25" x14ac:dyDescent="0.35">
      <c r="C158" cm="1">
        <f t="array" aca="1" ref="C158" ca="1">INDEX($A$2:$A$15,RANDBETWEEN(1,ROWS($A$2:$A$15)),1)</f>
        <v>5</v>
      </c>
      <c r="D158" cm="1">
        <f t="array" aca="1" ref="D158" ca="1">INDEX($A$2:$A$15,RANDBETWEEN(1,ROWS($A$2:$A$15)),1)</f>
        <v>5</v>
      </c>
      <c r="E158" cm="1">
        <f t="array" aca="1" ref="E158" ca="1">INDEX($A$2:$A$15,RANDBETWEEN(1,ROWS($A$2:$A$15)),1)</f>
        <v>8</v>
      </c>
      <c r="F158" cm="1">
        <f t="array" aca="1" ref="F158" ca="1">INDEX($A$2:$A$15,RANDBETWEEN(1,ROWS($A$2:$A$15)),1)</f>
        <v>7</v>
      </c>
      <c r="G158" cm="1">
        <f t="array" aca="1" ref="G158" ca="1">INDEX($A$2:$A$15,RANDBETWEEN(1,ROWS($A$2:$A$15)),1)</f>
        <v>3</v>
      </c>
      <c r="H158" cm="1">
        <f t="array" aca="1" ref="H158" ca="1">INDEX($A$2:$A$15,RANDBETWEEN(1,ROWS($A$2:$A$15)),1)</f>
        <v>8</v>
      </c>
      <c r="I158" cm="1">
        <f t="array" aca="1" ref="I158" ca="1">INDEX($A$2:$A$15,RANDBETWEEN(1,ROWS($A$2:$A$15)),1)</f>
        <v>8</v>
      </c>
      <c r="J158" cm="1">
        <f t="array" aca="1" ref="J158" ca="1">INDEX($A$2:$A$15,RANDBETWEEN(1,ROWS($A$2:$A$15)),1)</f>
        <v>3</v>
      </c>
      <c r="K158" cm="1">
        <f t="array" aca="1" ref="K158" ca="1">INDEX($A$2:$A$15,RANDBETWEEN(1,ROWS($A$2:$A$15)),1)</f>
        <v>5</v>
      </c>
      <c r="L158" cm="1">
        <f t="array" aca="1" ref="L158" ca="1">INDEX($A$2:$A$15,RANDBETWEEN(1,ROWS($A$2:$A$15)),1)</f>
        <v>1</v>
      </c>
      <c r="M158" cm="1">
        <f t="array" aca="1" ref="M158" ca="1">INDEX($A$2:$A$15,RANDBETWEEN(1,ROWS($A$2:$A$15)),1)</f>
        <v>3</v>
      </c>
      <c r="N158" cm="1">
        <f t="array" aca="1" ref="N158" ca="1">INDEX($A$2:$A$15,RANDBETWEEN(1,ROWS($A$2:$A$15)),1)</f>
        <v>5</v>
      </c>
      <c r="O158" cm="1">
        <f t="array" aca="1" ref="O158" ca="1">INDEX($A$2:$A$15,RANDBETWEEN(1,ROWS($A$2:$A$15)),1)</f>
        <v>4</v>
      </c>
      <c r="P158" cm="1">
        <f t="array" aca="1" ref="P158" ca="1">INDEX($A$2:$A$15,RANDBETWEEN(1,ROWS($A$2:$A$15)),1)</f>
        <v>4</v>
      </c>
      <c r="Q158" cm="1">
        <f t="array" aca="1" ref="Q158" ca="1">INDEX($A$2:$A$15,RANDBETWEEN(1,ROWS($A$2:$A$15)),1)</f>
        <v>1</v>
      </c>
      <c r="R158" cm="1">
        <f t="array" aca="1" ref="R158" ca="1">INDEX($A$2:$A$15,RANDBETWEEN(1,ROWS($A$2:$A$15)),1)</f>
        <v>4</v>
      </c>
      <c r="S158" cm="1">
        <f t="array" aca="1" ref="S158" ca="1">INDEX($A$2:$A$15,RANDBETWEEN(1,ROWS($A$2:$A$15)),1)</f>
        <v>1</v>
      </c>
      <c r="V158">
        <f t="shared" ca="1" si="8"/>
        <v>4.4117647058823533</v>
      </c>
      <c r="W158">
        <f t="shared" ca="1" si="9"/>
        <v>4</v>
      </c>
      <c r="X158">
        <f t="shared" ca="1" si="10"/>
        <v>2</v>
      </c>
      <c r="Y158">
        <f t="shared" ca="1" si="11"/>
        <v>2.3467750086398294</v>
      </c>
    </row>
    <row r="159" spans="3:25" x14ac:dyDescent="0.35">
      <c r="C159" cm="1">
        <f t="array" aca="1" ref="C159" ca="1">INDEX($A$2:$A$15,RANDBETWEEN(1,ROWS($A$2:$A$15)),1)</f>
        <v>5</v>
      </c>
      <c r="D159" cm="1">
        <f t="array" aca="1" ref="D159" ca="1">INDEX($A$2:$A$15,RANDBETWEEN(1,ROWS($A$2:$A$15)),1)</f>
        <v>5</v>
      </c>
      <c r="E159" cm="1">
        <f t="array" aca="1" ref="E159" ca="1">INDEX($A$2:$A$15,RANDBETWEEN(1,ROWS($A$2:$A$15)),1)</f>
        <v>5</v>
      </c>
      <c r="F159" cm="1">
        <f t="array" aca="1" ref="F159" ca="1">INDEX($A$2:$A$15,RANDBETWEEN(1,ROWS($A$2:$A$15)),1)</f>
        <v>1</v>
      </c>
      <c r="G159" cm="1">
        <f t="array" aca="1" ref="G159" ca="1">INDEX($A$2:$A$15,RANDBETWEEN(1,ROWS($A$2:$A$15)),1)</f>
        <v>5</v>
      </c>
      <c r="H159" cm="1">
        <f t="array" aca="1" ref="H159" ca="1">INDEX($A$2:$A$15,RANDBETWEEN(1,ROWS($A$2:$A$15)),1)</f>
        <v>5</v>
      </c>
      <c r="I159" cm="1">
        <f t="array" aca="1" ref="I159" ca="1">INDEX($A$2:$A$15,RANDBETWEEN(1,ROWS($A$2:$A$15)),1)</f>
        <v>5</v>
      </c>
      <c r="J159" cm="1">
        <f t="array" aca="1" ref="J159" ca="1">INDEX($A$2:$A$15,RANDBETWEEN(1,ROWS($A$2:$A$15)),1)</f>
        <v>1</v>
      </c>
      <c r="K159" cm="1">
        <f t="array" aca="1" ref="K159" ca="1">INDEX($A$2:$A$15,RANDBETWEEN(1,ROWS($A$2:$A$15)),1)</f>
        <v>5</v>
      </c>
      <c r="L159" cm="1">
        <f t="array" aca="1" ref="L159" ca="1">INDEX($A$2:$A$15,RANDBETWEEN(1,ROWS($A$2:$A$15)),1)</f>
        <v>3</v>
      </c>
      <c r="M159" cm="1">
        <f t="array" aca="1" ref="M159" ca="1">INDEX($A$2:$A$15,RANDBETWEEN(1,ROWS($A$2:$A$15)),1)</f>
        <v>5</v>
      </c>
      <c r="N159" cm="1">
        <f t="array" aca="1" ref="N159" ca="1">INDEX($A$2:$A$15,RANDBETWEEN(1,ROWS($A$2:$A$15)),1)</f>
        <v>3</v>
      </c>
      <c r="O159" cm="1">
        <f t="array" aca="1" ref="O159" ca="1">INDEX($A$2:$A$15,RANDBETWEEN(1,ROWS($A$2:$A$15)),1)</f>
        <v>8</v>
      </c>
      <c r="P159" cm="1">
        <f t="array" aca="1" ref="P159" ca="1">INDEX($A$2:$A$15,RANDBETWEEN(1,ROWS($A$2:$A$15)),1)</f>
        <v>3</v>
      </c>
      <c r="Q159" cm="1">
        <f t="array" aca="1" ref="Q159" ca="1">INDEX($A$2:$A$15,RANDBETWEEN(1,ROWS($A$2:$A$15)),1)</f>
        <v>7</v>
      </c>
      <c r="R159" cm="1">
        <f t="array" aca="1" ref="R159" ca="1">INDEX($A$2:$A$15,RANDBETWEEN(1,ROWS($A$2:$A$15)),1)</f>
        <v>5</v>
      </c>
      <c r="S159" cm="1">
        <f t="array" aca="1" ref="S159" ca="1">INDEX($A$2:$A$15,RANDBETWEEN(1,ROWS($A$2:$A$15)),1)</f>
        <v>3</v>
      </c>
      <c r="V159">
        <f t="shared" ca="1" si="8"/>
        <v>4.3529411764705879</v>
      </c>
      <c r="W159">
        <f t="shared" ca="1" si="9"/>
        <v>5</v>
      </c>
      <c r="X159">
        <f t="shared" ca="1" si="10"/>
        <v>2</v>
      </c>
      <c r="Y159">
        <f t="shared" ca="1" si="11"/>
        <v>1.8351149988007642</v>
      </c>
    </row>
    <row r="160" spans="3:25" x14ac:dyDescent="0.35">
      <c r="C160" cm="1">
        <f t="array" aca="1" ref="C160" ca="1">INDEX($A$2:$A$15,RANDBETWEEN(1,ROWS($A$2:$A$15)),1)</f>
        <v>5</v>
      </c>
      <c r="D160" cm="1">
        <f t="array" aca="1" ref="D160" ca="1">INDEX($A$2:$A$15,RANDBETWEEN(1,ROWS($A$2:$A$15)),1)</f>
        <v>4</v>
      </c>
      <c r="E160" cm="1">
        <f t="array" aca="1" ref="E160" ca="1">INDEX($A$2:$A$15,RANDBETWEEN(1,ROWS($A$2:$A$15)),1)</f>
        <v>7</v>
      </c>
      <c r="F160" cm="1">
        <f t="array" aca="1" ref="F160" ca="1">INDEX($A$2:$A$15,RANDBETWEEN(1,ROWS($A$2:$A$15)),1)</f>
        <v>7</v>
      </c>
      <c r="G160" cm="1">
        <f t="array" aca="1" ref="G160" ca="1">INDEX($A$2:$A$15,RANDBETWEEN(1,ROWS($A$2:$A$15)),1)</f>
        <v>3</v>
      </c>
      <c r="H160" cm="1">
        <f t="array" aca="1" ref="H160" ca="1">INDEX($A$2:$A$15,RANDBETWEEN(1,ROWS($A$2:$A$15)),1)</f>
        <v>4</v>
      </c>
      <c r="I160" cm="1">
        <f t="array" aca="1" ref="I160" ca="1">INDEX($A$2:$A$15,RANDBETWEEN(1,ROWS($A$2:$A$15)),1)</f>
        <v>5</v>
      </c>
      <c r="J160" cm="1">
        <f t="array" aca="1" ref="J160" ca="1">INDEX($A$2:$A$15,RANDBETWEEN(1,ROWS($A$2:$A$15)),1)</f>
        <v>2</v>
      </c>
      <c r="K160" cm="1">
        <f t="array" aca="1" ref="K160" ca="1">INDEX($A$2:$A$15,RANDBETWEEN(1,ROWS($A$2:$A$15)),1)</f>
        <v>2</v>
      </c>
      <c r="L160" cm="1">
        <f t="array" aca="1" ref="L160" ca="1">INDEX($A$2:$A$15,RANDBETWEEN(1,ROWS($A$2:$A$15)),1)</f>
        <v>4</v>
      </c>
      <c r="M160" cm="1">
        <f t="array" aca="1" ref="M160" ca="1">INDEX($A$2:$A$15,RANDBETWEEN(1,ROWS($A$2:$A$15)),1)</f>
        <v>5</v>
      </c>
      <c r="N160" cm="1">
        <f t="array" aca="1" ref="N160" ca="1">INDEX($A$2:$A$15,RANDBETWEEN(1,ROWS($A$2:$A$15)),1)</f>
        <v>5</v>
      </c>
      <c r="O160" cm="1">
        <f t="array" aca="1" ref="O160" ca="1">INDEX($A$2:$A$15,RANDBETWEEN(1,ROWS($A$2:$A$15)),1)</f>
        <v>5</v>
      </c>
      <c r="P160" cm="1">
        <f t="array" aca="1" ref="P160" ca="1">INDEX($A$2:$A$15,RANDBETWEEN(1,ROWS($A$2:$A$15)),1)</f>
        <v>7</v>
      </c>
      <c r="Q160" cm="1">
        <f t="array" aca="1" ref="Q160" ca="1">INDEX($A$2:$A$15,RANDBETWEEN(1,ROWS($A$2:$A$15)),1)</f>
        <v>1</v>
      </c>
      <c r="R160" cm="1">
        <f t="array" aca="1" ref="R160" ca="1">INDEX($A$2:$A$15,RANDBETWEEN(1,ROWS($A$2:$A$15)),1)</f>
        <v>5</v>
      </c>
      <c r="S160" cm="1">
        <f t="array" aca="1" ref="S160" ca="1">INDEX($A$2:$A$15,RANDBETWEEN(1,ROWS($A$2:$A$15)),1)</f>
        <v>3</v>
      </c>
      <c r="V160">
        <f t="shared" ca="1" si="8"/>
        <v>4.3529411764705879</v>
      </c>
      <c r="W160">
        <f t="shared" ca="1" si="9"/>
        <v>5</v>
      </c>
      <c r="X160">
        <f t="shared" ca="1" si="10"/>
        <v>2</v>
      </c>
      <c r="Y160">
        <f t="shared" ca="1" si="11"/>
        <v>1.7656860023298393</v>
      </c>
    </row>
    <row r="161" spans="3:25" x14ac:dyDescent="0.35">
      <c r="C161" cm="1">
        <f t="array" aca="1" ref="C161" ca="1">INDEX($A$2:$A$15,RANDBETWEEN(1,ROWS($A$2:$A$15)),1)</f>
        <v>4</v>
      </c>
      <c r="D161" cm="1">
        <f t="array" aca="1" ref="D161" ca="1">INDEX($A$2:$A$15,RANDBETWEEN(1,ROWS($A$2:$A$15)),1)</f>
        <v>4</v>
      </c>
      <c r="E161" cm="1">
        <f t="array" aca="1" ref="E161" ca="1">INDEX($A$2:$A$15,RANDBETWEEN(1,ROWS($A$2:$A$15)),1)</f>
        <v>4</v>
      </c>
      <c r="F161" cm="1">
        <f t="array" aca="1" ref="F161" ca="1">INDEX($A$2:$A$15,RANDBETWEEN(1,ROWS($A$2:$A$15)),1)</f>
        <v>3</v>
      </c>
      <c r="G161" cm="1">
        <f t="array" aca="1" ref="G161" ca="1">INDEX($A$2:$A$15,RANDBETWEEN(1,ROWS($A$2:$A$15)),1)</f>
        <v>3</v>
      </c>
      <c r="H161" cm="1">
        <f t="array" aca="1" ref="H161" ca="1">INDEX($A$2:$A$15,RANDBETWEEN(1,ROWS($A$2:$A$15)),1)</f>
        <v>5</v>
      </c>
      <c r="I161" cm="1">
        <f t="array" aca="1" ref="I161" ca="1">INDEX($A$2:$A$15,RANDBETWEEN(1,ROWS($A$2:$A$15)),1)</f>
        <v>5</v>
      </c>
      <c r="J161" cm="1">
        <f t="array" aca="1" ref="J161" ca="1">INDEX($A$2:$A$15,RANDBETWEEN(1,ROWS($A$2:$A$15)),1)</f>
        <v>4</v>
      </c>
      <c r="K161" cm="1">
        <f t="array" aca="1" ref="K161" ca="1">INDEX($A$2:$A$15,RANDBETWEEN(1,ROWS($A$2:$A$15)),1)</f>
        <v>1</v>
      </c>
      <c r="L161" cm="1">
        <f t="array" aca="1" ref="L161" ca="1">INDEX($A$2:$A$15,RANDBETWEEN(1,ROWS($A$2:$A$15)),1)</f>
        <v>5</v>
      </c>
      <c r="M161" cm="1">
        <f t="array" aca="1" ref="M161" ca="1">INDEX($A$2:$A$15,RANDBETWEEN(1,ROWS($A$2:$A$15)),1)</f>
        <v>5</v>
      </c>
      <c r="N161" cm="1">
        <f t="array" aca="1" ref="N161" ca="1">INDEX($A$2:$A$15,RANDBETWEEN(1,ROWS($A$2:$A$15)),1)</f>
        <v>5</v>
      </c>
      <c r="O161" cm="1">
        <f t="array" aca="1" ref="O161" ca="1">INDEX($A$2:$A$15,RANDBETWEEN(1,ROWS($A$2:$A$15)),1)</f>
        <v>1</v>
      </c>
      <c r="P161" cm="1">
        <f t="array" aca="1" ref="P161" ca="1">INDEX($A$2:$A$15,RANDBETWEEN(1,ROWS($A$2:$A$15)),1)</f>
        <v>8</v>
      </c>
      <c r="Q161" cm="1">
        <f t="array" aca="1" ref="Q161" ca="1">INDEX($A$2:$A$15,RANDBETWEEN(1,ROWS($A$2:$A$15)),1)</f>
        <v>3</v>
      </c>
      <c r="R161" cm="1">
        <f t="array" aca="1" ref="R161" ca="1">INDEX($A$2:$A$15,RANDBETWEEN(1,ROWS($A$2:$A$15)),1)</f>
        <v>5</v>
      </c>
      <c r="S161" cm="1">
        <f t="array" aca="1" ref="S161" ca="1">INDEX($A$2:$A$15,RANDBETWEEN(1,ROWS($A$2:$A$15)),1)</f>
        <v>3</v>
      </c>
      <c r="V161">
        <f t="shared" ca="1" si="8"/>
        <v>4</v>
      </c>
      <c r="W161">
        <f t="shared" ca="1" si="9"/>
        <v>4</v>
      </c>
      <c r="X161">
        <f t="shared" ca="1" si="10"/>
        <v>2</v>
      </c>
      <c r="Y161">
        <f t="shared" ca="1" si="11"/>
        <v>1.6583123951776999</v>
      </c>
    </row>
    <row r="162" spans="3:25" x14ac:dyDescent="0.35">
      <c r="C162" cm="1">
        <f t="array" aca="1" ref="C162" ca="1">INDEX($A$2:$A$15,RANDBETWEEN(1,ROWS($A$2:$A$15)),1)</f>
        <v>5</v>
      </c>
      <c r="D162" cm="1">
        <f t="array" aca="1" ref="D162" ca="1">INDEX($A$2:$A$15,RANDBETWEEN(1,ROWS($A$2:$A$15)),1)</f>
        <v>5</v>
      </c>
      <c r="E162" cm="1">
        <f t="array" aca="1" ref="E162" ca="1">INDEX($A$2:$A$15,RANDBETWEEN(1,ROWS($A$2:$A$15)),1)</f>
        <v>7</v>
      </c>
      <c r="F162" cm="1">
        <f t="array" aca="1" ref="F162" ca="1">INDEX($A$2:$A$15,RANDBETWEEN(1,ROWS($A$2:$A$15)),1)</f>
        <v>5</v>
      </c>
      <c r="G162" cm="1">
        <f t="array" aca="1" ref="G162" ca="1">INDEX($A$2:$A$15,RANDBETWEEN(1,ROWS($A$2:$A$15)),1)</f>
        <v>4</v>
      </c>
      <c r="H162" cm="1">
        <f t="array" aca="1" ref="H162" ca="1">INDEX($A$2:$A$15,RANDBETWEEN(1,ROWS($A$2:$A$15)),1)</f>
        <v>5</v>
      </c>
      <c r="I162" cm="1">
        <f t="array" aca="1" ref="I162" ca="1">INDEX($A$2:$A$15,RANDBETWEEN(1,ROWS($A$2:$A$15)),1)</f>
        <v>2</v>
      </c>
      <c r="J162" cm="1">
        <f t="array" aca="1" ref="J162" ca="1">INDEX($A$2:$A$15,RANDBETWEEN(1,ROWS($A$2:$A$15)),1)</f>
        <v>4</v>
      </c>
      <c r="K162" cm="1">
        <f t="array" aca="1" ref="K162" ca="1">INDEX($A$2:$A$15,RANDBETWEEN(1,ROWS($A$2:$A$15)),1)</f>
        <v>4</v>
      </c>
      <c r="L162" cm="1">
        <f t="array" aca="1" ref="L162" ca="1">INDEX($A$2:$A$15,RANDBETWEEN(1,ROWS($A$2:$A$15)),1)</f>
        <v>1</v>
      </c>
      <c r="M162" cm="1">
        <f t="array" aca="1" ref="M162" ca="1">INDEX($A$2:$A$15,RANDBETWEEN(1,ROWS($A$2:$A$15)),1)</f>
        <v>8</v>
      </c>
      <c r="N162" cm="1">
        <f t="array" aca="1" ref="N162" ca="1">INDEX($A$2:$A$15,RANDBETWEEN(1,ROWS($A$2:$A$15)),1)</f>
        <v>1</v>
      </c>
      <c r="O162" cm="1">
        <f t="array" aca="1" ref="O162" ca="1">INDEX($A$2:$A$15,RANDBETWEEN(1,ROWS($A$2:$A$15)),1)</f>
        <v>1</v>
      </c>
      <c r="P162" cm="1">
        <f t="array" aca="1" ref="P162" ca="1">INDEX($A$2:$A$15,RANDBETWEEN(1,ROWS($A$2:$A$15)),1)</f>
        <v>4</v>
      </c>
      <c r="Q162" cm="1">
        <f t="array" aca="1" ref="Q162" ca="1">INDEX($A$2:$A$15,RANDBETWEEN(1,ROWS($A$2:$A$15)),1)</f>
        <v>5</v>
      </c>
      <c r="R162" cm="1">
        <f t="array" aca="1" ref="R162" ca="1">INDEX($A$2:$A$15,RANDBETWEEN(1,ROWS($A$2:$A$15)),1)</f>
        <v>5</v>
      </c>
      <c r="S162" cm="1">
        <f t="array" aca="1" ref="S162" ca="1">INDEX($A$2:$A$15,RANDBETWEEN(1,ROWS($A$2:$A$15)),1)</f>
        <v>5</v>
      </c>
      <c r="V162">
        <f t="shared" ca="1" si="8"/>
        <v>4.1764705882352944</v>
      </c>
      <c r="W162">
        <f t="shared" ca="1" si="9"/>
        <v>5</v>
      </c>
      <c r="X162">
        <f t="shared" ca="1" si="10"/>
        <v>1</v>
      </c>
      <c r="Y162">
        <f t="shared" ca="1" si="11"/>
        <v>1.9759584420492968</v>
      </c>
    </row>
    <row r="163" spans="3:25" x14ac:dyDescent="0.35">
      <c r="C163" cm="1">
        <f t="array" aca="1" ref="C163" ca="1">INDEX($A$2:$A$15,RANDBETWEEN(1,ROWS($A$2:$A$15)),1)</f>
        <v>3</v>
      </c>
      <c r="D163" cm="1">
        <f t="array" aca="1" ref="D163" ca="1">INDEX($A$2:$A$15,RANDBETWEEN(1,ROWS($A$2:$A$15)),1)</f>
        <v>7</v>
      </c>
      <c r="E163" cm="1">
        <f t="array" aca="1" ref="E163" ca="1">INDEX($A$2:$A$15,RANDBETWEEN(1,ROWS($A$2:$A$15)),1)</f>
        <v>5</v>
      </c>
      <c r="F163" cm="1">
        <f t="array" aca="1" ref="F163" ca="1">INDEX($A$2:$A$15,RANDBETWEEN(1,ROWS($A$2:$A$15)),1)</f>
        <v>5</v>
      </c>
      <c r="G163" cm="1">
        <f t="array" aca="1" ref="G163" ca="1">INDEX($A$2:$A$15,RANDBETWEEN(1,ROWS($A$2:$A$15)),1)</f>
        <v>5</v>
      </c>
      <c r="H163" cm="1">
        <f t="array" aca="1" ref="H163" ca="1">INDEX($A$2:$A$15,RANDBETWEEN(1,ROWS($A$2:$A$15)),1)</f>
        <v>1</v>
      </c>
      <c r="I163" cm="1">
        <f t="array" aca="1" ref="I163" ca="1">INDEX($A$2:$A$15,RANDBETWEEN(1,ROWS($A$2:$A$15)),1)</f>
        <v>8</v>
      </c>
      <c r="J163" cm="1">
        <f t="array" aca="1" ref="J163" ca="1">INDEX($A$2:$A$15,RANDBETWEEN(1,ROWS($A$2:$A$15)),1)</f>
        <v>2</v>
      </c>
      <c r="K163" cm="1">
        <f t="array" aca="1" ref="K163" ca="1">INDEX($A$2:$A$15,RANDBETWEEN(1,ROWS($A$2:$A$15)),1)</f>
        <v>2</v>
      </c>
      <c r="L163" cm="1">
        <f t="array" aca="1" ref="L163" ca="1">INDEX($A$2:$A$15,RANDBETWEEN(1,ROWS($A$2:$A$15)),1)</f>
        <v>8</v>
      </c>
      <c r="M163" cm="1">
        <f t="array" aca="1" ref="M163" ca="1">INDEX($A$2:$A$15,RANDBETWEEN(1,ROWS($A$2:$A$15)),1)</f>
        <v>4</v>
      </c>
      <c r="N163" cm="1">
        <f t="array" aca="1" ref="N163" ca="1">INDEX($A$2:$A$15,RANDBETWEEN(1,ROWS($A$2:$A$15)),1)</f>
        <v>7</v>
      </c>
      <c r="O163" cm="1">
        <f t="array" aca="1" ref="O163" ca="1">INDEX($A$2:$A$15,RANDBETWEEN(1,ROWS($A$2:$A$15)),1)</f>
        <v>5</v>
      </c>
      <c r="P163" cm="1">
        <f t="array" aca="1" ref="P163" ca="1">INDEX($A$2:$A$15,RANDBETWEEN(1,ROWS($A$2:$A$15)),1)</f>
        <v>5</v>
      </c>
      <c r="Q163" cm="1">
        <f t="array" aca="1" ref="Q163" ca="1">INDEX($A$2:$A$15,RANDBETWEEN(1,ROWS($A$2:$A$15)),1)</f>
        <v>5</v>
      </c>
      <c r="R163" cm="1">
        <f t="array" aca="1" ref="R163" ca="1">INDEX($A$2:$A$15,RANDBETWEEN(1,ROWS($A$2:$A$15)),1)</f>
        <v>7</v>
      </c>
      <c r="S163" cm="1">
        <f t="array" aca="1" ref="S163" ca="1">INDEX($A$2:$A$15,RANDBETWEEN(1,ROWS($A$2:$A$15)),1)</f>
        <v>3</v>
      </c>
      <c r="V163">
        <f t="shared" ca="1" si="8"/>
        <v>4.8235294117647056</v>
      </c>
      <c r="W163">
        <f t="shared" ca="1" si="9"/>
        <v>5</v>
      </c>
      <c r="X163">
        <f t="shared" ca="1" si="10"/>
        <v>4</v>
      </c>
      <c r="Y163">
        <f t="shared" ca="1" si="11"/>
        <v>2.1282414723677112</v>
      </c>
    </row>
    <row r="164" spans="3:25" x14ac:dyDescent="0.35">
      <c r="C164" cm="1">
        <f t="array" aca="1" ref="C164" ca="1">INDEX($A$2:$A$15,RANDBETWEEN(1,ROWS($A$2:$A$15)),1)</f>
        <v>2</v>
      </c>
      <c r="D164" cm="1">
        <f t="array" aca="1" ref="D164" ca="1">INDEX($A$2:$A$15,RANDBETWEEN(1,ROWS($A$2:$A$15)),1)</f>
        <v>5</v>
      </c>
      <c r="E164" cm="1">
        <f t="array" aca="1" ref="E164" ca="1">INDEX($A$2:$A$15,RANDBETWEEN(1,ROWS($A$2:$A$15)),1)</f>
        <v>3</v>
      </c>
      <c r="F164" cm="1">
        <f t="array" aca="1" ref="F164" ca="1">INDEX($A$2:$A$15,RANDBETWEEN(1,ROWS($A$2:$A$15)),1)</f>
        <v>3</v>
      </c>
      <c r="G164" cm="1">
        <f t="array" aca="1" ref="G164" ca="1">INDEX($A$2:$A$15,RANDBETWEEN(1,ROWS($A$2:$A$15)),1)</f>
        <v>1</v>
      </c>
      <c r="H164" cm="1">
        <f t="array" aca="1" ref="H164" ca="1">INDEX($A$2:$A$15,RANDBETWEEN(1,ROWS($A$2:$A$15)),1)</f>
        <v>5</v>
      </c>
      <c r="I164" cm="1">
        <f t="array" aca="1" ref="I164" ca="1">INDEX($A$2:$A$15,RANDBETWEEN(1,ROWS($A$2:$A$15)),1)</f>
        <v>4</v>
      </c>
      <c r="J164" cm="1">
        <f t="array" aca="1" ref="J164" ca="1">INDEX($A$2:$A$15,RANDBETWEEN(1,ROWS($A$2:$A$15)),1)</f>
        <v>4</v>
      </c>
      <c r="K164" cm="1">
        <f t="array" aca="1" ref="K164" ca="1">INDEX($A$2:$A$15,RANDBETWEEN(1,ROWS($A$2:$A$15)),1)</f>
        <v>1</v>
      </c>
      <c r="L164" cm="1">
        <f t="array" aca="1" ref="L164" ca="1">INDEX($A$2:$A$15,RANDBETWEEN(1,ROWS($A$2:$A$15)),1)</f>
        <v>5</v>
      </c>
      <c r="M164" cm="1">
        <f t="array" aca="1" ref="M164" ca="1">INDEX($A$2:$A$15,RANDBETWEEN(1,ROWS($A$2:$A$15)),1)</f>
        <v>4</v>
      </c>
      <c r="N164" cm="1">
        <f t="array" aca="1" ref="N164" ca="1">INDEX($A$2:$A$15,RANDBETWEEN(1,ROWS($A$2:$A$15)),1)</f>
        <v>1</v>
      </c>
      <c r="O164" cm="1">
        <f t="array" aca="1" ref="O164" ca="1">INDEX($A$2:$A$15,RANDBETWEEN(1,ROWS($A$2:$A$15)),1)</f>
        <v>1</v>
      </c>
      <c r="P164" cm="1">
        <f t="array" aca="1" ref="P164" ca="1">INDEX($A$2:$A$15,RANDBETWEEN(1,ROWS($A$2:$A$15)),1)</f>
        <v>8</v>
      </c>
      <c r="Q164" cm="1">
        <f t="array" aca="1" ref="Q164" ca="1">INDEX($A$2:$A$15,RANDBETWEEN(1,ROWS($A$2:$A$15)),1)</f>
        <v>5</v>
      </c>
      <c r="R164" cm="1">
        <f t="array" aca="1" ref="R164" ca="1">INDEX($A$2:$A$15,RANDBETWEEN(1,ROWS($A$2:$A$15)),1)</f>
        <v>4</v>
      </c>
      <c r="S164" cm="1">
        <f t="array" aca="1" ref="S164" ca="1">INDEX($A$2:$A$15,RANDBETWEEN(1,ROWS($A$2:$A$15)),1)</f>
        <v>8</v>
      </c>
      <c r="V164">
        <f t="shared" ca="1" si="8"/>
        <v>3.7647058823529411</v>
      </c>
      <c r="W164">
        <f t="shared" ca="1" si="9"/>
        <v>4</v>
      </c>
      <c r="X164">
        <f t="shared" ca="1" si="10"/>
        <v>3</v>
      </c>
      <c r="Y164">
        <f t="shared" ca="1" si="11"/>
        <v>2.1945788822888632</v>
      </c>
    </row>
    <row r="165" spans="3:25" x14ac:dyDescent="0.35">
      <c r="C165" cm="1">
        <f t="array" aca="1" ref="C165" ca="1">INDEX($A$2:$A$15,RANDBETWEEN(1,ROWS($A$2:$A$15)),1)</f>
        <v>7</v>
      </c>
      <c r="D165" cm="1">
        <f t="array" aca="1" ref="D165" ca="1">INDEX($A$2:$A$15,RANDBETWEEN(1,ROWS($A$2:$A$15)),1)</f>
        <v>5</v>
      </c>
      <c r="E165" cm="1">
        <f t="array" aca="1" ref="E165" ca="1">INDEX($A$2:$A$15,RANDBETWEEN(1,ROWS($A$2:$A$15)),1)</f>
        <v>5</v>
      </c>
      <c r="F165" cm="1">
        <f t="array" aca="1" ref="F165" ca="1">INDEX($A$2:$A$15,RANDBETWEEN(1,ROWS($A$2:$A$15)),1)</f>
        <v>5</v>
      </c>
      <c r="G165" cm="1">
        <f t="array" aca="1" ref="G165" ca="1">INDEX($A$2:$A$15,RANDBETWEEN(1,ROWS($A$2:$A$15)),1)</f>
        <v>3</v>
      </c>
      <c r="H165" cm="1">
        <f t="array" aca="1" ref="H165" ca="1">INDEX($A$2:$A$15,RANDBETWEEN(1,ROWS($A$2:$A$15)),1)</f>
        <v>5</v>
      </c>
      <c r="I165" cm="1">
        <f t="array" aca="1" ref="I165" ca="1">INDEX($A$2:$A$15,RANDBETWEEN(1,ROWS($A$2:$A$15)),1)</f>
        <v>1</v>
      </c>
      <c r="J165" cm="1">
        <f t="array" aca="1" ref="J165" ca="1">INDEX($A$2:$A$15,RANDBETWEEN(1,ROWS($A$2:$A$15)),1)</f>
        <v>1</v>
      </c>
      <c r="K165" cm="1">
        <f t="array" aca="1" ref="K165" ca="1">INDEX($A$2:$A$15,RANDBETWEEN(1,ROWS($A$2:$A$15)),1)</f>
        <v>4</v>
      </c>
      <c r="L165" cm="1">
        <f t="array" aca="1" ref="L165" ca="1">INDEX($A$2:$A$15,RANDBETWEEN(1,ROWS($A$2:$A$15)),1)</f>
        <v>5</v>
      </c>
      <c r="M165" cm="1">
        <f t="array" aca="1" ref="M165" ca="1">INDEX($A$2:$A$15,RANDBETWEEN(1,ROWS($A$2:$A$15)),1)</f>
        <v>7</v>
      </c>
      <c r="N165" cm="1">
        <f t="array" aca="1" ref="N165" ca="1">INDEX($A$2:$A$15,RANDBETWEEN(1,ROWS($A$2:$A$15)),1)</f>
        <v>5</v>
      </c>
      <c r="O165" cm="1">
        <f t="array" aca="1" ref="O165" ca="1">INDEX($A$2:$A$15,RANDBETWEEN(1,ROWS($A$2:$A$15)),1)</f>
        <v>3</v>
      </c>
      <c r="P165" cm="1">
        <f t="array" aca="1" ref="P165" ca="1">INDEX($A$2:$A$15,RANDBETWEEN(1,ROWS($A$2:$A$15)),1)</f>
        <v>3</v>
      </c>
      <c r="Q165" cm="1">
        <f t="array" aca="1" ref="Q165" ca="1">INDEX($A$2:$A$15,RANDBETWEEN(1,ROWS($A$2:$A$15)),1)</f>
        <v>3</v>
      </c>
      <c r="R165" cm="1">
        <f t="array" aca="1" ref="R165" ca="1">INDEX($A$2:$A$15,RANDBETWEEN(1,ROWS($A$2:$A$15)),1)</f>
        <v>8</v>
      </c>
      <c r="S165" cm="1">
        <f t="array" aca="1" ref="S165" ca="1">INDEX($A$2:$A$15,RANDBETWEEN(1,ROWS($A$2:$A$15)),1)</f>
        <v>1</v>
      </c>
      <c r="V165">
        <f t="shared" ca="1" si="8"/>
        <v>4.1764705882352944</v>
      </c>
      <c r="W165">
        <f t="shared" ca="1" si="9"/>
        <v>5</v>
      </c>
      <c r="X165">
        <f t="shared" ca="1" si="10"/>
        <v>2</v>
      </c>
      <c r="Y165">
        <f t="shared" ca="1" si="11"/>
        <v>2.0986690460160422</v>
      </c>
    </row>
    <row r="166" spans="3:25" x14ac:dyDescent="0.35">
      <c r="C166" cm="1">
        <f t="array" aca="1" ref="C166" ca="1">INDEX($A$2:$A$15,RANDBETWEEN(1,ROWS($A$2:$A$15)),1)</f>
        <v>5</v>
      </c>
      <c r="D166" cm="1">
        <f t="array" aca="1" ref="D166" ca="1">INDEX($A$2:$A$15,RANDBETWEEN(1,ROWS($A$2:$A$15)),1)</f>
        <v>1</v>
      </c>
      <c r="E166" cm="1">
        <f t="array" aca="1" ref="E166" ca="1">INDEX($A$2:$A$15,RANDBETWEEN(1,ROWS($A$2:$A$15)),1)</f>
        <v>1</v>
      </c>
      <c r="F166" cm="1">
        <f t="array" aca="1" ref="F166" ca="1">INDEX($A$2:$A$15,RANDBETWEEN(1,ROWS($A$2:$A$15)),1)</f>
        <v>5</v>
      </c>
      <c r="G166" cm="1">
        <f t="array" aca="1" ref="G166" ca="1">INDEX($A$2:$A$15,RANDBETWEEN(1,ROWS($A$2:$A$15)),1)</f>
        <v>8</v>
      </c>
      <c r="H166" cm="1">
        <f t="array" aca="1" ref="H166" ca="1">INDEX($A$2:$A$15,RANDBETWEEN(1,ROWS($A$2:$A$15)),1)</f>
        <v>5</v>
      </c>
      <c r="I166" cm="1">
        <f t="array" aca="1" ref="I166" ca="1">INDEX($A$2:$A$15,RANDBETWEEN(1,ROWS($A$2:$A$15)),1)</f>
        <v>7</v>
      </c>
      <c r="J166" cm="1">
        <f t="array" aca="1" ref="J166" ca="1">INDEX($A$2:$A$15,RANDBETWEEN(1,ROWS($A$2:$A$15)),1)</f>
        <v>2</v>
      </c>
      <c r="K166" cm="1">
        <f t="array" aca="1" ref="K166" ca="1">INDEX($A$2:$A$15,RANDBETWEEN(1,ROWS($A$2:$A$15)),1)</f>
        <v>5</v>
      </c>
      <c r="L166" cm="1">
        <f t="array" aca="1" ref="L166" ca="1">INDEX($A$2:$A$15,RANDBETWEEN(1,ROWS($A$2:$A$15)),1)</f>
        <v>7</v>
      </c>
      <c r="M166" cm="1">
        <f t="array" aca="1" ref="M166" ca="1">INDEX($A$2:$A$15,RANDBETWEEN(1,ROWS($A$2:$A$15)),1)</f>
        <v>1</v>
      </c>
      <c r="N166" cm="1">
        <f t="array" aca="1" ref="N166" ca="1">INDEX($A$2:$A$15,RANDBETWEEN(1,ROWS($A$2:$A$15)),1)</f>
        <v>1</v>
      </c>
      <c r="O166" cm="1">
        <f t="array" aca="1" ref="O166" ca="1">INDEX($A$2:$A$15,RANDBETWEEN(1,ROWS($A$2:$A$15)),1)</f>
        <v>5</v>
      </c>
      <c r="P166" cm="1">
        <f t="array" aca="1" ref="P166" ca="1">INDEX($A$2:$A$15,RANDBETWEEN(1,ROWS($A$2:$A$15)),1)</f>
        <v>1</v>
      </c>
      <c r="Q166" cm="1">
        <f t="array" aca="1" ref="Q166" ca="1">INDEX($A$2:$A$15,RANDBETWEEN(1,ROWS($A$2:$A$15)),1)</f>
        <v>4</v>
      </c>
      <c r="R166" cm="1">
        <f t="array" aca="1" ref="R166" ca="1">INDEX($A$2:$A$15,RANDBETWEEN(1,ROWS($A$2:$A$15)),1)</f>
        <v>1</v>
      </c>
      <c r="S166" cm="1">
        <f t="array" aca="1" ref="S166" ca="1">INDEX($A$2:$A$15,RANDBETWEEN(1,ROWS($A$2:$A$15)),1)</f>
        <v>7</v>
      </c>
      <c r="V166">
        <f t="shared" ca="1" si="8"/>
        <v>3.8823529411764706</v>
      </c>
      <c r="W166">
        <f t="shared" ca="1" si="9"/>
        <v>5</v>
      </c>
      <c r="X166">
        <f t="shared" ca="1" si="10"/>
        <v>4</v>
      </c>
      <c r="Y166">
        <f t="shared" ca="1" si="11"/>
        <v>2.5710492250532773</v>
      </c>
    </row>
    <row r="167" spans="3:25" x14ac:dyDescent="0.35">
      <c r="C167" cm="1">
        <f t="array" aca="1" ref="C167" ca="1">INDEX($A$2:$A$15,RANDBETWEEN(1,ROWS($A$2:$A$15)),1)</f>
        <v>1</v>
      </c>
      <c r="D167" cm="1">
        <f t="array" aca="1" ref="D167" ca="1">INDEX($A$2:$A$15,RANDBETWEEN(1,ROWS($A$2:$A$15)),1)</f>
        <v>3</v>
      </c>
      <c r="E167" cm="1">
        <f t="array" aca="1" ref="E167" ca="1">INDEX($A$2:$A$15,RANDBETWEEN(1,ROWS($A$2:$A$15)),1)</f>
        <v>5</v>
      </c>
      <c r="F167" cm="1">
        <f t="array" aca="1" ref="F167" ca="1">INDEX($A$2:$A$15,RANDBETWEEN(1,ROWS($A$2:$A$15)),1)</f>
        <v>5</v>
      </c>
      <c r="G167" cm="1">
        <f t="array" aca="1" ref="G167" ca="1">INDEX($A$2:$A$15,RANDBETWEEN(1,ROWS($A$2:$A$15)),1)</f>
        <v>1</v>
      </c>
      <c r="H167" cm="1">
        <f t="array" aca="1" ref="H167" ca="1">INDEX($A$2:$A$15,RANDBETWEEN(1,ROWS($A$2:$A$15)),1)</f>
        <v>7</v>
      </c>
      <c r="I167" cm="1">
        <f t="array" aca="1" ref="I167" ca="1">INDEX($A$2:$A$15,RANDBETWEEN(1,ROWS($A$2:$A$15)),1)</f>
        <v>1</v>
      </c>
      <c r="J167" cm="1">
        <f t="array" aca="1" ref="J167" ca="1">INDEX($A$2:$A$15,RANDBETWEEN(1,ROWS($A$2:$A$15)),1)</f>
        <v>5</v>
      </c>
      <c r="K167" cm="1">
        <f t="array" aca="1" ref="K167" ca="1">INDEX($A$2:$A$15,RANDBETWEEN(1,ROWS($A$2:$A$15)),1)</f>
        <v>5</v>
      </c>
      <c r="L167" cm="1">
        <f t="array" aca="1" ref="L167" ca="1">INDEX($A$2:$A$15,RANDBETWEEN(1,ROWS($A$2:$A$15)),1)</f>
        <v>8</v>
      </c>
      <c r="M167" cm="1">
        <f t="array" aca="1" ref="M167" ca="1">INDEX($A$2:$A$15,RANDBETWEEN(1,ROWS($A$2:$A$15)),1)</f>
        <v>4</v>
      </c>
      <c r="N167" cm="1">
        <f t="array" aca="1" ref="N167" ca="1">INDEX($A$2:$A$15,RANDBETWEEN(1,ROWS($A$2:$A$15)),1)</f>
        <v>4</v>
      </c>
      <c r="O167" cm="1">
        <f t="array" aca="1" ref="O167" ca="1">INDEX($A$2:$A$15,RANDBETWEEN(1,ROWS($A$2:$A$15)),1)</f>
        <v>4</v>
      </c>
      <c r="P167" cm="1">
        <f t="array" aca="1" ref="P167" ca="1">INDEX($A$2:$A$15,RANDBETWEEN(1,ROWS($A$2:$A$15)),1)</f>
        <v>7</v>
      </c>
      <c r="Q167" cm="1">
        <f t="array" aca="1" ref="Q167" ca="1">INDEX($A$2:$A$15,RANDBETWEEN(1,ROWS($A$2:$A$15)),1)</f>
        <v>3</v>
      </c>
      <c r="R167" cm="1">
        <f t="array" aca="1" ref="R167" ca="1">INDEX($A$2:$A$15,RANDBETWEEN(1,ROWS($A$2:$A$15)),1)</f>
        <v>3</v>
      </c>
      <c r="S167" cm="1">
        <f t="array" aca="1" ref="S167" ca="1">INDEX($A$2:$A$15,RANDBETWEEN(1,ROWS($A$2:$A$15)),1)</f>
        <v>1</v>
      </c>
      <c r="V167">
        <f t="shared" ca="1" si="8"/>
        <v>3.9411764705882355</v>
      </c>
      <c r="W167">
        <f t="shared" ca="1" si="9"/>
        <v>4</v>
      </c>
      <c r="X167">
        <f t="shared" ca="1" si="10"/>
        <v>2</v>
      </c>
      <c r="Y167">
        <f t="shared" ca="1" si="11"/>
        <v>2.1929029913363163</v>
      </c>
    </row>
    <row r="168" spans="3:25" x14ac:dyDescent="0.35">
      <c r="C168" cm="1">
        <f t="array" aca="1" ref="C168" ca="1">INDEX($A$2:$A$15,RANDBETWEEN(1,ROWS($A$2:$A$15)),1)</f>
        <v>4</v>
      </c>
      <c r="D168" cm="1">
        <f t="array" aca="1" ref="D168" ca="1">INDEX($A$2:$A$15,RANDBETWEEN(1,ROWS($A$2:$A$15)),1)</f>
        <v>7</v>
      </c>
      <c r="E168" cm="1">
        <f t="array" aca="1" ref="E168" ca="1">INDEX($A$2:$A$15,RANDBETWEEN(1,ROWS($A$2:$A$15)),1)</f>
        <v>5</v>
      </c>
      <c r="F168" cm="1">
        <f t="array" aca="1" ref="F168" ca="1">INDEX($A$2:$A$15,RANDBETWEEN(1,ROWS($A$2:$A$15)),1)</f>
        <v>3</v>
      </c>
      <c r="G168" cm="1">
        <f t="array" aca="1" ref="G168" ca="1">INDEX($A$2:$A$15,RANDBETWEEN(1,ROWS($A$2:$A$15)),1)</f>
        <v>5</v>
      </c>
      <c r="H168" cm="1">
        <f t="array" aca="1" ref="H168" ca="1">INDEX($A$2:$A$15,RANDBETWEEN(1,ROWS($A$2:$A$15)),1)</f>
        <v>8</v>
      </c>
      <c r="I168" cm="1">
        <f t="array" aca="1" ref="I168" ca="1">INDEX($A$2:$A$15,RANDBETWEEN(1,ROWS($A$2:$A$15)),1)</f>
        <v>3</v>
      </c>
      <c r="J168" cm="1">
        <f t="array" aca="1" ref="J168" ca="1">INDEX($A$2:$A$15,RANDBETWEEN(1,ROWS($A$2:$A$15)),1)</f>
        <v>5</v>
      </c>
      <c r="K168" cm="1">
        <f t="array" aca="1" ref="K168" ca="1">INDEX($A$2:$A$15,RANDBETWEEN(1,ROWS($A$2:$A$15)),1)</f>
        <v>4</v>
      </c>
      <c r="L168" cm="1">
        <f t="array" aca="1" ref="L168" ca="1">INDEX($A$2:$A$15,RANDBETWEEN(1,ROWS($A$2:$A$15)),1)</f>
        <v>5</v>
      </c>
      <c r="M168" cm="1">
        <f t="array" aca="1" ref="M168" ca="1">INDEX($A$2:$A$15,RANDBETWEEN(1,ROWS($A$2:$A$15)),1)</f>
        <v>4</v>
      </c>
      <c r="N168" cm="1">
        <f t="array" aca="1" ref="N168" ca="1">INDEX($A$2:$A$15,RANDBETWEEN(1,ROWS($A$2:$A$15)),1)</f>
        <v>4</v>
      </c>
      <c r="O168" cm="1">
        <f t="array" aca="1" ref="O168" ca="1">INDEX($A$2:$A$15,RANDBETWEEN(1,ROWS($A$2:$A$15)),1)</f>
        <v>1</v>
      </c>
      <c r="P168" cm="1">
        <f t="array" aca="1" ref="P168" ca="1">INDEX($A$2:$A$15,RANDBETWEEN(1,ROWS($A$2:$A$15)),1)</f>
        <v>2</v>
      </c>
      <c r="Q168" cm="1">
        <f t="array" aca="1" ref="Q168" ca="1">INDEX($A$2:$A$15,RANDBETWEEN(1,ROWS($A$2:$A$15)),1)</f>
        <v>4</v>
      </c>
      <c r="R168" cm="1">
        <f t="array" aca="1" ref="R168" ca="1">INDEX($A$2:$A$15,RANDBETWEEN(1,ROWS($A$2:$A$15)),1)</f>
        <v>4</v>
      </c>
      <c r="S168" cm="1">
        <f t="array" aca="1" ref="S168" ca="1">INDEX($A$2:$A$15,RANDBETWEEN(1,ROWS($A$2:$A$15)),1)</f>
        <v>4</v>
      </c>
      <c r="V168">
        <f t="shared" ca="1" si="8"/>
        <v>4.2352941176470589</v>
      </c>
      <c r="W168">
        <f t="shared" ca="1" si="9"/>
        <v>4</v>
      </c>
      <c r="X168">
        <f t="shared" ca="1" si="10"/>
        <v>1</v>
      </c>
      <c r="Y168">
        <f t="shared" ca="1" si="11"/>
        <v>1.6404805608687461</v>
      </c>
    </row>
    <row r="169" spans="3:25" x14ac:dyDescent="0.35">
      <c r="C169" cm="1">
        <f t="array" aca="1" ref="C169" ca="1">INDEX($A$2:$A$15,RANDBETWEEN(1,ROWS($A$2:$A$15)),1)</f>
        <v>1</v>
      </c>
      <c r="D169" cm="1">
        <f t="array" aca="1" ref="D169" ca="1">INDEX($A$2:$A$15,RANDBETWEEN(1,ROWS($A$2:$A$15)),1)</f>
        <v>5</v>
      </c>
      <c r="E169" cm="1">
        <f t="array" aca="1" ref="E169" ca="1">INDEX($A$2:$A$15,RANDBETWEEN(1,ROWS($A$2:$A$15)),1)</f>
        <v>5</v>
      </c>
      <c r="F169" cm="1">
        <f t="array" aca="1" ref="F169" ca="1">INDEX($A$2:$A$15,RANDBETWEEN(1,ROWS($A$2:$A$15)),1)</f>
        <v>3</v>
      </c>
      <c r="G169" cm="1">
        <f t="array" aca="1" ref="G169" ca="1">INDEX($A$2:$A$15,RANDBETWEEN(1,ROWS($A$2:$A$15)),1)</f>
        <v>5</v>
      </c>
      <c r="H169" cm="1">
        <f t="array" aca="1" ref="H169" ca="1">INDEX($A$2:$A$15,RANDBETWEEN(1,ROWS($A$2:$A$15)),1)</f>
        <v>5</v>
      </c>
      <c r="I169" cm="1">
        <f t="array" aca="1" ref="I169" ca="1">INDEX($A$2:$A$15,RANDBETWEEN(1,ROWS($A$2:$A$15)),1)</f>
        <v>1</v>
      </c>
      <c r="J169" cm="1">
        <f t="array" aca="1" ref="J169" ca="1">INDEX($A$2:$A$15,RANDBETWEEN(1,ROWS($A$2:$A$15)),1)</f>
        <v>3</v>
      </c>
      <c r="K169" cm="1">
        <f t="array" aca="1" ref="K169" ca="1">INDEX($A$2:$A$15,RANDBETWEEN(1,ROWS($A$2:$A$15)),1)</f>
        <v>5</v>
      </c>
      <c r="L169" cm="1">
        <f t="array" aca="1" ref="L169" ca="1">INDEX($A$2:$A$15,RANDBETWEEN(1,ROWS($A$2:$A$15)),1)</f>
        <v>5</v>
      </c>
      <c r="M169" cm="1">
        <f t="array" aca="1" ref="M169" ca="1">INDEX($A$2:$A$15,RANDBETWEEN(1,ROWS($A$2:$A$15)),1)</f>
        <v>5</v>
      </c>
      <c r="N169" cm="1">
        <f t="array" aca="1" ref="N169" ca="1">INDEX($A$2:$A$15,RANDBETWEEN(1,ROWS($A$2:$A$15)),1)</f>
        <v>1</v>
      </c>
      <c r="O169" cm="1">
        <f t="array" aca="1" ref="O169" ca="1">INDEX($A$2:$A$15,RANDBETWEEN(1,ROWS($A$2:$A$15)),1)</f>
        <v>1</v>
      </c>
      <c r="P169" cm="1">
        <f t="array" aca="1" ref="P169" ca="1">INDEX($A$2:$A$15,RANDBETWEEN(1,ROWS($A$2:$A$15)),1)</f>
        <v>4</v>
      </c>
      <c r="Q169" cm="1">
        <f t="array" aca="1" ref="Q169" ca="1">INDEX($A$2:$A$15,RANDBETWEEN(1,ROWS($A$2:$A$15)),1)</f>
        <v>3</v>
      </c>
      <c r="R169" cm="1">
        <f t="array" aca="1" ref="R169" ca="1">INDEX($A$2:$A$15,RANDBETWEEN(1,ROWS($A$2:$A$15)),1)</f>
        <v>8</v>
      </c>
      <c r="S169" cm="1">
        <f t="array" aca="1" ref="S169" ca="1">INDEX($A$2:$A$15,RANDBETWEEN(1,ROWS($A$2:$A$15)),1)</f>
        <v>5</v>
      </c>
      <c r="V169">
        <f t="shared" ca="1" si="8"/>
        <v>3.8235294117647061</v>
      </c>
      <c r="W169">
        <f t="shared" ca="1" si="9"/>
        <v>5</v>
      </c>
      <c r="X169">
        <f t="shared" ca="1" si="10"/>
        <v>2</v>
      </c>
      <c r="Y169">
        <f t="shared" ca="1" si="11"/>
        <v>1.9759584420492964</v>
      </c>
    </row>
    <row r="170" spans="3:25" x14ac:dyDescent="0.35">
      <c r="C170" cm="1">
        <f t="array" aca="1" ref="C170" ca="1">INDEX($A$2:$A$15,RANDBETWEEN(1,ROWS($A$2:$A$15)),1)</f>
        <v>3</v>
      </c>
      <c r="D170" cm="1">
        <f t="array" aca="1" ref="D170" ca="1">INDEX($A$2:$A$15,RANDBETWEEN(1,ROWS($A$2:$A$15)),1)</f>
        <v>3</v>
      </c>
      <c r="E170" cm="1">
        <f t="array" aca="1" ref="E170" ca="1">INDEX($A$2:$A$15,RANDBETWEEN(1,ROWS($A$2:$A$15)),1)</f>
        <v>4</v>
      </c>
      <c r="F170" cm="1">
        <f t="array" aca="1" ref="F170" ca="1">INDEX($A$2:$A$15,RANDBETWEEN(1,ROWS($A$2:$A$15)),1)</f>
        <v>5</v>
      </c>
      <c r="G170" cm="1">
        <f t="array" aca="1" ref="G170" ca="1">INDEX($A$2:$A$15,RANDBETWEEN(1,ROWS($A$2:$A$15)),1)</f>
        <v>7</v>
      </c>
      <c r="H170" cm="1">
        <f t="array" aca="1" ref="H170" ca="1">INDEX($A$2:$A$15,RANDBETWEEN(1,ROWS($A$2:$A$15)),1)</f>
        <v>5</v>
      </c>
      <c r="I170" cm="1">
        <f t="array" aca="1" ref="I170" ca="1">INDEX($A$2:$A$15,RANDBETWEEN(1,ROWS($A$2:$A$15)),1)</f>
        <v>4</v>
      </c>
      <c r="J170" cm="1">
        <f t="array" aca="1" ref="J170" ca="1">INDEX($A$2:$A$15,RANDBETWEEN(1,ROWS($A$2:$A$15)),1)</f>
        <v>5</v>
      </c>
      <c r="K170" cm="1">
        <f t="array" aca="1" ref="K170" ca="1">INDEX($A$2:$A$15,RANDBETWEEN(1,ROWS($A$2:$A$15)),1)</f>
        <v>7</v>
      </c>
      <c r="L170" cm="1">
        <f t="array" aca="1" ref="L170" ca="1">INDEX($A$2:$A$15,RANDBETWEEN(1,ROWS($A$2:$A$15)),1)</f>
        <v>5</v>
      </c>
      <c r="M170" cm="1">
        <f t="array" aca="1" ref="M170" ca="1">INDEX($A$2:$A$15,RANDBETWEEN(1,ROWS($A$2:$A$15)),1)</f>
        <v>5</v>
      </c>
      <c r="N170" cm="1">
        <f t="array" aca="1" ref="N170" ca="1">INDEX($A$2:$A$15,RANDBETWEEN(1,ROWS($A$2:$A$15)),1)</f>
        <v>4</v>
      </c>
      <c r="O170" cm="1">
        <f t="array" aca="1" ref="O170" ca="1">INDEX($A$2:$A$15,RANDBETWEEN(1,ROWS($A$2:$A$15)),1)</f>
        <v>3</v>
      </c>
      <c r="P170" cm="1">
        <f t="array" aca="1" ref="P170" ca="1">INDEX($A$2:$A$15,RANDBETWEEN(1,ROWS($A$2:$A$15)),1)</f>
        <v>5</v>
      </c>
      <c r="Q170" cm="1">
        <f t="array" aca="1" ref="Q170" ca="1">INDEX($A$2:$A$15,RANDBETWEEN(1,ROWS($A$2:$A$15)),1)</f>
        <v>2</v>
      </c>
      <c r="R170" cm="1">
        <f t="array" aca="1" ref="R170" ca="1">INDEX($A$2:$A$15,RANDBETWEEN(1,ROWS($A$2:$A$15)),1)</f>
        <v>4</v>
      </c>
      <c r="S170" cm="1">
        <f t="array" aca="1" ref="S170" ca="1">INDEX($A$2:$A$15,RANDBETWEEN(1,ROWS($A$2:$A$15)),1)</f>
        <v>3</v>
      </c>
      <c r="V170">
        <f t="shared" ca="1" si="8"/>
        <v>4.3529411764705879</v>
      </c>
      <c r="W170">
        <f t="shared" ca="1" si="9"/>
        <v>4</v>
      </c>
      <c r="X170">
        <f t="shared" ca="1" si="10"/>
        <v>2</v>
      </c>
      <c r="Y170">
        <f t="shared" ca="1" si="11"/>
        <v>1.3666188418222285</v>
      </c>
    </row>
    <row r="171" spans="3:25" x14ac:dyDescent="0.35">
      <c r="C171" cm="1">
        <f t="array" aca="1" ref="C171" ca="1">INDEX($A$2:$A$15,RANDBETWEEN(1,ROWS($A$2:$A$15)),1)</f>
        <v>3</v>
      </c>
      <c r="D171" cm="1">
        <f t="array" aca="1" ref="D171" ca="1">INDEX($A$2:$A$15,RANDBETWEEN(1,ROWS($A$2:$A$15)),1)</f>
        <v>4</v>
      </c>
      <c r="E171" cm="1">
        <f t="array" aca="1" ref="E171" ca="1">INDEX($A$2:$A$15,RANDBETWEEN(1,ROWS($A$2:$A$15)),1)</f>
        <v>8</v>
      </c>
      <c r="F171" cm="1">
        <f t="array" aca="1" ref="F171" ca="1">INDEX($A$2:$A$15,RANDBETWEEN(1,ROWS($A$2:$A$15)),1)</f>
        <v>5</v>
      </c>
      <c r="G171" cm="1">
        <f t="array" aca="1" ref="G171" ca="1">INDEX($A$2:$A$15,RANDBETWEEN(1,ROWS($A$2:$A$15)),1)</f>
        <v>1</v>
      </c>
      <c r="H171" cm="1">
        <f t="array" aca="1" ref="H171" ca="1">INDEX($A$2:$A$15,RANDBETWEEN(1,ROWS($A$2:$A$15)),1)</f>
        <v>5</v>
      </c>
      <c r="I171" cm="1">
        <f t="array" aca="1" ref="I171" ca="1">INDEX($A$2:$A$15,RANDBETWEEN(1,ROWS($A$2:$A$15)),1)</f>
        <v>3</v>
      </c>
      <c r="J171" cm="1">
        <f t="array" aca="1" ref="J171" ca="1">INDEX($A$2:$A$15,RANDBETWEEN(1,ROWS($A$2:$A$15)),1)</f>
        <v>5</v>
      </c>
      <c r="K171" cm="1">
        <f t="array" aca="1" ref="K171" ca="1">INDEX($A$2:$A$15,RANDBETWEEN(1,ROWS($A$2:$A$15)),1)</f>
        <v>1</v>
      </c>
      <c r="L171" cm="1">
        <f t="array" aca="1" ref="L171" ca="1">INDEX($A$2:$A$15,RANDBETWEEN(1,ROWS($A$2:$A$15)),1)</f>
        <v>5</v>
      </c>
      <c r="M171" cm="1">
        <f t="array" aca="1" ref="M171" ca="1">INDEX($A$2:$A$15,RANDBETWEEN(1,ROWS($A$2:$A$15)),1)</f>
        <v>5</v>
      </c>
      <c r="N171" cm="1">
        <f t="array" aca="1" ref="N171" ca="1">INDEX($A$2:$A$15,RANDBETWEEN(1,ROWS($A$2:$A$15)),1)</f>
        <v>5</v>
      </c>
      <c r="O171" cm="1">
        <f t="array" aca="1" ref="O171" ca="1">INDEX($A$2:$A$15,RANDBETWEEN(1,ROWS($A$2:$A$15)),1)</f>
        <v>5</v>
      </c>
      <c r="P171" cm="1">
        <f t="array" aca="1" ref="P171" ca="1">INDEX($A$2:$A$15,RANDBETWEEN(1,ROWS($A$2:$A$15)),1)</f>
        <v>4</v>
      </c>
      <c r="Q171" cm="1">
        <f t="array" aca="1" ref="Q171" ca="1">INDEX($A$2:$A$15,RANDBETWEEN(1,ROWS($A$2:$A$15)),1)</f>
        <v>5</v>
      </c>
      <c r="R171" cm="1">
        <f t="array" aca="1" ref="R171" ca="1">INDEX($A$2:$A$15,RANDBETWEEN(1,ROWS($A$2:$A$15)),1)</f>
        <v>3</v>
      </c>
      <c r="S171" cm="1">
        <f t="array" aca="1" ref="S171" ca="1">INDEX($A$2:$A$15,RANDBETWEEN(1,ROWS($A$2:$A$15)),1)</f>
        <v>1</v>
      </c>
      <c r="V171">
        <f t="shared" ca="1" si="8"/>
        <v>4</v>
      </c>
      <c r="W171">
        <f t="shared" ca="1" si="9"/>
        <v>5</v>
      </c>
      <c r="X171">
        <f t="shared" ca="1" si="10"/>
        <v>2</v>
      </c>
      <c r="Y171">
        <f t="shared" ca="1" si="11"/>
        <v>1.8371173070873836</v>
      </c>
    </row>
    <row r="172" spans="3:25" x14ac:dyDescent="0.35">
      <c r="C172" cm="1">
        <f t="array" aca="1" ref="C172" ca="1">INDEX($A$2:$A$15,RANDBETWEEN(1,ROWS($A$2:$A$15)),1)</f>
        <v>5</v>
      </c>
      <c r="D172" cm="1">
        <f t="array" aca="1" ref="D172" ca="1">INDEX($A$2:$A$15,RANDBETWEEN(1,ROWS($A$2:$A$15)),1)</f>
        <v>3</v>
      </c>
      <c r="E172" cm="1">
        <f t="array" aca="1" ref="E172" ca="1">INDEX($A$2:$A$15,RANDBETWEEN(1,ROWS($A$2:$A$15)),1)</f>
        <v>5</v>
      </c>
      <c r="F172" cm="1">
        <f t="array" aca="1" ref="F172" ca="1">INDEX($A$2:$A$15,RANDBETWEEN(1,ROWS($A$2:$A$15)),1)</f>
        <v>3</v>
      </c>
      <c r="G172" cm="1">
        <f t="array" aca="1" ref="G172" ca="1">INDEX($A$2:$A$15,RANDBETWEEN(1,ROWS($A$2:$A$15)),1)</f>
        <v>5</v>
      </c>
      <c r="H172" cm="1">
        <f t="array" aca="1" ref="H172" ca="1">INDEX($A$2:$A$15,RANDBETWEEN(1,ROWS($A$2:$A$15)),1)</f>
        <v>3</v>
      </c>
      <c r="I172" cm="1">
        <f t="array" aca="1" ref="I172" ca="1">INDEX($A$2:$A$15,RANDBETWEEN(1,ROWS($A$2:$A$15)),1)</f>
        <v>4</v>
      </c>
      <c r="J172" cm="1">
        <f t="array" aca="1" ref="J172" ca="1">INDEX($A$2:$A$15,RANDBETWEEN(1,ROWS($A$2:$A$15)),1)</f>
        <v>5</v>
      </c>
      <c r="K172" cm="1">
        <f t="array" aca="1" ref="K172" ca="1">INDEX($A$2:$A$15,RANDBETWEEN(1,ROWS($A$2:$A$15)),1)</f>
        <v>1</v>
      </c>
      <c r="L172" cm="1">
        <f t="array" aca="1" ref="L172" ca="1">INDEX($A$2:$A$15,RANDBETWEEN(1,ROWS($A$2:$A$15)),1)</f>
        <v>1</v>
      </c>
      <c r="M172" cm="1">
        <f t="array" aca="1" ref="M172" ca="1">INDEX($A$2:$A$15,RANDBETWEEN(1,ROWS($A$2:$A$15)),1)</f>
        <v>4</v>
      </c>
      <c r="N172" cm="1">
        <f t="array" aca="1" ref="N172" ca="1">INDEX($A$2:$A$15,RANDBETWEEN(1,ROWS($A$2:$A$15)),1)</f>
        <v>3</v>
      </c>
      <c r="O172" cm="1">
        <f t="array" aca="1" ref="O172" ca="1">INDEX($A$2:$A$15,RANDBETWEEN(1,ROWS($A$2:$A$15)),1)</f>
        <v>3</v>
      </c>
      <c r="P172" cm="1">
        <f t="array" aca="1" ref="P172" ca="1">INDEX($A$2:$A$15,RANDBETWEEN(1,ROWS($A$2:$A$15)),1)</f>
        <v>1</v>
      </c>
      <c r="Q172" cm="1">
        <f t="array" aca="1" ref="Q172" ca="1">INDEX($A$2:$A$15,RANDBETWEEN(1,ROWS($A$2:$A$15)),1)</f>
        <v>5</v>
      </c>
      <c r="R172" cm="1">
        <f t="array" aca="1" ref="R172" ca="1">INDEX($A$2:$A$15,RANDBETWEEN(1,ROWS($A$2:$A$15)),1)</f>
        <v>1</v>
      </c>
      <c r="S172" cm="1">
        <f t="array" aca="1" ref="S172" ca="1">INDEX($A$2:$A$15,RANDBETWEEN(1,ROWS($A$2:$A$15)),1)</f>
        <v>1</v>
      </c>
      <c r="V172">
        <f t="shared" ca="1" si="8"/>
        <v>3.1176470588235294</v>
      </c>
      <c r="W172">
        <f t="shared" ca="1" si="9"/>
        <v>3</v>
      </c>
      <c r="X172">
        <f t="shared" ca="1" si="10"/>
        <v>4</v>
      </c>
      <c r="Y172">
        <f t="shared" ca="1" si="11"/>
        <v>1.6156404667026194</v>
      </c>
    </row>
    <row r="173" spans="3:25" x14ac:dyDescent="0.35">
      <c r="C173" cm="1">
        <f t="array" aca="1" ref="C173" ca="1">INDEX($A$2:$A$15,RANDBETWEEN(1,ROWS($A$2:$A$15)),1)</f>
        <v>7</v>
      </c>
      <c r="D173" cm="1">
        <f t="array" aca="1" ref="D173" ca="1">INDEX($A$2:$A$15,RANDBETWEEN(1,ROWS($A$2:$A$15)),1)</f>
        <v>8</v>
      </c>
      <c r="E173" cm="1">
        <f t="array" aca="1" ref="E173" ca="1">INDEX($A$2:$A$15,RANDBETWEEN(1,ROWS($A$2:$A$15)),1)</f>
        <v>4</v>
      </c>
      <c r="F173" cm="1">
        <f t="array" aca="1" ref="F173" ca="1">INDEX($A$2:$A$15,RANDBETWEEN(1,ROWS($A$2:$A$15)),1)</f>
        <v>1</v>
      </c>
      <c r="G173" cm="1">
        <f t="array" aca="1" ref="G173" ca="1">INDEX($A$2:$A$15,RANDBETWEEN(1,ROWS($A$2:$A$15)),1)</f>
        <v>3</v>
      </c>
      <c r="H173" cm="1">
        <f t="array" aca="1" ref="H173" ca="1">INDEX($A$2:$A$15,RANDBETWEEN(1,ROWS($A$2:$A$15)),1)</f>
        <v>3</v>
      </c>
      <c r="I173" cm="1">
        <f t="array" aca="1" ref="I173" ca="1">INDEX($A$2:$A$15,RANDBETWEEN(1,ROWS($A$2:$A$15)),1)</f>
        <v>5</v>
      </c>
      <c r="J173" cm="1">
        <f t="array" aca="1" ref="J173" ca="1">INDEX($A$2:$A$15,RANDBETWEEN(1,ROWS($A$2:$A$15)),1)</f>
        <v>3</v>
      </c>
      <c r="K173" cm="1">
        <f t="array" aca="1" ref="K173" ca="1">INDEX($A$2:$A$15,RANDBETWEEN(1,ROWS($A$2:$A$15)),1)</f>
        <v>1</v>
      </c>
      <c r="L173" cm="1">
        <f t="array" aca="1" ref="L173" ca="1">INDEX($A$2:$A$15,RANDBETWEEN(1,ROWS($A$2:$A$15)),1)</f>
        <v>5</v>
      </c>
      <c r="M173" cm="1">
        <f t="array" aca="1" ref="M173" ca="1">INDEX($A$2:$A$15,RANDBETWEEN(1,ROWS($A$2:$A$15)),1)</f>
        <v>2</v>
      </c>
      <c r="N173" cm="1">
        <f t="array" aca="1" ref="N173" ca="1">INDEX($A$2:$A$15,RANDBETWEEN(1,ROWS($A$2:$A$15)),1)</f>
        <v>5</v>
      </c>
      <c r="O173" cm="1">
        <f t="array" aca="1" ref="O173" ca="1">INDEX($A$2:$A$15,RANDBETWEEN(1,ROWS($A$2:$A$15)),1)</f>
        <v>8</v>
      </c>
      <c r="P173" cm="1">
        <f t="array" aca="1" ref="P173" ca="1">INDEX($A$2:$A$15,RANDBETWEEN(1,ROWS($A$2:$A$15)),1)</f>
        <v>8</v>
      </c>
      <c r="Q173" cm="1">
        <f t="array" aca="1" ref="Q173" ca="1">INDEX($A$2:$A$15,RANDBETWEEN(1,ROWS($A$2:$A$15)),1)</f>
        <v>5</v>
      </c>
      <c r="R173" cm="1">
        <f t="array" aca="1" ref="R173" ca="1">INDEX($A$2:$A$15,RANDBETWEEN(1,ROWS($A$2:$A$15)),1)</f>
        <v>2</v>
      </c>
      <c r="S173" cm="1">
        <f t="array" aca="1" ref="S173" ca="1">INDEX($A$2:$A$15,RANDBETWEEN(1,ROWS($A$2:$A$15)),1)</f>
        <v>3</v>
      </c>
      <c r="V173">
        <f t="shared" ca="1" si="8"/>
        <v>4.2941176470588234</v>
      </c>
      <c r="W173">
        <f t="shared" ca="1" si="9"/>
        <v>4</v>
      </c>
      <c r="X173">
        <f t="shared" ca="1" si="10"/>
        <v>2</v>
      </c>
      <c r="Y173">
        <f t="shared" ca="1" si="11"/>
        <v>2.3654995741479463</v>
      </c>
    </row>
    <row r="174" spans="3:25" x14ac:dyDescent="0.35">
      <c r="C174" cm="1">
        <f t="array" aca="1" ref="C174" ca="1">INDEX($A$2:$A$15,RANDBETWEEN(1,ROWS($A$2:$A$15)),1)</f>
        <v>5</v>
      </c>
      <c r="D174" cm="1">
        <f t="array" aca="1" ref="D174" ca="1">INDEX($A$2:$A$15,RANDBETWEEN(1,ROWS($A$2:$A$15)),1)</f>
        <v>5</v>
      </c>
      <c r="E174" cm="1">
        <f t="array" aca="1" ref="E174" ca="1">INDEX($A$2:$A$15,RANDBETWEEN(1,ROWS($A$2:$A$15)),1)</f>
        <v>1</v>
      </c>
      <c r="F174" cm="1">
        <f t="array" aca="1" ref="F174" ca="1">INDEX($A$2:$A$15,RANDBETWEEN(1,ROWS($A$2:$A$15)),1)</f>
        <v>3</v>
      </c>
      <c r="G174" cm="1">
        <f t="array" aca="1" ref="G174" ca="1">INDEX($A$2:$A$15,RANDBETWEEN(1,ROWS($A$2:$A$15)),1)</f>
        <v>7</v>
      </c>
      <c r="H174" cm="1">
        <f t="array" aca="1" ref="H174" ca="1">INDEX($A$2:$A$15,RANDBETWEEN(1,ROWS($A$2:$A$15)),1)</f>
        <v>1</v>
      </c>
      <c r="I174" cm="1">
        <f t="array" aca="1" ref="I174" ca="1">INDEX($A$2:$A$15,RANDBETWEEN(1,ROWS($A$2:$A$15)),1)</f>
        <v>1</v>
      </c>
      <c r="J174" cm="1">
        <f t="array" aca="1" ref="J174" ca="1">INDEX($A$2:$A$15,RANDBETWEEN(1,ROWS($A$2:$A$15)),1)</f>
        <v>8</v>
      </c>
      <c r="K174" cm="1">
        <f t="array" aca="1" ref="K174" ca="1">INDEX($A$2:$A$15,RANDBETWEEN(1,ROWS($A$2:$A$15)),1)</f>
        <v>1</v>
      </c>
      <c r="L174" cm="1">
        <f t="array" aca="1" ref="L174" ca="1">INDEX($A$2:$A$15,RANDBETWEEN(1,ROWS($A$2:$A$15)),1)</f>
        <v>4</v>
      </c>
      <c r="M174" cm="1">
        <f t="array" aca="1" ref="M174" ca="1">INDEX($A$2:$A$15,RANDBETWEEN(1,ROWS($A$2:$A$15)),1)</f>
        <v>3</v>
      </c>
      <c r="N174" cm="1">
        <f t="array" aca="1" ref="N174" ca="1">INDEX($A$2:$A$15,RANDBETWEEN(1,ROWS($A$2:$A$15)),1)</f>
        <v>2</v>
      </c>
      <c r="O174" cm="1">
        <f t="array" aca="1" ref="O174" ca="1">INDEX($A$2:$A$15,RANDBETWEEN(1,ROWS($A$2:$A$15)),1)</f>
        <v>3</v>
      </c>
      <c r="P174" cm="1">
        <f t="array" aca="1" ref="P174" ca="1">INDEX($A$2:$A$15,RANDBETWEEN(1,ROWS($A$2:$A$15)),1)</f>
        <v>3</v>
      </c>
      <c r="Q174" cm="1">
        <f t="array" aca="1" ref="Q174" ca="1">INDEX($A$2:$A$15,RANDBETWEEN(1,ROWS($A$2:$A$15)),1)</f>
        <v>5</v>
      </c>
      <c r="R174" cm="1">
        <f t="array" aca="1" ref="R174" ca="1">INDEX($A$2:$A$15,RANDBETWEEN(1,ROWS($A$2:$A$15)),1)</f>
        <v>5</v>
      </c>
      <c r="S174" cm="1">
        <f t="array" aca="1" ref="S174" ca="1">INDEX($A$2:$A$15,RANDBETWEEN(1,ROWS($A$2:$A$15)),1)</f>
        <v>4</v>
      </c>
      <c r="V174">
        <f t="shared" ca="1" si="8"/>
        <v>3.5882352941176472</v>
      </c>
      <c r="W174">
        <f t="shared" ca="1" si="9"/>
        <v>3</v>
      </c>
      <c r="X174">
        <f t="shared" ca="1" si="10"/>
        <v>3</v>
      </c>
      <c r="Y174">
        <f t="shared" ca="1" si="11"/>
        <v>2.0934070175616761</v>
      </c>
    </row>
    <row r="175" spans="3:25" x14ac:dyDescent="0.35">
      <c r="C175" cm="1">
        <f t="array" aca="1" ref="C175" ca="1">INDEX($A$2:$A$15,RANDBETWEEN(1,ROWS($A$2:$A$15)),1)</f>
        <v>5</v>
      </c>
      <c r="D175" cm="1">
        <f t="array" aca="1" ref="D175" ca="1">INDEX($A$2:$A$15,RANDBETWEEN(1,ROWS($A$2:$A$15)),1)</f>
        <v>4</v>
      </c>
      <c r="E175" cm="1">
        <f t="array" aca="1" ref="E175" ca="1">INDEX($A$2:$A$15,RANDBETWEEN(1,ROWS($A$2:$A$15)),1)</f>
        <v>5</v>
      </c>
      <c r="F175" cm="1">
        <f t="array" aca="1" ref="F175" ca="1">INDEX($A$2:$A$15,RANDBETWEEN(1,ROWS($A$2:$A$15)),1)</f>
        <v>2</v>
      </c>
      <c r="G175" cm="1">
        <f t="array" aca="1" ref="G175" ca="1">INDEX($A$2:$A$15,RANDBETWEEN(1,ROWS($A$2:$A$15)),1)</f>
        <v>5</v>
      </c>
      <c r="H175" cm="1">
        <f t="array" aca="1" ref="H175" ca="1">INDEX($A$2:$A$15,RANDBETWEEN(1,ROWS($A$2:$A$15)),1)</f>
        <v>8</v>
      </c>
      <c r="I175" cm="1">
        <f t="array" aca="1" ref="I175" ca="1">INDEX($A$2:$A$15,RANDBETWEEN(1,ROWS($A$2:$A$15)),1)</f>
        <v>4</v>
      </c>
      <c r="J175" cm="1">
        <f t="array" aca="1" ref="J175" ca="1">INDEX($A$2:$A$15,RANDBETWEEN(1,ROWS($A$2:$A$15)),1)</f>
        <v>5</v>
      </c>
      <c r="K175" cm="1">
        <f t="array" aca="1" ref="K175" ca="1">INDEX($A$2:$A$15,RANDBETWEEN(1,ROWS($A$2:$A$15)),1)</f>
        <v>5</v>
      </c>
      <c r="L175" cm="1">
        <f t="array" aca="1" ref="L175" ca="1">INDEX($A$2:$A$15,RANDBETWEEN(1,ROWS($A$2:$A$15)),1)</f>
        <v>2</v>
      </c>
      <c r="M175" cm="1">
        <f t="array" aca="1" ref="M175" ca="1">INDEX($A$2:$A$15,RANDBETWEEN(1,ROWS($A$2:$A$15)),1)</f>
        <v>7</v>
      </c>
      <c r="N175" cm="1">
        <f t="array" aca="1" ref="N175" ca="1">INDEX($A$2:$A$15,RANDBETWEEN(1,ROWS($A$2:$A$15)),1)</f>
        <v>3</v>
      </c>
      <c r="O175" cm="1">
        <f t="array" aca="1" ref="O175" ca="1">INDEX($A$2:$A$15,RANDBETWEEN(1,ROWS($A$2:$A$15)),1)</f>
        <v>1</v>
      </c>
      <c r="P175" cm="1">
        <f t="array" aca="1" ref="P175" ca="1">INDEX($A$2:$A$15,RANDBETWEEN(1,ROWS($A$2:$A$15)),1)</f>
        <v>3</v>
      </c>
      <c r="Q175" cm="1">
        <f t="array" aca="1" ref="Q175" ca="1">INDEX($A$2:$A$15,RANDBETWEEN(1,ROWS($A$2:$A$15)),1)</f>
        <v>4</v>
      </c>
      <c r="R175" cm="1">
        <f t="array" aca="1" ref="R175" ca="1">INDEX($A$2:$A$15,RANDBETWEEN(1,ROWS($A$2:$A$15)),1)</f>
        <v>1</v>
      </c>
      <c r="S175" cm="1">
        <f t="array" aca="1" ref="S175" ca="1">INDEX($A$2:$A$15,RANDBETWEEN(1,ROWS($A$2:$A$15)),1)</f>
        <v>5</v>
      </c>
      <c r="V175">
        <f t="shared" ca="1" si="8"/>
        <v>4.0588235294117645</v>
      </c>
      <c r="W175">
        <f t="shared" ca="1" si="9"/>
        <v>4</v>
      </c>
      <c r="X175">
        <f t="shared" ca="1" si="10"/>
        <v>2</v>
      </c>
      <c r="Y175">
        <f t="shared" ca="1" si="11"/>
        <v>1.9193289268418179</v>
      </c>
    </row>
    <row r="176" spans="3:25" x14ac:dyDescent="0.35">
      <c r="C176" cm="1">
        <f t="array" aca="1" ref="C176" ca="1">INDEX($A$2:$A$15,RANDBETWEEN(1,ROWS($A$2:$A$15)),1)</f>
        <v>1</v>
      </c>
      <c r="D176" cm="1">
        <f t="array" aca="1" ref="D176" ca="1">INDEX($A$2:$A$15,RANDBETWEEN(1,ROWS($A$2:$A$15)),1)</f>
        <v>7</v>
      </c>
      <c r="E176" cm="1">
        <f t="array" aca="1" ref="E176" ca="1">INDEX($A$2:$A$15,RANDBETWEEN(1,ROWS($A$2:$A$15)),1)</f>
        <v>2</v>
      </c>
      <c r="F176" cm="1">
        <f t="array" aca="1" ref="F176" ca="1">INDEX($A$2:$A$15,RANDBETWEEN(1,ROWS($A$2:$A$15)),1)</f>
        <v>3</v>
      </c>
      <c r="G176" cm="1">
        <f t="array" aca="1" ref="G176" ca="1">INDEX($A$2:$A$15,RANDBETWEEN(1,ROWS($A$2:$A$15)),1)</f>
        <v>1</v>
      </c>
      <c r="H176" cm="1">
        <f t="array" aca="1" ref="H176" ca="1">INDEX($A$2:$A$15,RANDBETWEEN(1,ROWS($A$2:$A$15)),1)</f>
        <v>5</v>
      </c>
      <c r="I176" cm="1">
        <f t="array" aca="1" ref="I176" ca="1">INDEX($A$2:$A$15,RANDBETWEEN(1,ROWS($A$2:$A$15)),1)</f>
        <v>3</v>
      </c>
      <c r="J176" cm="1">
        <f t="array" aca="1" ref="J176" ca="1">INDEX($A$2:$A$15,RANDBETWEEN(1,ROWS($A$2:$A$15)),1)</f>
        <v>5</v>
      </c>
      <c r="K176" cm="1">
        <f t="array" aca="1" ref="K176" ca="1">INDEX($A$2:$A$15,RANDBETWEEN(1,ROWS($A$2:$A$15)),1)</f>
        <v>1</v>
      </c>
      <c r="L176" cm="1">
        <f t="array" aca="1" ref="L176" ca="1">INDEX($A$2:$A$15,RANDBETWEEN(1,ROWS($A$2:$A$15)),1)</f>
        <v>5</v>
      </c>
      <c r="M176" cm="1">
        <f t="array" aca="1" ref="M176" ca="1">INDEX($A$2:$A$15,RANDBETWEEN(1,ROWS($A$2:$A$15)),1)</f>
        <v>2</v>
      </c>
      <c r="N176" cm="1">
        <f t="array" aca="1" ref="N176" ca="1">INDEX($A$2:$A$15,RANDBETWEEN(1,ROWS($A$2:$A$15)),1)</f>
        <v>4</v>
      </c>
      <c r="O176" cm="1">
        <f t="array" aca="1" ref="O176" ca="1">INDEX($A$2:$A$15,RANDBETWEEN(1,ROWS($A$2:$A$15)),1)</f>
        <v>3</v>
      </c>
      <c r="P176" cm="1">
        <f t="array" aca="1" ref="P176" ca="1">INDEX($A$2:$A$15,RANDBETWEEN(1,ROWS($A$2:$A$15)),1)</f>
        <v>1</v>
      </c>
      <c r="Q176" cm="1">
        <f t="array" aca="1" ref="Q176" ca="1">INDEX($A$2:$A$15,RANDBETWEEN(1,ROWS($A$2:$A$15)),1)</f>
        <v>8</v>
      </c>
      <c r="R176" cm="1">
        <f t="array" aca="1" ref="R176" ca="1">INDEX($A$2:$A$15,RANDBETWEEN(1,ROWS($A$2:$A$15)),1)</f>
        <v>1</v>
      </c>
      <c r="S176" cm="1">
        <f t="array" aca="1" ref="S176" ca="1">INDEX($A$2:$A$15,RANDBETWEEN(1,ROWS($A$2:$A$15)),1)</f>
        <v>3</v>
      </c>
      <c r="V176">
        <f t="shared" ca="1" si="8"/>
        <v>3.2352941176470589</v>
      </c>
      <c r="W176">
        <f t="shared" ca="1" si="9"/>
        <v>3</v>
      </c>
      <c r="X176">
        <f t="shared" ca="1" si="10"/>
        <v>4</v>
      </c>
      <c r="Y176">
        <f t="shared" ca="1" si="11"/>
        <v>2.1659123875605486</v>
      </c>
    </row>
    <row r="177" spans="3:25" x14ac:dyDescent="0.35">
      <c r="C177" cm="1">
        <f t="array" aca="1" ref="C177" ca="1">INDEX($A$2:$A$15,RANDBETWEEN(1,ROWS($A$2:$A$15)),1)</f>
        <v>4</v>
      </c>
      <c r="D177" cm="1">
        <f t="array" aca="1" ref="D177" ca="1">INDEX($A$2:$A$15,RANDBETWEEN(1,ROWS($A$2:$A$15)),1)</f>
        <v>5</v>
      </c>
      <c r="E177" cm="1">
        <f t="array" aca="1" ref="E177" ca="1">INDEX($A$2:$A$15,RANDBETWEEN(1,ROWS($A$2:$A$15)),1)</f>
        <v>7</v>
      </c>
      <c r="F177" cm="1">
        <f t="array" aca="1" ref="F177" ca="1">INDEX($A$2:$A$15,RANDBETWEEN(1,ROWS($A$2:$A$15)),1)</f>
        <v>1</v>
      </c>
      <c r="G177" cm="1">
        <f t="array" aca="1" ref="G177" ca="1">INDEX($A$2:$A$15,RANDBETWEEN(1,ROWS($A$2:$A$15)),1)</f>
        <v>4</v>
      </c>
      <c r="H177" cm="1">
        <f t="array" aca="1" ref="H177" ca="1">INDEX($A$2:$A$15,RANDBETWEEN(1,ROWS($A$2:$A$15)),1)</f>
        <v>1</v>
      </c>
      <c r="I177" cm="1">
        <f t="array" aca="1" ref="I177" ca="1">INDEX($A$2:$A$15,RANDBETWEEN(1,ROWS($A$2:$A$15)),1)</f>
        <v>2</v>
      </c>
      <c r="J177" cm="1">
        <f t="array" aca="1" ref="J177" ca="1">INDEX($A$2:$A$15,RANDBETWEEN(1,ROWS($A$2:$A$15)),1)</f>
        <v>5</v>
      </c>
      <c r="K177" cm="1">
        <f t="array" aca="1" ref="K177" ca="1">INDEX($A$2:$A$15,RANDBETWEEN(1,ROWS($A$2:$A$15)),1)</f>
        <v>3</v>
      </c>
      <c r="L177" cm="1">
        <f t="array" aca="1" ref="L177" ca="1">INDEX($A$2:$A$15,RANDBETWEEN(1,ROWS($A$2:$A$15)),1)</f>
        <v>5</v>
      </c>
      <c r="M177" cm="1">
        <f t="array" aca="1" ref="M177" ca="1">INDEX($A$2:$A$15,RANDBETWEEN(1,ROWS($A$2:$A$15)),1)</f>
        <v>1</v>
      </c>
      <c r="N177" cm="1">
        <f t="array" aca="1" ref="N177" ca="1">INDEX($A$2:$A$15,RANDBETWEEN(1,ROWS($A$2:$A$15)),1)</f>
        <v>1</v>
      </c>
      <c r="O177" cm="1">
        <f t="array" aca="1" ref="O177" ca="1">INDEX($A$2:$A$15,RANDBETWEEN(1,ROWS($A$2:$A$15)),1)</f>
        <v>5</v>
      </c>
      <c r="P177" cm="1">
        <f t="array" aca="1" ref="P177" ca="1">INDEX($A$2:$A$15,RANDBETWEEN(1,ROWS($A$2:$A$15)),1)</f>
        <v>5</v>
      </c>
      <c r="Q177" cm="1">
        <f t="array" aca="1" ref="Q177" ca="1">INDEX($A$2:$A$15,RANDBETWEEN(1,ROWS($A$2:$A$15)),1)</f>
        <v>1</v>
      </c>
      <c r="R177" cm="1">
        <f t="array" aca="1" ref="R177" ca="1">INDEX($A$2:$A$15,RANDBETWEEN(1,ROWS($A$2:$A$15)),1)</f>
        <v>1</v>
      </c>
      <c r="S177" cm="1">
        <f t="array" aca="1" ref="S177" ca="1">INDEX($A$2:$A$15,RANDBETWEEN(1,ROWS($A$2:$A$15)),1)</f>
        <v>4</v>
      </c>
      <c r="V177">
        <f t="shared" ca="1" si="8"/>
        <v>3.2352941176470589</v>
      </c>
      <c r="W177">
        <f t="shared" ca="1" si="9"/>
        <v>4</v>
      </c>
      <c r="X177">
        <f t="shared" ca="1" si="10"/>
        <v>4</v>
      </c>
      <c r="Y177">
        <f t="shared" ca="1" si="11"/>
        <v>1.9852396506689653</v>
      </c>
    </row>
    <row r="178" spans="3:25" x14ac:dyDescent="0.35">
      <c r="C178" cm="1">
        <f t="array" aca="1" ref="C178" ca="1">INDEX($A$2:$A$15,RANDBETWEEN(1,ROWS($A$2:$A$15)),1)</f>
        <v>5</v>
      </c>
      <c r="D178" cm="1">
        <f t="array" aca="1" ref="D178" ca="1">INDEX($A$2:$A$15,RANDBETWEEN(1,ROWS($A$2:$A$15)),1)</f>
        <v>4</v>
      </c>
      <c r="E178" cm="1">
        <f t="array" aca="1" ref="E178" ca="1">INDEX($A$2:$A$15,RANDBETWEEN(1,ROWS($A$2:$A$15)),1)</f>
        <v>3</v>
      </c>
      <c r="F178" cm="1">
        <f t="array" aca="1" ref="F178" ca="1">INDEX($A$2:$A$15,RANDBETWEEN(1,ROWS($A$2:$A$15)),1)</f>
        <v>4</v>
      </c>
      <c r="G178" cm="1">
        <f t="array" aca="1" ref="G178" ca="1">INDEX($A$2:$A$15,RANDBETWEEN(1,ROWS($A$2:$A$15)),1)</f>
        <v>3</v>
      </c>
      <c r="H178" cm="1">
        <f t="array" aca="1" ref="H178" ca="1">INDEX($A$2:$A$15,RANDBETWEEN(1,ROWS($A$2:$A$15)),1)</f>
        <v>4</v>
      </c>
      <c r="I178" cm="1">
        <f t="array" aca="1" ref="I178" ca="1">INDEX($A$2:$A$15,RANDBETWEEN(1,ROWS($A$2:$A$15)),1)</f>
        <v>5</v>
      </c>
      <c r="J178" cm="1">
        <f t="array" aca="1" ref="J178" ca="1">INDEX($A$2:$A$15,RANDBETWEEN(1,ROWS($A$2:$A$15)),1)</f>
        <v>3</v>
      </c>
      <c r="K178" cm="1">
        <f t="array" aca="1" ref="K178" ca="1">INDEX($A$2:$A$15,RANDBETWEEN(1,ROWS($A$2:$A$15)),1)</f>
        <v>2</v>
      </c>
      <c r="L178" cm="1">
        <f t="array" aca="1" ref="L178" ca="1">INDEX($A$2:$A$15,RANDBETWEEN(1,ROWS($A$2:$A$15)),1)</f>
        <v>5</v>
      </c>
      <c r="M178" cm="1">
        <f t="array" aca="1" ref="M178" ca="1">INDEX($A$2:$A$15,RANDBETWEEN(1,ROWS($A$2:$A$15)),1)</f>
        <v>5</v>
      </c>
      <c r="N178" cm="1">
        <f t="array" aca="1" ref="N178" ca="1">INDEX($A$2:$A$15,RANDBETWEEN(1,ROWS($A$2:$A$15)),1)</f>
        <v>5</v>
      </c>
      <c r="O178" cm="1">
        <f t="array" aca="1" ref="O178" ca="1">INDEX($A$2:$A$15,RANDBETWEEN(1,ROWS($A$2:$A$15)),1)</f>
        <v>4</v>
      </c>
      <c r="P178" cm="1">
        <f t="array" aca="1" ref="P178" ca="1">INDEX($A$2:$A$15,RANDBETWEEN(1,ROWS($A$2:$A$15)),1)</f>
        <v>5</v>
      </c>
      <c r="Q178" cm="1">
        <f t="array" aca="1" ref="Q178" ca="1">INDEX($A$2:$A$15,RANDBETWEEN(1,ROWS($A$2:$A$15)),1)</f>
        <v>8</v>
      </c>
      <c r="R178" cm="1">
        <f t="array" aca="1" ref="R178" ca="1">INDEX($A$2:$A$15,RANDBETWEEN(1,ROWS($A$2:$A$15)),1)</f>
        <v>5</v>
      </c>
      <c r="S178" cm="1">
        <f t="array" aca="1" ref="S178" ca="1">INDEX($A$2:$A$15,RANDBETWEEN(1,ROWS($A$2:$A$15)),1)</f>
        <v>4</v>
      </c>
      <c r="V178">
        <f t="shared" ca="1" si="8"/>
        <v>4.3529411764705879</v>
      </c>
      <c r="W178">
        <f t="shared" ca="1" si="9"/>
        <v>4</v>
      </c>
      <c r="X178">
        <f t="shared" ca="1" si="10"/>
        <v>1</v>
      </c>
      <c r="Y178">
        <f t="shared" ca="1" si="11"/>
        <v>1.3200935795706035</v>
      </c>
    </row>
    <row r="179" spans="3:25" x14ac:dyDescent="0.35">
      <c r="C179" cm="1">
        <f t="array" aca="1" ref="C179" ca="1">INDEX($A$2:$A$15,RANDBETWEEN(1,ROWS($A$2:$A$15)),1)</f>
        <v>1</v>
      </c>
      <c r="D179" cm="1">
        <f t="array" aca="1" ref="D179" ca="1">INDEX($A$2:$A$15,RANDBETWEEN(1,ROWS($A$2:$A$15)),1)</f>
        <v>3</v>
      </c>
      <c r="E179" cm="1">
        <f t="array" aca="1" ref="E179" ca="1">INDEX($A$2:$A$15,RANDBETWEEN(1,ROWS($A$2:$A$15)),1)</f>
        <v>2</v>
      </c>
      <c r="F179" cm="1">
        <f t="array" aca="1" ref="F179" ca="1">INDEX($A$2:$A$15,RANDBETWEEN(1,ROWS($A$2:$A$15)),1)</f>
        <v>5</v>
      </c>
      <c r="G179" cm="1">
        <f t="array" aca="1" ref="G179" ca="1">INDEX($A$2:$A$15,RANDBETWEEN(1,ROWS($A$2:$A$15)),1)</f>
        <v>1</v>
      </c>
      <c r="H179" cm="1">
        <f t="array" aca="1" ref="H179" ca="1">INDEX($A$2:$A$15,RANDBETWEEN(1,ROWS($A$2:$A$15)),1)</f>
        <v>4</v>
      </c>
      <c r="I179" cm="1">
        <f t="array" aca="1" ref="I179" ca="1">INDEX($A$2:$A$15,RANDBETWEEN(1,ROWS($A$2:$A$15)),1)</f>
        <v>1</v>
      </c>
      <c r="J179" cm="1">
        <f t="array" aca="1" ref="J179" ca="1">INDEX($A$2:$A$15,RANDBETWEEN(1,ROWS($A$2:$A$15)),1)</f>
        <v>7</v>
      </c>
      <c r="K179" cm="1">
        <f t="array" aca="1" ref="K179" ca="1">INDEX($A$2:$A$15,RANDBETWEEN(1,ROWS($A$2:$A$15)),1)</f>
        <v>5</v>
      </c>
      <c r="L179" cm="1">
        <f t="array" aca="1" ref="L179" ca="1">INDEX($A$2:$A$15,RANDBETWEEN(1,ROWS($A$2:$A$15)),1)</f>
        <v>5</v>
      </c>
      <c r="M179" cm="1">
        <f t="array" aca="1" ref="M179" ca="1">INDEX($A$2:$A$15,RANDBETWEEN(1,ROWS($A$2:$A$15)),1)</f>
        <v>7</v>
      </c>
      <c r="N179" cm="1">
        <f t="array" aca="1" ref="N179" ca="1">INDEX($A$2:$A$15,RANDBETWEEN(1,ROWS($A$2:$A$15)),1)</f>
        <v>7</v>
      </c>
      <c r="O179" cm="1">
        <f t="array" aca="1" ref="O179" ca="1">INDEX($A$2:$A$15,RANDBETWEEN(1,ROWS($A$2:$A$15)),1)</f>
        <v>1</v>
      </c>
      <c r="P179" cm="1">
        <f t="array" aca="1" ref="P179" ca="1">INDEX($A$2:$A$15,RANDBETWEEN(1,ROWS($A$2:$A$15)),1)</f>
        <v>5</v>
      </c>
      <c r="Q179" cm="1">
        <f t="array" aca="1" ref="Q179" ca="1">INDEX($A$2:$A$15,RANDBETWEEN(1,ROWS($A$2:$A$15)),1)</f>
        <v>4</v>
      </c>
      <c r="R179" cm="1">
        <f t="array" aca="1" ref="R179" ca="1">INDEX($A$2:$A$15,RANDBETWEEN(1,ROWS($A$2:$A$15)),1)</f>
        <v>4</v>
      </c>
      <c r="S179" cm="1">
        <f t="array" aca="1" ref="S179" ca="1">INDEX($A$2:$A$15,RANDBETWEEN(1,ROWS($A$2:$A$15)),1)</f>
        <v>4</v>
      </c>
      <c r="V179">
        <f t="shared" ca="1" si="8"/>
        <v>3.8823529411764706</v>
      </c>
      <c r="W179">
        <f t="shared" ca="1" si="9"/>
        <v>4</v>
      </c>
      <c r="X179">
        <f t="shared" ca="1" si="10"/>
        <v>3</v>
      </c>
      <c r="Y179">
        <f t="shared" ca="1" si="11"/>
        <v>2.1178512973405517</v>
      </c>
    </row>
    <row r="180" spans="3:25" x14ac:dyDescent="0.35">
      <c r="C180" cm="1">
        <f t="array" aca="1" ref="C180" ca="1">INDEX($A$2:$A$15,RANDBETWEEN(1,ROWS($A$2:$A$15)),1)</f>
        <v>2</v>
      </c>
      <c r="D180" cm="1">
        <f t="array" aca="1" ref="D180" ca="1">INDEX($A$2:$A$15,RANDBETWEEN(1,ROWS($A$2:$A$15)),1)</f>
        <v>8</v>
      </c>
      <c r="E180" cm="1">
        <f t="array" aca="1" ref="E180" ca="1">INDEX($A$2:$A$15,RANDBETWEEN(1,ROWS($A$2:$A$15)),1)</f>
        <v>1</v>
      </c>
      <c r="F180" cm="1">
        <f t="array" aca="1" ref="F180" ca="1">INDEX($A$2:$A$15,RANDBETWEEN(1,ROWS($A$2:$A$15)),1)</f>
        <v>4</v>
      </c>
      <c r="G180" cm="1">
        <f t="array" aca="1" ref="G180" ca="1">INDEX($A$2:$A$15,RANDBETWEEN(1,ROWS($A$2:$A$15)),1)</f>
        <v>8</v>
      </c>
      <c r="H180" cm="1">
        <f t="array" aca="1" ref="H180" ca="1">INDEX($A$2:$A$15,RANDBETWEEN(1,ROWS($A$2:$A$15)),1)</f>
        <v>5</v>
      </c>
      <c r="I180" cm="1">
        <f t="array" aca="1" ref="I180" ca="1">INDEX($A$2:$A$15,RANDBETWEEN(1,ROWS($A$2:$A$15)),1)</f>
        <v>2</v>
      </c>
      <c r="J180" cm="1">
        <f t="array" aca="1" ref="J180" ca="1">INDEX($A$2:$A$15,RANDBETWEEN(1,ROWS($A$2:$A$15)),1)</f>
        <v>5</v>
      </c>
      <c r="K180" cm="1">
        <f t="array" aca="1" ref="K180" ca="1">INDEX($A$2:$A$15,RANDBETWEEN(1,ROWS($A$2:$A$15)),1)</f>
        <v>1</v>
      </c>
      <c r="L180" cm="1">
        <f t="array" aca="1" ref="L180" ca="1">INDEX($A$2:$A$15,RANDBETWEEN(1,ROWS($A$2:$A$15)),1)</f>
        <v>3</v>
      </c>
      <c r="M180" cm="1">
        <f t="array" aca="1" ref="M180" ca="1">INDEX($A$2:$A$15,RANDBETWEEN(1,ROWS($A$2:$A$15)),1)</f>
        <v>7</v>
      </c>
      <c r="N180" cm="1">
        <f t="array" aca="1" ref="N180" ca="1">INDEX($A$2:$A$15,RANDBETWEEN(1,ROWS($A$2:$A$15)),1)</f>
        <v>1</v>
      </c>
      <c r="O180" cm="1">
        <f t="array" aca="1" ref="O180" ca="1">INDEX($A$2:$A$15,RANDBETWEEN(1,ROWS($A$2:$A$15)),1)</f>
        <v>5</v>
      </c>
      <c r="P180" cm="1">
        <f t="array" aca="1" ref="P180" ca="1">INDEX($A$2:$A$15,RANDBETWEEN(1,ROWS($A$2:$A$15)),1)</f>
        <v>1</v>
      </c>
      <c r="Q180" cm="1">
        <f t="array" aca="1" ref="Q180" ca="1">INDEX($A$2:$A$15,RANDBETWEEN(1,ROWS($A$2:$A$15)),1)</f>
        <v>1</v>
      </c>
      <c r="R180" cm="1">
        <f t="array" aca="1" ref="R180" ca="1">INDEX($A$2:$A$15,RANDBETWEEN(1,ROWS($A$2:$A$15)),1)</f>
        <v>7</v>
      </c>
      <c r="S180" cm="1">
        <f t="array" aca="1" ref="S180" ca="1">INDEX($A$2:$A$15,RANDBETWEEN(1,ROWS($A$2:$A$15)),1)</f>
        <v>7</v>
      </c>
      <c r="V180">
        <f t="shared" ca="1" si="8"/>
        <v>4</v>
      </c>
      <c r="W180">
        <f t="shared" ca="1" si="9"/>
        <v>4</v>
      </c>
      <c r="X180">
        <f t="shared" ca="1" si="10"/>
        <v>6</v>
      </c>
      <c r="Y180">
        <f t="shared" ca="1" si="11"/>
        <v>2.6925824035672519</v>
      </c>
    </row>
    <row r="181" spans="3:25" x14ac:dyDescent="0.35">
      <c r="C181" cm="1">
        <f t="array" aca="1" ref="C181" ca="1">INDEX($A$2:$A$15,RANDBETWEEN(1,ROWS($A$2:$A$15)),1)</f>
        <v>7</v>
      </c>
      <c r="D181" cm="1">
        <f t="array" aca="1" ref="D181" ca="1">INDEX($A$2:$A$15,RANDBETWEEN(1,ROWS($A$2:$A$15)),1)</f>
        <v>5</v>
      </c>
      <c r="E181" cm="1">
        <f t="array" aca="1" ref="E181" ca="1">INDEX($A$2:$A$15,RANDBETWEEN(1,ROWS($A$2:$A$15)),1)</f>
        <v>4</v>
      </c>
      <c r="F181" cm="1">
        <f t="array" aca="1" ref="F181" ca="1">INDEX($A$2:$A$15,RANDBETWEEN(1,ROWS($A$2:$A$15)),1)</f>
        <v>5</v>
      </c>
      <c r="G181" cm="1">
        <f t="array" aca="1" ref="G181" ca="1">INDEX($A$2:$A$15,RANDBETWEEN(1,ROWS($A$2:$A$15)),1)</f>
        <v>2</v>
      </c>
      <c r="H181" cm="1">
        <f t="array" aca="1" ref="H181" ca="1">INDEX($A$2:$A$15,RANDBETWEEN(1,ROWS($A$2:$A$15)),1)</f>
        <v>4</v>
      </c>
      <c r="I181" cm="1">
        <f t="array" aca="1" ref="I181" ca="1">INDEX($A$2:$A$15,RANDBETWEEN(1,ROWS($A$2:$A$15)),1)</f>
        <v>1</v>
      </c>
      <c r="J181" cm="1">
        <f t="array" aca="1" ref="J181" ca="1">INDEX($A$2:$A$15,RANDBETWEEN(1,ROWS($A$2:$A$15)),1)</f>
        <v>5</v>
      </c>
      <c r="K181" cm="1">
        <f t="array" aca="1" ref="K181" ca="1">INDEX($A$2:$A$15,RANDBETWEEN(1,ROWS($A$2:$A$15)),1)</f>
        <v>3</v>
      </c>
      <c r="L181" cm="1">
        <f t="array" aca="1" ref="L181" ca="1">INDEX($A$2:$A$15,RANDBETWEEN(1,ROWS($A$2:$A$15)),1)</f>
        <v>4</v>
      </c>
      <c r="M181" cm="1">
        <f t="array" aca="1" ref="M181" ca="1">INDEX($A$2:$A$15,RANDBETWEEN(1,ROWS($A$2:$A$15)),1)</f>
        <v>4</v>
      </c>
      <c r="N181" cm="1">
        <f t="array" aca="1" ref="N181" ca="1">INDEX($A$2:$A$15,RANDBETWEEN(1,ROWS($A$2:$A$15)),1)</f>
        <v>3</v>
      </c>
      <c r="O181" cm="1">
        <f t="array" aca="1" ref="O181" ca="1">INDEX($A$2:$A$15,RANDBETWEEN(1,ROWS($A$2:$A$15)),1)</f>
        <v>1</v>
      </c>
      <c r="P181" cm="1">
        <f t="array" aca="1" ref="P181" ca="1">INDEX($A$2:$A$15,RANDBETWEEN(1,ROWS($A$2:$A$15)),1)</f>
        <v>5</v>
      </c>
      <c r="Q181" cm="1">
        <f t="array" aca="1" ref="Q181" ca="1">INDEX($A$2:$A$15,RANDBETWEEN(1,ROWS($A$2:$A$15)),1)</f>
        <v>5</v>
      </c>
      <c r="R181" cm="1">
        <f t="array" aca="1" ref="R181" ca="1">INDEX($A$2:$A$15,RANDBETWEEN(1,ROWS($A$2:$A$15)),1)</f>
        <v>8</v>
      </c>
      <c r="S181" cm="1">
        <f t="array" aca="1" ref="S181" ca="1">INDEX($A$2:$A$15,RANDBETWEEN(1,ROWS($A$2:$A$15)),1)</f>
        <v>5</v>
      </c>
      <c r="V181">
        <f t="shared" ca="1" si="8"/>
        <v>4.1764705882352944</v>
      </c>
      <c r="W181">
        <f t="shared" ca="1" si="9"/>
        <v>4</v>
      </c>
      <c r="X181">
        <f t="shared" ca="1" si="10"/>
        <v>2</v>
      </c>
      <c r="Y181">
        <f t="shared" ca="1" si="11"/>
        <v>1.8451048113063615</v>
      </c>
    </row>
    <row r="182" spans="3:25" x14ac:dyDescent="0.35">
      <c r="C182" cm="1">
        <f t="array" aca="1" ref="C182" ca="1">INDEX($A$2:$A$15,RANDBETWEEN(1,ROWS($A$2:$A$15)),1)</f>
        <v>1</v>
      </c>
      <c r="D182" cm="1">
        <f t="array" aca="1" ref="D182" ca="1">INDEX($A$2:$A$15,RANDBETWEEN(1,ROWS($A$2:$A$15)),1)</f>
        <v>4</v>
      </c>
      <c r="E182" cm="1">
        <f t="array" aca="1" ref="E182" ca="1">INDEX($A$2:$A$15,RANDBETWEEN(1,ROWS($A$2:$A$15)),1)</f>
        <v>4</v>
      </c>
      <c r="F182" cm="1">
        <f t="array" aca="1" ref="F182" ca="1">INDEX($A$2:$A$15,RANDBETWEEN(1,ROWS($A$2:$A$15)),1)</f>
        <v>1</v>
      </c>
      <c r="G182" cm="1">
        <f t="array" aca="1" ref="G182" ca="1">INDEX($A$2:$A$15,RANDBETWEEN(1,ROWS($A$2:$A$15)),1)</f>
        <v>3</v>
      </c>
      <c r="H182" cm="1">
        <f t="array" aca="1" ref="H182" ca="1">INDEX($A$2:$A$15,RANDBETWEEN(1,ROWS($A$2:$A$15)),1)</f>
        <v>4</v>
      </c>
      <c r="I182" cm="1">
        <f t="array" aca="1" ref="I182" ca="1">INDEX($A$2:$A$15,RANDBETWEEN(1,ROWS($A$2:$A$15)),1)</f>
        <v>8</v>
      </c>
      <c r="J182" cm="1">
        <f t="array" aca="1" ref="J182" ca="1">INDEX($A$2:$A$15,RANDBETWEEN(1,ROWS($A$2:$A$15)),1)</f>
        <v>1</v>
      </c>
      <c r="K182" cm="1">
        <f t="array" aca="1" ref="K182" ca="1">INDEX($A$2:$A$15,RANDBETWEEN(1,ROWS($A$2:$A$15)),1)</f>
        <v>4</v>
      </c>
      <c r="L182" cm="1">
        <f t="array" aca="1" ref="L182" ca="1">INDEX($A$2:$A$15,RANDBETWEEN(1,ROWS($A$2:$A$15)),1)</f>
        <v>3</v>
      </c>
      <c r="M182" cm="1">
        <f t="array" aca="1" ref="M182" ca="1">INDEX($A$2:$A$15,RANDBETWEEN(1,ROWS($A$2:$A$15)),1)</f>
        <v>3</v>
      </c>
      <c r="N182" cm="1">
        <f t="array" aca="1" ref="N182" ca="1">INDEX($A$2:$A$15,RANDBETWEEN(1,ROWS($A$2:$A$15)),1)</f>
        <v>5</v>
      </c>
      <c r="O182" cm="1">
        <f t="array" aca="1" ref="O182" ca="1">INDEX($A$2:$A$15,RANDBETWEEN(1,ROWS($A$2:$A$15)),1)</f>
        <v>1</v>
      </c>
      <c r="P182" cm="1">
        <f t="array" aca="1" ref="P182" ca="1">INDEX($A$2:$A$15,RANDBETWEEN(1,ROWS($A$2:$A$15)),1)</f>
        <v>1</v>
      </c>
      <c r="Q182" cm="1">
        <f t="array" aca="1" ref="Q182" ca="1">INDEX($A$2:$A$15,RANDBETWEEN(1,ROWS($A$2:$A$15)),1)</f>
        <v>5</v>
      </c>
      <c r="R182" cm="1">
        <f t="array" aca="1" ref="R182" ca="1">INDEX($A$2:$A$15,RANDBETWEEN(1,ROWS($A$2:$A$15)),1)</f>
        <v>5</v>
      </c>
      <c r="S182" cm="1">
        <f t="array" aca="1" ref="S182" ca="1">INDEX($A$2:$A$15,RANDBETWEEN(1,ROWS($A$2:$A$15)),1)</f>
        <v>4</v>
      </c>
      <c r="V182">
        <f t="shared" ca="1" si="8"/>
        <v>3.3529411764705883</v>
      </c>
      <c r="W182">
        <f t="shared" ca="1" si="9"/>
        <v>4</v>
      </c>
      <c r="X182">
        <f t="shared" ca="1" si="10"/>
        <v>3</v>
      </c>
      <c r="Y182">
        <f t="shared" ca="1" si="11"/>
        <v>1.9345922202943775</v>
      </c>
    </row>
    <row r="183" spans="3:25" x14ac:dyDescent="0.35">
      <c r="C183" cm="1">
        <f t="array" aca="1" ref="C183" ca="1">INDEX($A$2:$A$15,RANDBETWEEN(1,ROWS($A$2:$A$15)),1)</f>
        <v>5</v>
      </c>
      <c r="D183" cm="1">
        <f t="array" aca="1" ref="D183" ca="1">INDEX($A$2:$A$15,RANDBETWEEN(1,ROWS($A$2:$A$15)),1)</f>
        <v>4</v>
      </c>
      <c r="E183" cm="1">
        <f t="array" aca="1" ref="E183" ca="1">INDEX($A$2:$A$15,RANDBETWEEN(1,ROWS($A$2:$A$15)),1)</f>
        <v>8</v>
      </c>
      <c r="F183" cm="1">
        <f t="array" aca="1" ref="F183" ca="1">INDEX($A$2:$A$15,RANDBETWEEN(1,ROWS($A$2:$A$15)),1)</f>
        <v>5</v>
      </c>
      <c r="G183" cm="1">
        <f t="array" aca="1" ref="G183" ca="1">INDEX($A$2:$A$15,RANDBETWEEN(1,ROWS($A$2:$A$15)),1)</f>
        <v>8</v>
      </c>
      <c r="H183" cm="1">
        <f t="array" aca="1" ref="H183" ca="1">INDEX($A$2:$A$15,RANDBETWEEN(1,ROWS($A$2:$A$15)),1)</f>
        <v>1</v>
      </c>
      <c r="I183" cm="1">
        <f t="array" aca="1" ref="I183" ca="1">INDEX($A$2:$A$15,RANDBETWEEN(1,ROWS($A$2:$A$15)),1)</f>
        <v>2</v>
      </c>
      <c r="J183" cm="1">
        <f t="array" aca="1" ref="J183" ca="1">INDEX($A$2:$A$15,RANDBETWEEN(1,ROWS($A$2:$A$15)),1)</f>
        <v>4</v>
      </c>
      <c r="K183" cm="1">
        <f t="array" aca="1" ref="K183" ca="1">INDEX($A$2:$A$15,RANDBETWEEN(1,ROWS($A$2:$A$15)),1)</f>
        <v>5</v>
      </c>
      <c r="L183" cm="1">
        <f t="array" aca="1" ref="L183" ca="1">INDEX($A$2:$A$15,RANDBETWEEN(1,ROWS($A$2:$A$15)),1)</f>
        <v>3</v>
      </c>
      <c r="M183" cm="1">
        <f t="array" aca="1" ref="M183" ca="1">INDEX($A$2:$A$15,RANDBETWEEN(1,ROWS($A$2:$A$15)),1)</f>
        <v>1</v>
      </c>
      <c r="N183" cm="1">
        <f t="array" aca="1" ref="N183" ca="1">INDEX($A$2:$A$15,RANDBETWEEN(1,ROWS($A$2:$A$15)),1)</f>
        <v>1</v>
      </c>
      <c r="O183" cm="1">
        <f t="array" aca="1" ref="O183" ca="1">INDEX($A$2:$A$15,RANDBETWEEN(1,ROWS($A$2:$A$15)),1)</f>
        <v>1</v>
      </c>
      <c r="P183" cm="1">
        <f t="array" aca="1" ref="P183" ca="1">INDEX($A$2:$A$15,RANDBETWEEN(1,ROWS($A$2:$A$15)),1)</f>
        <v>2</v>
      </c>
      <c r="Q183" cm="1">
        <f t="array" aca="1" ref="Q183" ca="1">INDEX($A$2:$A$15,RANDBETWEEN(1,ROWS($A$2:$A$15)),1)</f>
        <v>4</v>
      </c>
      <c r="R183" cm="1">
        <f t="array" aca="1" ref="R183" ca="1">INDEX($A$2:$A$15,RANDBETWEEN(1,ROWS($A$2:$A$15)),1)</f>
        <v>2</v>
      </c>
      <c r="S183" cm="1">
        <f t="array" aca="1" ref="S183" ca="1">INDEX($A$2:$A$15,RANDBETWEEN(1,ROWS($A$2:$A$15)),1)</f>
        <v>5</v>
      </c>
      <c r="V183">
        <f t="shared" ca="1" si="8"/>
        <v>3.5882352941176472</v>
      </c>
      <c r="W183">
        <f t="shared" ca="1" si="9"/>
        <v>4</v>
      </c>
      <c r="X183">
        <f t="shared" ca="1" si="10"/>
        <v>3</v>
      </c>
      <c r="Y183">
        <f t="shared" ca="1" si="11"/>
        <v>2.265469695488437</v>
      </c>
    </row>
    <row r="184" spans="3:25" x14ac:dyDescent="0.35">
      <c r="C184" cm="1">
        <f t="array" aca="1" ref="C184" ca="1">INDEX($A$2:$A$15,RANDBETWEEN(1,ROWS($A$2:$A$15)),1)</f>
        <v>8</v>
      </c>
      <c r="D184" cm="1">
        <f t="array" aca="1" ref="D184" ca="1">INDEX($A$2:$A$15,RANDBETWEEN(1,ROWS($A$2:$A$15)),1)</f>
        <v>5</v>
      </c>
      <c r="E184" cm="1">
        <f t="array" aca="1" ref="E184" ca="1">INDEX($A$2:$A$15,RANDBETWEEN(1,ROWS($A$2:$A$15)),1)</f>
        <v>1</v>
      </c>
      <c r="F184" cm="1">
        <f t="array" aca="1" ref="F184" ca="1">INDEX($A$2:$A$15,RANDBETWEEN(1,ROWS($A$2:$A$15)),1)</f>
        <v>3</v>
      </c>
      <c r="G184" cm="1">
        <f t="array" aca="1" ref="G184" ca="1">INDEX($A$2:$A$15,RANDBETWEEN(1,ROWS($A$2:$A$15)),1)</f>
        <v>5</v>
      </c>
      <c r="H184" cm="1">
        <f t="array" aca="1" ref="H184" ca="1">INDEX($A$2:$A$15,RANDBETWEEN(1,ROWS($A$2:$A$15)),1)</f>
        <v>2</v>
      </c>
      <c r="I184" cm="1">
        <f t="array" aca="1" ref="I184" ca="1">INDEX($A$2:$A$15,RANDBETWEEN(1,ROWS($A$2:$A$15)),1)</f>
        <v>4</v>
      </c>
      <c r="J184" cm="1">
        <f t="array" aca="1" ref="J184" ca="1">INDEX($A$2:$A$15,RANDBETWEEN(1,ROWS($A$2:$A$15)),1)</f>
        <v>2</v>
      </c>
      <c r="K184" cm="1">
        <f t="array" aca="1" ref="K184" ca="1">INDEX($A$2:$A$15,RANDBETWEEN(1,ROWS($A$2:$A$15)),1)</f>
        <v>5</v>
      </c>
      <c r="L184" cm="1">
        <f t="array" aca="1" ref="L184" ca="1">INDEX($A$2:$A$15,RANDBETWEEN(1,ROWS($A$2:$A$15)),1)</f>
        <v>5</v>
      </c>
      <c r="M184" cm="1">
        <f t="array" aca="1" ref="M184" ca="1">INDEX($A$2:$A$15,RANDBETWEEN(1,ROWS($A$2:$A$15)),1)</f>
        <v>2</v>
      </c>
      <c r="N184" cm="1">
        <f t="array" aca="1" ref="N184" ca="1">INDEX($A$2:$A$15,RANDBETWEEN(1,ROWS($A$2:$A$15)),1)</f>
        <v>3</v>
      </c>
      <c r="O184" cm="1">
        <f t="array" aca="1" ref="O184" ca="1">INDEX($A$2:$A$15,RANDBETWEEN(1,ROWS($A$2:$A$15)),1)</f>
        <v>4</v>
      </c>
      <c r="P184" cm="1">
        <f t="array" aca="1" ref="P184" ca="1">INDEX($A$2:$A$15,RANDBETWEEN(1,ROWS($A$2:$A$15)),1)</f>
        <v>3</v>
      </c>
      <c r="Q184" cm="1">
        <f t="array" aca="1" ref="Q184" ca="1">INDEX($A$2:$A$15,RANDBETWEEN(1,ROWS($A$2:$A$15)),1)</f>
        <v>2</v>
      </c>
      <c r="R184" cm="1">
        <f t="array" aca="1" ref="R184" ca="1">INDEX($A$2:$A$15,RANDBETWEEN(1,ROWS($A$2:$A$15)),1)</f>
        <v>3</v>
      </c>
      <c r="S184" cm="1">
        <f t="array" aca="1" ref="S184" ca="1">INDEX($A$2:$A$15,RANDBETWEEN(1,ROWS($A$2:$A$15)),1)</f>
        <v>1</v>
      </c>
      <c r="V184">
        <f t="shared" ca="1" si="8"/>
        <v>3.4117647058823528</v>
      </c>
      <c r="W184">
        <f t="shared" ca="1" si="9"/>
        <v>3</v>
      </c>
      <c r="X184">
        <f t="shared" ca="1" si="10"/>
        <v>3</v>
      </c>
      <c r="Y184">
        <f t="shared" ca="1" si="11"/>
        <v>1.8048138245194354</v>
      </c>
    </row>
    <row r="185" spans="3:25" x14ac:dyDescent="0.35">
      <c r="C185" cm="1">
        <f t="array" aca="1" ref="C185" ca="1">INDEX($A$2:$A$15,RANDBETWEEN(1,ROWS($A$2:$A$15)),1)</f>
        <v>1</v>
      </c>
      <c r="D185" cm="1">
        <f t="array" aca="1" ref="D185" ca="1">INDEX($A$2:$A$15,RANDBETWEEN(1,ROWS($A$2:$A$15)),1)</f>
        <v>5</v>
      </c>
      <c r="E185" cm="1">
        <f t="array" aca="1" ref="E185" ca="1">INDEX($A$2:$A$15,RANDBETWEEN(1,ROWS($A$2:$A$15)),1)</f>
        <v>3</v>
      </c>
      <c r="F185" cm="1">
        <f t="array" aca="1" ref="F185" ca="1">INDEX($A$2:$A$15,RANDBETWEEN(1,ROWS($A$2:$A$15)),1)</f>
        <v>4</v>
      </c>
      <c r="G185" cm="1">
        <f t="array" aca="1" ref="G185" ca="1">INDEX($A$2:$A$15,RANDBETWEEN(1,ROWS($A$2:$A$15)),1)</f>
        <v>8</v>
      </c>
      <c r="H185" cm="1">
        <f t="array" aca="1" ref="H185" ca="1">INDEX($A$2:$A$15,RANDBETWEEN(1,ROWS($A$2:$A$15)),1)</f>
        <v>3</v>
      </c>
      <c r="I185" cm="1">
        <f t="array" aca="1" ref="I185" ca="1">INDEX($A$2:$A$15,RANDBETWEEN(1,ROWS($A$2:$A$15)),1)</f>
        <v>7</v>
      </c>
      <c r="J185" cm="1">
        <f t="array" aca="1" ref="J185" ca="1">INDEX($A$2:$A$15,RANDBETWEEN(1,ROWS($A$2:$A$15)),1)</f>
        <v>5</v>
      </c>
      <c r="K185" cm="1">
        <f t="array" aca="1" ref="K185" ca="1">INDEX($A$2:$A$15,RANDBETWEEN(1,ROWS($A$2:$A$15)),1)</f>
        <v>2</v>
      </c>
      <c r="L185" cm="1">
        <f t="array" aca="1" ref="L185" ca="1">INDEX($A$2:$A$15,RANDBETWEEN(1,ROWS($A$2:$A$15)),1)</f>
        <v>2</v>
      </c>
      <c r="M185" cm="1">
        <f t="array" aca="1" ref="M185" ca="1">INDEX($A$2:$A$15,RANDBETWEEN(1,ROWS($A$2:$A$15)),1)</f>
        <v>1</v>
      </c>
      <c r="N185" cm="1">
        <f t="array" aca="1" ref="N185" ca="1">INDEX($A$2:$A$15,RANDBETWEEN(1,ROWS($A$2:$A$15)),1)</f>
        <v>5</v>
      </c>
      <c r="O185" cm="1">
        <f t="array" aca="1" ref="O185" ca="1">INDEX($A$2:$A$15,RANDBETWEEN(1,ROWS($A$2:$A$15)),1)</f>
        <v>3</v>
      </c>
      <c r="P185" cm="1">
        <f t="array" aca="1" ref="P185" ca="1">INDEX($A$2:$A$15,RANDBETWEEN(1,ROWS($A$2:$A$15)),1)</f>
        <v>5</v>
      </c>
      <c r="Q185" cm="1">
        <f t="array" aca="1" ref="Q185" ca="1">INDEX($A$2:$A$15,RANDBETWEEN(1,ROWS($A$2:$A$15)),1)</f>
        <v>8</v>
      </c>
      <c r="R185" cm="1">
        <f t="array" aca="1" ref="R185" ca="1">INDEX($A$2:$A$15,RANDBETWEEN(1,ROWS($A$2:$A$15)),1)</f>
        <v>1</v>
      </c>
      <c r="S185" cm="1">
        <f t="array" aca="1" ref="S185" ca="1">INDEX($A$2:$A$15,RANDBETWEEN(1,ROWS($A$2:$A$15)),1)</f>
        <v>5</v>
      </c>
      <c r="V185">
        <f t="shared" ca="1" si="8"/>
        <v>4</v>
      </c>
      <c r="W185">
        <f t="shared" ca="1" si="9"/>
        <v>4</v>
      </c>
      <c r="X185">
        <f t="shared" ca="1" si="10"/>
        <v>3</v>
      </c>
      <c r="Y185">
        <f t="shared" ca="1" si="11"/>
        <v>2.2912878474779199</v>
      </c>
    </row>
    <row r="186" spans="3:25" x14ac:dyDescent="0.35">
      <c r="C186" cm="1">
        <f t="array" aca="1" ref="C186" ca="1">INDEX($A$2:$A$15,RANDBETWEEN(1,ROWS($A$2:$A$15)),1)</f>
        <v>4</v>
      </c>
      <c r="D186" cm="1">
        <f t="array" aca="1" ref="D186" ca="1">INDEX($A$2:$A$15,RANDBETWEEN(1,ROWS($A$2:$A$15)),1)</f>
        <v>5</v>
      </c>
      <c r="E186" cm="1">
        <f t="array" aca="1" ref="E186" ca="1">INDEX($A$2:$A$15,RANDBETWEEN(1,ROWS($A$2:$A$15)),1)</f>
        <v>5</v>
      </c>
      <c r="F186" cm="1">
        <f t="array" aca="1" ref="F186" ca="1">INDEX($A$2:$A$15,RANDBETWEEN(1,ROWS($A$2:$A$15)),1)</f>
        <v>3</v>
      </c>
      <c r="G186" cm="1">
        <f t="array" aca="1" ref="G186" ca="1">INDEX($A$2:$A$15,RANDBETWEEN(1,ROWS($A$2:$A$15)),1)</f>
        <v>5</v>
      </c>
      <c r="H186" cm="1">
        <f t="array" aca="1" ref="H186" ca="1">INDEX($A$2:$A$15,RANDBETWEEN(1,ROWS($A$2:$A$15)),1)</f>
        <v>4</v>
      </c>
      <c r="I186" cm="1">
        <f t="array" aca="1" ref="I186" ca="1">INDEX($A$2:$A$15,RANDBETWEEN(1,ROWS($A$2:$A$15)),1)</f>
        <v>7</v>
      </c>
      <c r="J186" cm="1">
        <f t="array" aca="1" ref="J186" ca="1">INDEX($A$2:$A$15,RANDBETWEEN(1,ROWS($A$2:$A$15)),1)</f>
        <v>7</v>
      </c>
      <c r="K186" cm="1">
        <f t="array" aca="1" ref="K186" ca="1">INDEX($A$2:$A$15,RANDBETWEEN(1,ROWS($A$2:$A$15)),1)</f>
        <v>3</v>
      </c>
      <c r="L186" cm="1">
        <f t="array" aca="1" ref="L186" ca="1">INDEX($A$2:$A$15,RANDBETWEEN(1,ROWS($A$2:$A$15)),1)</f>
        <v>8</v>
      </c>
      <c r="M186" cm="1">
        <f t="array" aca="1" ref="M186" ca="1">INDEX($A$2:$A$15,RANDBETWEEN(1,ROWS($A$2:$A$15)),1)</f>
        <v>3</v>
      </c>
      <c r="N186" cm="1">
        <f t="array" aca="1" ref="N186" ca="1">INDEX($A$2:$A$15,RANDBETWEEN(1,ROWS($A$2:$A$15)),1)</f>
        <v>7</v>
      </c>
      <c r="O186" cm="1">
        <f t="array" aca="1" ref="O186" ca="1">INDEX($A$2:$A$15,RANDBETWEEN(1,ROWS($A$2:$A$15)),1)</f>
        <v>1</v>
      </c>
      <c r="P186" cm="1">
        <f t="array" aca="1" ref="P186" ca="1">INDEX($A$2:$A$15,RANDBETWEEN(1,ROWS($A$2:$A$15)),1)</f>
        <v>3</v>
      </c>
      <c r="Q186" cm="1">
        <f t="array" aca="1" ref="Q186" ca="1">INDEX($A$2:$A$15,RANDBETWEEN(1,ROWS($A$2:$A$15)),1)</f>
        <v>7</v>
      </c>
      <c r="R186" cm="1">
        <f t="array" aca="1" ref="R186" ca="1">INDEX($A$2:$A$15,RANDBETWEEN(1,ROWS($A$2:$A$15)),1)</f>
        <v>5</v>
      </c>
      <c r="S186" cm="1">
        <f t="array" aca="1" ref="S186" ca="1">INDEX($A$2:$A$15,RANDBETWEEN(1,ROWS($A$2:$A$15)),1)</f>
        <v>2</v>
      </c>
      <c r="V186">
        <f t="shared" ca="1" si="8"/>
        <v>4.6470588235294121</v>
      </c>
      <c r="W186">
        <f t="shared" ca="1" si="9"/>
        <v>5</v>
      </c>
      <c r="X186">
        <f t="shared" ca="1" si="10"/>
        <v>4</v>
      </c>
      <c r="Y186">
        <f t="shared" ca="1" si="11"/>
        <v>2.0291986247835694</v>
      </c>
    </row>
    <row r="187" spans="3:25" x14ac:dyDescent="0.35">
      <c r="C187" cm="1">
        <f t="array" aca="1" ref="C187" ca="1">INDEX($A$2:$A$15,RANDBETWEEN(1,ROWS($A$2:$A$15)),1)</f>
        <v>1</v>
      </c>
      <c r="D187" cm="1">
        <f t="array" aca="1" ref="D187" ca="1">INDEX($A$2:$A$15,RANDBETWEEN(1,ROWS($A$2:$A$15)),1)</f>
        <v>5</v>
      </c>
      <c r="E187" cm="1">
        <f t="array" aca="1" ref="E187" ca="1">INDEX($A$2:$A$15,RANDBETWEEN(1,ROWS($A$2:$A$15)),1)</f>
        <v>5</v>
      </c>
      <c r="F187" cm="1">
        <f t="array" aca="1" ref="F187" ca="1">INDEX($A$2:$A$15,RANDBETWEEN(1,ROWS($A$2:$A$15)),1)</f>
        <v>3</v>
      </c>
      <c r="G187" cm="1">
        <f t="array" aca="1" ref="G187" ca="1">INDEX($A$2:$A$15,RANDBETWEEN(1,ROWS($A$2:$A$15)),1)</f>
        <v>4</v>
      </c>
      <c r="H187" cm="1">
        <f t="array" aca="1" ref="H187" ca="1">INDEX($A$2:$A$15,RANDBETWEEN(1,ROWS($A$2:$A$15)),1)</f>
        <v>4</v>
      </c>
      <c r="I187" cm="1">
        <f t="array" aca="1" ref="I187" ca="1">INDEX($A$2:$A$15,RANDBETWEEN(1,ROWS($A$2:$A$15)),1)</f>
        <v>5</v>
      </c>
      <c r="J187" cm="1">
        <f t="array" aca="1" ref="J187" ca="1">INDEX($A$2:$A$15,RANDBETWEEN(1,ROWS($A$2:$A$15)),1)</f>
        <v>3</v>
      </c>
      <c r="K187" cm="1">
        <f t="array" aca="1" ref="K187" ca="1">INDEX($A$2:$A$15,RANDBETWEEN(1,ROWS($A$2:$A$15)),1)</f>
        <v>5</v>
      </c>
      <c r="L187" cm="1">
        <f t="array" aca="1" ref="L187" ca="1">INDEX($A$2:$A$15,RANDBETWEEN(1,ROWS($A$2:$A$15)),1)</f>
        <v>1</v>
      </c>
      <c r="M187" cm="1">
        <f t="array" aca="1" ref="M187" ca="1">INDEX($A$2:$A$15,RANDBETWEEN(1,ROWS($A$2:$A$15)),1)</f>
        <v>1</v>
      </c>
      <c r="N187" cm="1">
        <f t="array" aca="1" ref="N187" ca="1">INDEX($A$2:$A$15,RANDBETWEEN(1,ROWS($A$2:$A$15)),1)</f>
        <v>7</v>
      </c>
      <c r="O187" cm="1">
        <f t="array" aca="1" ref="O187" ca="1">INDEX($A$2:$A$15,RANDBETWEEN(1,ROWS($A$2:$A$15)),1)</f>
        <v>1</v>
      </c>
      <c r="P187" cm="1">
        <f t="array" aca="1" ref="P187" ca="1">INDEX($A$2:$A$15,RANDBETWEEN(1,ROWS($A$2:$A$15)),1)</f>
        <v>3</v>
      </c>
      <c r="Q187" cm="1">
        <f t="array" aca="1" ref="Q187" ca="1">INDEX($A$2:$A$15,RANDBETWEEN(1,ROWS($A$2:$A$15)),1)</f>
        <v>1</v>
      </c>
      <c r="R187" cm="1">
        <f t="array" aca="1" ref="R187" ca="1">INDEX($A$2:$A$15,RANDBETWEEN(1,ROWS($A$2:$A$15)),1)</f>
        <v>3</v>
      </c>
      <c r="S187" cm="1">
        <f t="array" aca="1" ref="S187" ca="1">INDEX($A$2:$A$15,RANDBETWEEN(1,ROWS($A$2:$A$15)),1)</f>
        <v>4</v>
      </c>
      <c r="V187">
        <f t="shared" ca="1" si="8"/>
        <v>3.2941176470588234</v>
      </c>
      <c r="W187">
        <f t="shared" ca="1" si="9"/>
        <v>3</v>
      </c>
      <c r="X187">
        <f t="shared" ca="1" si="10"/>
        <v>4</v>
      </c>
      <c r="Y187">
        <f t="shared" ca="1" si="11"/>
        <v>1.829094922439543</v>
      </c>
    </row>
    <row r="188" spans="3:25" x14ac:dyDescent="0.35">
      <c r="C188" cm="1">
        <f t="array" aca="1" ref="C188" ca="1">INDEX($A$2:$A$15,RANDBETWEEN(1,ROWS($A$2:$A$15)),1)</f>
        <v>1</v>
      </c>
      <c r="D188" cm="1">
        <f t="array" aca="1" ref="D188" ca="1">INDEX($A$2:$A$15,RANDBETWEEN(1,ROWS($A$2:$A$15)),1)</f>
        <v>1</v>
      </c>
      <c r="E188" cm="1">
        <f t="array" aca="1" ref="E188" ca="1">INDEX($A$2:$A$15,RANDBETWEEN(1,ROWS($A$2:$A$15)),1)</f>
        <v>1</v>
      </c>
      <c r="F188" cm="1">
        <f t="array" aca="1" ref="F188" ca="1">INDEX($A$2:$A$15,RANDBETWEEN(1,ROWS($A$2:$A$15)),1)</f>
        <v>5</v>
      </c>
      <c r="G188" cm="1">
        <f t="array" aca="1" ref="G188" ca="1">INDEX($A$2:$A$15,RANDBETWEEN(1,ROWS($A$2:$A$15)),1)</f>
        <v>7</v>
      </c>
      <c r="H188" cm="1">
        <f t="array" aca="1" ref="H188" ca="1">INDEX($A$2:$A$15,RANDBETWEEN(1,ROWS($A$2:$A$15)),1)</f>
        <v>1</v>
      </c>
      <c r="I188" cm="1">
        <f t="array" aca="1" ref="I188" ca="1">INDEX($A$2:$A$15,RANDBETWEEN(1,ROWS($A$2:$A$15)),1)</f>
        <v>4</v>
      </c>
      <c r="J188" cm="1">
        <f t="array" aca="1" ref="J188" ca="1">INDEX($A$2:$A$15,RANDBETWEEN(1,ROWS($A$2:$A$15)),1)</f>
        <v>5</v>
      </c>
      <c r="K188" cm="1">
        <f t="array" aca="1" ref="K188" ca="1">INDEX($A$2:$A$15,RANDBETWEEN(1,ROWS($A$2:$A$15)),1)</f>
        <v>1</v>
      </c>
      <c r="L188" cm="1">
        <f t="array" aca="1" ref="L188" ca="1">INDEX($A$2:$A$15,RANDBETWEEN(1,ROWS($A$2:$A$15)),1)</f>
        <v>5</v>
      </c>
      <c r="M188" cm="1">
        <f t="array" aca="1" ref="M188" ca="1">INDEX($A$2:$A$15,RANDBETWEEN(1,ROWS($A$2:$A$15)),1)</f>
        <v>8</v>
      </c>
      <c r="N188" cm="1">
        <f t="array" aca="1" ref="N188" ca="1">INDEX($A$2:$A$15,RANDBETWEEN(1,ROWS($A$2:$A$15)),1)</f>
        <v>5</v>
      </c>
      <c r="O188" cm="1">
        <f t="array" aca="1" ref="O188" ca="1">INDEX($A$2:$A$15,RANDBETWEEN(1,ROWS($A$2:$A$15)),1)</f>
        <v>1</v>
      </c>
      <c r="P188" cm="1">
        <f t="array" aca="1" ref="P188" ca="1">INDEX($A$2:$A$15,RANDBETWEEN(1,ROWS($A$2:$A$15)),1)</f>
        <v>5</v>
      </c>
      <c r="Q188" cm="1">
        <f t="array" aca="1" ref="Q188" ca="1">INDEX($A$2:$A$15,RANDBETWEEN(1,ROWS($A$2:$A$15)),1)</f>
        <v>4</v>
      </c>
      <c r="R188" cm="1">
        <f t="array" aca="1" ref="R188" ca="1">INDEX($A$2:$A$15,RANDBETWEEN(1,ROWS($A$2:$A$15)),1)</f>
        <v>5</v>
      </c>
      <c r="S188" cm="1">
        <f t="array" aca="1" ref="S188" ca="1">INDEX($A$2:$A$15,RANDBETWEEN(1,ROWS($A$2:$A$15)),1)</f>
        <v>1</v>
      </c>
      <c r="V188">
        <f t="shared" ca="1" si="8"/>
        <v>3.5294117647058822</v>
      </c>
      <c r="W188">
        <f t="shared" ca="1" si="9"/>
        <v>4</v>
      </c>
      <c r="X188">
        <f t="shared" ca="1" si="10"/>
        <v>4</v>
      </c>
      <c r="Y188">
        <f t="shared" ca="1" si="11"/>
        <v>2.3748064936648925</v>
      </c>
    </row>
    <row r="189" spans="3:25" x14ac:dyDescent="0.35">
      <c r="C189" cm="1">
        <f t="array" aca="1" ref="C189" ca="1">INDEX($A$2:$A$15,RANDBETWEEN(1,ROWS($A$2:$A$15)),1)</f>
        <v>1</v>
      </c>
      <c r="D189" cm="1">
        <f t="array" aca="1" ref="D189" ca="1">INDEX($A$2:$A$15,RANDBETWEEN(1,ROWS($A$2:$A$15)),1)</f>
        <v>2</v>
      </c>
      <c r="E189" cm="1">
        <f t="array" aca="1" ref="E189" ca="1">INDEX($A$2:$A$15,RANDBETWEEN(1,ROWS($A$2:$A$15)),1)</f>
        <v>5</v>
      </c>
      <c r="F189" cm="1">
        <f t="array" aca="1" ref="F189" ca="1">INDEX($A$2:$A$15,RANDBETWEEN(1,ROWS($A$2:$A$15)),1)</f>
        <v>1</v>
      </c>
      <c r="G189" cm="1">
        <f t="array" aca="1" ref="G189" ca="1">INDEX($A$2:$A$15,RANDBETWEEN(1,ROWS($A$2:$A$15)),1)</f>
        <v>5</v>
      </c>
      <c r="H189" cm="1">
        <f t="array" aca="1" ref="H189" ca="1">INDEX($A$2:$A$15,RANDBETWEEN(1,ROWS($A$2:$A$15)),1)</f>
        <v>5</v>
      </c>
      <c r="I189" cm="1">
        <f t="array" aca="1" ref="I189" ca="1">INDEX($A$2:$A$15,RANDBETWEEN(1,ROWS($A$2:$A$15)),1)</f>
        <v>1</v>
      </c>
      <c r="J189" cm="1">
        <f t="array" aca="1" ref="J189" ca="1">INDEX($A$2:$A$15,RANDBETWEEN(1,ROWS($A$2:$A$15)),1)</f>
        <v>7</v>
      </c>
      <c r="K189" cm="1">
        <f t="array" aca="1" ref="K189" ca="1">INDEX($A$2:$A$15,RANDBETWEEN(1,ROWS($A$2:$A$15)),1)</f>
        <v>5</v>
      </c>
      <c r="L189" cm="1">
        <f t="array" aca="1" ref="L189" ca="1">INDEX($A$2:$A$15,RANDBETWEEN(1,ROWS($A$2:$A$15)),1)</f>
        <v>5</v>
      </c>
      <c r="M189" cm="1">
        <f t="array" aca="1" ref="M189" ca="1">INDEX($A$2:$A$15,RANDBETWEEN(1,ROWS($A$2:$A$15)),1)</f>
        <v>8</v>
      </c>
      <c r="N189" cm="1">
        <f t="array" aca="1" ref="N189" ca="1">INDEX($A$2:$A$15,RANDBETWEEN(1,ROWS($A$2:$A$15)),1)</f>
        <v>3</v>
      </c>
      <c r="O189" cm="1">
        <f t="array" aca="1" ref="O189" ca="1">INDEX($A$2:$A$15,RANDBETWEEN(1,ROWS($A$2:$A$15)),1)</f>
        <v>3</v>
      </c>
      <c r="P189" cm="1">
        <f t="array" aca="1" ref="P189" ca="1">INDEX($A$2:$A$15,RANDBETWEEN(1,ROWS($A$2:$A$15)),1)</f>
        <v>7</v>
      </c>
      <c r="Q189" cm="1">
        <f t="array" aca="1" ref="Q189" ca="1">INDEX($A$2:$A$15,RANDBETWEEN(1,ROWS($A$2:$A$15)),1)</f>
        <v>5</v>
      </c>
      <c r="R189" cm="1">
        <f t="array" aca="1" ref="R189" ca="1">INDEX($A$2:$A$15,RANDBETWEEN(1,ROWS($A$2:$A$15)),1)</f>
        <v>1</v>
      </c>
      <c r="S189" cm="1">
        <f t="array" aca="1" ref="S189" ca="1">INDEX($A$2:$A$15,RANDBETWEEN(1,ROWS($A$2:$A$15)),1)</f>
        <v>8</v>
      </c>
      <c r="V189">
        <f t="shared" ca="1" si="8"/>
        <v>4.2352941176470589</v>
      </c>
      <c r="W189">
        <f t="shared" ca="1" si="9"/>
        <v>5</v>
      </c>
      <c r="X189">
        <f t="shared" ca="1" si="10"/>
        <v>3</v>
      </c>
      <c r="Y189">
        <f t="shared" ca="1" si="11"/>
        <v>2.4629609153594449</v>
      </c>
    </row>
    <row r="190" spans="3:25" x14ac:dyDescent="0.35">
      <c r="C190" cm="1">
        <f t="array" aca="1" ref="C190" ca="1">INDEX($A$2:$A$15,RANDBETWEEN(1,ROWS($A$2:$A$15)),1)</f>
        <v>1</v>
      </c>
      <c r="D190" cm="1">
        <f t="array" aca="1" ref="D190" ca="1">INDEX($A$2:$A$15,RANDBETWEEN(1,ROWS($A$2:$A$15)),1)</f>
        <v>5</v>
      </c>
      <c r="E190" cm="1">
        <f t="array" aca="1" ref="E190" ca="1">INDEX($A$2:$A$15,RANDBETWEEN(1,ROWS($A$2:$A$15)),1)</f>
        <v>1</v>
      </c>
      <c r="F190" cm="1">
        <f t="array" aca="1" ref="F190" ca="1">INDEX($A$2:$A$15,RANDBETWEEN(1,ROWS($A$2:$A$15)),1)</f>
        <v>1</v>
      </c>
      <c r="G190" cm="1">
        <f t="array" aca="1" ref="G190" ca="1">INDEX($A$2:$A$15,RANDBETWEEN(1,ROWS($A$2:$A$15)),1)</f>
        <v>4</v>
      </c>
      <c r="H190" cm="1">
        <f t="array" aca="1" ref="H190" ca="1">INDEX($A$2:$A$15,RANDBETWEEN(1,ROWS($A$2:$A$15)),1)</f>
        <v>4</v>
      </c>
      <c r="I190" cm="1">
        <f t="array" aca="1" ref="I190" ca="1">INDEX($A$2:$A$15,RANDBETWEEN(1,ROWS($A$2:$A$15)),1)</f>
        <v>8</v>
      </c>
      <c r="J190" cm="1">
        <f t="array" aca="1" ref="J190" ca="1">INDEX($A$2:$A$15,RANDBETWEEN(1,ROWS($A$2:$A$15)),1)</f>
        <v>2</v>
      </c>
      <c r="K190" cm="1">
        <f t="array" aca="1" ref="K190" ca="1">INDEX($A$2:$A$15,RANDBETWEEN(1,ROWS($A$2:$A$15)),1)</f>
        <v>1</v>
      </c>
      <c r="L190" cm="1">
        <f t="array" aca="1" ref="L190" ca="1">INDEX($A$2:$A$15,RANDBETWEEN(1,ROWS($A$2:$A$15)),1)</f>
        <v>1</v>
      </c>
      <c r="M190" cm="1">
        <f t="array" aca="1" ref="M190" ca="1">INDEX($A$2:$A$15,RANDBETWEEN(1,ROWS($A$2:$A$15)),1)</f>
        <v>8</v>
      </c>
      <c r="N190" cm="1">
        <f t="array" aca="1" ref="N190" ca="1">INDEX($A$2:$A$15,RANDBETWEEN(1,ROWS($A$2:$A$15)),1)</f>
        <v>1</v>
      </c>
      <c r="O190" cm="1">
        <f t="array" aca="1" ref="O190" ca="1">INDEX($A$2:$A$15,RANDBETWEEN(1,ROWS($A$2:$A$15)),1)</f>
        <v>3</v>
      </c>
      <c r="P190" cm="1">
        <f t="array" aca="1" ref="P190" ca="1">INDEX($A$2:$A$15,RANDBETWEEN(1,ROWS($A$2:$A$15)),1)</f>
        <v>3</v>
      </c>
      <c r="Q190" cm="1">
        <f t="array" aca="1" ref="Q190" ca="1">INDEX($A$2:$A$15,RANDBETWEEN(1,ROWS($A$2:$A$15)),1)</f>
        <v>5</v>
      </c>
      <c r="R190" cm="1">
        <f t="array" aca="1" ref="R190" ca="1">INDEX($A$2:$A$15,RANDBETWEEN(1,ROWS($A$2:$A$15)),1)</f>
        <v>5</v>
      </c>
      <c r="S190" cm="1">
        <f t="array" aca="1" ref="S190" ca="1">INDEX($A$2:$A$15,RANDBETWEEN(1,ROWS($A$2:$A$15)),1)</f>
        <v>1</v>
      </c>
      <c r="V190">
        <f t="shared" ca="1" si="8"/>
        <v>3.1764705882352939</v>
      </c>
      <c r="W190">
        <f t="shared" ca="1" si="9"/>
        <v>3</v>
      </c>
      <c r="X190">
        <f t="shared" ca="1" si="10"/>
        <v>4</v>
      </c>
      <c r="Y190">
        <f t="shared" ca="1" si="11"/>
        <v>2.4040407161081698</v>
      </c>
    </row>
    <row r="191" spans="3:25" x14ac:dyDescent="0.35">
      <c r="C191" cm="1">
        <f t="array" aca="1" ref="C191" ca="1">INDEX($A$2:$A$15,RANDBETWEEN(1,ROWS($A$2:$A$15)),1)</f>
        <v>5</v>
      </c>
      <c r="D191" cm="1">
        <f t="array" aca="1" ref="D191" ca="1">INDEX($A$2:$A$15,RANDBETWEEN(1,ROWS($A$2:$A$15)),1)</f>
        <v>1</v>
      </c>
      <c r="E191" cm="1">
        <f t="array" aca="1" ref="E191" ca="1">INDEX($A$2:$A$15,RANDBETWEEN(1,ROWS($A$2:$A$15)),1)</f>
        <v>8</v>
      </c>
      <c r="F191" cm="1">
        <f t="array" aca="1" ref="F191" ca="1">INDEX($A$2:$A$15,RANDBETWEEN(1,ROWS($A$2:$A$15)),1)</f>
        <v>7</v>
      </c>
      <c r="G191" cm="1">
        <f t="array" aca="1" ref="G191" ca="1">INDEX($A$2:$A$15,RANDBETWEEN(1,ROWS($A$2:$A$15)),1)</f>
        <v>5</v>
      </c>
      <c r="H191" cm="1">
        <f t="array" aca="1" ref="H191" ca="1">INDEX($A$2:$A$15,RANDBETWEEN(1,ROWS($A$2:$A$15)),1)</f>
        <v>5</v>
      </c>
      <c r="I191" cm="1">
        <f t="array" aca="1" ref="I191" ca="1">INDEX($A$2:$A$15,RANDBETWEEN(1,ROWS($A$2:$A$15)),1)</f>
        <v>1</v>
      </c>
      <c r="J191" cm="1">
        <f t="array" aca="1" ref="J191" ca="1">INDEX($A$2:$A$15,RANDBETWEEN(1,ROWS($A$2:$A$15)),1)</f>
        <v>1</v>
      </c>
      <c r="K191" cm="1">
        <f t="array" aca="1" ref="K191" ca="1">INDEX($A$2:$A$15,RANDBETWEEN(1,ROWS($A$2:$A$15)),1)</f>
        <v>8</v>
      </c>
      <c r="L191" cm="1">
        <f t="array" aca="1" ref="L191" ca="1">INDEX($A$2:$A$15,RANDBETWEEN(1,ROWS($A$2:$A$15)),1)</f>
        <v>4</v>
      </c>
      <c r="M191" cm="1">
        <f t="array" aca="1" ref="M191" ca="1">INDEX($A$2:$A$15,RANDBETWEEN(1,ROWS($A$2:$A$15)),1)</f>
        <v>5</v>
      </c>
      <c r="N191" cm="1">
        <f t="array" aca="1" ref="N191" ca="1">INDEX($A$2:$A$15,RANDBETWEEN(1,ROWS($A$2:$A$15)),1)</f>
        <v>5</v>
      </c>
      <c r="O191" cm="1">
        <f t="array" aca="1" ref="O191" ca="1">INDEX($A$2:$A$15,RANDBETWEEN(1,ROWS($A$2:$A$15)),1)</f>
        <v>7</v>
      </c>
      <c r="P191" cm="1">
        <f t="array" aca="1" ref="P191" ca="1">INDEX($A$2:$A$15,RANDBETWEEN(1,ROWS($A$2:$A$15)),1)</f>
        <v>3</v>
      </c>
      <c r="Q191" cm="1">
        <f t="array" aca="1" ref="Q191" ca="1">INDEX($A$2:$A$15,RANDBETWEEN(1,ROWS($A$2:$A$15)),1)</f>
        <v>2</v>
      </c>
      <c r="R191" cm="1">
        <f t="array" aca="1" ref="R191" ca="1">INDEX($A$2:$A$15,RANDBETWEEN(1,ROWS($A$2:$A$15)),1)</f>
        <v>4</v>
      </c>
      <c r="S191" cm="1">
        <f t="array" aca="1" ref="S191" ca="1">INDEX($A$2:$A$15,RANDBETWEEN(1,ROWS($A$2:$A$15)),1)</f>
        <v>5</v>
      </c>
      <c r="V191">
        <f t="shared" ca="1" si="8"/>
        <v>4.4705882352941178</v>
      </c>
      <c r="W191">
        <f t="shared" ca="1" si="9"/>
        <v>5</v>
      </c>
      <c r="X191">
        <f t="shared" ca="1" si="10"/>
        <v>2</v>
      </c>
      <c r="Y191">
        <f t="shared" ca="1" si="11"/>
        <v>2.294494689981422</v>
      </c>
    </row>
    <row r="192" spans="3:25" x14ac:dyDescent="0.35">
      <c r="C192" cm="1">
        <f t="array" aca="1" ref="C192" ca="1">INDEX($A$2:$A$15,RANDBETWEEN(1,ROWS($A$2:$A$15)),1)</f>
        <v>3</v>
      </c>
      <c r="D192" cm="1">
        <f t="array" aca="1" ref="D192" ca="1">INDEX($A$2:$A$15,RANDBETWEEN(1,ROWS($A$2:$A$15)),1)</f>
        <v>5</v>
      </c>
      <c r="E192" cm="1">
        <f t="array" aca="1" ref="E192" ca="1">INDEX($A$2:$A$15,RANDBETWEEN(1,ROWS($A$2:$A$15)),1)</f>
        <v>3</v>
      </c>
      <c r="F192" cm="1">
        <f t="array" aca="1" ref="F192" ca="1">INDEX($A$2:$A$15,RANDBETWEEN(1,ROWS($A$2:$A$15)),1)</f>
        <v>1</v>
      </c>
      <c r="G192" cm="1">
        <f t="array" aca="1" ref="G192" ca="1">INDEX($A$2:$A$15,RANDBETWEEN(1,ROWS($A$2:$A$15)),1)</f>
        <v>4</v>
      </c>
      <c r="H192" cm="1">
        <f t="array" aca="1" ref="H192" ca="1">INDEX($A$2:$A$15,RANDBETWEEN(1,ROWS($A$2:$A$15)),1)</f>
        <v>5</v>
      </c>
      <c r="I192" cm="1">
        <f t="array" aca="1" ref="I192" ca="1">INDEX($A$2:$A$15,RANDBETWEEN(1,ROWS($A$2:$A$15)),1)</f>
        <v>3</v>
      </c>
      <c r="J192" cm="1">
        <f t="array" aca="1" ref="J192" ca="1">INDEX($A$2:$A$15,RANDBETWEEN(1,ROWS($A$2:$A$15)),1)</f>
        <v>1</v>
      </c>
      <c r="K192" cm="1">
        <f t="array" aca="1" ref="K192" ca="1">INDEX($A$2:$A$15,RANDBETWEEN(1,ROWS($A$2:$A$15)),1)</f>
        <v>8</v>
      </c>
      <c r="L192" cm="1">
        <f t="array" aca="1" ref="L192" ca="1">INDEX($A$2:$A$15,RANDBETWEEN(1,ROWS($A$2:$A$15)),1)</f>
        <v>1</v>
      </c>
      <c r="M192" cm="1">
        <f t="array" aca="1" ref="M192" ca="1">INDEX($A$2:$A$15,RANDBETWEEN(1,ROWS($A$2:$A$15)),1)</f>
        <v>1</v>
      </c>
      <c r="N192" cm="1">
        <f t="array" aca="1" ref="N192" ca="1">INDEX($A$2:$A$15,RANDBETWEEN(1,ROWS($A$2:$A$15)),1)</f>
        <v>7</v>
      </c>
      <c r="O192" cm="1">
        <f t="array" aca="1" ref="O192" ca="1">INDEX($A$2:$A$15,RANDBETWEEN(1,ROWS($A$2:$A$15)),1)</f>
        <v>5</v>
      </c>
      <c r="P192" cm="1">
        <f t="array" aca="1" ref="P192" ca="1">INDEX($A$2:$A$15,RANDBETWEEN(1,ROWS($A$2:$A$15)),1)</f>
        <v>3</v>
      </c>
      <c r="Q192" cm="1">
        <f t="array" aca="1" ref="Q192" ca="1">INDEX($A$2:$A$15,RANDBETWEEN(1,ROWS($A$2:$A$15)),1)</f>
        <v>8</v>
      </c>
      <c r="R192" cm="1">
        <f t="array" aca="1" ref="R192" ca="1">INDEX($A$2:$A$15,RANDBETWEEN(1,ROWS($A$2:$A$15)),1)</f>
        <v>5</v>
      </c>
      <c r="S192" cm="1">
        <f t="array" aca="1" ref="S192" ca="1">INDEX($A$2:$A$15,RANDBETWEEN(1,ROWS($A$2:$A$15)),1)</f>
        <v>5</v>
      </c>
      <c r="V192">
        <f t="shared" ca="1" si="8"/>
        <v>4</v>
      </c>
      <c r="W192">
        <f t="shared" ca="1" si="9"/>
        <v>4</v>
      </c>
      <c r="X192">
        <f t="shared" ca="1" si="10"/>
        <v>2</v>
      </c>
      <c r="Y192">
        <f t="shared" ca="1" si="11"/>
        <v>2.318404623873926</v>
      </c>
    </row>
    <row r="193" spans="3:25" x14ac:dyDescent="0.35">
      <c r="C193" cm="1">
        <f t="array" aca="1" ref="C193" ca="1">INDEX($A$2:$A$15,RANDBETWEEN(1,ROWS($A$2:$A$15)),1)</f>
        <v>4</v>
      </c>
      <c r="D193" cm="1">
        <f t="array" aca="1" ref="D193" ca="1">INDEX($A$2:$A$15,RANDBETWEEN(1,ROWS($A$2:$A$15)),1)</f>
        <v>1</v>
      </c>
      <c r="E193" cm="1">
        <f t="array" aca="1" ref="E193" ca="1">INDEX($A$2:$A$15,RANDBETWEEN(1,ROWS($A$2:$A$15)),1)</f>
        <v>7</v>
      </c>
      <c r="F193" cm="1">
        <f t="array" aca="1" ref="F193" ca="1">INDEX($A$2:$A$15,RANDBETWEEN(1,ROWS($A$2:$A$15)),1)</f>
        <v>7</v>
      </c>
      <c r="G193" cm="1">
        <f t="array" aca="1" ref="G193" ca="1">INDEX($A$2:$A$15,RANDBETWEEN(1,ROWS($A$2:$A$15)),1)</f>
        <v>5</v>
      </c>
      <c r="H193" cm="1">
        <f t="array" aca="1" ref="H193" ca="1">INDEX($A$2:$A$15,RANDBETWEEN(1,ROWS($A$2:$A$15)),1)</f>
        <v>5</v>
      </c>
      <c r="I193" cm="1">
        <f t="array" aca="1" ref="I193" ca="1">INDEX($A$2:$A$15,RANDBETWEEN(1,ROWS($A$2:$A$15)),1)</f>
        <v>3</v>
      </c>
      <c r="J193" cm="1">
        <f t="array" aca="1" ref="J193" ca="1">INDEX($A$2:$A$15,RANDBETWEEN(1,ROWS($A$2:$A$15)),1)</f>
        <v>5</v>
      </c>
      <c r="K193" cm="1">
        <f t="array" aca="1" ref="K193" ca="1">INDEX($A$2:$A$15,RANDBETWEEN(1,ROWS($A$2:$A$15)),1)</f>
        <v>2</v>
      </c>
      <c r="L193" cm="1">
        <f t="array" aca="1" ref="L193" ca="1">INDEX($A$2:$A$15,RANDBETWEEN(1,ROWS($A$2:$A$15)),1)</f>
        <v>1</v>
      </c>
      <c r="M193" cm="1">
        <f t="array" aca="1" ref="M193" ca="1">INDEX($A$2:$A$15,RANDBETWEEN(1,ROWS($A$2:$A$15)),1)</f>
        <v>5</v>
      </c>
      <c r="N193" cm="1">
        <f t="array" aca="1" ref="N193" ca="1">INDEX($A$2:$A$15,RANDBETWEEN(1,ROWS($A$2:$A$15)),1)</f>
        <v>5</v>
      </c>
      <c r="O193" cm="1">
        <f t="array" aca="1" ref="O193" ca="1">INDEX($A$2:$A$15,RANDBETWEEN(1,ROWS($A$2:$A$15)),1)</f>
        <v>1</v>
      </c>
      <c r="P193" cm="1">
        <f t="array" aca="1" ref="P193" ca="1">INDEX($A$2:$A$15,RANDBETWEEN(1,ROWS($A$2:$A$15)),1)</f>
        <v>1</v>
      </c>
      <c r="Q193" cm="1">
        <f t="array" aca="1" ref="Q193" ca="1">INDEX($A$2:$A$15,RANDBETWEEN(1,ROWS($A$2:$A$15)),1)</f>
        <v>8</v>
      </c>
      <c r="R193" cm="1">
        <f t="array" aca="1" ref="R193" ca="1">INDEX($A$2:$A$15,RANDBETWEEN(1,ROWS($A$2:$A$15)),1)</f>
        <v>5</v>
      </c>
      <c r="S193" cm="1">
        <f t="array" aca="1" ref="S193" ca="1">INDEX($A$2:$A$15,RANDBETWEEN(1,ROWS($A$2:$A$15)),1)</f>
        <v>4</v>
      </c>
      <c r="V193">
        <f t="shared" ca="1" si="8"/>
        <v>4.0588235294117645</v>
      </c>
      <c r="W193">
        <f t="shared" ca="1" si="9"/>
        <v>5</v>
      </c>
      <c r="X193">
        <f t="shared" ca="1" si="10"/>
        <v>3</v>
      </c>
      <c r="Y193">
        <f t="shared" ca="1" si="11"/>
        <v>2.2491828581535485</v>
      </c>
    </row>
    <row r="194" spans="3:25" x14ac:dyDescent="0.35">
      <c r="C194" cm="1">
        <f t="array" aca="1" ref="C194" ca="1">INDEX($A$2:$A$15,RANDBETWEEN(1,ROWS($A$2:$A$15)),1)</f>
        <v>5</v>
      </c>
      <c r="D194" cm="1">
        <f t="array" aca="1" ref="D194" ca="1">INDEX($A$2:$A$15,RANDBETWEEN(1,ROWS($A$2:$A$15)),1)</f>
        <v>4</v>
      </c>
      <c r="E194" cm="1">
        <f t="array" aca="1" ref="E194" ca="1">INDEX($A$2:$A$15,RANDBETWEEN(1,ROWS($A$2:$A$15)),1)</f>
        <v>4</v>
      </c>
      <c r="F194" cm="1">
        <f t="array" aca="1" ref="F194" ca="1">INDEX($A$2:$A$15,RANDBETWEEN(1,ROWS($A$2:$A$15)),1)</f>
        <v>4</v>
      </c>
      <c r="G194" cm="1">
        <f t="array" aca="1" ref="G194" ca="1">INDEX($A$2:$A$15,RANDBETWEEN(1,ROWS($A$2:$A$15)),1)</f>
        <v>8</v>
      </c>
      <c r="H194" cm="1">
        <f t="array" aca="1" ref="H194" ca="1">INDEX($A$2:$A$15,RANDBETWEEN(1,ROWS($A$2:$A$15)),1)</f>
        <v>4</v>
      </c>
      <c r="I194" cm="1">
        <f t="array" aca="1" ref="I194" ca="1">INDEX($A$2:$A$15,RANDBETWEEN(1,ROWS($A$2:$A$15)),1)</f>
        <v>4</v>
      </c>
      <c r="J194" cm="1">
        <f t="array" aca="1" ref="J194" ca="1">INDEX($A$2:$A$15,RANDBETWEEN(1,ROWS($A$2:$A$15)),1)</f>
        <v>1</v>
      </c>
      <c r="K194" cm="1">
        <f t="array" aca="1" ref="K194" ca="1">INDEX($A$2:$A$15,RANDBETWEEN(1,ROWS($A$2:$A$15)),1)</f>
        <v>3</v>
      </c>
      <c r="L194" cm="1">
        <f t="array" aca="1" ref="L194" ca="1">INDEX($A$2:$A$15,RANDBETWEEN(1,ROWS($A$2:$A$15)),1)</f>
        <v>5</v>
      </c>
      <c r="M194" cm="1">
        <f t="array" aca="1" ref="M194" ca="1">INDEX($A$2:$A$15,RANDBETWEEN(1,ROWS($A$2:$A$15)),1)</f>
        <v>5</v>
      </c>
      <c r="N194" cm="1">
        <f t="array" aca="1" ref="N194" ca="1">INDEX($A$2:$A$15,RANDBETWEEN(1,ROWS($A$2:$A$15)),1)</f>
        <v>5</v>
      </c>
      <c r="O194" cm="1">
        <f t="array" aca="1" ref="O194" ca="1">INDEX($A$2:$A$15,RANDBETWEEN(1,ROWS($A$2:$A$15)),1)</f>
        <v>5</v>
      </c>
      <c r="P194" cm="1">
        <f t="array" aca="1" ref="P194" ca="1">INDEX($A$2:$A$15,RANDBETWEEN(1,ROWS($A$2:$A$15)),1)</f>
        <v>1</v>
      </c>
      <c r="Q194" cm="1">
        <f t="array" aca="1" ref="Q194" ca="1">INDEX($A$2:$A$15,RANDBETWEEN(1,ROWS($A$2:$A$15)),1)</f>
        <v>1</v>
      </c>
      <c r="R194" cm="1">
        <f t="array" aca="1" ref="R194" ca="1">INDEX($A$2:$A$15,RANDBETWEEN(1,ROWS($A$2:$A$15)),1)</f>
        <v>1</v>
      </c>
      <c r="S194" cm="1">
        <f t="array" aca="1" ref="S194" ca="1">INDEX($A$2:$A$15,RANDBETWEEN(1,ROWS($A$2:$A$15)),1)</f>
        <v>5</v>
      </c>
      <c r="V194">
        <f t="shared" ca="1" si="8"/>
        <v>3.8235294117647061</v>
      </c>
      <c r="W194">
        <f t="shared" ca="1" si="9"/>
        <v>4</v>
      </c>
      <c r="X194">
        <f t="shared" ca="1" si="10"/>
        <v>2</v>
      </c>
      <c r="Y194">
        <f t="shared" ca="1" si="11"/>
        <v>1.9116515803633993</v>
      </c>
    </row>
    <row r="195" spans="3:25" x14ac:dyDescent="0.35">
      <c r="C195" cm="1">
        <f t="array" aca="1" ref="C195" ca="1">INDEX($A$2:$A$15,RANDBETWEEN(1,ROWS($A$2:$A$15)),1)</f>
        <v>4</v>
      </c>
      <c r="D195" cm="1">
        <f t="array" aca="1" ref="D195" ca="1">INDEX($A$2:$A$15,RANDBETWEEN(1,ROWS($A$2:$A$15)),1)</f>
        <v>3</v>
      </c>
      <c r="E195" cm="1">
        <f t="array" aca="1" ref="E195" ca="1">INDEX($A$2:$A$15,RANDBETWEEN(1,ROWS($A$2:$A$15)),1)</f>
        <v>5</v>
      </c>
      <c r="F195" cm="1">
        <f t="array" aca="1" ref="F195" ca="1">INDEX($A$2:$A$15,RANDBETWEEN(1,ROWS($A$2:$A$15)),1)</f>
        <v>2</v>
      </c>
      <c r="G195" cm="1">
        <f t="array" aca="1" ref="G195" ca="1">INDEX($A$2:$A$15,RANDBETWEEN(1,ROWS($A$2:$A$15)),1)</f>
        <v>3</v>
      </c>
      <c r="H195" cm="1">
        <f t="array" aca="1" ref="H195" ca="1">INDEX($A$2:$A$15,RANDBETWEEN(1,ROWS($A$2:$A$15)),1)</f>
        <v>5</v>
      </c>
      <c r="I195" cm="1">
        <f t="array" aca="1" ref="I195" ca="1">INDEX($A$2:$A$15,RANDBETWEEN(1,ROWS($A$2:$A$15)),1)</f>
        <v>7</v>
      </c>
      <c r="J195" cm="1">
        <f t="array" aca="1" ref="J195" ca="1">INDEX($A$2:$A$15,RANDBETWEEN(1,ROWS($A$2:$A$15)),1)</f>
        <v>2</v>
      </c>
      <c r="K195" cm="1">
        <f t="array" aca="1" ref="K195" ca="1">INDEX($A$2:$A$15,RANDBETWEEN(1,ROWS($A$2:$A$15)),1)</f>
        <v>4</v>
      </c>
      <c r="L195" cm="1">
        <f t="array" aca="1" ref="L195" ca="1">INDEX($A$2:$A$15,RANDBETWEEN(1,ROWS($A$2:$A$15)),1)</f>
        <v>5</v>
      </c>
      <c r="M195" cm="1">
        <f t="array" aca="1" ref="M195" ca="1">INDEX($A$2:$A$15,RANDBETWEEN(1,ROWS($A$2:$A$15)),1)</f>
        <v>4</v>
      </c>
      <c r="N195" cm="1">
        <f t="array" aca="1" ref="N195" ca="1">INDEX($A$2:$A$15,RANDBETWEEN(1,ROWS($A$2:$A$15)),1)</f>
        <v>5</v>
      </c>
      <c r="O195" cm="1">
        <f t="array" aca="1" ref="O195" ca="1">INDEX($A$2:$A$15,RANDBETWEEN(1,ROWS($A$2:$A$15)),1)</f>
        <v>4</v>
      </c>
      <c r="P195" cm="1">
        <f t="array" aca="1" ref="P195" ca="1">INDEX($A$2:$A$15,RANDBETWEEN(1,ROWS($A$2:$A$15)),1)</f>
        <v>5</v>
      </c>
      <c r="Q195" cm="1">
        <f t="array" aca="1" ref="Q195" ca="1">INDEX($A$2:$A$15,RANDBETWEEN(1,ROWS($A$2:$A$15)),1)</f>
        <v>5</v>
      </c>
      <c r="R195" cm="1">
        <f t="array" aca="1" ref="R195" ca="1">INDEX($A$2:$A$15,RANDBETWEEN(1,ROWS($A$2:$A$15)),1)</f>
        <v>3</v>
      </c>
      <c r="S195" cm="1">
        <f t="array" aca="1" ref="S195" ca="1">INDEX($A$2:$A$15,RANDBETWEEN(1,ROWS($A$2:$A$15)),1)</f>
        <v>1</v>
      </c>
      <c r="V195">
        <f t="shared" ref="V195:V258" ca="1" si="12">AVERAGE(C195:S195)</f>
        <v>3.9411764705882355</v>
      </c>
      <c r="W195">
        <f t="shared" ref="W195:W258" ca="1" si="13">MEDIAN(C195:S195)</f>
        <v>4</v>
      </c>
      <c r="X195">
        <f t="shared" ref="X195:X258" ca="1" si="14">_xlfn.QUARTILE.INC(C195:S195, 3)-_xlfn.QUARTILE.INC(C195:S195,1)</f>
        <v>2</v>
      </c>
      <c r="Y195">
        <f t="shared" ref="Y195:Y258" ca="1" si="15">_xlfn.STDEV.S(C195:S195)</f>
        <v>1.4777765492156669</v>
      </c>
    </row>
    <row r="196" spans="3:25" x14ac:dyDescent="0.35">
      <c r="C196" cm="1">
        <f t="array" aca="1" ref="C196" ca="1">INDEX($A$2:$A$15,RANDBETWEEN(1,ROWS($A$2:$A$15)),1)</f>
        <v>5</v>
      </c>
      <c r="D196" cm="1">
        <f t="array" aca="1" ref="D196" ca="1">INDEX($A$2:$A$15,RANDBETWEEN(1,ROWS($A$2:$A$15)),1)</f>
        <v>4</v>
      </c>
      <c r="E196" cm="1">
        <f t="array" aca="1" ref="E196" ca="1">INDEX($A$2:$A$15,RANDBETWEEN(1,ROWS($A$2:$A$15)),1)</f>
        <v>1</v>
      </c>
      <c r="F196" cm="1">
        <f t="array" aca="1" ref="F196" ca="1">INDEX($A$2:$A$15,RANDBETWEEN(1,ROWS($A$2:$A$15)),1)</f>
        <v>5</v>
      </c>
      <c r="G196" cm="1">
        <f t="array" aca="1" ref="G196" ca="1">INDEX($A$2:$A$15,RANDBETWEEN(1,ROWS($A$2:$A$15)),1)</f>
        <v>3</v>
      </c>
      <c r="H196" cm="1">
        <f t="array" aca="1" ref="H196" ca="1">INDEX($A$2:$A$15,RANDBETWEEN(1,ROWS($A$2:$A$15)),1)</f>
        <v>7</v>
      </c>
      <c r="I196" cm="1">
        <f t="array" aca="1" ref="I196" ca="1">INDEX($A$2:$A$15,RANDBETWEEN(1,ROWS($A$2:$A$15)),1)</f>
        <v>5</v>
      </c>
      <c r="J196" cm="1">
        <f t="array" aca="1" ref="J196" ca="1">INDEX($A$2:$A$15,RANDBETWEEN(1,ROWS($A$2:$A$15)),1)</f>
        <v>1</v>
      </c>
      <c r="K196" cm="1">
        <f t="array" aca="1" ref="K196" ca="1">INDEX($A$2:$A$15,RANDBETWEEN(1,ROWS($A$2:$A$15)),1)</f>
        <v>4</v>
      </c>
      <c r="L196" cm="1">
        <f t="array" aca="1" ref="L196" ca="1">INDEX($A$2:$A$15,RANDBETWEEN(1,ROWS($A$2:$A$15)),1)</f>
        <v>5</v>
      </c>
      <c r="M196" cm="1">
        <f t="array" aca="1" ref="M196" ca="1">INDEX($A$2:$A$15,RANDBETWEEN(1,ROWS($A$2:$A$15)),1)</f>
        <v>7</v>
      </c>
      <c r="N196" cm="1">
        <f t="array" aca="1" ref="N196" ca="1">INDEX($A$2:$A$15,RANDBETWEEN(1,ROWS($A$2:$A$15)),1)</f>
        <v>5</v>
      </c>
      <c r="O196" cm="1">
        <f t="array" aca="1" ref="O196" ca="1">INDEX($A$2:$A$15,RANDBETWEEN(1,ROWS($A$2:$A$15)),1)</f>
        <v>5</v>
      </c>
      <c r="P196" cm="1">
        <f t="array" aca="1" ref="P196" ca="1">INDEX($A$2:$A$15,RANDBETWEEN(1,ROWS($A$2:$A$15)),1)</f>
        <v>3</v>
      </c>
      <c r="Q196" cm="1">
        <f t="array" aca="1" ref="Q196" ca="1">INDEX($A$2:$A$15,RANDBETWEEN(1,ROWS($A$2:$A$15)),1)</f>
        <v>8</v>
      </c>
      <c r="R196" cm="1">
        <f t="array" aca="1" ref="R196" ca="1">INDEX($A$2:$A$15,RANDBETWEEN(1,ROWS($A$2:$A$15)),1)</f>
        <v>4</v>
      </c>
      <c r="S196" cm="1">
        <f t="array" aca="1" ref="S196" ca="1">INDEX($A$2:$A$15,RANDBETWEEN(1,ROWS($A$2:$A$15)),1)</f>
        <v>5</v>
      </c>
      <c r="V196">
        <f t="shared" ca="1" si="12"/>
        <v>4.5294117647058822</v>
      </c>
      <c r="W196">
        <f t="shared" ca="1" si="13"/>
        <v>5</v>
      </c>
      <c r="X196">
        <f t="shared" ca="1" si="14"/>
        <v>1</v>
      </c>
      <c r="Y196">
        <f t="shared" ca="1" si="15"/>
        <v>1.8747548859392105</v>
      </c>
    </row>
    <row r="197" spans="3:25" x14ac:dyDescent="0.35">
      <c r="C197" cm="1">
        <f t="array" aca="1" ref="C197" ca="1">INDEX($A$2:$A$15,RANDBETWEEN(1,ROWS($A$2:$A$15)),1)</f>
        <v>5</v>
      </c>
      <c r="D197" cm="1">
        <f t="array" aca="1" ref="D197" ca="1">INDEX($A$2:$A$15,RANDBETWEEN(1,ROWS($A$2:$A$15)),1)</f>
        <v>7</v>
      </c>
      <c r="E197" cm="1">
        <f t="array" aca="1" ref="E197" ca="1">INDEX($A$2:$A$15,RANDBETWEEN(1,ROWS($A$2:$A$15)),1)</f>
        <v>4</v>
      </c>
      <c r="F197" cm="1">
        <f t="array" aca="1" ref="F197" ca="1">INDEX($A$2:$A$15,RANDBETWEEN(1,ROWS($A$2:$A$15)),1)</f>
        <v>3</v>
      </c>
      <c r="G197" cm="1">
        <f t="array" aca="1" ref="G197" ca="1">INDEX($A$2:$A$15,RANDBETWEEN(1,ROWS($A$2:$A$15)),1)</f>
        <v>2</v>
      </c>
      <c r="H197" cm="1">
        <f t="array" aca="1" ref="H197" ca="1">INDEX($A$2:$A$15,RANDBETWEEN(1,ROWS($A$2:$A$15)),1)</f>
        <v>1</v>
      </c>
      <c r="I197" cm="1">
        <f t="array" aca="1" ref="I197" ca="1">INDEX($A$2:$A$15,RANDBETWEEN(1,ROWS($A$2:$A$15)),1)</f>
        <v>1</v>
      </c>
      <c r="J197" cm="1">
        <f t="array" aca="1" ref="J197" ca="1">INDEX($A$2:$A$15,RANDBETWEEN(1,ROWS($A$2:$A$15)),1)</f>
        <v>4</v>
      </c>
      <c r="K197" cm="1">
        <f t="array" aca="1" ref="K197" ca="1">INDEX($A$2:$A$15,RANDBETWEEN(1,ROWS($A$2:$A$15)),1)</f>
        <v>3</v>
      </c>
      <c r="L197" cm="1">
        <f t="array" aca="1" ref="L197" ca="1">INDEX($A$2:$A$15,RANDBETWEEN(1,ROWS($A$2:$A$15)),1)</f>
        <v>5</v>
      </c>
      <c r="M197" cm="1">
        <f t="array" aca="1" ref="M197" ca="1">INDEX($A$2:$A$15,RANDBETWEEN(1,ROWS($A$2:$A$15)),1)</f>
        <v>3</v>
      </c>
      <c r="N197" cm="1">
        <f t="array" aca="1" ref="N197" ca="1">INDEX($A$2:$A$15,RANDBETWEEN(1,ROWS($A$2:$A$15)),1)</f>
        <v>5</v>
      </c>
      <c r="O197" cm="1">
        <f t="array" aca="1" ref="O197" ca="1">INDEX($A$2:$A$15,RANDBETWEEN(1,ROWS($A$2:$A$15)),1)</f>
        <v>5</v>
      </c>
      <c r="P197" cm="1">
        <f t="array" aca="1" ref="P197" ca="1">INDEX($A$2:$A$15,RANDBETWEEN(1,ROWS($A$2:$A$15)),1)</f>
        <v>1</v>
      </c>
      <c r="Q197" cm="1">
        <f t="array" aca="1" ref="Q197" ca="1">INDEX($A$2:$A$15,RANDBETWEEN(1,ROWS($A$2:$A$15)),1)</f>
        <v>5</v>
      </c>
      <c r="R197" cm="1">
        <f t="array" aca="1" ref="R197" ca="1">INDEX($A$2:$A$15,RANDBETWEEN(1,ROWS($A$2:$A$15)),1)</f>
        <v>8</v>
      </c>
      <c r="S197" cm="1">
        <f t="array" aca="1" ref="S197" ca="1">INDEX($A$2:$A$15,RANDBETWEEN(1,ROWS($A$2:$A$15)),1)</f>
        <v>4</v>
      </c>
      <c r="V197">
        <f t="shared" ca="1" si="12"/>
        <v>3.8823529411764706</v>
      </c>
      <c r="W197">
        <f t="shared" ca="1" si="13"/>
        <v>4</v>
      </c>
      <c r="X197">
        <f t="shared" ca="1" si="14"/>
        <v>2</v>
      </c>
      <c r="Y197">
        <f t="shared" ca="1" si="15"/>
        <v>1.9963201440768608</v>
      </c>
    </row>
    <row r="198" spans="3:25" x14ac:dyDescent="0.35">
      <c r="C198" cm="1">
        <f t="array" aca="1" ref="C198" ca="1">INDEX($A$2:$A$15,RANDBETWEEN(1,ROWS($A$2:$A$15)),1)</f>
        <v>8</v>
      </c>
      <c r="D198" cm="1">
        <f t="array" aca="1" ref="D198" ca="1">INDEX($A$2:$A$15,RANDBETWEEN(1,ROWS($A$2:$A$15)),1)</f>
        <v>4</v>
      </c>
      <c r="E198" cm="1">
        <f t="array" aca="1" ref="E198" ca="1">INDEX($A$2:$A$15,RANDBETWEEN(1,ROWS($A$2:$A$15)),1)</f>
        <v>3</v>
      </c>
      <c r="F198" cm="1">
        <f t="array" aca="1" ref="F198" ca="1">INDEX($A$2:$A$15,RANDBETWEEN(1,ROWS($A$2:$A$15)),1)</f>
        <v>3</v>
      </c>
      <c r="G198" cm="1">
        <f t="array" aca="1" ref="G198" ca="1">INDEX($A$2:$A$15,RANDBETWEEN(1,ROWS($A$2:$A$15)),1)</f>
        <v>5</v>
      </c>
      <c r="H198" cm="1">
        <f t="array" aca="1" ref="H198" ca="1">INDEX($A$2:$A$15,RANDBETWEEN(1,ROWS($A$2:$A$15)),1)</f>
        <v>2</v>
      </c>
      <c r="I198" cm="1">
        <f t="array" aca="1" ref="I198" ca="1">INDEX($A$2:$A$15,RANDBETWEEN(1,ROWS($A$2:$A$15)),1)</f>
        <v>1</v>
      </c>
      <c r="J198" cm="1">
        <f t="array" aca="1" ref="J198" ca="1">INDEX($A$2:$A$15,RANDBETWEEN(1,ROWS($A$2:$A$15)),1)</f>
        <v>3</v>
      </c>
      <c r="K198" cm="1">
        <f t="array" aca="1" ref="K198" ca="1">INDEX($A$2:$A$15,RANDBETWEEN(1,ROWS($A$2:$A$15)),1)</f>
        <v>2</v>
      </c>
      <c r="L198" cm="1">
        <f t="array" aca="1" ref="L198" ca="1">INDEX($A$2:$A$15,RANDBETWEEN(1,ROWS($A$2:$A$15)),1)</f>
        <v>5</v>
      </c>
      <c r="M198" cm="1">
        <f t="array" aca="1" ref="M198" ca="1">INDEX($A$2:$A$15,RANDBETWEEN(1,ROWS($A$2:$A$15)),1)</f>
        <v>1</v>
      </c>
      <c r="N198" cm="1">
        <f t="array" aca="1" ref="N198" ca="1">INDEX($A$2:$A$15,RANDBETWEEN(1,ROWS($A$2:$A$15)),1)</f>
        <v>5</v>
      </c>
      <c r="O198" cm="1">
        <f t="array" aca="1" ref="O198" ca="1">INDEX($A$2:$A$15,RANDBETWEEN(1,ROWS($A$2:$A$15)),1)</f>
        <v>3</v>
      </c>
      <c r="P198" cm="1">
        <f t="array" aca="1" ref="P198" ca="1">INDEX($A$2:$A$15,RANDBETWEEN(1,ROWS($A$2:$A$15)),1)</f>
        <v>3</v>
      </c>
      <c r="Q198" cm="1">
        <f t="array" aca="1" ref="Q198" ca="1">INDEX($A$2:$A$15,RANDBETWEEN(1,ROWS($A$2:$A$15)),1)</f>
        <v>7</v>
      </c>
      <c r="R198" cm="1">
        <f t="array" aca="1" ref="R198" ca="1">INDEX($A$2:$A$15,RANDBETWEEN(1,ROWS($A$2:$A$15)),1)</f>
        <v>2</v>
      </c>
      <c r="S198" cm="1">
        <f t="array" aca="1" ref="S198" ca="1">INDEX($A$2:$A$15,RANDBETWEEN(1,ROWS($A$2:$A$15)),1)</f>
        <v>4</v>
      </c>
      <c r="V198">
        <f t="shared" ca="1" si="12"/>
        <v>3.5882352941176472</v>
      </c>
      <c r="W198">
        <f t="shared" ca="1" si="13"/>
        <v>3</v>
      </c>
      <c r="X198">
        <f t="shared" ca="1" si="14"/>
        <v>3</v>
      </c>
      <c r="Y198">
        <f t="shared" ca="1" si="15"/>
        <v>1.9383892646154619</v>
      </c>
    </row>
    <row r="199" spans="3:25" x14ac:dyDescent="0.35">
      <c r="C199" cm="1">
        <f t="array" aca="1" ref="C199" ca="1">INDEX($A$2:$A$15,RANDBETWEEN(1,ROWS($A$2:$A$15)),1)</f>
        <v>1</v>
      </c>
      <c r="D199" cm="1">
        <f t="array" aca="1" ref="D199" ca="1">INDEX($A$2:$A$15,RANDBETWEEN(1,ROWS($A$2:$A$15)),1)</f>
        <v>4</v>
      </c>
      <c r="E199" cm="1">
        <f t="array" aca="1" ref="E199" ca="1">INDEX($A$2:$A$15,RANDBETWEEN(1,ROWS($A$2:$A$15)),1)</f>
        <v>1</v>
      </c>
      <c r="F199" cm="1">
        <f t="array" aca="1" ref="F199" ca="1">INDEX($A$2:$A$15,RANDBETWEEN(1,ROWS($A$2:$A$15)),1)</f>
        <v>5</v>
      </c>
      <c r="G199" cm="1">
        <f t="array" aca="1" ref="G199" ca="1">INDEX($A$2:$A$15,RANDBETWEEN(1,ROWS($A$2:$A$15)),1)</f>
        <v>1</v>
      </c>
      <c r="H199" cm="1">
        <f t="array" aca="1" ref="H199" ca="1">INDEX($A$2:$A$15,RANDBETWEEN(1,ROWS($A$2:$A$15)),1)</f>
        <v>4</v>
      </c>
      <c r="I199" cm="1">
        <f t="array" aca="1" ref="I199" ca="1">INDEX($A$2:$A$15,RANDBETWEEN(1,ROWS($A$2:$A$15)),1)</f>
        <v>1</v>
      </c>
      <c r="J199" cm="1">
        <f t="array" aca="1" ref="J199" ca="1">INDEX($A$2:$A$15,RANDBETWEEN(1,ROWS($A$2:$A$15)),1)</f>
        <v>1</v>
      </c>
      <c r="K199" cm="1">
        <f t="array" aca="1" ref="K199" ca="1">INDEX($A$2:$A$15,RANDBETWEEN(1,ROWS($A$2:$A$15)),1)</f>
        <v>4</v>
      </c>
      <c r="L199" cm="1">
        <f t="array" aca="1" ref="L199" ca="1">INDEX($A$2:$A$15,RANDBETWEEN(1,ROWS($A$2:$A$15)),1)</f>
        <v>2</v>
      </c>
      <c r="M199" cm="1">
        <f t="array" aca="1" ref="M199" ca="1">INDEX($A$2:$A$15,RANDBETWEEN(1,ROWS($A$2:$A$15)),1)</f>
        <v>1</v>
      </c>
      <c r="N199" cm="1">
        <f t="array" aca="1" ref="N199" ca="1">INDEX($A$2:$A$15,RANDBETWEEN(1,ROWS($A$2:$A$15)),1)</f>
        <v>3</v>
      </c>
      <c r="O199" cm="1">
        <f t="array" aca="1" ref="O199" ca="1">INDEX($A$2:$A$15,RANDBETWEEN(1,ROWS($A$2:$A$15)),1)</f>
        <v>8</v>
      </c>
      <c r="P199" cm="1">
        <f t="array" aca="1" ref="P199" ca="1">INDEX($A$2:$A$15,RANDBETWEEN(1,ROWS($A$2:$A$15)),1)</f>
        <v>4</v>
      </c>
      <c r="Q199" cm="1">
        <f t="array" aca="1" ref="Q199" ca="1">INDEX($A$2:$A$15,RANDBETWEEN(1,ROWS($A$2:$A$15)),1)</f>
        <v>1</v>
      </c>
      <c r="R199" cm="1">
        <f t="array" aca="1" ref="R199" ca="1">INDEX($A$2:$A$15,RANDBETWEEN(1,ROWS($A$2:$A$15)),1)</f>
        <v>5</v>
      </c>
      <c r="S199" cm="1">
        <f t="array" aca="1" ref="S199" ca="1">INDEX($A$2:$A$15,RANDBETWEEN(1,ROWS($A$2:$A$15)),1)</f>
        <v>1</v>
      </c>
      <c r="V199">
        <f t="shared" ca="1" si="12"/>
        <v>2.7647058823529411</v>
      </c>
      <c r="W199">
        <f t="shared" ca="1" si="13"/>
        <v>2</v>
      </c>
      <c r="X199">
        <f t="shared" ca="1" si="14"/>
        <v>3</v>
      </c>
      <c r="Y199">
        <f t="shared" ca="1" si="15"/>
        <v>2.0775409672466716</v>
      </c>
    </row>
    <row r="200" spans="3:25" x14ac:dyDescent="0.35">
      <c r="C200" cm="1">
        <f t="array" aca="1" ref="C200" ca="1">INDEX($A$2:$A$15,RANDBETWEEN(1,ROWS($A$2:$A$15)),1)</f>
        <v>1</v>
      </c>
      <c r="D200" cm="1">
        <f t="array" aca="1" ref="D200" ca="1">INDEX($A$2:$A$15,RANDBETWEEN(1,ROWS($A$2:$A$15)),1)</f>
        <v>5</v>
      </c>
      <c r="E200" cm="1">
        <f t="array" aca="1" ref="E200" ca="1">INDEX($A$2:$A$15,RANDBETWEEN(1,ROWS($A$2:$A$15)),1)</f>
        <v>3</v>
      </c>
      <c r="F200" cm="1">
        <f t="array" aca="1" ref="F200" ca="1">INDEX($A$2:$A$15,RANDBETWEEN(1,ROWS($A$2:$A$15)),1)</f>
        <v>5</v>
      </c>
      <c r="G200" cm="1">
        <f t="array" aca="1" ref="G200" ca="1">INDEX($A$2:$A$15,RANDBETWEEN(1,ROWS($A$2:$A$15)),1)</f>
        <v>4</v>
      </c>
      <c r="H200" cm="1">
        <f t="array" aca="1" ref="H200" ca="1">INDEX($A$2:$A$15,RANDBETWEEN(1,ROWS($A$2:$A$15)),1)</f>
        <v>1</v>
      </c>
      <c r="I200" cm="1">
        <f t="array" aca="1" ref="I200" ca="1">INDEX($A$2:$A$15,RANDBETWEEN(1,ROWS($A$2:$A$15)),1)</f>
        <v>5</v>
      </c>
      <c r="J200" cm="1">
        <f t="array" aca="1" ref="J200" ca="1">INDEX($A$2:$A$15,RANDBETWEEN(1,ROWS($A$2:$A$15)),1)</f>
        <v>4</v>
      </c>
      <c r="K200" cm="1">
        <f t="array" aca="1" ref="K200" ca="1">INDEX($A$2:$A$15,RANDBETWEEN(1,ROWS($A$2:$A$15)),1)</f>
        <v>3</v>
      </c>
      <c r="L200" cm="1">
        <f t="array" aca="1" ref="L200" ca="1">INDEX($A$2:$A$15,RANDBETWEEN(1,ROWS($A$2:$A$15)),1)</f>
        <v>2</v>
      </c>
      <c r="M200" cm="1">
        <f t="array" aca="1" ref="M200" ca="1">INDEX($A$2:$A$15,RANDBETWEEN(1,ROWS($A$2:$A$15)),1)</f>
        <v>2</v>
      </c>
      <c r="N200" cm="1">
        <f t="array" aca="1" ref="N200" ca="1">INDEX($A$2:$A$15,RANDBETWEEN(1,ROWS($A$2:$A$15)),1)</f>
        <v>4</v>
      </c>
      <c r="O200" cm="1">
        <f t="array" aca="1" ref="O200" ca="1">INDEX($A$2:$A$15,RANDBETWEEN(1,ROWS($A$2:$A$15)),1)</f>
        <v>5</v>
      </c>
      <c r="P200" cm="1">
        <f t="array" aca="1" ref="P200" ca="1">INDEX($A$2:$A$15,RANDBETWEEN(1,ROWS($A$2:$A$15)),1)</f>
        <v>3</v>
      </c>
      <c r="Q200" cm="1">
        <f t="array" aca="1" ref="Q200" ca="1">INDEX($A$2:$A$15,RANDBETWEEN(1,ROWS($A$2:$A$15)),1)</f>
        <v>2</v>
      </c>
      <c r="R200" cm="1">
        <f t="array" aca="1" ref="R200" ca="1">INDEX($A$2:$A$15,RANDBETWEEN(1,ROWS($A$2:$A$15)),1)</f>
        <v>8</v>
      </c>
      <c r="S200" cm="1">
        <f t="array" aca="1" ref="S200" ca="1">INDEX($A$2:$A$15,RANDBETWEEN(1,ROWS($A$2:$A$15)),1)</f>
        <v>5</v>
      </c>
      <c r="V200">
        <f t="shared" ca="1" si="12"/>
        <v>3.6470588235294117</v>
      </c>
      <c r="W200">
        <f t="shared" ca="1" si="13"/>
        <v>4</v>
      </c>
      <c r="X200">
        <f t="shared" ca="1" si="14"/>
        <v>3</v>
      </c>
      <c r="Y200">
        <f t="shared" ca="1" si="15"/>
        <v>1.8007351439963426</v>
      </c>
    </row>
    <row r="201" spans="3:25" x14ac:dyDescent="0.35">
      <c r="C201" cm="1">
        <f t="array" aca="1" ref="C201" ca="1">INDEX($A$2:$A$15,RANDBETWEEN(1,ROWS($A$2:$A$15)),1)</f>
        <v>4</v>
      </c>
      <c r="D201" cm="1">
        <f t="array" aca="1" ref="D201" ca="1">INDEX($A$2:$A$15,RANDBETWEEN(1,ROWS($A$2:$A$15)),1)</f>
        <v>3</v>
      </c>
      <c r="E201" cm="1">
        <f t="array" aca="1" ref="E201" ca="1">INDEX($A$2:$A$15,RANDBETWEEN(1,ROWS($A$2:$A$15)),1)</f>
        <v>5</v>
      </c>
      <c r="F201" cm="1">
        <f t="array" aca="1" ref="F201" ca="1">INDEX($A$2:$A$15,RANDBETWEEN(1,ROWS($A$2:$A$15)),1)</f>
        <v>8</v>
      </c>
      <c r="G201" cm="1">
        <f t="array" aca="1" ref="G201" ca="1">INDEX($A$2:$A$15,RANDBETWEEN(1,ROWS($A$2:$A$15)),1)</f>
        <v>4</v>
      </c>
      <c r="H201" cm="1">
        <f t="array" aca="1" ref="H201" ca="1">INDEX($A$2:$A$15,RANDBETWEEN(1,ROWS($A$2:$A$15)),1)</f>
        <v>5</v>
      </c>
      <c r="I201" cm="1">
        <f t="array" aca="1" ref="I201" ca="1">INDEX($A$2:$A$15,RANDBETWEEN(1,ROWS($A$2:$A$15)),1)</f>
        <v>1</v>
      </c>
      <c r="J201" cm="1">
        <f t="array" aca="1" ref="J201" ca="1">INDEX($A$2:$A$15,RANDBETWEEN(1,ROWS($A$2:$A$15)),1)</f>
        <v>2</v>
      </c>
      <c r="K201" cm="1">
        <f t="array" aca="1" ref="K201" ca="1">INDEX($A$2:$A$15,RANDBETWEEN(1,ROWS($A$2:$A$15)),1)</f>
        <v>5</v>
      </c>
      <c r="L201" cm="1">
        <f t="array" aca="1" ref="L201" ca="1">INDEX($A$2:$A$15,RANDBETWEEN(1,ROWS($A$2:$A$15)),1)</f>
        <v>3</v>
      </c>
      <c r="M201" cm="1">
        <f t="array" aca="1" ref="M201" ca="1">INDEX($A$2:$A$15,RANDBETWEEN(1,ROWS($A$2:$A$15)),1)</f>
        <v>7</v>
      </c>
      <c r="N201" cm="1">
        <f t="array" aca="1" ref="N201" ca="1">INDEX($A$2:$A$15,RANDBETWEEN(1,ROWS($A$2:$A$15)),1)</f>
        <v>7</v>
      </c>
      <c r="O201" cm="1">
        <f t="array" aca="1" ref="O201" ca="1">INDEX($A$2:$A$15,RANDBETWEEN(1,ROWS($A$2:$A$15)),1)</f>
        <v>4</v>
      </c>
      <c r="P201" cm="1">
        <f t="array" aca="1" ref="P201" ca="1">INDEX($A$2:$A$15,RANDBETWEEN(1,ROWS($A$2:$A$15)),1)</f>
        <v>4</v>
      </c>
      <c r="Q201" cm="1">
        <f t="array" aca="1" ref="Q201" ca="1">INDEX($A$2:$A$15,RANDBETWEEN(1,ROWS($A$2:$A$15)),1)</f>
        <v>1</v>
      </c>
      <c r="R201" cm="1">
        <f t="array" aca="1" ref="R201" ca="1">INDEX($A$2:$A$15,RANDBETWEEN(1,ROWS($A$2:$A$15)),1)</f>
        <v>7</v>
      </c>
      <c r="S201" cm="1">
        <f t="array" aca="1" ref="S201" ca="1">INDEX($A$2:$A$15,RANDBETWEEN(1,ROWS($A$2:$A$15)),1)</f>
        <v>2</v>
      </c>
      <c r="V201">
        <f t="shared" ca="1" si="12"/>
        <v>4.2352941176470589</v>
      </c>
      <c r="W201">
        <f t="shared" ca="1" si="13"/>
        <v>4</v>
      </c>
      <c r="X201">
        <f t="shared" ca="1" si="14"/>
        <v>2</v>
      </c>
      <c r="Y201">
        <f t="shared" ca="1" si="15"/>
        <v>2.1368613597021766</v>
      </c>
    </row>
    <row r="202" spans="3:25" x14ac:dyDescent="0.35">
      <c r="C202" cm="1">
        <f t="array" aca="1" ref="C202" ca="1">INDEX($A$2:$A$15,RANDBETWEEN(1,ROWS($A$2:$A$15)),1)</f>
        <v>4</v>
      </c>
      <c r="D202" cm="1">
        <f t="array" aca="1" ref="D202" ca="1">INDEX($A$2:$A$15,RANDBETWEEN(1,ROWS($A$2:$A$15)),1)</f>
        <v>5</v>
      </c>
      <c r="E202" cm="1">
        <f t="array" aca="1" ref="E202" ca="1">INDEX($A$2:$A$15,RANDBETWEEN(1,ROWS($A$2:$A$15)),1)</f>
        <v>1</v>
      </c>
      <c r="F202" cm="1">
        <f t="array" aca="1" ref="F202" ca="1">INDEX($A$2:$A$15,RANDBETWEEN(1,ROWS($A$2:$A$15)),1)</f>
        <v>5</v>
      </c>
      <c r="G202" cm="1">
        <f t="array" aca="1" ref="G202" ca="1">INDEX($A$2:$A$15,RANDBETWEEN(1,ROWS($A$2:$A$15)),1)</f>
        <v>2</v>
      </c>
      <c r="H202" cm="1">
        <f t="array" aca="1" ref="H202" ca="1">INDEX($A$2:$A$15,RANDBETWEEN(1,ROWS($A$2:$A$15)),1)</f>
        <v>1</v>
      </c>
      <c r="I202" cm="1">
        <f t="array" aca="1" ref="I202" ca="1">INDEX($A$2:$A$15,RANDBETWEEN(1,ROWS($A$2:$A$15)),1)</f>
        <v>2</v>
      </c>
      <c r="J202" cm="1">
        <f t="array" aca="1" ref="J202" ca="1">INDEX($A$2:$A$15,RANDBETWEEN(1,ROWS($A$2:$A$15)),1)</f>
        <v>1</v>
      </c>
      <c r="K202" cm="1">
        <f t="array" aca="1" ref="K202" ca="1">INDEX($A$2:$A$15,RANDBETWEEN(1,ROWS($A$2:$A$15)),1)</f>
        <v>5</v>
      </c>
      <c r="L202" cm="1">
        <f t="array" aca="1" ref="L202" ca="1">INDEX($A$2:$A$15,RANDBETWEEN(1,ROWS($A$2:$A$15)),1)</f>
        <v>3</v>
      </c>
      <c r="M202" cm="1">
        <f t="array" aca="1" ref="M202" ca="1">INDEX($A$2:$A$15,RANDBETWEEN(1,ROWS($A$2:$A$15)),1)</f>
        <v>1</v>
      </c>
      <c r="N202" cm="1">
        <f t="array" aca="1" ref="N202" ca="1">INDEX($A$2:$A$15,RANDBETWEEN(1,ROWS($A$2:$A$15)),1)</f>
        <v>3</v>
      </c>
      <c r="O202" cm="1">
        <f t="array" aca="1" ref="O202" ca="1">INDEX($A$2:$A$15,RANDBETWEEN(1,ROWS($A$2:$A$15)),1)</f>
        <v>5</v>
      </c>
      <c r="P202" cm="1">
        <f t="array" aca="1" ref="P202" ca="1">INDEX($A$2:$A$15,RANDBETWEEN(1,ROWS($A$2:$A$15)),1)</f>
        <v>4</v>
      </c>
      <c r="Q202" cm="1">
        <f t="array" aca="1" ref="Q202" ca="1">INDEX($A$2:$A$15,RANDBETWEEN(1,ROWS($A$2:$A$15)),1)</f>
        <v>3</v>
      </c>
      <c r="R202" cm="1">
        <f t="array" aca="1" ref="R202" ca="1">INDEX($A$2:$A$15,RANDBETWEEN(1,ROWS($A$2:$A$15)),1)</f>
        <v>8</v>
      </c>
      <c r="S202" cm="1">
        <f t="array" aca="1" ref="S202" ca="1">INDEX($A$2:$A$15,RANDBETWEEN(1,ROWS($A$2:$A$15)),1)</f>
        <v>1</v>
      </c>
      <c r="V202">
        <f t="shared" ca="1" si="12"/>
        <v>3.1764705882352939</v>
      </c>
      <c r="W202">
        <f t="shared" ca="1" si="13"/>
        <v>3</v>
      </c>
      <c r="X202">
        <f t="shared" ca="1" si="14"/>
        <v>4</v>
      </c>
      <c r="Y202">
        <f t="shared" ca="1" si="15"/>
        <v>2.0073394742060651</v>
      </c>
    </row>
    <row r="203" spans="3:25" x14ac:dyDescent="0.35">
      <c r="C203" cm="1">
        <f t="array" aca="1" ref="C203" ca="1">INDEX($A$2:$A$15,RANDBETWEEN(1,ROWS($A$2:$A$15)),1)</f>
        <v>8</v>
      </c>
      <c r="D203" cm="1">
        <f t="array" aca="1" ref="D203" ca="1">INDEX($A$2:$A$15,RANDBETWEEN(1,ROWS($A$2:$A$15)),1)</f>
        <v>4</v>
      </c>
      <c r="E203" cm="1">
        <f t="array" aca="1" ref="E203" ca="1">INDEX($A$2:$A$15,RANDBETWEEN(1,ROWS($A$2:$A$15)),1)</f>
        <v>5</v>
      </c>
      <c r="F203" cm="1">
        <f t="array" aca="1" ref="F203" ca="1">INDEX($A$2:$A$15,RANDBETWEEN(1,ROWS($A$2:$A$15)),1)</f>
        <v>2</v>
      </c>
      <c r="G203" cm="1">
        <f t="array" aca="1" ref="G203" ca="1">INDEX($A$2:$A$15,RANDBETWEEN(1,ROWS($A$2:$A$15)),1)</f>
        <v>1</v>
      </c>
      <c r="H203" cm="1">
        <f t="array" aca="1" ref="H203" ca="1">INDEX($A$2:$A$15,RANDBETWEEN(1,ROWS($A$2:$A$15)),1)</f>
        <v>5</v>
      </c>
      <c r="I203" cm="1">
        <f t="array" aca="1" ref="I203" ca="1">INDEX($A$2:$A$15,RANDBETWEEN(1,ROWS($A$2:$A$15)),1)</f>
        <v>3</v>
      </c>
      <c r="J203" cm="1">
        <f t="array" aca="1" ref="J203" ca="1">INDEX($A$2:$A$15,RANDBETWEEN(1,ROWS($A$2:$A$15)),1)</f>
        <v>1</v>
      </c>
      <c r="K203" cm="1">
        <f t="array" aca="1" ref="K203" ca="1">INDEX($A$2:$A$15,RANDBETWEEN(1,ROWS($A$2:$A$15)),1)</f>
        <v>8</v>
      </c>
      <c r="L203" cm="1">
        <f t="array" aca="1" ref="L203" ca="1">INDEX($A$2:$A$15,RANDBETWEEN(1,ROWS($A$2:$A$15)),1)</f>
        <v>1</v>
      </c>
      <c r="M203" cm="1">
        <f t="array" aca="1" ref="M203" ca="1">INDEX($A$2:$A$15,RANDBETWEEN(1,ROWS($A$2:$A$15)),1)</f>
        <v>1</v>
      </c>
      <c r="N203" cm="1">
        <f t="array" aca="1" ref="N203" ca="1">INDEX($A$2:$A$15,RANDBETWEEN(1,ROWS($A$2:$A$15)),1)</f>
        <v>1</v>
      </c>
      <c r="O203" cm="1">
        <f t="array" aca="1" ref="O203" ca="1">INDEX($A$2:$A$15,RANDBETWEEN(1,ROWS($A$2:$A$15)),1)</f>
        <v>2</v>
      </c>
      <c r="P203" cm="1">
        <f t="array" aca="1" ref="P203" ca="1">INDEX($A$2:$A$15,RANDBETWEEN(1,ROWS($A$2:$A$15)),1)</f>
        <v>3</v>
      </c>
      <c r="Q203" cm="1">
        <f t="array" aca="1" ref="Q203" ca="1">INDEX($A$2:$A$15,RANDBETWEEN(1,ROWS($A$2:$A$15)),1)</f>
        <v>7</v>
      </c>
      <c r="R203" cm="1">
        <f t="array" aca="1" ref="R203" ca="1">INDEX($A$2:$A$15,RANDBETWEEN(1,ROWS($A$2:$A$15)),1)</f>
        <v>5</v>
      </c>
      <c r="S203" cm="1">
        <f t="array" aca="1" ref="S203" ca="1">INDEX($A$2:$A$15,RANDBETWEEN(1,ROWS($A$2:$A$15)),1)</f>
        <v>8</v>
      </c>
      <c r="V203">
        <f t="shared" ca="1" si="12"/>
        <v>3.8235294117647061</v>
      </c>
      <c r="W203">
        <f t="shared" ca="1" si="13"/>
        <v>3</v>
      </c>
      <c r="X203">
        <f t="shared" ca="1" si="14"/>
        <v>4</v>
      </c>
      <c r="Y203">
        <f t="shared" ca="1" si="15"/>
        <v>2.6747732174346823</v>
      </c>
    </row>
    <row r="204" spans="3:25" x14ac:dyDescent="0.35">
      <c r="C204" cm="1">
        <f t="array" aca="1" ref="C204" ca="1">INDEX($A$2:$A$15,RANDBETWEEN(1,ROWS($A$2:$A$15)),1)</f>
        <v>3</v>
      </c>
      <c r="D204" cm="1">
        <f t="array" aca="1" ref="D204" ca="1">INDEX($A$2:$A$15,RANDBETWEEN(1,ROWS($A$2:$A$15)),1)</f>
        <v>5</v>
      </c>
      <c r="E204" cm="1">
        <f t="array" aca="1" ref="E204" ca="1">INDEX($A$2:$A$15,RANDBETWEEN(1,ROWS($A$2:$A$15)),1)</f>
        <v>3</v>
      </c>
      <c r="F204" cm="1">
        <f t="array" aca="1" ref="F204" ca="1">INDEX($A$2:$A$15,RANDBETWEEN(1,ROWS($A$2:$A$15)),1)</f>
        <v>7</v>
      </c>
      <c r="G204" cm="1">
        <f t="array" aca="1" ref="G204" ca="1">INDEX($A$2:$A$15,RANDBETWEEN(1,ROWS($A$2:$A$15)),1)</f>
        <v>1</v>
      </c>
      <c r="H204" cm="1">
        <f t="array" aca="1" ref="H204" ca="1">INDEX($A$2:$A$15,RANDBETWEEN(1,ROWS($A$2:$A$15)),1)</f>
        <v>4</v>
      </c>
      <c r="I204" cm="1">
        <f t="array" aca="1" ref="I204" ca="1">INDEX($A$2:$A$15,RANDBETWEEN(1,ROWS($A$2:$A$15)),1)</f>
        <v>5</v>
      </c>
      <c r="J204" cm="1">
        <f t="array" aca="1" ref="J204" ca="1">INDEX($A$2:$A$15,RANDBETWEEN(1,ROWS($A$2:$A$15)),1)</f>
        <v>3</v>
      </c>
      <c r="K204" cm="1">
        <f t="array" aca="1" ref="K204" ca="1">INDEX($A$2:$A$15,RANDBETWEEN(1,ROWS($A$2:$A$15)),1)</f>
        <v>5</v>
      </c>
      <c r="L204" cm="1">
        <f t="array" aca="1" ref="L204" ca="1">INDEX($A$2:$A$15,RANDBETWEEN(1,ROWS($A$2:$A$15)),1)</f>
        <v>1</v>
      </c>
      <c r="M204" cm="1">
        <f t="array" aca="1" ref="M204" ca="1">INDEX($A$2:$A$15,RANDBETWEEN(1,ROWS($A$2:$A$15)),1)</f>
        <v>3</v>
      </c>
      <c r="N204" cm="1">
        <f t="array" aca="1" ref="N204" ca="1">INDEX($A$2:$A$15,RANDBETWEEN(1,ROWS($A$2:$A$15)),1)</f>
        <v>5</v>
      </c>
      <c r="O204" cm="1">
        <f t="array" aca="1" ref="O204" ca="1">INDEX($A$2:$A$15,RANDBETWEEN(1,ROWS($A$2:$A$15)),1)</f>
        <v>1</v>
      </c>
      <c r="P204" cm="1">
        <f t="array" aca="1" ref="P204" ca="1">INDEX($A$2:$A$15,RANDBETWEEN(1,ROWS($A$2:$A$15)),1)</f>
        <v>4</v>
      </c>
      <c r="Q204" cm="1">
        <f t="array" aca="1" ref="Q204" ca="1">INDEX($A$2:$A$15,RANDBETWEEN(1,ROWS($A$2:$A$15)),1)</f>
        <v>1</v>
      </c>
      <c r="R204" cm="1">
        <f t="array" aca="1" ref="R204" ca="1">INDEX($A$2:$A$15,RANDBETWEEN(1,ROWS($A$2:$A$15)),1)</f>
        <v>1</v>
      </c>
      <c r="S204" cm="1">
        <f t="array" aca="1" ref="S204" ca="1">INDEX($A$2:$A$15,RANDBETWEEN(1,ROWS($A$2:$A$15)),1)</f>
        <v>4</v>
      </c>
      <c r="V204">
        <f t="shared" ca="1" si="12"/>
        <v>3.2941176470588234</v>
      </c>
      <c r="W204">
        <f t="shared" ca="1" si="13"/>
        <v>3</v>
      </c>
      <c r="X204">
        <f t="shared" ca="1" si="14"/>
        <v>4</v>
      </c>
      <c r="Y204">
        <f t="shared" ca="1" si="15"/>
        <v>1.829094922439543</v>
      </c>
    </row>
    <row r="205" spans="3:25" x14ac:dyDescent="0.35">
      <c r="C205" cm="1">
        <f t="array" aca="1" ref="C205" ca="1">INDEX($A$2:$A$15,RANDBETWEEN(1,ROWS($A$2:$A$15)),1)</f>
        <v>4</v>
      </c>
      <c r="D205" cm="1">
        <f t="array" aca="1" ref="D205" ca="1">INDEX($A$2:$A$15,RANDBETWEEN(1,ROWS($A$2:$A$15)),1)</f>
        <v>4</v>
      </c>
      <c r="E205" cm="1">
        <f t="array" aca="1" ref="E205" ca="1">INDEX($A$2:$A$15,RANDBETWEEN(1,ROWS($A$2:$A$15)),1)</f>
        <v>5</v>
      </c>
      <c r="F205" cm="1">
        <f t="array" aca="1" ref="F205" ca="1">INDEX($A$2:$A$15,RANDBETWEEN(1,ROWS($A$2:$A$15)),1)</f>
        <v>5</v>
      </c>
      <c r="G205" cm="1">
        <f t="array" aca="1" ref="G205" ca="1">INDEX($A$2:$A$15,RANDBETWEEN(1,ROWS($A$2:$A$15)),1)</f>
        <v>1</v>
      </c>
      <c r="H205" cm="1">
        <f t="array" aca="1" ref="H205" ca="1">INDEX($A$2:$A$15,RANDBETWEEN(1,ROWS($A$2:$A$15)),1)</f>
        <v>1</v>
      </c>
      <c r="I205" cm="1">
        <f t="array" aca="1" ref="I205" ca="1">INDEX($A$2:$A$15,RANDBETWEEN(1,ROWS($A$2:$A$15)),1)</f>
        <v>4</v>
      </c>
      <c r="J205" cm="1">
        <f t="array" aca="1" ref="J205" ca="1">INDEX($A$2:$A$15,RANDBETWEEN(1,ROWS($A$2:$A$15)),1)</f>
        <v>5</v>
      </c>
      <c r="K205" cm="1">
        <f t="array" aca="1" ref="K205" ca="1">INDEX($A$2:$A$15,RANDBETWEEN(1,ROWS($A$2:$A$15)),1)</f>
        <v>1</v>
      </c>
      <c r="L205" cm="1">
        <f t="array" aca="1" ref="L205" ca="1">INDEX($A$2:$A$15,RANDBETWEEN(1,ROWS($A$2:$A$15)),1)</f>
        <v>5</v>
      </c>
      <c r="M205" cm="1">
        <f t="array" aca="1" ref="M205" ca="1">INDEX($A$2:$A$15,RANDBETWEEN(1,ROWS($A$2:$A$15)),1)</f>
        <v>5</v>
      </c>
      <c r="N205" cm="1">
        <f t="array" aca="1" ref="N205" ca="1">INDEX($A$2:$A$15,RANDBETWEEN(1,ROWS($A$2:$A$15)),1)</f>
        <v>8</v>
      </c>
      <c r="O205" cm="1">
        <f t="array" aca="1" ref="O205" ca="1">INDEX($A$2:$A$15,RANDBETWEEN(1,ROWS($A$2:$A$15)),1)</f>
        <v>1</v>
      </c>
      <c r="P205" cm="1">
        <f t="array" aca="1" ref="P205" ca="1">INDEX($A$2:$A$15,RANDBETWEEN(1,ROWS($A$2:$A$15)),1)</f>
        <v>3</v>
      </c>
      <c r="Q205" cm="1">
        <f t="array" aca="1" ref="Q205" ca="1">INDEX($A$2:$A$15,RANDBETWEEN(1,ROWS($A$2:$A$15)),1)</f>
        <v>1</v>
      </c>
      <c r="R205" cm="1">
        <f t="array" aca="1" ref="R205" ca="1">INDEX($A$2:$A$15,RANDBETWEEN(1,ROWS($A$2:$A$15)),1)</f>
        <v>7</v>
      </c>
      <c r="S205" cm="1">
        <f t="array" aca="1" ref="S205" ca="1">INDEX($A$2:$A$15,RANDBETWEEN(1,ROWS($A$2:$A$15)),1)</f>
        <v>5</v>
      </c>
      <c r="V205">
        <f t="shared" ca="1" si="12"/>
        <v>3.8235294117647061</v>
      </c>
      <c r="W205">
        <f t="shared" ca="1" si="13"/>
        <v>4</v>
      </c>
      <c r="X205">
        <f t="shared" ca="1" si="14"/>
        <v>4</v>
      </c>
      <c r="Y205">
        <f t="shared" ca="1" si="15"/>
        <v>2.1861865804880156</v>
      </c>
    </row>
    <row r="206" spans="3:25" x14ac:dyDescent="0.35">
      <c r="C206" cm="1">
        <f t="array" aca="1" ref="C206" ca="1">INDEX($A$2:$A$15,RANDBETWEEN(1,ROWS($A$2:$A$15)),1)</f>
        <v>5</v>
      </c>
      <c r="D206" cm="1">
        <f t="array" aca="1" ref="D206" ca="1">INDEX($A$2:$A$15,RANDBETWEEN(1,ROWS($A$2:$A$15)),1)</f>
        <v>8</v>
      </c>
      <c r="E206" cm="1">
        <f t="array" aca="1" ref="E206" ca="1">INDEX($A$2:$A$15,RANDBETWEEN(1,ROWS($A$2:$A$15)),1)</f>
        <v>7</v>
      </c>
      <c r="F206" cm="1">
        <f t="array" aca="1" ref="F206" ca="1">INDEX($A$2:$A$15,RANDBETWEEN(1,ROWS($A$2:$A$15)),1)</f>
        <v>1</v>
      </c>
      <c r="G206" cm="1">
        <f t="array" aca="1" ref="G206" ca="1">INDEX($A$2:$A$15,RANDBETWEEN(1,ROWS($A$2:$A$15)),1)</f>
        <v>4</v>
      </c>
      <c r="H206" cm="1">
        <f t="array" aca="1" ref="H206" ca="1">INDEX($A$2:$A$15,RANDBETWEEN(1,ROWS($A$2:$A$15)),1)</f>
        <v>4</v>
      </c>
      <c r="I206" cm="1">
        <f t="array" aca="1" ref="I206" ca="1">INDEX($A$2:$A$15,RANDBETWEEN(1,ROWS($A$2:$A$15)),1)</f>
        <v>1</v>
      </c>
      <c r="J206" cm="1">
        <f t="array" aca="1" ref="J206" ca="1">INDEX($A$2:$A$15,RANDBETWEEN(1,ROWS($A$2:$A$15)),1)</f>
        <v>5</v>
      </c>
      <c r="K206" cm="1">
        <f t="array" aca="1" ref="K206" ca="1">INDEX($A$2:$A$15,RANDBETWEEN(1,ROWS($A$2:$A$15)),1)</f>
        <v>7</v>
      </c>
      <c r="L206" cm="1">
        <f t="array" aca="1" ref="L206" ca="1">INDEX($A$2:$A$15,RANDBETWEEN(1,ROWS($A$2:$A$15)),1)</f>
        <v>1</v>
      </c>
      <c r="M206" cm="1">
        <f t="array" aca="1" ref="M206" ca="1">INDEX($A$2:$A$15,RANDBETWEEN(1,ROWS($A$2:$A$15)),1)</f>
        <v>5</v>
      </c>
      <c r="N206" cm="1">
        <f t="array" aca="1" ref="N206" ca="1">INDEX($A$2:$A$15,RANDBETWEEN(1,ROWS($A$2:$A$15)),1)</f>
        <v>2</v>
      </c>
      <c r="O206" cm="1">
        <f t="array" aca="1" ref="O206" ca="1">INDEX($A$2:$A$15,RANDBETWEEN(1,ROWS($A$2:$A$15)),1)</f>
        <v>5</v>
      </c>
      <c r="P206" cm="1">
        <f t="array" aca="1" ref="P206" ca="1">INDEX($A$2:$A$15,RANDBETWEEN(1,ROWS($A$2:$A$15)),1)</f>
        <v>4</v>
      </c>
      <c r="Q206" cm="1">
        <f t="array" aca="1" ref="Q206" ca="1">INDEX($A$2:$A$15,RANDBETWEEN(1,ROWS($A$2:$A$15)),1)</f>
        <v>3</v>
      </c>
      <c r="R206" cm="1">
        <f t="array" aca="1" ref="R206" ca="1">INDEX($A$2:$A$15,RANDBETWEEN(1,ROWS($A$2:$A$15)),1)</f>
        <v>1</v>
      </c>
      <c r="S206" cm="1">
        <f t="array" aca="1" ref="S206" ca="1">INDEX($A$2:$A$15,RANDBETWEEN(1,ROWS($A$2:$A$15)),1)</f>
        <v>4</v>
      </c>
      <c r="V206">
        <f t="shared" ca="1" si="12"/>
        <v>3.9411764705882355</v>
      </c>
      <c r="W206">
        <f t="shared" ca="1" si="13"/>
        <v>4</v>
      </c>
      <c r="X206">
        <f t="shared" ca="1" si="14"/>
        <v>3</v>
      </c>
      <c r="Y206">
        <f t="shared" ca="1" si="15"/>
        <v>2.2212211797594055</v>
      </c>
    </row>
    <row r="207" spans="3:25" x14ac:dyDescent="0.35">
      <c r="C207" cm="1">
        <f t="array" aca="1" ref="C207" ca="1">INDEX($A$2:$A$15,RANDBETWEEN(1,ROWS($A$2:$A$15)),1)</f>
        <v>4</v>
      </c>
      <c r="D207" cm="1">
        <f t="array" aca="1" ref="D207" ca="1">INDEX($A$2:$A$15,RANDBETWEEN(1,ROWS($A$2:$A$15)),1)</f>
        <v>5</v>
      </c>
      <c r="E207" cm="1">
        <f t="array" aca="1" ref="E207" ca="1">INDEX($A$2:$A$15,RANDBETWEEN(1,ROWS($A$2:$A$15)),1)</f>
        <v>4</v>
      </c>
      <c r="F207" cm="1">
        <f t="array" aca="1" ref="F207" ca="1">INDEX($A$2:$A$15,RANDBETWEEN(1,ROWS($A$2:$A$15)),1)</f>
        <v>5</v>
      </c>
      <c r="G207" cm="1">
        <f t="array" aca="1" ref="G207" ca="1">INDEX($A$2:$A$15,RANDBETWEEN(1,ROWS($A$2:$A$15)),1)</f>
        <v>3</v>
      </c>
      <c r="H207" cm="1">
        <f t="array" aca="1" ref="H207" ca="1">INDEX($A$2:$A$15,RANDBETWEEN(1,ROWS($A$2:$A$15)),1)</f>
        <v>4</v>
      </c>
      <c r="I207" cm="1">
        <f t="array" aca="1" ref="I207" ca="1">INDEX($A$2:$A$15,RANDBETWEEN(1,ROWS($A$2:$A$15)),1)</f>
        <v>4</v>
      </c>
      <c r="J207" cm="1">
        <f t="array" aca="1" ref="J207" ca="1">INDEX($A$2:$A$15,RANDBETWEEN(1,ROWS($A$2:$A$15)),1)</f>
        <v>7</v>
      </c>
      <c r="K207" cm="1">
        <f t="array" aca="1" ref="K207" ca="1">INDEX($A$2:$A$15,RANDBETWEEN(1,ROWS($A$2:$A$15)),1)</f>
        <v>7</v>
      </c>
      <c r="L207" cm="1">
        <f t="array" aca="1" ref="L207" ca="1">INDEX($A$2:$A$15,RANDBETWEEN(1,ROWS($A$2:$A$15)),1)</f>
        <v>3</v>
      </c>
      <c r="M207" cm="1">
        <f t="array" aca="1" ref="M207" ca="1">INDEX($A$2:$A$15,RANDBETWEEN(1,ROWS($A$2:$A$15)),1)</f>
        <v>1</v>
      </c>
      <c r="N207" cm="1">
        <f t="array" aca="1" ref="N207" ca="1">INDEX($A$2:$A$15,RANDBETWEEN(1,ROWS($A$2:$A$15)),1)</f>
        <v>7</v>
      </c>
      <c r="O207" cm="1">
        <f t="array" aca="1" ref="O207" ca="1">INDEX($A$2:$A$15,RANDBETWEEN(1,ROWS($A$2:$A$15)),1)</f>
        <v>8</v>
      </c>
      <c r="P207" cm="1">
        <f t="array" aca="1" ref="P207" ca="1">INDEX($A$2:$A$15,RANDBETWEEN(1,ROWS($A$2:$A$15)),1)</f>
        <v>3</v>
      </c>
      <c r="Q207" cm="1">
        <f t="array" aca="1" ref="Q207" ca="1">INDEX($A$2:$A$15,RANDBETWEEN(1,ROWS($A$2:$A$15)),1)</f>
        <v>5</v>
      </c>
      <c r="R207" cm="1">
        <f t="array" aca="1" ref="R207" ca="1">INDEX($A$2:$A$15,RANDBETWEEN(1,ROWS($A$2:$A$15)),1)</f>
        <v>3</v>
      </c>
      <c r="S207" cm="1">
        <f t="array" aca="1" ref="S207" ca="1">INDEX($A$2:$A$15,RANDBETWEEN(1,ROWS($A$2:$A$15)),1)</f>
        <v>2</v>
      </c>
      <c r="V207">
        <f t="shared" ca="1" si="12"/>
        <v>4.4117647058823533</v>
      </c>
      <c r="W207">
        <f t="shared" ca="1" si="13"/>
        <v>4</v>
      </c>
      <c r="X207">
        <f t="shared" ca="1" si="14"/>
        <v>2</v>
      </c>
      <c r="Y207">
        <f t="shared" ca="1" si="15"/>
        <v>1.9383892646154619</v>
      </c>
    </row>
    <row r="208" spans="3:25" x14ac:dyDescent="0.35">
      <c r="C208" cm="1">
        <f t="array" aca="1" ref="C208" ca="1">INDEX($A$2:$A$15,RANDBETWEEN(1,ROWS($A$2:$A$15)),1)</f>
        <v>4</v>
      </c>
      <c r="D208" cm="1">
        <f t="array" aca="1" ref="D208" ca="1">INDEX($A$2:$A$15,RANDBETWEEN(1,ROWS($A$2:$A$15)),1)</f>
        <v>3</v>
      </c>
      <c r="E208" cm="1">
        <f t="array" aca="1" ref="E208" ca="1">INDEX($A$2:$A$15,RANDBETWEEN(1,ROWS($A$2:$A$15)),1)</f>
        <v>1</v>
      </c>
      <c r="F208" cm="1">
        <f t="array" aca="1" ref="F208" ca="1">INDEX($A$2:$A$15,RANDBETWEEN(1,ROWS($A$2:$A$15)),1)</f>
        <v>1</v>
      </c>
      <c r="G208" cm="1">
        <f t="array" aca="1" ref="G208" ca="1">INDEX($A$2:$A$15,RANDBETWEEN(1,ROWS($A$2:$A$15)),1)</f>
        <v>5</v>
      </c>
      <c r="H208" cm="1">
        <f t="array" aca="1" ref="H208" ca="1">INDEX($A$2:$A$15,RANDBETWEEN(1,ROWS($A$2:$A$15)),1)</f>
        <v>1</v>
      </c>
      <c r="I208" cm="1">
        <f t="array" aca="1" ref="I208" ca="1">INDEX($A$2:$A$15,RANDBETWEEN(1,ROWS($A$2:$A$15)),1)</f>
        <v>8</v>
      </c>
      <c r="J208" cm="1">
        <f t="array" aca="1" ref="J208" ca="1">INDEX($A$2:$A$15,RANDBETWEEN(1,ROWS($A$2:$A$15)),1)</f>
        <v>3</v>
      </c>
      <c r="K208" cm="1">
        <f t="array" aca="1" ref="K208" ca="1">INDEX($A$2:$A$15,RANDBETWEEN(1,ROWS($A$2:$A$15)),1)</f>
        <v>5</v>
      </c>
      <c r="L208" cm="1">
        <f t="array" aca="1" ref="L208" ca="1">INDEX($A$2:$A$15,RANDBETWEEN(1,ROWS($A$2:$A$15)),1)</f>
        <v>3</v>
      </c>
      <c r="M208" cm="1">
        <f t="array" aca="1" ref="M208" ca="1">INDEX($A$2:$A$15,RANDBETWEEN(1,ROWS($A$2:$A$15)),1)</f>
        <v>7</v>
      </c>
      <c r="N208" cm="1">
        <f t="array" aca="1" ref="N208" ca="1">INDEX($A$2:$A$15,RANDBETWEEN(1,ROWS($A$2:$A$15)),1)</f>
        <v>1</v>
      </c>
      <c r="O208" cm="1">
        <f t="array" aca="1" ref="O208" ca="1">INDEX($A$2:$A$15,RANDBETWEEN(1,ROWS($A$2:$A$15)),1)</f>
        <v>2</v>
      </c>
      <c r="P208" cm="1">
        <f t="array" aca="1" ref="P208" ca="1">INDEX($A$2:$A$15,RANDBETWEEN(1,ROWS($A$2:$A$15)),1)</f>
        <v>5</v>
      </c>
      <c r="Q208" cm="1">
        <f t="array" aca="1" ref="Q208" ca="1">INDEX($A$2:$A$15,RANDBETWEEN(1,ROWS($A$2:$A$15)),1)</f>
        <v>5</v>
      </c>
      <c r="R208" cm="1">
        <f t="array" aca="1" ref="R208" ca="1">INDEX($A$2:$A$15,RANDBETWEEN(1,ROWS($A$2:$A$15)),1)</f>
        <v>5</v>
      </c>
      <c r="S208" cm="1">
        <f t="array" aca="1" ref="S208" ca="1">INDEX($A$2:$A$15,RANDBETWEEN(1,ROWS($A$2:$A$15)),1)</f>
        <v>1</v>
      </c>
      <c r="V208">
        <f t="shared" ca="1" si="12"/>
        <v>3.5294117647058822</v>
      </c>
      <c r="W208">
        <f t="shared" ca="1" si="13"/>
        <v>3</v>
      </c>
      <c r="X208">
        <f t="shared" ca="1" si="14"/>
        <v>4</v>
      </c>
      <c r="Y208">
        <f t="shared" ca="1" si="15"/>
        <v>2.2112679354508225</v>
      </c>
    </row>
    <row r="209" spans="3:25" x14ac:dyDescent="0.35">
      <c r="C209" cm="1">
        <f t="array" aca="1" ref="C209" ca="1">INDEX($A$2:$A$15,RANDBETWEEN(1,ROWS($A$2:$A$15)),1)</f>
        <v>5</v>
      </c>
      <c r="D209" cm="1">
        <f t="array" aca="1" ref="D209" ca="1">INDEX($A$2:$A$15,RANDBETWEEN(1,ROWS($A$2:$A$15)),1)</f>
        <v>3</v>
      </c>
      <c r="E209" cm="1">
        <f t="array" aca="1" ref="E209" ca="1">INDEX($A$2:$A$15,RANDBETWEEN(1,ROWS($A$2:$A$15)),1)</f>
        <v>4</v>
      </c>
      <c r="F209" cm="1">
        <f t="array" aca="1" ref="F209" ca="1">INDEX($A$2:$A$15,RANDBETWEEN(1,ROWS($A$2:$A$15)),1)</f>
        <v>4</v>
      </c>
      <c r="G209" cm="1">
        <f t="array" aca="1" ref="G209" ca="1">INDEX($A$2:$A$15,RANDBETWEEN(1,ROWS($A$2:$A$15)),1)</f>
        <v>3</v>
      </c>
      <c r="H209" cm="1">
        <f t="array" aca="1" ref="H209" ca="1">INDEX($A$2:$A$15,RANDBETWEEN(1,ROWS($A$2:$A$15)),1)</f>
        <v>1</v>
      </c>
      <c r="I209" cm="1">
        <f t="array" aca="1" ref="I209" ca="1">INDEX($A$2:$A$15,RANDBETWEEN(1,ROWS($A$2:$A$15)),1)</f>
        <v>1</v>
      </c>
      <c r="J209" cm="1">
        <f t="array" aca="1" ref="J209" ca="1">INDEX($A$2:$A$15,RANDBETWEEN(1,ROWS($A$2:$A$15)),1)</f>
        <v>1</v>
      </c>
      <c r="K209" cm="1">
        <f t="array" aca="1" ref="K209" ca="1">INDEX($A$2:$A$15,RANDBETWEEN(1,ROWS($A$2:$A$15)),1)</f>
        <v>4</v>
      </c>
      <c r="L209" cm="1">
        <f t="array" aca="1" ref="L209" ca="1">INDEX($A$2:$A$15,RANDBETWEEN(1,ROWS($A$2:$A$15)),1)</f>
        <v>7</v>
      </c>
      <c r="M209" cm="1">
        <f t="array" aca="1" ref="M209" ca="1">INDEX($A$2:$A$15,RANDBETWEEN(1,ROWS($A$2:$A$15)),1)</f>
        <v>8</v>
      </c>
      <c r="N209" cm="1">
        <f t="array" aca="1" ref="N209" ca="1">INDEX($A$2:$A$15,RANDBETWEEN(1,ROWS($A$2:$A$15)),1)</f>
        <v>1</v>
      </c>
      <c r="O209" cm="1">
        <f t="array" aca="1" ref="O209" ca="1">INDEX($A$2:$A$15,RANDBETWEEN(1,ROWS($A$2:$A$15)),1)</f>
        <v>5</v>
      </c>
      <c r="P209" cm="1">
        <f t="array" aca="1" ref="P209" ca="1">INDEX($A$2:$A$15,RANDBETWEEN(1,ROWS($A$2:$A$15)),1)</f>
        <v>1</v>
      </c>
      <c r="Q209" cm="1">
        <f t="array" aca="1" ref="Q209" ca="1">INDEX($A$2:$A$15,RANDBETWEEN(1,ROWS($A$2:$A$15)),1)</f>
        <v>2</v>
      </c>
      <c r="R209" cm="1">
        <f t="array" aca="1" ref="R209" ca="1">INDEX($A$2:$A$15,RANDBETWEEN(1,ROWS($A$2:$A$15)),1)</f>
        <v>1</v>
      </c>
      <c r="S209" cm="1">
        <f t="array" aca="1" ref="S209" ca="1">INDEX($A$2:$A$15,RANDBETWEEN(1,ROWS($A$2:$A$15)),1)</f>
        <v>5</v>
      </c>
      <c r="V209">
        <f t="shared" ca="1" si="12"/>
        <v>3.2941176470588234</v>
      </c>
      <c r="W209">
        <f t="shared" ca="1" si="13"/>
        <v>3</v>
      </c>
      <c r="X209">
        <f t="shared" ca="1" si="14"/>
        <v>4</v>
      </c>
      <c r="Y209">
        <f t="shared" ca="1" si="15"/>
        <v>2.2294816068526151</v>
      </c>
    </row>
    <row r="210" spans="3:25" x14ac:dyDescent="0.35">
      <c r="C210" cm="1">
        <f t="array" aca="1" ref="C210" ca="1">INDEX($A$2:$A$15,RANDBETWEEN(1,ROWS($A$2:$A$15)),1)</f>
        <v>5</v>
      </c>
      <c r="D210" cm="1">
        <f t="array" aca="1" ref="D210" ca="1">INDEX($A$2:$A$15,RANDBETWEEN(1,ROWS($A$2:$A$15)),1)</f>
        <v>7</v>
      </c>
      <c r="E210" cm="1">
        <f t="array" aca="1" ref="E210" ca="1">INDEX($A$2:$A$15,RANDBETWEEN(1,ROWS($A$2:$A$15)),1)</f>
        <v>3</v>
      </c>
      <c r="F210" cm="1">
        <f t="array" aca="1" ref="F210" ca="1">INDEX($A$2:$A$15,RANDBETWEEN(1,ROWS($A$2:$A$15)),1)</f>
        <v>3</v>
      </c>
      <c r="G210" cm="1">
        <f t="array" aca="1" ref="G210" ca="1">INDEX($A$2:$A$15,RANDBETWEEN(1,ROWS($A$2:$A$15)),1)</f>
        <v>1</v>
      </c>
      <c r="H210" cm="1">
        <f t="array" aca="1" ref="H210" ca="1">INDEX($A$2:$A$15,RANDBETWEEN(1,ROWS($A$2:$A$15)),1)</f>
        <v>3</v>
      </c>
      <c r="I210" cm="1">
        <f t="array" aca="1" ref="I210" ca="1">INDEX($A$2:$A$15,RANDBETWEEN(1,ROWS($A$2:$A$15)),1)</f>
        <v>1</v>
      </c>
      <c r="J210" cm="1">
        <f t="array" aca="1" ref="J210" ca="1">INDEX($A$2:$A$15,RANDBETWEEN(1,ROWS($A$2:$A$15)),1)</f>
        <v>8</v>
      </c>
      <c r="K210" cm="1">
        <f t="array" aca="1" ref="K210" ca="1">INDEX($A$2:$A$15,RANDBETWEEN(1,ROWS($A$2:$A$15)),1)</f>
        <v>5</v>
      </c>
      <c r="L210" cm="1">
        <f t="array" aca="1" ref="L210" ca="1">INDEX($A$2:$A$15,RANDBETWEEN(1,ROWS($A$2:$A$15)),1)</f>
        <v>1</v>
      </c>
      <c r="M210" cm="1">
        <f t="array" aca="1" ref="M210" ca="1">INDEX($A$2:$A$15,RANDBETWEEN(1,ROWS($A$2:$A$15)),1)</f>
        <v>4</v>
      </c>
      <c r="N210" cm="1">
        <f t="array" aca="1" ref="N210" ca="1">INDEX($A$2:$A$15,RANDBETWEEN(1,ROWS($A$2:$A$15)),1)</f>
        <v>3</v>
      </c>
      <c r="O210" cm="1">
        <f t="array" aca="1" ref="O210" ca="1">INDEX($A$2:$A$15,RANDBETWEEN(1,ROWS($A$2:$A$15)),1)</f>
        <v>2</v>
      </c>
      <c r="P210" cm="1">
        <f t="array" aca="1" ref="P210" ca="1">INDEX($A$2:$A$15,RANDBETWEEN(1,ROWS($A$2:$A$15)),1)</f>
        <v>5</v>
      </c>
      <c r="Q210" cm="1">
        <f t="array" aca="1" ref="Q210" ca="1">INDEX($A$2:$A$15,RANDBETWEEN(1,ROWS($A$2:$A$15)),1)</f>
        <v>3</v>
      </c>
      <c r="R210" cm="1">
        <f t="array" aca="1" ref="R210" ca="1">INDEX($A$2:$A$15,RANDBETWEEN(1,ROWS($A$2:$A$15)),1)</f>
        <v>8</v>
      </c>
      <c r="S210" cm="1">
        <f t="array" aca="1" ref="S210" ca="1">INDEX($A$2:$A$15,RANDBETWEEN(1,ROWS($A$2:$A$15)),1)</f>
        <v>1</v>
      </c>
      <c r="V210">
        <f t="shared" ca="1" si="12"/>
        <v>3.7058823529411766</v>
      </c>
      <c r="W210">
        <f t="shared" ca="1" si="13"/>
        <v>3</v>
      </c>
      <c r="X210">
        <f t="shared" ca="1" si="14"/>
        <v>3</v>
      </c>
      <c r="Y210">
        <f t="shared" ca="1" si="15"/>
        <v>2.3389288649495343</v>
      </c>
    </row>
    <row r="211" spans="3:25" x14ac:dyDescent="0.35">
      <c r="C211" cm="1">
        <f t="array" aca="1" ref="C211" ca="1">INDEX($A$2:$A$15,RANDBETWEEN(1,ROWS($A$2:$A$15)),1)</f>
        <v>8</v>
      </c>
      <c r="D211" cm="1">
        <f t="array" aca="1" ref="D211" ca="1">INDEX($A$2:$A$15,RANDBETWEEN(1,ROWS($A$2:$A$15)),1)</f>
        <v>5</v>
      </c>
      <c r="E211" cm="1">
        <f t="array" aca="1" ref="E211" ca="1">INDEX($A$2:$A$15,RANDBETWEEN(1,ROWS($A$2:$A$15)),1)</f>
        <v>4</v>
      </c>
      <c r="F211" cm="1">
        <f t="array" aca="1" ref="F211" ca="1">INDEX($A$2:$A$15,RANDBETWEEN(1,ROWS($A$2:$A$15)),1)</f>
        <v>5</v>
      </c>
      <c r="G211" cm="1">
        <f t="array" aca="1" ref="G211" ca="1">INDEX($A$2:$A$15,RANDBETWEEN(1,ROWS($A$2:$A$15)),1)</f>
        <v>4</v>
      </c>
      <c r="H211" cm="1">
        <f t="array" aca="1" ref="H211" ca="1">INDEX($A$2:$A$15,RANDBETWEEN(1,ROWS($A$2:$A$15)),1)</f>
        <v>3</v>
      </c>
      <c r="I211" cm="1">
        <f t="array" aca="1" ref="I211" ca="1">INDEX($A$2:$A$15,RANDBETWEEN(1,ROWS($A$2:$A$15)),1)</f>
        <v>3</v>
      </c>
      <c r="J211" cm="1">
        <f t="array" aca="1" ref="J211" ca="1">INDEX($A$2:$A$15,RANDBETWEEN(1,ROWS($A$2:$A$15)),1)</f>
        <v>2</v>
      </c>
      <c r="K211" cm="1">
        <f t="array" aca="1" ref="K211" ca="1">INDEX($A$2:$A$15,RANDBETWEEN(1,ROWS($A$2:$A$15)),1)</f>
        <v>1</v>
      </c>
      <c r="L211" cm="1">
        <f t="array" aca="1" ref="L211" ca="1">INDEX($A$2:$A$15,RANDBETWEEN(1,ROWS($A$2:$A$15)),1)</f>
        <v>5</v>
      </c>
      <c r="M211" cm="1">
        <f t="array" aca="1" ref="M211" ca="1">INDEX($A$2:$A$15,RANDBETWEEN(1,ROWS($A$2:$A$15)),1)</f>
        <v>4</v>
      </c>
      <c r="N211" cm="1">
        <f t="array" aca="1" ref="N211" ca="1">INDEX($A$2:$A$15,RANDBETWEEN(1,ROWS($A$2:$A$15)),1)</f>
        <v>5</v>
      </c>
      <c r="O211" cm="1">
        <f t="array" aca="1" ref="O211" ca="1">INDEX($A$2:$A$15,RANDBETWEEN(1,ROWS($A$2:$A$15)),1)</f>
        <v>2</v>
      </c>
      <c r="P211" cm="1">
        <f t="array" aca="1" ref="P211" ca="1">INDEX($A$2:$A$15,RANDBETWEEN(1,ROWS($A$2:$A$15)),1)</f>
        <v>1</v>
      </c>
      <c r="Q211" cm="1">
        <f t="array" aca="1" ref="Q211" ca="1">INDEX($A$2:$A$15,RANDBETWEEN(1,ROWS($A$2:$A$15)),1)</f>
        <v>5</v>
      </c>
      <c r="R211" cm="1">
        <f t="array" aca="1" ref="R211" ca="1">INDEX($A$2:$A$15,RANDBETWEEN(1,ROWS($A$2:$A$15)),1)</f>
        <v>2</v>
      </c>
      <c r="S211" cm="1">
        <f t="array" aca="1" ref="S211" ca="1">INDEX($A$2:$A$15,RANDBETWEEN(1,ROWS($A$2:$A$15)),1)</f>
        <v>3</v>
      </c>
      <c r="V211">
        <f t="shared" ca="1" si="12"/>
        <v>3.6470588235294117</v>
      </c>
      <c r="W211">
        <f t="shared" ca="1" si="13"/>
        <v>4</v>
      </c>
      <c r="X211">
        <f t="shared" ca="1" si="14"/>
        <v>3</v>
      </c>
      <c r="Y211">
        <f t="shared" ca="1" si="15"/>
        <v>1.8007351439963426</v>
      </c>
    </row>
    <row r="212" spans="3:25" x14ac:dyDescent="0.35">
      <c r="C212" cm="1">
        <f t="array" aca="1" ref="C212" ca="1">INDEX($A$2:$A$15,RANDBETWEEN(1,ROWS($A$2:$A$15)),1)</f>
        <v>4</v>
      </c>
      <c r="D212" cm="1">
        <f t="array" aca="1" ref="D212" ca="1">INDEX($A$2:$A$15,RANDBETWEEN(1,ROWS($A$2:$A$15)),1)</f>
        <v>3</v>
      </c>
      <c r="E212" cm="1">
        <f t="array" aca="1" ref="E212" ca="1">INDEX($A$2:$A$15,RANDBETWEEN(1,ROWS($A$2:$A$15)),1)</f>
        <v>8</v>
      </c>
      <c r="F212" cm="1">
        <f t="array" aca="1" ref="F212" ca="1">INDEX($A$2:$A$15,RANDBETWEEN(1,ROWS($A$2:$A$15)),1)</f>
        <v>5</v>
      </c>
      <c r="G212" cm="1">
        <f t="array" aca="1" ref="G212" ca="1">INDEX($A$2:$A$15,RANDBETWEEN(1,ROWS($A$2:$A$15)),1)</f>
        <v>3</v>
      </c>
      <c r="H212" cm="1">
        <f t="array" aca="1" ref="H212" ca="1">INDEX($A$2:$A$15,RANDBETWEEN(1,ROWS($A$2:$A$15)),1)</f>
        <v>4</v>
      </c>
      <c r="I212" cm="1">
        <f t="array" aca="1" ref="I212" ca="1">INDEX($A$2:$A$15,RANDBETWEEN(1,ROWS($A$2:$A$15)),1)</f>
        <v>7</v>
      </c>
      <c r="J212" cm="1">
        <f t="array" aca="1" ref="J212" ca="1">INDEX($A$2:$A$15,RANDBETWEEN(1,ROWS($A$2:$A$15)),1)</f>
        <v>1</v>
      </c>
      <c r="K212" cm="1">
        <f t="array" aca="1" ref="K212" ca="1">INDEX($A$2:$A$15,RANDBETWEEN(1,ROWS($A$2:$A$15)),1)</f>
        <v>4</v>
      </c>
      <c r="L212" cm="1">
        <f t="array" aca="1" ref="L212" ca="1">INDEX($A$2:$A$15,RANDBETWEEN(1,ROWS($A$2:$A$15)),1)</f>
        <v>3</v>
      </c>
      <c r="M212" cm="1">
        <f t="array" aca="1" ref="M212" ca="1">INDEX($A$2:$A$15,RANDBETWEEN(1,ROWS($A$2:$A$15)),1)</f>
        <v>7</v>
      </c>
      <c r="N212" cm="1">
        <f t="array" aca="1" ref="N212" ca="1">INDEX($A$2:$A$15,RANDBETWEEN(1,ROWS($A$2:$A$15)),1)</f>
        <v>2</v>
      </c>
      <c r="O212" cm="1">
        <f t="array" aca="1" ref="O212" ca="1">INDEX($A$2:$A$15,RANDBETWEEN(1,ROWS($A$2:$A$15)),1)</f>
        <v>5</v>
      </c>
      <c r="P212" cm="1">
        <f t="array" aca="1" ref="P212" ca="1">INDEX($A$2:$A$15,RANDBETWEEN(1,ROWS($A$2:$A$15)),1)</f>
        <v>4</v>
      </c>
      <c r="Q212" cm="1">
        <f t="array" aca="1" ref="Q212" ca="1">INDEX($A$2:$A$15,RANDBETWEEN(1,ROWS($A$2:$A$15)),1)</f>
        <v>4</v>
      </c>
      <c r="R212" cm="1">
        <f t="array" aca="1" ref="R212" ca="1">INDEX($A$2:$A$15,RANDBETWEEN(1,ROWS($A$2:$A$15)),1)</f>
        <v>2</v>
      </c>
      <c r="S212" cm="1">
        <f t="array" aca="1" ref="S212" ca="1">INDEX($A$2:$A$15,RANDBETWEEN(1,ROWS($A$2:$A$15)),1)</f>
        <v>5</v>
      </c>
      <c r="V212">
        <f t="shared" ca="1" si="12"/>
        <v>4.1764705882352944</v>
      </c>
      <c r="W212">
        <f t="shared" ca="1" si="13"/>
        <v>4</v>
      </c>
      <c r="X212">
        <f t="shared" ca="1" si="14"/>
        <v>2</v>
      </c>
      <c r="Y212">
        <f t="shared" ca="1" si="15"/>
        <v>1.878672873255449</v>
      </c>
    </row>
    <row r="213" spans="3:25" x14ac:dyDescent="0.35">
      <c r="C213" cm="1">
        <f t="array" aca="1" ref="C213" ca="1">INDEX($A$2:$A$15,RANDBETWEEN(1,ROWS($A$2:$A$15)),1)</f>
        <v>4</v>
      </c>
      <c r="D213" cm="1">
        <f t="array" aca="1" ref="D213" ca="1">INDEX($A$2:$A$15,RANDBETWEEN(1,ROWS($A$2:$A$15)),1)</f>
        <v>1</v>
      </c>
      <c r="E213" cm="1">
        <f t="array" aca="1" ref="E213" ca="1">INDEX($A$2:$A$15,RANDBETWEEN(1,ROWS($A$2:$A$15)),1)</f>
        <v>1</v>
      </c>
      <c r="F213" cm="1">
        <f t="array" aca="1" ref="F213" ca="1">INDEX($A$2:$A$15,RANDBETWEEN(1,ROWS($A$2:$A$15)),1)</f>
        <v>5</v>
      </c>
      <c r="G213" cm="1">
        <f t="array" aca="1" ref="G213" ca="1">INDEX($A$2:$A$15,RANDBETWEEN(1,ROWS($A$2:$A$15)),1)</f>
        <v>5</v>
      </c>
      <c r="H213" cm="1">
        <f t="array" aca="1" ref="H213" ca="1">INDEX($A$2:$A$15,RANDBETWEEN(1,ROWS($A$2:$A$15)),1)</f>
        <v>3</v>
      </c>
      <c r="I213" cm="1">
        <f t="array" aca="1" ref="I213" ca="1">INDEX($A$2:$A$15,RANDBETWEEN(1,ROWS($A$2:$A$15)),1)</f>
        <v>1</v>
      </c>
      <c r="J213" cm="1">
        <f t="array" aca="1" ref="J213" ca="1">INDEX($A$2:$A$15,RANDBETWEEN(1,ROWS($A$2:$A$15)),1)</f>
        <v>5</v>
      </c>
      <c r="K213" cm="1">
        <f t="array" aca="1" ref="K213" ca="1">INDEX($A$2:$A$15,RANDBETWEEN(1,ROWS($A$2:$A$15)),1)</f>
        <v>1</v>
      </c>
      <c r="L213" cm="1">
        <f t="array" aca="1" ref="L213" ca="1">INDEX($A$2:$A$15,RANDBETWEEN(1,ROWS($A$2:$A$15)),1)</f>
        <v>5</v>
      </c>
      <c r="M213" cm="1">
        <f t="array" aca="1" ref="M213" ca="1">INDEX($A$2:$A$15,RANDBETWEEN(1,ROWS($A$2:$A$15)),1)</f>
        <v>7</v>
      </c>
      <c r="N213" cm="1">
        <f t="array" aca="1" ref="N213" ca="1">INDEX($A$2:$A$15,RANDBETWEEN(1,ROWS($A$2:$A$15)),1)</f>
        <v>2</v>
      </c>
      <c r="O213" cm="1">
        <f t="array" aca="1" ref="O213" ca="1">INDEX($A$2:$A$15,RANDBETWEEN(1,ROWS($A$2:$A$15)),1)</f>
        <v>3</v>
      </c>
      <c r="P213" cm="1">
        <f t="array" aca="1" ref="P213" ca="1">INDEX($A$2:$A$15,RANDBETWEEN(1,ROWS($A$2:$A$15)),1)</f>
        <v>8</v>
      </c>
      <c r="Q213" cm="1">
        <f t="array" aca="1" ref="Q213" ca="1">INDEX($A$2:$A$15,RANDBETWEEN(1,ROWS($A$2:$A$15)),1)</f>
        <v>8</v>
      </c>
      <c r="R213" cm="1">
        <f t="array" aca="1" ref="R213" ca="1">INDEX($A$2:$A$15,RANDBETWEEN(1,ROWS($A$2:$A$15)),1)</f>
        <v>5</v>
      </c>
      <c r="S213" cm="1">
        <f t="array" aca="1" ref="S213" ca="1">INDEX($A$2:$A$15,RANDBETWEEN(1,ROWS($A$2:$A$15)),1)</f>
        <v>1</v>
      </c>
      <c r="V213">
        <f t="shared" ca="1" si="12"/>
        <v>3.8235294117647061</v>
      </c>
      <c r="W213">
        <f t="shared" ca="1" si="13"/>
        <v>4</v>
      </c>
      <c r="X213">
        <f t="shared" ca="1" si="14"/>
        <v>4</v>
      </c>
      <c r="Y213">
        <f t="shared" ca="1" si="15"/>
        <v>2.455486054675506</v>
      </c>
    </row>
    <row r="214" spans="3:25" x14ac:dyDescent="0.35">
      <c r="C214" cm="1">
        <f t="array" aca="1" ref="C214" ca="1">INDEX($A$2:$A$15,RANDBETWEEN(1,ROWS($A$2:$A$15)),1)</f>
        <v>8</v>
      </c>
      <c r="D214" cm="1">
        <f t="array" aca="1" ref="D214" ca="1">INDEX($A$2:$A$15,RANDBETWEEN(1,ROWS($A$2:$A$15)),1)</f>
        <v>5</v>
      </c>
      <c r="E214" cm="1">
        <f t="array" aca="1" ref="E214" ca="1">INDEX($A$2:$A$15,RANDBETWEEN(1,ROWS($A$2:$A$15)),1)</f>
        <v>4</v>
      </c>
      <c r="F214" cm="1">
        <f t="array" aca="1" ref="F214" ca="1">INDEX($A$2:$A$15,RANDBETWEEN(1,ROWS($A$2:$A$15)),1)</f>
        <v>1</v>
      </c>
      <c r="G214" cm="1">
        <f t="array" aca="1" ref="G214" ca="1">INDEX($A$2:$A$15,RANDBETWEEN(1,ROWS($A$2:$A$15)),1)</f>
        <v>8</v>
      </c>
      <c r="H214" cm="1">
        <f t="array" aca="1" ref="H214" ca="1">INDEX($A$2:$A$15,RANDBETWEEN(1,ROWS($A$2:$A$15)),1)</f>
        <v>4</v>
      </c>
      <c r="I214" cm="1">
        <f t="array" aca="1" ref="I214" ca="1">INDEX($A$2:$A$15,RANDBETWEEN(1,ROWS($A$2:$A$15)),1)</f>
        <v>3</v>
      </c>
      <c r="J214" cm="1">
        <f t="array" aca="1" ref="J214" ca="1">INDEX($A$2:$A$15,RANDBETWEEN(1,ROWS($A$2:$A$15)),1)</f>
        <v>3</v>
      </c>
      <c r="K214" cm="1">
        <f t="array" aca="1" ref="K214" ca="1">INDEX($A$2:$A$15,RANDBETWEEN(1,ROWS($A$2:$A$15)),1)</f>
        <v>2</v>
      </c>
      <c r="L214" cm="1">
        <f t="array" aca="1" ref="L214" ca="1">INDEX($A$2:$A$15,RANDBETWEEN(1,ROWS($A$2:$A$15)),1)</f>
        <v>5</v>
      </c>
      <c r="M214" cm="1">
        <f t="array" aca="1" ref="M214" ca="1">INDEX($A$2:$A$15,RANDBETWEEN(1,ROWS($A$2:$A$15)),1)</f>
        <v>5</v>
      </c>
      <c r="N214" cm="1">
        <f t="array" aca="1" ref="N214" ca="1">INDEX($A$2:$A$15,RANDBETWEEN(1,ROWS($A$2:$A$15)),1)</f>
        <v>1</v>
      </c>
      <c r="O214" cm="1">
        <f t="array" aca="1" ref="O214" ca="1">INDEX($A$2:$A$15,RANDBETWEEN(1,ROWS($A$2:$A$15)),1)</f>
        <v>5</v>
      </c>
      <c r="P214" cm="1">
        <f t="array" aca="1" ref="P214" ca="1">INDEX($A$2:$A$15,RANDBETWEEN(1,ROWS($A$2:$A$15)),1)</f>
        <v>5</v>
      </c>
      <c r="Q214" cm="1">
        <f t="array" aca="1" ref="Q214" ca="1">INDEX($A$2:$A$15,RANDBETWEEN(1,ROWS($A$2:$A$15)),1)</f>
        <v>1</v>
      </c>
      <c r="R214" cm="1">
        <f t="array" aca="1" ref="R214" ca="1">INDEX($A$2:$A$15,RANDBETWEEN(1,ROWS($A$2:$A$15)),1)</f>
        <v>8</v>
      </c>
      <c r="S214" cm="1">
        <f t="array" aca="1" ref="S214" ca="1">INDEX($A$2:$A$15,RANDBETWEEN(1,ROWS($A$2:$A$15)),1)</f>
        <v>4</v>
      </c>
      <c r="V214">
        <f t="shared" ca="1" si="12"/>
        <v>4.2352941176470589</v>
      </c>
      <c r="W214">
        <f t="shared" ca="1" si="13"/>
        <v>4</v>
      </c>
      <c r="X214">
        <f t="shared" ca="1" si="14"/>
        <v>2</v>
      </c>
      <c r="Y214">
        <f t="shared" ca="1" si="15"/>
        <v>2.3056835148363781</v>
      </c>
    </row>
    <row r="215" spans="3:25" x14ac:dyDescent="0.35">
      <c r="C215" cm="1">
        <f t="array" aca="1" ref="C215" ca="1">INDEX($A$2:$A$15,RANDBETWEEN(1,ROWS($A$2:$A$15)),1)</f>
        <v>1</v>
      </c>
      <c r="D215" cm="1">
        <f t="array" aca="1" ref="D215" ca="1">INDEX($A$2:$A$15,RANDBETWEEN(1,ROWS($A$2:$A$15)),1)</f>
        <v>4</v>
      </c>
      <c r="E215" cm="1">
        <f t="array" aca="1" ref="E215" ca="1">INDEX($A$2:$A$15,RANDBETWEEN(1,ROWS($A$2:$A$15)),1)</f>
        <v>5</v>
      </c>
      <c r="F215" cm="1">
        <f t="array" aca="1" ref="F215" ca="1">INDEX($A$2:$A$15,RANDBETWEEN(1,ROWS($A$2:$A$15)),1)</f>
        <v>5</v>
      </c>
      <c r="G215" cm="1">
        <f t="array" aca="1" ref="G215" ca="1">INDEX($A$2:$A$15,RANDBETWEEN(1,ROWS($A$2:$A$15)),1)</f>
        <v>5</v>
      </c>
      <c r="H215" cm="1">
        <f t="array" aca="1" ref="H215" ca="1">INDEX($A$2:$A$15,RANDBETWEEN(1,ROWS($A$2:$A$15)),1)</f>
        <v>1</v>
      </c>
      <c r="I215" cm="1">
        <f t="array" aca="1" ref="I215" ca="1">INDEX($A$2:$A$15,RANDBETWEEN(1,ROWS($A$2:$A$15)),1)</f>
        <v>4</v>
      </c>
      <c r="J215" cm="1">
        <f t="array" aca="1" ref="J215" ca="1">INDEX($A$2:$A$15,RANDBETWEEN(1,ROWS($A$2:$A$15)),1)</f>
        <v>5</v>
      </c>
      <c r="K215" cm="1">
        <f t="array" aca="1" ref="K215" ca="1">INDEX($A$2:$A$15,RANDBETWEEN(1,ROWS($A$2:$A$15)),1)</f>
        <v>1</v>
      </c>
      <c r="L215" cm="1">
        <f t="array" aca="1" ref="L215" ca="1">INDEX($A$2:$A$15,RANDBETWEEN(1,ROWS($A$2:$A$15)),1)</f>
        <v>3</v>
      </c>
      <c r="M215" cm="1">
        <f t="array" aca="1" ref="M215" ca="1">INDEX($A$2:$A$15,RANDBETWEEN(1,ROWS($A$2:$A$15)),1)</f>
        <v>3</v>
      </c>
      <c r="N215" cm="1">
        <f t="array" aca="1" ref="N215" ca="1">INDEX($A$2:$A$15,RANDBETWEEN(1,ROWS($A$2:$A$15)),1)</f>
        <v>3</v>
      </c>
      <c r="O215" cm="1">
        <f t="array" aca="1" ref="O215" ca="1">INDEX($A$2:$A$15,RANDBETWEEN(1,ROWS($A$2:$A$15)),1)</f>
        <v>4</v>
      </c>
      <c r="P215" cm="1">
        <f t="array" aca="1" ref="P215" ca="1">INDEX($A$2:$A$15,RANDBETWEEN(1,ROWS($A$2:$A$15)),1)</f>
        <v>8</v>
      </c>
      <c r="Q215" cm="1">
        <f t="array" aca="1" ref="Q215" ca="1">INDEX($A$2:$A$15,RANDBETWEEN(1,ROWS($A$2:$A$15)),1)</f>
        <v>7</v>
      </c>
      <c r="R215" cm="1">
        <f t="array" aca="1" ref="R215" ca="1">INDEX($A$2:$A$15,RANDBETWEEN(1,ROWS($A$2:$A$15)),1)</f>
        <v>2</v>
      </c>
      <c r="S215" cm="1">
        <f t="array" aca="1" ref="S215" ca="1">INDEX($A$2:$A$15,RANDBETWEEN(1,ROWS($A$2:$A$15)),1)</f>
        <v>5</v>
      </c>
      <c r="V215">
        <f t="shared" ca="1" si="12"/>
        <v>3.8823529411764706</v>
      </c>
      <c r="W215">
        <f t="shared" ca="1" si="13"/>
        <v>4</v>
      </c>
      <c r="X215">
        <f t="shared" ca="1" si="14"/>
        <v>2</v>
      </c>
      <c r="Y215">
        <f t="shared" ca="1" si="15"/>
        <v>1.9963201440768608</v>
      </c>
    </row>
    <row r="216" spans="3:25" x14ac:dyDescent="0.35">
      <c r="C216" cm="1">
        <f t="array" aca="1" ref="C216" ca="1">INDEX($A$2:$A$15,RANDBETWEEN(1,ROWS($A$2:$A$15)),1)</f>
        <v>1</v>
      </c>
      <c r="D216" cm="1">
        <f t="array" aca="1" ref="D216" ca="1">INDEX($A$2:$A$15,RANDBETWEEN(1,ROWS($A$2:$A$15)),1)</f>
        <v>4</v>
      </c>
      <c r="E216" cm="1">
        <f t="array" aca="1" ref="E216" ca="1">INDEX($A$2:$A$15,RANDBETWEEN(1,ROWS($A$2:$A$15)),1)</f>
        <v>5</v>
      </c>
      <c r="F216" cm="1">
        <f t="array" aca="1" ref="F216" ca="1">INDEX($A$2:$A$15,RANDBETWEEN(1,ROWS($A$2:$A$15)),1)</f>
        <v>5</v>
      </c>
      <c r="G216" cm="1">
        <f t="array" aca="1" ref="G216" ca="1">INDEX($A$2:$A$15,RANDBETWEEN(1,ROWS($A$2:$A$15)),1)</f>
        <v>4</v>
      </c>
      <c r="H216" cm="1">
        <f t="array" aca="1" ref="H216" ca="1">INDEX($A$2:$A$15,RANDBETWEEN(1,ROWS($A$2:$A$15)),1)</f>
        <v>1</v>
      </c>
      <c r="I216" cm="1">
        <f t="array" aca="1" ref="I216" ca="1">INDEX($A$2:$A$15,RANDBETWEEN(1,ROWS($A$2:$A$15)),1)</f>
        <v>8</v>
      </c>
      <c r="J216" cm="1">
        <f t="array" aca="1" ref="J216" ca="1">INDEX($A$2:$A$15,RANDBETWEEN(1,ROWS($A$2:$A$15)),1)</f>
        <v>2</v>
      </c>
      <c r="K216" cm="1">
        <f t="array" aca="1" ref="K216" ca="1">INDEX($A$2:$A$15,RANDBETWEEN(1,ROWS($A$2:$A$15)),1)</f>
        <v>8</v>
      </c>
      <c r="L216" cm="1">
        <f t="array" aca="1" ref="L216" ca="1">INDEX($A$2:$A$15,RANDBETWEEN(1,ROWS($A$2:$A$15)),1)</f>
        <v>1</v>
      </c>
      <c r="M216" cm="1">
        <f t="array" aca="1" ref="M216" ca="1">INDEX($A$2:$A$15,RANDBETWEEN(1,ROWS($A$2:$A$15)),1)</f>
        <v>1</v>
      </c>
      <c r="N216" cm="1">
        <f t="array" aca="1" ref="N216" ca="1">INDEX($A$2:$A$15,RANDBETWEEN(1,ROWS($A$2:$A$15)),1)</f>
        <v>2</v>
      </c>
      <c r="O216" cm="1">
        <f t="array" aca="1" ref="O216" ca="1">INDEX($A$2:$A$15,RANDBETWEEN(1,ROWS($A$2:$A$15)),1)</f>
        <v>5</v>
      </c>
      <c r="P216" cm="1">
        <f t="array" aca="1" ref="P216" ca="1">INDEX($A$2:$A$15,RANDBETWEEN(1,ROWS($A$2:$A$15)),1)</f>
        <v>5</v>
      </c>
      <c r="Q216" cm="1">
        <f t="array" aca="1" ref="Q216" ca="1">INDEX($A$2:$A$15,RANDBETWEEN(1,ROWS($A$2:$A$15)),1)</f>
        <v>5</v>
      </c>
      <c r="R216" cm="1">
        <f t="array" aca="1" ref="R216" ca="1">INDEX($A$2:$A$15,RANDBETWEEN(1,ROWS($A$2:$A$15)),1)</f>
        <v>2</v>
      </c>
      <c r="S216" cm="1">
        <f t="array" aca="1" ref="S216" ca="1">INDEX($A$2:$A$15,RANDBETWEEN(1,ROWS($A$2:$A$15)),1)</f>
        <v>1</v>
      </c>
      <c r="V216">
        <f t="shared" ca="1" si="12"/>
        <v>3.5294117647058822</v>
      </c>
      <c r="W216">
        <f t="shared" ca="1" si="13"/>
        <v>4</v>
      </c>
      <c r="X216">
        <f t="shared" ca="1" si="14"/>
        <v>4</v>
      </c>
      <c r="Y216">
        <f t="shared" ca="1" si="15"/>
        <v>2.3748064936648925</v>
      </c>
    </row>
    <row r="217" spans="3:25" x14ac:dyDescent="0.35">
      <c r="C217" cm="1">
        <f t="array" aca="1" ref="C217" ca="1">INDEX($A$2:$A$15,RANDBETWEEN(1,ROWS($A$2:$A$15)),1)</f>
        <v>3</v>
      </c>
      <c r="D217" cm="1">
        <f t="array" aca="1" ref="D217" ca="1">INDEX($A$2:$A$15,RANDBETWEEN(1,ROWS($A$2:$A$15)),1)</f>
        <v>5</v>
      </c>
      <c r="E217" cm="1">
        <f t="array" aca="1" ref="E217" ca="1">INDEX($A$2:$A$15,RANDBETWEEN(1,ROWS($A$2:$A$15)),1)</f>
        <v>3</v>
      </c>
      <c r="F217" cm="1">
        <f t="array" aca="1" ref="F217" ca="1">INDEX($A$2:$A$15,RANDBETWEEN(1,ROWS($A$2:$A$15)),1)</f>
        <v>5</v>
      </c>
      <c r="G217" cm="1">
        <f t="array" aca="1" ref="G217" ca="1">INDEX($A$2:$A$15,RANDBETWEEN(1,ROWS($A$2:$A$15)),1)</f>
        <v>5</v>
      </c>
      <c r="H217" cm="1">
        <f t="array" aca="1" ref="H217" ca="1">INDEX($A$2:$A$15,RANDBETWEEN(1,ROWS($A$2:$A$15)),1)</f>
        <v>5</v>
      </c>
      <c r="I217" cm="1">
        <f t="array" aca="1" ref="I217" ca="1">INDEX($A$2:$A$15,RANDBETWEEN(1,ROWS($A$2:$A$15)),1)</f>
        <v>4</v>
      </c>
      <c r="J217" cm="1">
        <f t="array" aca="1" ref="J217" ca="1">INDEX($A$2:$A$15,RANDBETWEEN(1,ROWS($A$2:$A$15)),1)</f>
        <v>5</v>
      </c>
      <c r="K217" cm="1">
        <f t="array" aca="1" ref="K217" ca="1">INDEX($A$2:$A$15,RANDBETWEEN(1,ROWS($A$2:$A$15)),1)</f>
        <v>5</v>
      </c>
      <c r="L217" cm="1">
        <f t="array" aca="1" ref="L217" ca="1">INDEX($A$2:$A$15,RANDBETWEEN(1,ROWS($A$2:$A$15)),1)</f>
        <v>4</v>
      </c>
      <c r="M217" cm="1">
        <f t="array" aca="1" ref="M217" ca="1">INDEX($A$2:$A$15,RANDBETWEEN(1,ROWS($A$2:$A$15)),1)</f>
        <v>5</v>
      </c>
      <c r="N217" cm="1">
        <f t="array" aca="1" ref="N217" ca="1">INDEX($A$2:$A$15,RANDBETWEEN(1,ROWS($A$2:$A$15)),1)</f>
        <v>5</v>
      </c>
      <c r="O217" cm="1">
        <f t="array" aca="1" ref="O217" ca="1">INDEX($A$2:$A$15,RANDBETWEEN(1,ROWS($A$2:$A$15)),1)</f>
        <v>1</v>
      </c>
      <c r="P217" cm="1">
        <f t="array" aca="1" ref="P217" ca="1">INDEX($A$2:$A$15,RANDBETWEEN(1,ROWS($A$2:$A$15)),1)</f>
        <v>1</v>
      </c>
      <c r="Q217" cm="1">
        <f t="array" aca="1" ref="Q217" ca="1">INDEX($A$2:$A$15,RANDBETWEEN(1,ROWS($A$2:$A$15)),1)</f>
        <v>5</v>
      </c>
      <c r="R217" cm="1">
        <f t="array" aca="1" ref="R217" ca="1">INDEX($A$2:$A$15,RANDBETWEEN(1,ROWS($A$2:$A$15)),1)</f>
        <v>3</v>
      </c>
      <c r="S217" cm="1">
        <f t="array" aca="1" ref="S217" ca="1">INDEX($A$2:$A$15,RANDBETWEEN(1,ROWS($A$2:$A$15)),1)</f>
        <v>5</v>
      </c>
      <c r="V217">
        <f t="shared" ca="1" si="12"/>
        <v>4.0588235294117645</v>
      </c>
      <c r="W217">
        <f t="shared" ca="1" si="13"/>
        <v>5</v>
      </c>
      <c r="X217">
        <f t="shared" ca="1" si="14"/>
        <v>2</v>
      </c>
      <c r="Y217">
        <f t="shared" ca="1" si="15"/>
        <v>1.3906198364081266</v>
      </c>
    </row>
    <row r="218" spans="3:25" x14ac:dyDescent="0.35">
      <c r="C218" cm="1">
        <f t="array" aca="1" ref="C218" ca="1">INDEX($A$2:$A$15,RANDBETWEEN(1,ROWS($A$2:$A$15)),1)</f>
        <v>3</v>
      </c>
      <c r="D218" cm="1">
        <f t="array" aca="1" ref="D218" ca="1">INDEX($A$2:$A$15,RANDBETWEEN(1,ROWS($A$2:$A$15)),1)</f>
        <v>5</v>
      </c>
      <c r="E218" cm="1">
        <f t="array" aca="1" ref="E218" ca="1">INDEX($A$2:$A$15,RANDBETWEEN(1,ROWS($A$2:$A$15)),1)</f>
        <v>8</v>
      </c>
      <c r="F218" cm="1">
        <f t="array" aca="1" ref="F218" ca="1">INDEX($A$2:$A$15,RANDBETWEEN(1,ROWS($A$2:$A$15)),1)</f>
        <v>5</v>
      </c>
      <c r="G218" cm="1">
        <f t="array" aca="1" ref="G218" ca="1">INDEX($A$2:$A$15,RANDBETWEEN(1,ROWS($A$2:$A$15)),1)</f>
        <v>4</v>
      </c>
      <c r="H218" cm="1">
        <f t="array" aca="1" ref="H218" ca="1">INDEX($A$2:$A$15,RANDBETWEEN(1,ROWS($A$2:$A$15)),1)</f>
        <v>4</v>
      </c>
      <c r="I218" cm="1">
        <f t="array" aca="1" ref="I218" ca="1">INDEX($A$2:$A$15,RANDBETWEEN(1,ROWS($A$2:$A$15)),1)</f>
        <v>5</v>
      </c>
      <c r="J218" cm="1">
        <f t="array" aca="1" ref="J218" ca="1">INDEX($A$2:$A$15,RANDBETWEEN(1,ROWS($A$2:$A$15)),1)</f>
        <v>1</v>
      </c>
      <c r="K218" cm="1">
        <f t="array" aca="1" ref="K218" ca="1">INDEX($A$2:$A$15,RANDBETWEEN(1,ROWS($A$2:$A$15)),1)</f>
        <v>1</v>
      </c>
      <c r="L218" cm="1">
        <f t="array" aca="1" ref="L218" ca="1">INDEX($A$2:$A$15,RANDBETWEEN(1,ROWS($A$2:$A$15)),1)</f>
        <v>3</v>
      </c>
      <c r="M218" cm="1">
        <f t="array" aca="1" ref="M218" ca="1">INDEX($A$2:$A$15,RANDBETWEEN(1,ROWS($A$2:$A$15)),1)</f>
        <v>4</v>
      </c>
      <c r="N218" cm="1">
        <f t="array" aca="1" ref="N218" ca="1">INDEX($A$2:$A$15,RANDBETWEEN(1,ROWS($A$2:$A$15)),1)</f>
        <v>4</v>
      </c>
      <c r="O218" cm="1">
        <f t="array" aca="1" ref="O218" ca="1">INDEX($A$2:$A$15,RANDBETWEEN(1,ROWS($A$2:$A$15)),1)</f>
        <v>5</v>
      </c>
      <c r="P218" cm="1">
        <f t="array" aca="1" ref="P218" ca="1">INDEX($A$2:$A$15,RANDBETWEEN(1,ROWS($A$2:$A$15)),1)</f>
        <v>5</v>
      </c>
      <c r="Q218" cm="1">
        <f t="array" aca="1" ref="Q218" ca="1">INDEX($A$2:$A$15,RANDBETWEEN(1,ROWS($A$2:$A$15)),1)</f>
        <v>4</v>
      </c>
      <c r="R218" cm="1">
        <f t="array" aca="1" ref="R218" ca="1">INDEX($A$2:$A$15,RANDBETWEEN(1,ROWS($A$2:$A$15)),1)</f>
        <v>5</v>
      </c>
      <c r="S218" cm="1">
        <f t="array" aca="1" ref="S218" ca="1">INDEX($A$2:$A$15,RANDBETWEEN(1,ROWS($A$2:$A$15)),1)</f>
        <v>5</v>
      </c>
      <c r="V218">
        <f t="shared" ca="1" si="12"/>
        <v>4.1764705882352944</v>
      </c>
      <c r="W218">
        <f t="shared" ca="1" si="13"/>
        <v>4</v>
      </c>
      <c r="X218">
        <f t="shared" ca="1" si="14"/>
        <v>1</v>
      </c>
      <c r="Y218">
        <f t="shared" ca="1" si="15"/>
        <v>1.6292365588538344</v>
      </c>
    </row>
    <row r="219" spans="3:25" x14ac:dyDescent="0.35">
      <c r="C219" cm="1">
        <f t="array" aca="1" ref="C219" ca="1">INDEX($A$2:$A$15,RANDBETWEEN(1,ROWS($A$2:$A$15)),1)</f>
        <v>4</v>
      </c>
      <c r="D219" cm="1">
        <f t="array" aca="1" ref="D219" ca="1">INDEX($A$2:$A$15,RANDBETWEEN(1,ROWS($A$2:$A$15)),1)</f>
        <v>5</v>
      </c>
      <c r="E219" cm="1">
        <f t="array" aca="1" ref="E219" ca="1">INDEX($A$2:$A$15,RANDBETWEEN(1,ROWS($A$2:$A$15)),1)</f>
        <v>2</v>
      </c>
      <c r="F219" cm="1">
        <f t="array" aca="1" ref="F219" ca="1">INDEX($A$2:$A$15,RANDBETWEEN(1,ROWS($A$2:$A$15)),1)</f>
        <v>5</v>
      </c>
      <c r="G219" cm="1">
        <f t="array" aca="1" ref="G219" ca="1">INDEX($A$2:$A$15,RANDBETWEEN(1,ROWS($A$2:$A$15)),1)</f>
        <v>3</v>
      </c>
      <c r="H219" cm="1">
        <f t="array" aca="1" ref="H219" ca="1">INDEX($A$2:$A$15,RANDBETWEEN(1,ROWS($A$2:$A$15)),1)</f>
        <v>2</v>
      </c>
      <c r="I219" cm="1">
        <f t="array" aca="1" ref="I219" ca="1">INDEX($A$2:$A$15,RANDBETWEEN(1,ROWS($A$2:$A$15)),1)</f>
        <v>5</v>
      </c>
      <c r="J219" cm="1">
        <f t="array" aca="1" ref="J219" ca="1">INDEX($A$2:$A$15,RANDBETWEEN(1,ROWS($A$2:$A$15)),1)</f>
        <v>2</v>
      </c>
      <c r="K219" cm="1">
        <f t="array" aca="1" ref="K219" ca="1">INDEX($A$2:$A$15,RANDBETWEEN(1,ROWS($A$2:$A$15)),1)</f>
        <v>3</v>
      </c>
      <c r="L219" cm="1">
        <f t="array" aca="1" ref="L219" ca="1">INDEX($A$2:$A$15,RANDBETWEEN(1,ROWS($A$2:$A$15)),1)</f>
        <v>2</v>
      </c>
      <c r="M219" cm="1">
        <f t="array" aca="1" ref="M219" ca="1">INDEX($A$2:$A$15,RANDBETWEEN(1,ROWS($A$2:$A$15)),1)</f>
        <v>5</v>
      </c>
      <c r="N219" cm="1">
        <f t="array" aca="1" ref="N219" ca="1">INDEX($A$2:$A$15,RANDBETWEEN(1,ROWS($A$2:$A$15)),1)</f>
        <v>8</v>
      </c>
      <c r="O219" cm="1">
        <f t="array" aca="1" ref="O219" ca="1">INDEX($A$2:$A$15,RANDBETWEEN(1,ROWS($A$2:$A$15)),1)</f>
        <v>5</v>
      </c>
      <c r="P219" cm="1">
        <f t="array" aca="1" ref="P219" ca="1">INDEX($A$2:$A$15,RANDBETWEEN(1,ROWS($A$2:$A$15)),1)</f>
        <v>5</v>
      </c>
      <c r="Q219" cm="1">
        <f t="array" aca="1" ref="Q219" ca="1">INDEX($A$2:$A$15,RANDBETWEEN(1,ROWS($A$2:$A$15)),1)</f>
        <v>5</v>
      </c>
      <c r="R219" cm="1">
        <f t="array" aca="1" ref="R219" ca="1">INDEX($A$2:$A$15,RANDBETWEEN(1,ROWS($A$2:$A$15)),1)</f>
        <v>4</v>
      </c>
      <c r="S219" cm="1">
        <f t="array" aca="1" ref="S219" ca="1">INDEX($A$2:$A$15,RANDBETWEEN(1,ROWS($A$2:$A$15)),1)</f>
        <v>3</v>
      </c>
      <c r="V219">
        <f t="shared" ca="1" si="12"/>
        <v>4</v>
      </c>
      <c r="W219">
        <f t="shared" ca="1" si="13"/>
        <v>4</v>
      </c>
      <c r="X219">
        <f t="shared" ca="1" si="14"/>
        <v>2</v>
      </c>
      <c r="Y219">
        <f t="shared" ca="1" si="15"/>
        <v>1.6201851746019651</v>
      </c>
    </row>
    <row r="220" spans="3:25" x14ac:dyDescent="0.35">
      <c r="C220" cm="1">
        <f t="array" aca="1" ref="C220" ca="1">INDEX($A$2:$A$15,RANDBETWEEN(1,ROWS($A$2:$A$15)),1)</f>
        <v>3</v>
      </c>
      <c r="D220" cm="1">
        <f t="array" aca="1" ref="D220" ca="1">INDEX($A$2:$A$15,RANDBETWEEN(1,ROWS($A$2:$A$15)),1)</f>
        <v>8</v>
      </c>
      <c r="E220" cm="1">
        <f t="array" aca="1" ref="E220" ca="1">INDEX($A$2:$A$15,RANDBETWEEN(1,ROWS($A$2:$A$15)),1)</f>
        <v>3</v>
      </c>
      <c r="F220" cm="1">
        <f t="array" aca="1" ref="F220" ca="1">INDEX($A$2:$A$15,RANDBETWEEN(1,ROWS($A$2:$A$15)),1)</f>
        <v>8</v>
      </c>
      <c r="G220" cm="1">
        <f t="array" aca="1" ref="G220" ca="1">INDEX($A$2:$A$15,RANDBETWEEN(1,ROWS($A$2:$A$15)),1)</f>
        <v>4</v>
      </c>
      <c r="H220" cm="1">
        <f t="array" aca="1" ref="H220" ca="1">INDEX($A$2:$A$15,RANDBETWEEN(1,ROWS($A$2:$A$15)),1)</f>
        <v>1</v>
      </c>
      <c r="I220" cm="1">
        <f t="array" aca="1" ref="I220" ca="1">INDEX($A$2:$A$15,RANDBETWEEN(1,ROWS($A$2:$A$15)),1)</f>
        <v>8</v>
      </c>
      <c r="J220" cm="1">
        <f t="array" aca="1" ref="J220" ca="1">INDEX($A$2:$A$15,RANDBETWEEN(1,ROWS($A$2:$A$15)),1)</f>
        <v>1</v>
      </c>
      <c r="K220" cm="1">
        <f t="array" aca="1" ref="K220" ca="1">INDEX($A$2:$A$15,RANDBETWEEN(1,ROWS($A$2:$A$15)),1)</f>
        <v>1</v>
      </c>
      <c r="L220" cm="1">
        <f t="array" aca="1" ref="L220" ca="1">INDEX($A$2:$A$15,RANDBETWEEN(1,ROWS($A$2:$A$15)),1)</f>
        <v>7</v>
      </c>
      <c r="M220" cm="1">
        <f t="array" aca="1" ref="M220" ca="1">INDEX($A$2:$A$15,RANDBETWEEN(1,ROWS($A$2:$A$15)),1)</f>
        <v>5</v>
      </c>
      <c r="N220" cm="1">
        <f t="array" aca="1" ref="N220" ca="1">INDEX($A$2:$A$15,RANDBETWEEN(1,ROWS($A$2:$A$15)),1)</f>
        <v>5</v>
      </c>
      <c r="O220" cm="1">
        <f t="array" aca="1" ref="O220" ca="1">INDEX($A$2:$A$15,RANDBETWEEN(1,ROWS($A$2:$A$15)),1)</f>
        <v>7</v>
      </c>
      <c r="P220" cm="1">
        <f t="array" aca="1" ref="P220" ca="1">INDEX($A$2:$A$15,RANDBETWEEN(1,ROWS($A$2:$A$15)),1)</f>
        <v>8</v>
      </c>
      <c r="Q220" cm="1">
        <f t="array" aca="1" ref="Q220" ca="1">INDEX($A$2:$A$15,RANDBETWEEN(1,ROWS($A$2:$A$15)),1)</f>
        <v>7</v>
      </c>
      <c r="R220" cm="1">
        <f t="array" aca="1" ref="R220" ca="1">INDEX($A$2:$A$15,RANDBETWEEN(1,ROWS($A$2:$A$15)),1)</f>
        <v>4</v>
      </c>
      <c r="S220" cm="1">
        <f t="array" aca="1" ref="S220" ca="1">INDEX($A$2:$A$15,RANDBETWEEN(1,ROWS($A$2:$A$15)),1)</f>
        <v>1</v>
      </c>
      <c r="V220">
        <f t="shared" ca="1" si="12"/>
        <v>4.7647058823529411</v>
      </c>
      <c r="W220">
        <f t="shared" ca="1" si="13"/>
        <v>5</v>
      </c>
      <c r="X220">
        <f t="shared" ca="1" si="14"/>
        <v>4</v>
      </c>
      <c r="Y220">
        <f t="shared" ca="1" si="15"/>
        <v>2.7506683679768149</v>
      </c>
    </row>
    <row r="221" spans="3:25" x14ac:dyDescent="0.35">
      <c r="C221" cm="1">
        <f t="array" aca="1" ref="C221" ca="1">INDEX($A$2:$A$15,RANDBETWEEN(1,ROWS($A$2:$A$15)),1)</f>
        <v>5</v>
      </c>
      <c r="D221" cm="1">
        <f t="array" aca="1" ref="D221" ca="1">INDEX($A$2:$A$15,RANDBETWEEN(1,ROWS($A$2:$A$15)),1)</f>
        <v>4</v>
      </c>
      <c r="E221" cm="1">
        <f t="array" aca="1" ref="E221" ca="1">INDEX($A$2:$A$15,RANDBETWEEN(1,ROWS($A$2:$A$15)),1)</f>
        <v>5</v>
      </c>
      <c r="F221" cm="1">
        <f t="array" aca="1" ref="F221" ca="1">INDEX($A$2:$A$15,RANDBETWEEN(1,ROWS($A$2:$A$15)),1)</f>
        <v>4</v>
      </c>
      <c r="G221" cm="1">
        <f t="array" aca="1" ref="G221" ca="1">INDEX($A$2:$A$15,RANDBETWEEN(1,ROWS($A$2:$A$15)),1)</f>
        <v>4</v>
      </c>
      <c r="H221" cm="1">
        <f t="array" aca="1" ref="H221" ca="1">INDEX($A$2:$A$15,RANDBETWEEN(1,ROWS($A$2:$A$15)),1)</f>
        <v>3</v>
      </c>
      <c r="I221" cm="1">
        <f t="array" aca="1" ref="I221" ca="1">INDEX($A$2:$A$15,RANDBETWEEN(1,ROWS($A$2:$A$15)),1)</f>
        <v>1</v>
      </c>
      <c r="J221" cm="1">
        <f t="array" aca="1" ref="J221" ca="1">INDEX($A$2:$A$15,RANDBETWEEN(1,ROWS($A$2:$A$15)),1)</f>
        <v>4</v>
      </c>
      <c r="K221" cm="1">
        <f t="array" aca="1" ref="K221" ca="1">INDEX($A$2:$A$15,RANDBETWEEN(1,ROWS($A$2:$A$15)),1)</f>
        <v>3</v>
      </c>
      <c r="L221" cm="1">
        <f t="array" aca="1" ref="L221" ca="1">INDEX($A$2:$A$15,RANDBETWEEN(1,ROWS($A$2:$A$15)),1)</f>
        <v>8</v>
      </c>
      <c r="M221" cm="1">
        <f t="array" aca="1" ref="M221" ca="1">INDEX($A$2:$A$15,RANDBETWEEN(1,ROWS($A$2:$A$15)),1)</f>
        <v>1</v>
      </c>
      <c r="N221" cm="1">
        <f t="array" aca="1" ref="N221" ca="1">INDEX($A$2:$A$15,RANDBETWEEN(1,ROWS($A$2:$A$15)),1)</f>
        <v>2</v>
      </c>
      <c r="O221" cm="1">
        <f t="array" aca="1" ref="O221" ca="1">INDEX($A$2:$A$15,RANDBETWEEN(1,ROWS($A$2:$A$15)),1)</f>
        <v>3</v>
      </c>
      <c r="P221" cm="1">
        <f t="array" aca="1" ref="P221" ca="1">INDEX($A$2:$A$15,RANDBETWEEN(1,ROWS($A$2:$A$15)),1)</f>
        <v>4</v>
      </c>
      <c r="Q221" cm="1">
        <f t="array" aca="1" ref="Q221" ca="1">INDEX($A$2:$A$15,RANDBETWEEN(1,ROWS($A$2:$A$15)),1)</f>
        <v>8</v>
      </c>
      <c r="R221" cm="1">
        <f t="array" aca="1" ref="R221" ca="1">INDEX($A$2:$A$15,RANDBETWEEN(1,ROWS($A$2:$A$15)),1)</f>
        <v>1</v>
      </c>
      <c r="S221" cm="1">
        <f t="array" aca="1" ref="S221" ca="1">INDEX($A$2:$A$15,RANDBETWEEN(1,ROWS($A$2:$A$15)),1)</f>
        <v>5</v>
      </c>
      <c r="V221">
        <f t="shared" ca="1" si="12"/>
        <v>3.8235294117647061</v>
      </c>
      <c r="W221">
        <f t="shared" ca="1" si="13"/>
        <v>4</v>
      </c>
      <c r="X221">
        <f t="shared" ca="1" si="14"/>
        <v>2</v>
      </c>
      <c r="Y221">
        <f t="shared" ca="1" si="15"/>
        <v>2.0686739145418453</v>
      </c>
    </row>
    <row r="222" spans="3:25" x14ac:dyDescent="0.35">
      <c r="C222" cm="1">
        <f t="array" aca="1" ref="C222" ca="1">INDEX($A$2:$A$15,RANDBETWEEN(1,ROWS($A$2:$A$15)),1)</f>
        <v>2</v>
      </c>
      <c r="D222" cm="1">
        <f t="array" aca="1" ref="D222" ca="1">INDEX($A$2:$A$15,RANDBETWEEN(1,ROWS($A$2:$A$15)),1)</f>
        <v>1</v>
      </c>
      <c r="E222" cm="1">
        <f t="array" aca="1" ref="E222" ca="1">INDEX($A$2:$A$15,RANDBETWEEN(1,ROWS($A$2:$A$15)),1)</f>
        <v>5</v>
      </c>
      <c r="F222" cm="1">
        <f t="array" aca="1" ref="F222" ca="1">INDEX($A$2:$A$15,RANDBETWEEN(1,ROWS($A$2:$A$15)),1)</f>
        <v>5</v>
      </c>
      <c r="G222" cm="1">
        <f t="array" aca="1" ref="G222" ca="1">INDEX($A$2:$A$15,RANDBETWEEN(1,ROWS($A$2:$A$15)),1)</f>
        <v>1</v>
      </c>
      <c r="H222" cm="1">
        <f t="array" aca="1" ref="H222" ca="1">INDEX($A$2:$A$15,RANDBETWEEN(1,ROWS($A$2:$A$15)),1)</f>
        <v>4</v>
      </c>
      <c r="I222" cm="1">
        <f t="array" aca="1" ref="I222" ca="1">INDEX($A$2:$A$15,RANDBETWEEN(1,ROWS($A$2:$A$15)),1)</f>
        <v>7</v>
      </c>
      <c r="J222" cm="1">
        <f t="array" aca="1" ref="J222" ca="1">INDEX($A$2:$A$15,RANDBETWEEN(1,ROWS($A$2:$A$15)),1)</f>
        <v>1</v>
      </c>
      <c r="K222" cm="1">
        <f t="array" aca="1" ref="K222" ca="1">INDEX($A$2:$A$15,RANDBETWEEN(1,ROWS($A$2:$A$15)),1)</f>
        <v>5</v>
      </c>
      <c r="L222" cm="1">
        <f t="array" aca="1" ref="L222" ca="1">INDEX($A$2:$A$15,RANDBETWEEN(1,ROWS($A$2:$A$15)),1)</f>
        <v>1</v>
      </c>
      <c r="M222" cm="1">
        <f t="array" aca="1" ref="M222" ca="1">INDEX($A$2:$A$15,RANDBETWEEN(1,ROWS($A$2:$A$15)),1)</f>
        <v>8</v>
      </c>
      <c r="N222" cm="1">
        <f t="array" aca="1" ref="N222" ca="1">INDEX($A$2:$A$15,RANDBETWEEN(1,ROWS($A$2:$A$15)),1)</f>
        <v>5</v>
      </c>
      <c r="O222" cm="1">
        <f t="array" aca="1" ref="O222" ca="1">INDEX($A$2:$A$15,RANDBETWEEN(1,ROWS($A$2:$A$15)),1)</f>
        <v>5</v>
      </c>
      <c r="P222" cm="1">
        <f t="array" aca="1" ref="P222" ca="1">INDEX($A$2:$A$15,RANDBETWEEN(1,ROWS($A$2:$A$15)),1)</f>
        <v>4</v>
      </c>
      <c r="Q222" cm="1">
        <f t="array" aca="1" ref="Q222" ca="1">INDEX($A$2:$A$15,RANDBETWEEN(1,ROWS($A$2:$A$15)),1)</f>
        <v>5</v>
      </c>
      <c r="R222" cm="1">
        <f t="array" aca="1" ref="R222" ca="1">INDEX($A$2:$A$15,RANDBETWEEN(1,ROWS($A$2:$A$15)),1)</f>
        <v>2</v>
      </c>
      <c r="S222" cm="1">
        <f t="array" aca="1" ref="S222" ca="1">INDEX($A$2:$A$15,RANDBETWEEN(1,ROWS($A$2:$A$15)),1)</f>
        <v>5</v>
      </c>
      <c r="V222">
        <f t="shared" ca="1" si="12"/>
        <v>3.8823529411764706</v>
      </c>
      <c r="W222">
        <f t="shared" ca="1" si="13"/>
        <v>5</v>
      </c>
      <c r="X222">
        <f t="shared" ca="1" si="14"/>
        <v>3</v>
      </c>
      <c r="Y222">
        <f t="shared" ca="1" si="15"/>
        <v>2.1760730956581074</v>
      </c>
    </row>
    <row r="223" spans="3:25" x14ac:dyDescent="0.35">
      <c r="C223" cm="1">
        <f t="array" aca="1" ref="C223" ca="1">INDEX($A$2:$A$15,RANDBETWEEN(1,ROWS($A$2:$A$15)),1)</f>
        <v>1</v>
      </c>
      <c r="D223" cm="1">
        <f t="array" aca="1" ref="D223" ca="1">INDEX($A$2:$A$15,RANDBETWEEN(1,ROWS($A$2:$A$15)),1)</f>
        <v>5</v>
      </c>
      <c r="E223" cm="1">
        <f t="array" aca="1" ref="E223" ca="1">INDEX($A$2:$A$15,RANDBETWEEN(1,ROWS($A$2:$A$15)),1)</f>
        <v>3</v>
      </c>
      <c r="F223" cm="1">
        <f t="array" aca="1" ref="F223" ca="1">INDEX($A$2:$A$15,RANDBETWEEN(1,ROWS($A$2:$A$15)),1)</f>
        <v>3</v>
      </c>
      <c r="G223" cm="1">
        <f t="array" aca="1" ref="G223" ca="1">INDEX($A$2:$A$15,RANDBETWEEN(1,ROWS($A$2:$A$15)),1)</f>
        <v>5</v>
      </c>
      <c r="H223" cm="1">
        <f t="array" aca="1" ref="H223" ca="1">INDEX($A$2:$A$15,RANDBETWEEN(1,ROWS($A$2:$A$15)),1)</f>
        <v>7</v>
      </c>
      <c r="I223" cm="1">
        <f t="array" aca="1" ref="I223" ca="1">INDEX($A$2:$A$15,RANDBETWEEN(1,ROWS($A$2:$A$15)),1)</f>
        <v>1</v>
      </c>
      <c r="J223" cm="1">
        <f t="array" aca="1" ref="J223" ca="1">INDEX($A$2:$A$15,RANDBETWEEN(1,ROWS($A$2:$A$15)),1)</f>
        <v>2</v>
      </c>
      <c r="K223" cm="1">
        <f t="array" aca="1" ref="K223" ca="1">INDEX($A$2:$A$15,RANDBETWEEN(1,ROWS($A$2:$A$15)),1)</f>
        <v>1</v>
      </c>
      <c r="L223" cm="1">
        <f t="array" aca="1" ref="L223" ca="1">INDEX($A$2:$A$15,RANDBETWEEN(1,ROWS($A$2:$A$15)),1)</f>
        <v>5</v>
      </c>
      <c r="M223" cm="1">
        <f t="array" aca="1" ref="M223" ca="1">INDEX($A$2:$A$15,RANDBETWEEN(1,ROWS($A$2:$A$15)),1)</f>
        <v>4</v>
      </c>
      <c r="N223" cm="1">
        <f t="array" aca="1" ref="N223" ca="1">INDEX($A$2:$A$15,RANDBETWEEN(1,ROWS($A$2:$A$15)),1)</f>
        <v>5</v>
      </c>
      <c r="O223" cm="1">
        <f t="array" aca="1" ref="O223" ca="1">INDEX($A$2:$A$15,RANDBETWEEN(1,ROWS($A$2:$A$15)),1)</f>
        <v>2</v>
      </c>
      <c r="P223" cm="1">
        <f t="array" aca="1" ref="P223" ca="1">INDEX($A$2:$A$15,RANDBETWEEN(1,ROWS($A$2:$A$15)),1)</f>
        <v>4</v>
      </c>
      <c r="Q223" cm="1">
        <f t="array" aca="1" ref="Q223" ca="1">INDEX($A$2:$A$15,RANDBETWEEN(1,ROWS($A$2:$A$15)),1)</f>
        <v>4</v>
      </c>
      <c r="R223" cm="1">
        <f t="array" aca="1" ref="R223" ca="1">INDEX($A$2:$A$15,RANDBETWEEN(1,ROWS($A$2:$A$15)),1)</f>
        <v>1</v>
      </c>
      <c r="S223" cm="1">
        <f t="array" aca="1" ref="S223" ca="1">INDEX($A$2:$A$15,RANDBETWEEN(1,ROWS($A$2:$A$15)),1)</f>
        <v>1</v>
      </c>
      <c r="V223">
        <f t="shared" ca="1" si="12"/>
        <v>3.1764705882352939</v>
      </c>
      <c r="W223">
        <f t="shared" ca="1" si="13"/>
        <v>3</v>
      </c>
      <c r="X223">
        <f t="shared" ca="1" si="14"/>
        <v>4</v>
      </c>
      <c r="Y223">
        <f t="shared" ca="1" si="15"/>
        <v>1.8786728732554485</v>
      </c>
    </row>
    <row r="224" spans="3:25" x14ac:dyDescent="0.35">
      <c r="C224" cm="1">
        <f t="array" aca="1" ref="C224" ca="1">INDEX($A$2:$A$15,RANDBETWEEN(1,ROWS($A$2:$A$15)),1)</f>
        <v>5</v>
      </c>
      <c r="D224" cm="1">
        <f t="array" aca="1" ref="D224" ca="1">INDEX($A$2:$A$15,RANDBETWEEN(1,ROWS($A$2:$A$15)),1)</f>
        <v>4</v>
      </c>
      <c r="E224" cm="1">
        <f t="array" aca="1" ref="E224" ca="1">INDEX($A$2:$A$15,RANDBETWEEN(1,ROWS($A$2:$A$15)),1)</f>
        <v>1</v>
      </c>
      <c r="F224" cm="1">
        <f t="array" aca="1" ref="F224" ca="1">INDEX($A$2:$A$15,RANDBETWEEN(1,ROWS($A$2:$A$15)),1)</f>
        <v>1</v>
      </c>
      <c r="G224" cm="1">
        <f t="array" aca="1" ref="G224" ca="1">INDEX($A$2:$A$15,RANDBETWEEN(1,ROWS($A$2:$A$15)),1)</f>
        <v>3</v>
      </c>
      <c r="H224" cm="1">
        <f t="array" aca="1" ref="H224" ca="1">INDEX($A$2:$A$15,RANDBETWEEN(1,ROWS($A$2:$A$15)),1)</f>
        <v>2</v>
      </c>
      <c r="I224" cm="1">
        <f t="array" aca="1" ref="I224" ca="1">INDEX($A$2:$A$15,RANDBETWEEN(1,ROWS($A$2:$A$15)),1)</f>
        <v>8</v>
      </c>
      <c r="J224" cm="1">
        <f t="array" aca="1" ref="J224" ca="1">INDEX($A$2:$A$15,RANDBETWEEN(1,ROWS($A$2:$A$15)),1)</f>
        <v>1</v>
      </c>
      <c r="K224" cm="1">
        <f t="array" aca="1" ref="K224" ca="1">INDEX($A$2:$A$15,RANDBETWEEN(1,ROWS($A$2:$A$15)),1)</f>
        <v>1</v>
      </c>
      <c r="L224" cm="1">
        <f t="array" aca="1" ref="L224" ca="1">INDEX($A$2:$A$15,RANDBETWEEN(1,ROWS($A$2:$A$15)),1)</f>
        <v>4</v>
      </c>
      <c r="M224" cm="1">
        <f t="array" aca="1" ref="M224" ca="1">INDEX($A$2:$A$15,RANDBETWEEN(1,ROWS($A$2:$A$15)),1)</f>
        <v>3</v>
      </c>
      <c r="N224" cm="1">
        <f t="array" aca="1" ref="N224" ca="1">INDEX($A$2:$A$15,RANDBETWEEN(1,ROWS($A$2:$A$15)),1)</f>
        <v>8</v>
      </c>
      <c r="O224" cm="1">
        <f t="array" aca="1" ref="O224" ca="1">INDEX($A$2:$A$15,RANDBETWEEN(1,ROWS($A$2:$A$15)),1)</f>
        <v>8</v>
      </c>
      <c r="P224" cm="1">
        <f t="array" aca="1" ref="P224" ca="1">INDEX($A$2:$A$15,RANDBETWEEN(1,ROWS($A$2:$A$15)),1)</f>
        <v>5</v>
      </c>
      <c r="Q224" cm="1">
        <f t="array" aca="1" ref="Q224" ca="1">INDEX($A$2:$A$15,RANDBETWEEN(1,ROWS($A$2:$A$15)),1)</f>
        <v>4</v>
      </c>
      <c r="R224" cm="1">
        <f t="array" aca="1" ref="R224" ca="1">INDEX($A$2:$A$15,RANDBETWEEN(1,ROWS($A$2:$A$15)),1)</f>
        <v>5</v>
      </c>
      <c r="S224" cm="1">
        <f t="array" aca="1" ref="S224" ca="1">INDEX($A$2:$A$15,RANDBETWEEN(1,ROWS($A$2:$A$15)),1)</f>
        <v>1</v>
      </c>
      <c r="V224">
        <f t="shared" ca="1" si="12"/>
        <v>3.7647058823529411</v>
      </c>
      <c r="W224">
        <f t="shared" ca="1" si="13"/>
        <v>4</v>
      </c>
      <c r="X224">
        <f t="shared" ca="1" si="14"/>
        <v>4</v>
      </c>
      <c r="Y224">
        <f t="shared" ca="1" si="15"/>
        <v>2.5132004437744784</v>
      </c>
    </row>
    <row r="225" spans="3:25" x14ac:dyDescent="0.35">
      <c r="C225" cm="1">
        <f t="array" aca="1" ref="C225" ca="1">INDEX($A$2:$A$15,RANDBETWEEN(1,ROWS($A$2:$A$15)),1)</f>
        <v>5</v>
      </c>
      <c r="D225" cm="1">
        <f t="array" aca="1" ref="D225" ca="1">INDEX($A$2:$A$15,RANDBETWEEN(1,ROWS($A$2:$A$15)),1)</f>
        <v>7</v>
      </c>
      <c r="E225" cm="1">
        <f t="array" aca="1" ref="E225" ca="1">INDEX($A$2:$A$15,RANDBETWEEN(1,ROWS($A$2:$A$15)),1)</f>
        <v>4</v>
      </c>
      <c r="F225" cm="1">
        <f t="array" aca="1" ref="F225" ca="1">INDEX($A$2:$A$15,RANDBETWEEN(1,ROWS($A$2:$A$15)),1)</f>
        <v>1</v>
      </c>
      <c r="G225" cm="1">
        <f t="array" aca="1" ref="G225" ca="1">INDEX($A$2:$A$15,RANDBETWEEN(1,ROWS($A$2:$A$15)),1)</f>
        <v>5</v>
      </c>
      <c r="H225" cm="1">
        <f t="array" aca="1" ref="H225" ca="1">INDEX($A$2:$A$15,RANDBETWEEN(1,ROWS($A$2:$A$15)),1)</f>
        <v>1</v>
      </c>
      <c r="I225" cm="1">
        <f t="array" aca="1" ref="I225" ca="1">INDEX($A$2:$A$15,RANDBETWEEN(1,ROWS($A$2:$A$15)),1)</f>
        <v>3</v>
      </c>
      <c r="J225" cm="1">
        <f t="array" aca="1" ref="J225" ca="1">INDEX($A$2:$A$15,RANDBETWEEN(1,ROWS($A$2:$A$15)),1)</f>
        <v>5</v>
      </c>
      <c r="K225" cm="1">
        <f t="array" aca="1" ref="K225" ca="1">INDEX($A$2:$A$15,RANDBETWEEN(1,ROWS($A$2:$A$15)),1)</f>
        <v>2</v>
      </c>
      <c r="L225" cm="1">
        <f t="array" aca="1" ref="L225" ca="1">INDEX($A$2:$A$15,RANDBETWEEN(1,ROWS($A$2:$A$15)),1)</f>
        <v>4</v>
      </c>
      <c r="M225" cm="1">
        <f t="array" aca="1" ref="M225" ca="1">INDEX($A$2:$A$15,RANDBETWEEN(1,ROWS($A$2:$A$15)),1)</f>
        <v>1</v>
      </c>
      <c r="N225" cm="1">
        <f t="array" aca="1" ref="N225" ca="1">INDEX($A$2:$A$15,RANDBETWEEN(1,ROWS($A$2:$A$15)),1)</f>
        <v>4</v>
      </c>
      <c r="O225" cm="1">
        <f t="array" aca="1" ref="O225" ca="1">INDEX($A$2:$A$15,RANDBETWEEN(1,ROWS($A$2:$A$15)),1)</f>
        <v>5</v>
      </c>
      <c r="P225" cm="1">
        <f t="array" aca="1" ref="P225" ca="1">INDEX($A$2:$A$15,RANDBETWEEN(1,ROWS($A$2:$A$15)),1)</f>
        <v>1</v>
      </c>
      <c r="Q225" cm="1">
        <f t="array" aca="1" ref="Q225" ca="1">INDEX($A$2:$A$15,RANDBETWEEN(1,ROWS($A$2:$A$15)),1)</f>
        <v>1</v>
      </c>
      <c r="R225" cm="1">
        <f t="array" aca="1" ref="R225" ca="1">INDEX($A$2:$A$15,RANDBETWEEN(1,ROWS($A$2:$A$15)),1)</f>
        <v>3</v>
      </c>
      <c r="S225" cm="1">
        <f t="array" aca="1" ref="S225" ca="1">INDEX($A$2:$A$15,RANDBETWEEN(1,ROWS($A$2:$A$15)),1)</f>
        <v>2</v>
      </c>
      <c r="V225">
        <f t="shared" ca="1" si="12"/>
        <v>3.1764705882352939</v>
      </c>
      <c r="W225">
        <f t="shared" ca="1" si="13"/>
        <v>3</v>
      </c>
      <c r="X225">
        <f t="shared" ca="1" si="14"/>
        <v>4</v>
      </c>
      <c r="Y225">
        <f t="shared" ca="1" si="15"/>
        <v>1.8786728732554485</v>
      </c>
    </row>
    <row r="226" spans="3:25" x14ac:dyDescent="0.35">
      <c r="C226" cm="1">
        <f t="array" aca="1" ref="C226" ca="1">INDEX($A$2:$A$15,RANDBETWEEN(1,ROWS($A$2:$A$15)),1)</f>
        <v>1</v>
      </c>
      <c r="D226" cm="1">
        <f t="array" aca="1" ref="D226" ca="1">INDEX($A$2:$A$15,RANDBETWEEN(1,ROWS($A$2:$A$15)),1)</f>
        <v>7</v>
      </c>
      <c r="E226" cm="1">
        <f t="array" aca="1" ref="E226" ca="1">INDEX($A$2:$A$15,RANDBETWEEN(1,ROWS($A$2:$A$15)),1)</f>
        <v>5</v>
      </c>
      <c r="F226" cm="1">
        <f t="array" aca="1" ref="F226" ca="1">INDEX($A$2:$A$15,RANDBETWEEN(1,ROWS($A$2:$A$15)),1)</f>
        <v>7</v>
      </c>
      <c r="G226" cm="1">
        <f t="array" aca="1" ref="G226" ca="1">INDEX($A$2:$A$15,RANDBETWEEN(1,ROWS($A$2:$A$15)),1)</f>
        <v>1</v>
      </c>
      <c r="H226" cm="1">
        <f t="array" aca="1" ref="H226" ca="1">INDEX($A$2:$A$15,RANDBETWEEN(1,ROWS($A$2:$A$15)),1)</f>
        <v>5</v>
      </c>
      <c r="I226" cm="1">
        <f t="array" aca="1" ref="I226" ca="1">INDEX($A$2:$A$15,RANDBETWEEN(1,ROWS($A$2:$A$15)),1)</f>
        <v>3</v>
      </c>
      <c r="J226" cm="1">
        <f t="array" aca="1" ref="J226" ca="1">INDEX($A$2:$A$15,RANDBETWEEN(1,ROWS($A$2:$A$15)),1)</f>
        <v>1</v>
      </c>
      <c r="K226" cm="1">
        <f t="array" aca="1" ref="K226" ca="1">INDEX($A$2:$A$15,RANDBETWEEN(1,ROWS($A$2:$A$15)),1)</f>
        <v>8</v>
      </c>
      <c r="L226" cm="1">
        <f t="array" aca="1" ref="L226" ca="1">INDEX($A$2:$A$15,RANDBETWEEN(1,ROWS($A$2:$A$15)),1)</f>
        <v>5</v>
      </c>
      <c r="M226" cm="1">
        <f t="array" aca="1" ref="M226" ca="1">INDEX($A$2:$A$15,RANDBETWEEN(1,ROWS($A$2:$A$15)),1)</f>
        <v>5</v>
      </c>
      <c r="N226" cm="1">
        <f t="array" aca="1" ref="N226" ca="1">INDEX($A$2:$A$15,RANDBETWEEN(1,ROWS($A$2:$A$15)),1)</f>
        <v>3</v>
      </c>
      <c r="O226" cm="1">
        <f t="array" aca="1" ref="O226" ca="1">INDEX($A$2:$A$15,RANDBETWEEN(1,ROWS($A$2:$A$15)),1)</f>
        <v>2</v>
      </c>
      <c r="P226" cm="1">
        <f t="array" aca="1" ref="P226" ca="1">INDEX($A$2:$A$15,RANDBETWEEN(1,ROWS($A$2:$A$15)),1)</f>
        <v>5</v>
      </c>
      <c r="Q226" cm="1">
        <f t="array" aca="1" ref="Q226" ca="1">INDEX($A$2:$A$15,RANDBETWEEN(1,ROWS($A$2:$A$15)),1)</f>
        <v>3</v>
      </c>
      <c r="R226" cm="1">
        <f t="array" aca="1" ref="R226" ca="1">INDEX($A$2:$A$15,RANDBETWEEN(1,ROWS($A$2:$A$15)),1)</f>
        <v>4</v>
      </c>
      <c r="S226" cm="1">
        <f t="array" aca="1" ref="S226" ca="1">INDEX($A$2:$A$15,RANDBETWEEN(1,ROWS($A$2:$A$15)),1)</f>
        <v>7</v>
      </c>
      <c r="V226">
        <f t="shared" ca="1" si="12"/>
        <v>4.2352941176470589</v>
      </c>
      <c r="W226">
        <f t="shared" ca="1" si="13"/>
        <v>5</v>
      </c>
      <c r="X226">
        <f t="shared" ca="1" si="14"/>
        <v>2</v>
      </c>
      <c r="Y226">
        <f t="shared" ca="1" si="15"/>
        <v>2.2508168451893718</v>
      </c>
    </row>
    <row r="227" spans="3:25" x14ac:dyDescent="0.35">
      <c r="C227" cm="1">
        <f t="array" aca="1" ref="C227" ca="1">INDEX($A$2:$A$15,RANDBETWEEN(1,ROWS($A$2:$A$15)),1)</f>
        <v>5</v>
      </c>
      <c r="D227" cm="1">
        <f t="array" aca="1" ref="D227" ca="1">INDEX($A$2:$A$15,RANDBETWEEN(1,ROWS($A$2:$A$15)),1)</f>
        <v>3</v>
      </c>
      <c r="E227" cm="1">
        <f t="array" aca="1" ref="E227" ca="1">INDEX($A$2:$A$15,RANDBETWEEN(1,ROWS($A$2:$A$15)),1)</f>
        <v>3</v>
      </c>
      <c r="F227" cm="1">
        <f t="array" aca="1" ref="F227" ca="1">INDEX($A$2:$A$15,RANDBETWEEN(1,ROWS($A$2:$A$15)),1)</f>
        <v>5</v>
      </c>
      <c r="G227" cm="1">
        <f t="array" aca="1" ref="G227" ca="1">INDEX($A$2:$A$15,RANDBETWEEN(1,ROWS($A$2:$A$15)),1)</f>
        <v>1</v>
      </c>
      <c r="H227" cm="1">
        <f t="array" aca="1" ref="H227" ca="1">INDEX($A$2:$A$15,RANDBETWEEN(1,ROWS($A$2:$A$15)),1)</f>
        <v>4</v>
      </c>
      <c r="I227" cm="1">
        <f t="array" aca="1" ref="I227" ca="1">INDEX($A$2:$A$15,RANDBETWEEN(1,ROWS($A$2:$A$15)),1)</f>
        <v>1</v>
      </c>
      <c r="J227" cm="1">
        <f t="array" aca="1" ref="J227" ca="1">INDEX($A$2:$A$15,RANDBETWEEN(1,ROWS($A$2:$A$15)),1)</f>
        <v>4</v>
      </c>
      <c r="K227" cm="1">
        <f t="array" aca="1" ref="K227" ca="1">INDEX($A$2:$A$15,RANDBETWEEN(1,ROWS($A$2:$A$15)),1)</f>
        <v>3</v>
      </c>
      <c r="L227" cm="1">
        <f t="array" aca="1" ref="L227" ca="1">INDEX($A$2:$A$15,RANDBETWEEN(1,ROWS($A$2:$A$15)),1)</f>
        <v>1</v>
      </c>
      <c r="M227" cm="1">
        <f t="array" aca="1" ref="M227" ca="1">INDEX($A$2:$A$15,RANDBETWEEN(1,ROWS($A$2:$A$15)),1)</f>
        <v>4</v>
      </c>
      <c r="N227" cm="1">
        <f t="array" aca="1" ref="N227" ca="1">INDEX($A$2:$A$15,RANDBETWEEN(1,ROWS($A$2:$A$15)),1)</f>
        <v>4</v>
      </c>
      <c r="O227" cm="1">
        <f t="array" aca="1" ref="O227" ca="1">INDEX($A$2:$A$15,RANDBETWEEN(1,ROWS($A$2:$A$15)),1)</f>
        <v>5</v>
      </c>
      <c r="P227" cm="1">
        <f t="array" aca="1" ref="P227" ca="1">INDEX($A$2:$A$15,RANDBETWEEN(1,ROWS($A$2:$A$15)),1)</f>
        <v>1</v>
      </c>
      <c r="Q227" cm="1">
        <f t="array" aca="1" ref="Q227" ca="1">INDEX($A$2:$A$15,RANDBETWEEN(1,ROWS($A$2:$A$15)),1)</f>
        <v>5</v>
      </c>
      <c r="R227" cm="1">
        <f t="array" aca="1" ref="R227" ca="1">INDEX($A$2:$A$15,RANDBETWEEN(1,ROWS($A$2:$A$15)),1)</f>
        <v>1</v>
      </c>
      <c r="S227" cm="1">
        <f t="array" aca="1" ref="S227" ca="1">INDEX($A$2:$A$15,RANDBETWEEN(1,ROWS($A$2:$A$15)),1)</f>
        <v>5</v>
      </c>
      <c r="V227">
        <f t="shared" ca="1" si="12"/>
        <v>3.2352941176470589</v>
      </c>
      <c r="W227">
        <f t="shared" ca="1" si="13"/>
        <v>4</v>
      </c>
      <c r="X227">
        <f t="shared" ca="1" si="14"/>
        <v>4</v>
      </c>
      <c r="Y227">
        <f t="shared" ca="1" si="15"/>
        <v>1.6404805608687461</v>
      </c>
    </row>
    <row r="228" spans="3:25" x14ac:dyDescent="0.35">
      <c r="C228" cm="1">
        <f t="array" aca="1" ref="C228" ca="1">INDEX($A$2:$A$15,RANDBETWEEN(1,ROWS($A$2:$A$15)),1)</f>
        <v>3</v>
      </c>
      <c r="D228" cm="1">
        <f t="array" aca="1" ref="D228" ca="1">INDEX($A$2:$A$15,RANDBETWEEN(1,ROWS($A$2:$A$15)),1)</f>
        <v>8</v>
      </c>
      <c r="E228" cm="1">
        <f t="array" aca="1" ref="E228" ca="1">INDEX($A$2:$A$15,RANDBETWEEN(1,ROWS($A$2:$A$15)),1)</f>
        <v>1</v>
      </c>
      <c r="F228" cm="1">
        <f t="array" aca="1" ref="F228" ca="1">INDEX($A$2:$A$15,RANDBETWEEN(1,ROWS($A$2:$A$15)),1)</f>
        <v>1</v>
      </c>
      <c r="G228" cm="1">
        <f t="array" aca="1" ref="G228" ca="1">INDEX($A$2:$A$15,RANDBETWEEN(1,ROWS($A$2:$A$15)),1)</f>
        <v>5</v>
      </c>
      <c r="H228" cm="1">
        <f t="array" aca="1" ref="H228" ca="1">INDEX($A$2:$A$15,RANDBETWEEN(1,ROWS($A$2:$A$15)),1)</f>
        <v>5</v>
      </c>
      <c r="I228" cm="1">
        <f t="array" aca="1" ref="I228" ca="1">INDEX($A$2:$A$15,RANDBETWEEN(1,ROWS($A$2:$A$15)),1)</f>
        <v>3</v>
      </c>
      <c r="J228" cm="1">
        <f t="array" aca="1" ref="J228" ca="1">INDEX($A$2:$A$15,RANDBETWEEN(1,ROWS($A$2:$A$15)),1)</f>
        <v>1</v>
      </c>
      <c r="K228" cm="1">
        <f t="array" aca="1" ref="K228" ca="1">INDEX($A$2:$A$15,RANDBETWEEN(1,ROWS($A$2:$A$15)),1)</f>
        <v>1</v>
      </c>
      <c r="L228" cm="1">
        <f t="array" aca="1" ref="L228" ca="1">INDEX($A$2:$A$15,RANDBETWEEN(1,ROWS($A$2:$A$15)),1)</f>
        <v>5</v>
      </c>
      <c r="M228" cm="1">
        <f t="array" aca="1" ref="M228" ca="1">INDEX($A$2:$A$15,RANDBETWEEN(1,ROWS($A$2:$A$15)),1)</f>
        <v>5</v>
      </c>
      <c r="N228" cm="1">
        <f t="array" aca="1" ref="N228" ca="1">INDEX($A$2:$A$15,RANDBETWEEN(1,ROWS($A$2:$A$15)),1)</f>
        <v>3</v>
      </c>
      <c r="O228" cm="1">
        <f t="array" aca="1" ref="O228" ca="1">INDEX($A$2:$A$15,RANDBETWEEN(1,ROWS($A$2:$A$15)),1)</f>
        <v>5</v>
      </c>
      <c r="P228" cm="1">
        <f t="array" aca="1" ref="P228" ca="1">INDEX($A$2:$A$15,RANDBETWEEN(1,ROWS($A$2:$A$15)),1)</f>
        <v>3</v>
      </c>
      <c r="Q228" cm="1">
        <f t="array" aca="1" ref="Q228" ca="1">INDEX($A$2:$A$15,RANDBETWEEN(1,ROWS($A$2:$A$15)),1)</f>
        <v>1</v>
      </c>
      <c r="R228" cm="1">
        <f t="array" aca="1" ref="R228" ca="1">INDEX($A$2:$A$15,RANDBETWEEN(1,ROWS($A$2:$A$15)),1)</f>
        <v>1</v>
      </c>
      <c r="S228" cm="1">
        <f t="array" aca="1" ref="S228" ca="1">INDEX($A$2:$A$15,RANDBETWEEN(1,ROWS($A$2:$A$15)),1)</f>
        <v>1</v>
      </c>
      <c r="V228">
        <f t="shared" ca="1" si="12"/>
        <v>3.0588235294117645</v>
      </c>
      <c r="W228">
        <f t="shared" ca="1" si="13"/>
        <v>3</v>
      </c>
      <c r="X228">
        <f t="shared" ca="1" si="14"/>
        <v>4</v>
      </c>
      <c r="Y228">
        <f t="shared" ca="1" si="15"/>
        <v>2.1351401662213569</v>
      </c>
    </row>
    <row r="229" spans="3:25" x14ac:dyDescent="0.35">
      <c r="C229" cm="1">
        <f t="array" aca="1" ref="C229" ca="1">INDEX($A$2:$A$15,RANDBETWEEN(1,ROWS($A$2:$A$15)),1)</f>
        <v>7</v>
      </c>
      <c r="D229" cm="1">
        <f t="array" aca="1" ref="D229" ca="1">INDEX($A$2:$A$15,RANDBETWEEN(1,ROWS($A$2:$A$15)),1)</f>
        <v>4</v>
      </c>
      <c r="E229" cm="1">
        <f t="array" aca="1" ref="E229" ca="1">INDEX($A$2:$A$15,RANDBETWEEN(1,ROWS($A$2:$A$15)),1)</f>
        <v>5</v>
      </c>
      <c r="F229" cm="1">
        <f t="array" aca="1" ref="F229" ca="1">INDEX($A$2:$A$15,RANDBETWEEN(1,ROWS($A$2:$A$15)),1)</f>
        <v>5</v>
      </c>
      <c r="G229" cm="1">
        <f t="array" aca="1" ref="G229" ca="1">INDEX($A$2:$A$15,RANDBETWEEN(1,ROWS($A$2:$A$15)),1)</f>
        <v>5</v>
      </c>
      <c r="H229" cm="1">
        <f t="array" aca="1" ref="H229" ca="1">INDEX($A$2:$A$15,RANDBETWEEN(1,ROWS($A$2:$A$15)),1)</f>
        <v>3</v>
      </c>
      <c r="I229" cm="1">
        <f t="array" aca="1" ref="I229" ca="1">INDEX($A$2:$A$15,RANDBETWEEN(1,ROWS($A$2:$A$15)),1)</f>
        <v>1</v>
      </c>
      <c r="J229" cm="1">
        <f t="array" aca="1" ref="J229" ca="1">INDEX($A$2:$A$15,RANDBETWEEN(1,ROWS($A$2:$A$15)),1)</f>
        <v>3</v>
      </c>
      <c r="K229" cm="1">
        <f t="array" aca="1" ref="K229" ca="1">INDEX($A$2:$A$15,RANDBETWEEN(1,ROWS($A$2:$A$15)),1)</f>
        <v>1</v>
      </c>
      <c r="L229" cm="1">
        <f t="array" aca="1" ref="L229" ca="1">INDEX($A$2:$A$15,RANDBETWEEN(1,ROWS($A$2:$A$15)),1)</f>
        <v>3</v>
      </c>
      <c r="M229" cm="1">
        <f t="array" aca="1" ref="M229" ca="1">INDEX($A$2:$A$15,RANDBETWEEN(1,ROWS($A$2:$A$15)),1)</f>
        <v>5</v>
      </c>
      <c r="N229" cm="1">
        <f t="array" aca="1" ref="N229" ca="1">INDEX($A$2:$A$15,RANDBETWEEN(1,ROWS($A$2:$A$15)),1)</f>
        <v>4</v>
      </c>
      <c r="O229" cm="1">
        <f t="array" aca="1" ref="O229" ca="1">INDEX($A$2:$A$15,RANDBETWEEN(1,ROWS($A$2:$A$15)),1)</f>
        <v>1</v>
      </c>
      <c r="P229" cm="1">
        <f t="array" aca="1" ref="P229" ca="1">INDEX($A$2:$A$15,RANDBETWEEN(1,ROWS($A$2:$A$15)),1)</f>
        <v>4</v>
      </c>
      <c r="Q229" cm="1">
        <f t="array" aca="1" ref="Q229" ca="1">INDEX($A$2:$A$15,RANDBETWEEN(1,ROWS($A$2:$A$15)),1)</f>
        <v>8</v>
      </c>
      <c r="R229" cm="1">
        <f t="array" aca="1" ref="R229" ca="1">INDEX($A$2:$A$15,RANDBETWEEN(1,ROWS($A$2:$A$15)),1)</f>
        <v>5</v>
      </c>
      <c r="S229" cm="1">
        <f t="array" aca="1" ref="S229" ca="1">INDEX($A$2:$A$15,RANDBETWEEN(1,ROWS($A$2:$A$15)),1)</f>
        <v>1</v>
      </c>
      <c r="V229">
        <f t="shared" ca="1" si="12"/>
        <v>3.8235294117647061</v>
      </c>
      <c r="W229">
        <f t="shared" ca="1" si="13"/>
        <v>4</v>
      </c>
      <c r="X229">
        <f t="shared" ca="1" si="14"/>
        <v>2</v>
      </c>
      <c r="Y229">
        <f t="shared" ca="1" si="15"/>
        <v>2.0686739145418453</v>
      </c>
    </row>
    <row r="230" spans="3:25" x14ac:dyDescent="0.35">
      <c r="C230" cm="1">
        <f t="array" aca="1" ref="C230" ca="1">INDEX($A$2:$A$15,RANDBETWEEN(1,ROWS($A$2:$A$15)),1)</f>
        <v>5</v>
      </c>
      <c r="D230" cm="1">
        <f t="array" aca="1" ref="D230" ca="1">INDEX($A$2:$A$15,RANDBETWEEN(1,ROWS($A$2:$A$15)),1)</f>
        <v>7</v>
      </c>
      <c r="E230" cm="1">
        <f t="array" aca="1" ref="E230" ca="1">INDEX($A$2:$A$15,RANDBETWEEN(1,ROWS($A$2:$A$15)),1)</f>
        <v>2</v>
      </c>
      <c r="F230" cm="1">
        <f t="array" aca="1" ref="F230" ca="1">INDEX($A$2:$A$15,RANDBETWEEN(1,ROWS($A$2:$A$15)),1)</f>
        <v>5</v>
      </c>
      <c r="G230" cm="1">
        <f t="array" aca="1" ref="G230" ca="1">INDEX($A$2:$A$15,RANDBETWEEN(1,ROWS($A$2:$A$15)),1)</f>
        <v>1</v>
      </c>
      <c r="H230" cm="1">
        <f t="array" aca="1" ref="H230" ca="1">INDEX($A$2:$A$15,RANDBETWEEN(1,ROWS($A$2:$A$15)),1)</f>
        <v>5</v>
      </c>
      <c r="I230" cm="1">
        <f t="array" aca="1" ref="I230" ca="1">INDEX($A$2:$A$15,RANDBETWEEN(1,ROWS($A$2:$A$15)),1)</f>
        <v>5</v>
      </c>
      <c r="J230" cm="1">
        <f t="array" aca="1" ref="J230" ca="1">INDEX($A$2:$A$15,RANDBETWEEN(1,ROWS($A$2:$A$15)),1)</f>
        <v>3</v>
      </c>
      <c r="K230" cm="1">
        <f t="array" aca="1" ref="K230" ca="1">INDEX($A$2:$A$15,RANDBETWEEN(1,ROWS($A$2:$A$15)),1)</f>
        <v>5</v>
      </c>
      <c r="L230" cm="1">
        <f t="array" aca="1" ref="L230" ca="1">INDEX($A$2:$A$15,RANDBETWEEN(1,ROWS($A$2:$A$15)),1)</f>
        <v>5</v>
      </c>
      <c r="M230" cm="1">
        <f t="array" aca="1" ref="M230" ca="1">INDEX($A$2:$A$15,RANDBETWEEN(1,ROWS($A$2:$A$15)),1)</f>
        <v>5</v>
      </c>
      <c r="N230" cm="1">
        <f t="array" aca="1" ref="N230" ca="1">INDEX($A$2:$A$15,RANDBETWEEN(1,ROWS($A$2:$A$15)),1)</f>
        <v>7</v>
      </c>
      <c r="O230" cm="1">
        <f t="array" aca="1" ref="O230" ca="1">INDEX($A$2:$A$15,RANDBETWEEN(1,ROWS($A$2:$A$15)),1)</f>
        <v>1</v>
      </c>
      <c r="P230" cm="1">
        <f t="array" aca="1" ref="P230" ca="1">INDEX($A$2:$A$15,RANDBETWEEN(1,ROWS($A$2:$A$15)),1)</f>
        <v>1</v>
      </c>
      <c r="Q230" cm="1">
        <f t="array" aca="1" ref="Q230" ca="1">INDEX($A$2:$A$15,RANDBETWEEN(1,ROWS($A$2:$A$15)),1)</f>
        <v>5</v>
      </c>
      <c r="R230" cm="1">
        <f t="array" aca="1" ref="R230" ca="1">INDEX($A$2:$A$15,RANDBETWEEN(1,ROWS($A$2:$A$15)),1)</f>
        <v>3</v>
      </c>
      <c r="S230" cm="1">
        <f t="array" aca="1" ref="S230" ca="1">INDEX($A$2:$A$15,RANDBETWEEN(1,ROWS($A$2:$A$15)),1)</f>
        <v>1</v>
      </c>
      <c r="V230">
        <f t="shared" ca="1" si="12"/>
        <v>3.8823529411764706</v>
      </c>
      <c r="W230">
        <f t="shared" ca="1" si="13"/>
        <v>5</v>
      </c>
      <c r="X230">
        <f t="shared" ca="1" si="14"/>
        <v>3</v>
      </c>
      <c r="Y230">
        <f t="shared" ca="1" si="15"/>
        <v>2.0579830217101058</v>
      </c>
    </row>
    <row r="231" spans="3:25" x14ac:dyDescent="0.35">
      <c r="C231" cm="1">
        <f t="array" aca="1" ref="C231" ca="1">INDEX($A$2:$A$15,RANDBETWEEN(1,ROWS($A$2:$A$15)),1)</f>
        <v>5</v>
      </c>
      <c r="D231" cm="1">
        <f t="array" aca="1" ref="D231" ca="1">INDEX($A$2:$A$15,RANDBETWEEN(1,ROWS($A$2:$A$15)),1)</f>
        <v>5</v>
      </c>
      <c r="E231" cm="1">
        <f t="array" aca="1" ref="E231" ca="1">INDEX($A$2:$A$15,RANDBETWEEN(1,ROWS($A$2:$A$15)),1)</f>
        <v>2</v>
      </c>
      <c r="F231" cm="1">
        <f t="array" aca="1" ref="F231" ca="1">INDEX($A$2:$A$15,RANDBETWEEN(1,ROWS($A$2:$A$15)),1)</f>
        <v>5</v>
      </c>
      <c r="G231" cm="1">
        <f t="array" aca="1" ref="G231" ca="1">INDEX($A$2:$A$15,RANDBETWEEN(1,ROWS($A$2:$A$15)),1)</f>
        <v>1</v>
      </c>
      <c r="H231" cm="1">
        <f t="array" aca="1" ref="H231" ca="1">INDEX($A$2:$A$15,RANDBETWEEN(1,ROWS($A$2:$A$15)),1)</f>
        <v>3</v>
      </c>
      <c r="I231" cm="1">
        <f t="array" aca="1" ref="I231" ca="1">INDEX($A$2:$A$15,RANDBETWEEN(1,ROWS($A$2:$A$15)),1)</f>
        <v>5</v>
      </c>
      <c r="J231" cm="1">
        <f t="array" aca="1" ref="J231" ca="1">INDEX($A$2:$A$15,RANDBETWEEN(1,ROWS($A$2:$A$15)),1)</f>
        <v>5</v>
      </c>
      <c r="K231" cm="1">
        <f t="array" aca="1" ref="K231" ca="1">INDEX($A$2:$A$15,RANDBETWEEN(1,ROWS($A$2:$A$15)),1)</f>
        <v>1</v>
      </c>
      <c r="L231" cm="1">
        <f t="array" aca="1" ref="L231" ca="1">INDEX($A$2:$A$15,RANDBETWEEN(1,ROWS($A$2:$A$15)),1)</f>
        <v>5</v>
      </c>
      <c r="M231" cm="1">
        <f t="array" aca="1" ref="M231" ca="1">INDEX($A$2:$A$15,RANDBETWEEN(1,ROWS($A$2:$A$15)),1)</f>
        <v>5</v>
      </c>
      <c r="N231" cm="1">
        <f t="array" aca="1" ref="N231" ca="1">INDEX($A$2:$A$15,RANDBETWEEN(1,ROWS($A$2:$A$15)),1)</f>
        <v>4</v>
      </c>
      <c r="O231" cm="1">
        <f t="array" aca="1" ref="O231" ca="1">INDEX($A$2:$A$15,RANDBETWEEN(1,ROWS($A$2:$A$15)),1)</f>
        <v>8</v>
      </c>
      <c r="P231" cm="1">
        <f t="array" aca="1" ref="P231" ca="1">INDEX($A$2:$A$15,RANDBETWEEN(1,ROWS($A$2:$A$15)),1)</f>
        <v>2</v>
      </c>
      <c r="Q231" cm="1">
        <f t="array" aca="1" ref="Q231" ca="1">INDEX($A$2:$A$15,RANDBETWEEN(1,ROWS($A$2:$A$15)),1)</f>
        <v>3</v>
      </c>
      <c r="R231" cm="1">
        <f t="array" aca="1" ref="R231" ca="1">INDEX($A$2:$A$15,RANDBETWEEN(1,ROWS($A$2:$A$15)),1)</f>
        <v>8</v>
      </c>
      <c r="S231" cm="1">
        <f t="array" aca="1" ref="S231" ca="1">INDEX($A$2:$A$15,RANDBETWEEN(1,ROWS($A$2:$A$15)),1)</f>
        <v>5</v>
      </c>
      <c r="V231">
        <f t="shared" ca="1" si="12"/>
        <v>4.2352941176470589</v>
      </c>
      <c r="W231">
        <f t="shared" ca="1" si="13"/>
        <v>5</v>
      </c>
      <c r="X231">
        <f t="shared" ca="1" si="14"/>
        <v>2</v>
      </c>
      <c r="Y231">
        <f t="shared" ca="1" si="15"/>
        <v>2.0472363006229242</v>
      </c>
    </row>
    <row r="232" spans="3:25" x14ac:dyDescent="0.35">
      <c r="C232" cm="1">
        <f t="array" aca="1" ref="C232" ca="1">INDEX($A$2:$A$15,RANDBETWEEN(1,ROWS($A$2:$A$15)),1)</f>
        <v>5</v>
      </c>
      <c r="D232" cm="1">
        <f t="array" aca="1" ref="D232" ca="1">INDEX($A$2:$A$15,RANDBETWEEN(1,ROWS($A$2:$A$15)),1)</f>
        <v>4</v>
      </c>
      <c r="E232" cm="1">
        <f t="array" aca="1" ref="E232" ca="1">INDEX($A$2:$A$15,RANDBETWEEN(1,ROWS($A$2:$A$15)),1)</f>
        <v>4</v>
      </c>
      <c r="F232" cm="1">
        <f t="array" aca="1" ref="F232" ca="1">INDEX($A$2:$A$15,RANDBETWEEN(1,ROWS($A$2:$A$15)),1)</f>
        <v>5</v>
      </c>
      <c r="G232" cm="1">
        <f t="array" aca="1" ref="G232" ca="1">INDEX($A$2:$A$15,RANDBETWEEN(1,ROWS($A$2:$A$15)),1)</f>
        <v>7</v>
      </c>
      <c r="H232" cm="1">
        <f t="array" aca="1" ref="H232" ca="1">INDEX($A$2:$A$15,RANDBETWEEN(1,ROWS($A$2:$A$15)),1)</f>
        <v>4</v>
      </c>
      <c r="I232" cm="1">
        <f t="array" aca="1" ref="I232" ca="1">INDEX($A$2:$A$15,RANDBETWEEN(1,ROWS($A$2:$A$15)),1)</f>
        <v>5</v>
      </c>
      <c r="J232" cm="1">
        <f t="array" aca="1" ref="J232" ca="1">INDEX($A$2:$A$15,RANDBETWEEN(1,ROWS($A$2:$A$15)),1)</f>
        <v>4</v>
      </c>
      <c r="K232" cm="1">
        <f t="array" aca="1" ref="K232" ca="1">INDEX($A$2:$A$15,RANDBETWEEN(1,ROWS($A$2:$A$15)),1)</f>
        <v>1</v>
      </c>
      <c r="L232" cm="1">
        <f t="array" aca="1" ref="L232" ca="1">INDEX($A$2:$A$15,RANDBETWEEN(1,ROWS($A$2:$A$15)),1)</f>
        <v>5</v>
      </c>
      <c r="M232" cm="1">
        <f t="array" aca="1" ref="M232" ca="1">INDEX($A$2:$A$15,RANDBETWEEN(1,ROWS($A$2:$A$15)),1)</f>
        <v>4</v>
      </c>
      <c r="N232" cm="1">
        <f t="array" aca="1" ref="N232" ca="1">INDEX($A$2:$A$15,RANDBETWEEN(1,ROWS($A$2:$A$15)),1)</f>
        <v>8</v>
      </c>
      <c r="O232" cm="1">
        <f t="array" aca="1" ref="O232" ca="1">INDEX($A$2:$A$15,RANDBETWEEN(1,ROWS($A$2:$A$15)),1)</f>
        <v>7</v>
      </c>
      <c r="P232" cm="1">
        <f t="array" aca="1" ref="P232" ca="1">INDEX($A$2:$A$15,RANDBETWEEN(1,ROWS($A$2:$A$15)),1)</f>
        <v>1</v>
      </c>
      <c r="Q232" cm="1">
        <f t="array" aca="1" ref="Q232" ca="1">INDEX($A$2:$A$15,RANDBETWEEN(1,ROWS($A$2:$A$15)),1)</f>
        <v>5</v>
      </c>
      <c r="R232" cm="1">
        <f t="array" aca="1" ref="R232" ca="1">INDEX($A$2:$A$15,RANDBETWEEN(1,ROWS($A$2:$A$15)),1)</f>
        <v>1</v>
      </c>
      <c r="S232" cm="1">
        <f t="array" aca="1" ref="S232" ca="1">INDEX($A$2:$A$15,RANDBETWEEN(1,ROWS($A$2:$A$15)),1)</f>
        <v>8</v>
      </c>
      <c r="V232">
        <f t="shared" ca="1" si="12"/>
        <v>4.5882352941176467</v>
      </c>
      <c r="W232">
        <f t="shared" ca="1" si="13"/>
        <v>5</v>
      </c>
      <c r="X232">
        <f t="shared" ca="1" si="14"/>
        <v>1</v>
      </c>
      <c r="Y232">
        <f t="shared" ca="1" si="15"/>
        <v>2.1811356998537414</v>
      </c>
    </row>
    <row r="233" spans="3:25" x14ac:dyDescent="0.35">
      <c r="C233" cm="1">
        <f t="array" aca="1" ref="C233" ca="1">INDEX($A$2:$A$15,RANDBETWEEN(1,ROWS($A$2:$A$15)),1)</f>
        <v>2</v>
      </c>
      <c r="D233" cm="1">
        <f t="array" aca="1" ref="D233" ca="1">INDEX($A$2:$A$15,RANDBETWEEN(1,ROWS($A$2:$A$15)),1)</f>
        <v>7</v>
      </c>
      <c r="E233" cm="1">
        <f t="array" aca="1" ref="E233" ca="1">INDEX($A$2:$A$15,RANDBETWEEN(1,ROWS($A$2:$A$15)),1)</f>
        <v>4</v>
      </c>
      <c r="F233" cm="1">
        <f t="array" aca="1" ref="F233" ca="1">INDEX($A$2:$A$15,RANDBETWEEN(1,ROWS($A$2:$A$15)),1)</f>
        <v>3</v>
      </c>
      <c r="G233" cm="1">
        <f t="array" aca="1" ref="G233" ca="1">INDEX($A$2:$A$15,RANDBETWEEN(1,ROWS($A$2:$A$15)),1)</f>
        <v>5</v>
      </c>
      <c r="H233" cm="1">
        <f t="array" aca="1" ref="H233" ca="1">INDEX($A$2:$A$15,RANDBETWEEN(1,ROWS($A$2:$A$15)),1)</f>
        <v>5</v>
      </c>
      <c r="I233" cm="1">
        <f t="array" aca="1" ref="I233" ca="1">INDEX($A$2:$A$15,RANDBETWEEN(1,ROWS($A$2:$A$15)),1)</f>
        <v>4</v>
      </c>
      <c r="J233" cm="1">
        <f t="array" aca="1" ref="J233" ca="1">INDEX($A$2:$A$15,RANDBETWEEN(1,ROWS($A$2:$A$15)),1)</f>
        <v>1</v>
      </c>
      <c r="K233" cm="1">
        <f t="array" aca="1" ref="K233" ca="1">INDEX($A$2:$A$15,RANDBETWEEN(1,ROWS($A$2:$A$15)),1)</f>
        <v>5</v>
      </c>
      <c r="L233" cm="1">
        <f t="array" aca="1" ref="L233" ca="1">INDEX($A$2:$A$15,RANDBETWEEN(1,ROWS($A$2:$A$15)),1)</f>
        <v>3</v>
      </c>
      <c r="M233" cm="1">
        <f t="array" aca="1" ref="M233" ca="1">INDEX($A$2:$A$15,RANDBETWEEN(1,ROWS($A$2:$A$15)),1)</f>
        <v>4</v>
      </c>
      <c r="N233" cm="1">
        <f t="array" aca="1" ref="N233" ca="1">INDEX($A$2:$A$15,RANDBETWEEN(1,ROWS($A$2:$A$15)),1)</f>
        <v>5</v>
      </c>
      <c r="O233" cm="1">
        <f t="array" aca="1" ref="O233" ca="1">INDEX($A$2:$A$15,RANDBETWEEN(1,ROWS($A$2:$A$15)),1)</f>
        <v>5</v>
      </c>
      <c r="P233" cm="1">
        <f t="array" aca="1" ref="P233" ca="1">INDEX($A$2:$A$15,RANDBETWEEN(1,ROWS($A$2:$A$15)),1)</f>
        <v>1</v>
      </c>
      <c r="Q233" cm="1">
        <f t="array" aca="1" ref="Q233" ca="1">INDEX($A$2:$A$15,RANDBETWEEN(1,ROWS($A$2:$A$15)),1)</f>
        <v>7</v>
      </c>
      <c r="R233" cm="1">
        <f t="array" aca="1" ref="R233" ca="1">INDEX($A$2:$A$15,RANDBETWEEN(1,ROWS($A$2:$A$15)),1)</f>
        <v>5</v>
      </c>
      <c r="S233" cm="1">
        <f t="array" aca="1" ref="S233" ca="1">INDEX($A$2:$A$15,RANDBETWEEN(1,ROWS($A$2:$A$15)),1)</f>
        <v>4</v>
      </c>
      <c r="V233">
        <f t="shared" ca="1" si="12"/>
        <v>4.117647058823529</v>
      </c>
      <c r="W233">
        <f t="shared" ca="1" si="13"/>
        <v>4</v>
      </c>
      <c r="X233">
        <f t="shared" ca="1" si="14"/>
        <v>2</v>
      </c>
      <c r="Y233">
        <f t="shared" ca="1" si="15"/>
        <v>1.7278003697322957</v>
      </c>
    </row>
    <row r="234" spans="3:25" x14ac:dyDescent="0.35">
      <c r="C234" cm="1">
        <f t="array" aca="1" ref="C234" ca="1">INDEX($A$2:$A$15,RANDBETWEEN(1,ROWS($A$2:$A$15)),1)</f>
        <v>3</v>
      </c>
      <c r="D234" cm="1">
        <f t="array" aca="1" ref="D234" ca="1">INDEX($A$2:$A$15,RANDBETWEEN(1,ROWS($A$2:$A$15)),1)</f>
        <v>3</v>
      </c>
      <c r="E234" cm="1">
        <f t="array" aca="1" ref="E234" ca="1">INDEX($A$2:$A$15,RANDBETWEEN(1,ROWS($A$2:$A$15)),1)</f>
        <v>2</v>
      </c>
      <c r="F234" cm="1">
        <f t="array" aca="1" ref="F234" ca="1">INDEX($A$2:$A$15,RANDBETWEEN(1,ROWS($A$2:$A$15)),1)</f>
        <v>4</v>
      </c>
      <c r="G234" cm="1">
        <f t="array" aca="1" ref="G234" ca="1">INDEX($A$2:$A$15,RANDBETWEEN(1,ROWS($A$2:$A$15)),1)</f>
        <v>5</v>
      </c>
      <c r="H234" cm="1">
        <f t="array" aca="1" ref="H234" ca="1">INDEX($A$2:$A$15,RANDBETWEEN(1,ROWS($A$2:$A$15)),1)</f>
        <v>7</v>
      </c>
      <c r="I234" cm="1">
        <f t="array" aca="1" ref="I234" ca="1">INDEX($A$2:$A$15,RANDBETWEEN(1,ROWS($A$2:$A$15)),1)</f>
        <v>5</v>
      </c>
      <c r="J234" cm="1">
        <f t="array" aca="1" ref="J234" ca="1">INDEX($A$2:$A$15,RANDBETWEEN(1,ROWS($A$2:$A$15)),1)</f>
        <v>8</v>
      </c>
      <c r="K234" cm="1">
        <f t="array" aca="1" ref="K234" ca="1">INDEX($A$2:$A$15,RANDBETWEEN(1,ROWS($A$2:$A$15)),1)</f>
        <v>5</v>
      </c>
      <c r="L234" cm="1">
        <f t="array" aca="1" ref="L234" ca="1">INDEX($A$2:$A$15,RANDBETWEEN(1,ROWS($A$2:$A$15)),1)</f>
        <v>3</v>
      </c>
      <c r="M234" cm="1">
        <f t="array" aca="1" ref="M234" ca="1">INDEX($A$2:$A$15,RANDBETWEEN(1,ROWS($A$2:$A$15)),1)</f>
        <v>4</v>
      </c>
      <c r="N234" cm="1">
        <f t="array" aca="1" ref="N234" ca="1">INDEX($A$2:$A$15,RANDBETWEEN(1,ROWS($A$2:$A$15)),1)</f>
        <v>5</v>
      </c>
      <c r="O234" cm="1">
        <f t="array" aca="1" ref="O234" ca="1">INDEX($A$2:$A$15,RANDBETWEEN(1,ROWS($A$2:$A$15)),1)</f>
        <v>7</v>
      </c>
      <c r="P234" cm="1">
        <f t="array" aca="1" ref="P234" ca="1">INDEX($A$2:$A$15,RANDBETWEEN(1,ROWS($A$2:$A$15)),1)</f>
        <v>3</v>
      </c>
      <c r="Q234" cm="1">
        <f t="array" aca="1" ref="Q234" ca="1">INDEX($A$2:$A$15,RANDBETWEEN(1,ROWS($A$2:$A$15)),1)</f>
        <v>1</v>
      </c>
      <c r="R234" cm="1">
        <f t="array" aca="1" ref="R234" ca="1">INDEX($A$2:$A$15,RANDBETWEEN(1,ROWS($A$2:$A$15)),1)</f>
        <v>1</v>
      </c>
      <c r="S234" cm="1">
        <f t="array" aca="1" ref="S234" ca="1">INDEX($A$2:$A$15,RANDBETWEEN(1,ROWS($A$2:$A$15)),1)</f>
        <v>4</v>
      </c>
      <c r="V234">
        <f t="shared" ca="1" si="12"/>
        <v>4.117647058823529</v>
      </c>
      <c r="W234">
        <f t="shared" ca="1" si="13"/>
        <v>4</v>
      </c>
      <c r="X234">
        <f t="shared" ca="1" si="14"/>
        <v>2</v>
      </c>
      <c r="Y234">
        <f t="shared" ca="1" si="15"/>
        <v>1.9963201440768608</v>
      </c>
    </row>
    <row r="235" spans="3:25" x14ac:dyDescent="0.35">
      <c r="C235" cm="1">
        <f t="array" aca="1" ref="C235" ca="1">INDEX($A$2:$A$15,RANDBETWEEN(1,ROWS($A$2:$A$15)),1)</f>
        <v>2</v>
      </c>
      <c r="D235" cm="1">
        <f t="array" aca="1" ref="D235" ca="1">INDEX($A$2:$A$15,RANDBETWEEN(1,ROWS($A$2:$A$15)),1)</f>
        <v>4</v>
      </c>
      <c r="E235" cm="1">
        <f t="array" aca="1" ref="E235" ca="1">INDEX($A$2:$A$15,RANDBETWEEN(1,ROWS($A$2:$A$15)),1)</f>
        <v>5</v>
      </c>
      <c r="F235" cm="1">
        <f t="array" aca="1" ref="F235" ca="1">INDEX($A$2:$A$15,RANDBETWEEN(1,ROWS($A$2:$A$15)),1)</f>
        <v>1</v>
      </c>
      <c r="G235" cm="1">
        <f t="array" aca="1" ref="G235" ca="1">INDEX($A$2:$A$15,RANDBETWEEN(1,ROWS($A$2:$A$15)),1)</f>
        <v>1</v>
      </c>
      <c r="H235" cm="1">
        <f t="array" aca="1" ref="H235" ca="1">INDEX($A$2:$A$15,RANDBETWEEN(1,ROWS($A$2:$A$15)),1)</f>
        <v>3</v>
      </c>
      <c r="I235" cm="1">
        <f t="array" aca="1" ref="I235" ca="1">INDEX($A$2:$A$15,RANDBETWEEN(1,ROWS($A$2:$A$15)),1)</f>
        <v>3</v>
      </c>
      <c r="J235" cm="1">
        <f t="array" aca="1" ref="J235" ca="1">INDEX($A$2:$A$15,RANDBETWEEN(1,ROWS($A$2:$A$15)),1)</f>
        <v>5</v>
      </c>
      <c r="K235" cm="1">
        <f t="array" aca="1" ref="K235" ca="1">INDEX($A$2:$A$15,RANDBETWEEN(1,ROWS($A$2:$A$15)),1)</f>
        <v>5</v>
      </c>
      <c r="L235" cm="1">
        <f t="array" aca="1" ref="L235" ca="1">INDEX($A$2:$A$15,RANDBETWEEN(1,ROWS($A$2:$A$15)),1)</f>
        <v>7</v>
      </c>
      <c r="M235" cm="1">
        <f t="array" aca="1" ref="M235" ca="1">INDEX($A$2:$A$15,RANDBETWEEN(1,ROWS($A$2:$A$15)),1)</f>
        <v>4</v>
      </c>
      <c r="N235" cm="1">
        <f t="array" aca="1" ref="N235" ca="1">INDEX($A$2:$A$15,RANDBETWEEN(1,ROWS($A$2:$A$15)),1)</f>
        <v>8</v>
      </c>
      <c r="O235" cm="1">
        <f t="array" aca="1" ref="O235" ca="1">INDEX($A$2:$A$15,RANDBETWEEN(1,ROWS($A$2:$A$15)),1)</f>
        <v>7</v>
      </c>
      <c r="P235" cm="1">
        <f t="array" aca="1" ref="P235" ca="1">INDEX($A$2:$A$15,RANDBETWEEN(1,ROWS($A$2:$A$15)),1)</f>
        <v>5</v>
      </c>
      <c r="Q235" cm="1">
        <f t="array" aca="1" ref="Q235" ca="1">INDEX($A$2:$A$15,RANDBETWEEN(1,ROWS($A$2:$A$15)),1)</f>
        <v>2</v>
      </c>
      <c r="R235" cm="1">
        <f t="array" aca="1" ref="R235" ca="1">INDEX($A$2:$A$15,RANDBETWEEN(1,ROWS($A$2:$A$15)),1)</f>
        <v>3</v>
      </c>
      <c r="S235" cm="1">
        <f t="array" aca="1" ref="S235" ca="1">INDEX($A$2:$A$15,RANDBETWEEN(1,ROWS($A$2:$A$15)),1)</f>
        <v>2</v>
      </c>
      <c r="V235">
        <f t="shared" ca="1" si="12"/>
        <v>3.9411764705882355</v>
      </c>
      <c r="W235">
        <f t="shared" ca="1" si="13"/>
        <v>4</v>
      </c>
      <c r="X235">
        <f t="shared" ca="1" si="14"/>
        <v>3</v>
      </c>
      <c r="Y235">
        <f t="shared" ca="1" si="15"/>
        <v>2.105664628902657</v>
      </c>
    </row>
    <row r="236" spans="3:25" x14ac:dyDescent="0.35">
      <c r="C236" cm="1">
        <f t="array" aca="1" ref="C236" ca="1">INDEX($A$2:$A$15,RANDBETWEEN(1,ROWS($A$2:$A$15)),1)</f>
        <v>3</v>
      </c>
      <c r="D236" cm="1">
        <f t="array" aca="1" ref="D236" ca="1">INDEX($A$2:$A$15,RANDBETWEEN(1,ROWS($A$2:$A$15)),1)</f>
        <v>4</v>
      </c>
      <c r="E236" cm="1">
        <f t="array" aca="1" ref="E236" ca="1">INDEX($A$2:$A$15,RANDBETWEEN(1,ROWS($A$2:$A$15)),1)</f>
        <v>7</v>
      </c>
      <c r="F236" cm="1">
        <f t="array" aca="1" ref="F236" ca="1">INDEX($A$2:$A$15,RANDBETWEEN(1,ROWS($A$2:$A$15)),1)</f>
        <v>4</v>
      </c>
      <c r="G236" cm="1">
        <f t="array" aca="1" ref="G236" ca="1">INDEX($A$2:$A$15,RANDBETWEEN(1,ROWS($A$2:$A$15)),1)</f>
        <v>7</v>
      </c>
      <c r="H236" cm="1">
        <f t="array" aca="1" ref="H236" ca="1">INDEX($A$2:$A$15,RANDBETWEEN(1,ROWS($A$2:$A$15)),1)</f>
        <v>5</v>
      </c>
      <c r="I236" cm="1">
        <f t="array" aca="1" ref="I236" ca="1">INDEX($A$2:$A$15,RANDBETWEEN(1,ROWS($A$2:$A$15)),1)</f>
        <v>8</v>
      </c>
      <c r="J236" cm="1">
        <f t="array" aca="1" ref="J236" ca="1">INDEX($A$2:$A$15,RANDBETWEEN(1,ROWS($A$2:$A$15)),1)</f>
        <v>3</v>
      </c>
      <c r="K236" cm="1">
        <f t="array" aca="1" ref="K236" ca="1">INDEX($A$2:$A$15,RANDBETWEEN(1,ROWS($A$2:$A$15)),1)</f>
        <v>5</v>
      </c>
      <c r="L236" cm="1">
        <f t="array" aca="1" ref="L236" ca="1">INDEX($A$2:$A$15,RANDBETWEEN(1,ROWS($A$2:$A$15)),1)</f>
        <v>2</v>
      </c>
      <c r="M236" cm="1">
        <f t="array" aca="1" ref="M236" ca="1">INDEX($A$2:$A$15,RANDBETWEEN(1,ROWS($A$2:$A$15)),1)</f>
        <v>1</v>
      </c>
      <c r="N236" cm="1">
        <f t="array" aca="1" ref="N236" ca="1">INDEX($A$2:$A$15,RANDBETWEEN(1,ROWS($A$2:$A$15)),1)</f>
        <v>4</v>
      </c>
      <c r="O236" cm="1">
        <f t="array" aca="1" ref="O236" ca="1">INDEX($A$2:$A$15,RANDBETWEEN(1,ROWS($A$2:$A$15)),1)</f>
        <v>1</v>
      </c>
      <c r="P236" cm="1">
        <f t="array" aca="1" ref="P236" ca="1">INDEX($A$2:$A$15,RANDBETWEEN(1,ROWS($A$2:$A$15)),1)</f>
        <v>4</v>
      </c>
      <c r="Q236" cm="1">
        <f t="array" aca="1" ref="Q236" ca="1">INDEX($A$2:$A$15,RANDBETWEEN(1,ROWS($A$2:$A$15)),1)</f>
        <v>1</v>
      </c>
      <c r="R236" cm="1">
        <f t="array" aca="1" ref="R236" ca="1">INDEX($A$2:$A$15,RANDBETWEEN(1,ROWS($A$2:$A$15)),1)</f>
        <v>4</v>
      </c>
      <c r="S236" cm="1">
        <f t="array" aca="1" ref="S236" ca="1">INDEX($A$2:$A$15,RANDBETWEEN(1,ROWS($A$2:$A$15)),1)</f>
        <v>8</v>
      </c>
      <c r="V236">
        <f t="shared" ca="1" si="12"/>
        <v>4.1764705882352944</v>
      </c>
      <c r="W236">
        <f t="shared" ca="1" si="13"/>
        <v>4</v>
      </c>
      <c r="X236">
        <f t="shared" ca="1" si="14"/>
        <v>2</v>
      </c>
      <c r="Y236">
        <f t="shared" ca="1" si="15"/>
        <v>2.2976970567735608</v>
      </c>
    </row>
    <row r="237" spans="3:25" x14ac:dyDescent="0.35">
      <c r="C237" cm="1">
        <f t="array" aca="1" ref="C237" ca="1">INDEX($A$2:$A$15,RANDBETWEEN(1,ROWS($A$2:$A$15)),1)</f>
        <v>5</v>
      </c>
      <c r="D237" cm="1">
        <f t="array" aca="1" ref="D237" ca="1">INDEX($A$2:$A$15,RANDBETWEEN(1,ROWS($A$2:$A$15)),1)</f>
        <v>1</v>
      </c>
      <c r="E237" cm="1">
        <f t="array" aca="1" ref="E237" ca="1">INDEX($A$2:$A$15,RANDBETWEEN(1,ROWS($A$2:$A$15)),1)</f>
        <v>8</v>
      </c>
      <c r="F237" cm="1">
        <f t="array" aca="1" ref="F237" ca="1">INDEX($A$2:$A$15,RANDBETWEEN(1,ROWS($A$2:$A$15)),1)</f>
        <v>5</v>
      </c>
      <c r="G237" cm="1">
        <f t="array" aca="1" ref="G237" ca="1">INDEX($A$2:$A$15,RANDBETWEEN(1,ROWS($A$2:$A$15)),1)</f>
        <v>3</v>
      </c>
      <c r="H237" cm="1">
        <f t="array" aca="1" ref="H237" ca="1">INDEX($A$2:$A$15,RANDBETWEEN(1,ROWS($A$2:$A$15)),1)</f>
        <v>3</v>
      </c>
      <c r="I237" cm="1">
        <f t="array" aca="1" ref="I237" ca="1">INDEX($A$2:$A$15,RANDBETWEEN(1,ROWS($A$2:$A$15)),1)</f>
        <v>4</v>
      </c>
      <c r="J237" cm="1">
        <f t="array" aca="1" ref="J237" ca="1">INDEX($A$2:$A$15,RANDBETWEEN(1,ROWS($A$2:$A$15)),1)</f>
        <v>5</v>
      </c>
      <c r="K237" cm="1">
        <f t="array" aca="1" ref="K237" ca="1">INDEX($A$2:$A$15,RANDBETWEEN(1,ROWS($A$2:$A$15)),1)</f>
        <v>1</v>
      </c>
      <c r="L237" cm="1">
        <f t="array" aca="1" ref="L237" ca="1">INDEX($A$2:$A$15,RANDBETWEEN(1,ROWS($A$2:$A$15)),1)</f>
        <v>3</v>
      </c>
      <c r="M237" cm="1">
        <f t="array" aca="1" ref="M237" ca="1">INDEX($A$2:$A$15,RANDBETWEEN(1,ROWS($A$2:$A$15)),1)</f>
        <v>8</v>
      </c>
      <c r="N237" cm="1">
        <f t="array" aca="1" ref="N237" ca="1">INDEX($A$2:$A$15,RANDBETWEEN(1,ROWS($A$2:$A$15)),1)</f>
        <v>5</v>
      </c>
      <c r="O237" cm="1">
        <f t="array" aca="1" ref="O237" ca="1">INDEX($A$2:$A$15,RANDBETWEEN(1,ROWS($A$2:$A$15)),1)</f>
        <v>4</v>
      </c>
      <c r="P237" cm="1">
        <f t="array" aca="1" ref="P237" ca="1">INDEX($A$2:$A$15,RANDBETWEEN(1,ROWS($A$2:$A$15)),1)</f>
        <v>8</v>
      </c>
      <c r="Q237" cm="1">
        <f t="array" aca="1" ref="Q237" ca="1">INDEX($A$2:$A$15,RANDBETWEEN(1,ROWS($A$2:$A$15)),1)</f>
        <v>3</v>
      </c>
      <c r="R237" cm="1">
        <f t="array" aca="1" ref="R237" ca="1">INDEX($A$2:$A$15,RANDBETWEEN(1,ROWS($A$2:$A$15)),1)</f>
        <v>1</v>
      </c>
      <c r="S237" cm="1">
        <f t="array" aca="1" ref="S237" ca="1">INDEX($A$2:$A$15,RANDBETWEEN(1,ROWS($A$2:$A$15)),1)</f>
        <v>7</v>
      </c>
      <c r="V237">
        <f t="shared" ca="1" si="12"/>
        <v>4.3529411764705879</v>
      </c>
      <c r="W237">
        <f t="shared" ca="1" si="13"/>
        <v>4</v>
      </c>
      <c r="X237">
        <f t="shared" ca="1" si="14"/>
        <v>2</v>
      </c>
      <c r="Y237">
        <f t="shared" ca="1" si="15"/>
        <v>2.3701576021065622</v>
      </c>
    </row>
    <row r="238" spans="3:25" x14ac:dyDescent="0.35">
      <c r="C238" cm="1">
        <f t="array" aca="1" ref="C238" ca="1">INDEX($A$2:$A$15,RANDBETWEEN(1,ROWS($A$2:$A$15)),1)</f>
        <v>7</v>
      </c>
      <c r="D238" cm="1">
        <f t="array" aca="1" ref="D238" ca="1">INDEX($A$2:$A$15,RANDBETWEEN(1,ROWS($A$2:$A$15)),1)</f>
        <v>5</v>
      </c>
      <c r="E238" cm="1">
        <f t="array" aca="1" ref="E238" ca="1">INDEX($A$2:$A$15,RANDBETWEEN(1,ROWS($A$2:$A$15)),1)</f>
        <v>7</v>
      </c>
      <c r="F238" cm="1">
        <f t="array" aca="1" ref="F238" ca="1">INDEX($A$2:$A$15,RANDBETWEEN(1,ROWS($A$2:$A$15)),1)</f>
        <v>5</v>
      </c>
      <c r="G238" cm="1">
        <f t="array" aca="1" ref="G238" ca="1">INDEX($A$2:$A$15,RANDBETWEEN(1,ROWS($A$2:$A$15)),1)</f>
        <v>8</v>
      </c>
      <c r="H238" cm="1">
        <f t="array" aca="1" ref="H238" ca="1">INDEX($A$2:$A$15,RANDBETWEEN(1,ROWS($A$2:$A$15)),1)</f>
        <v>1</v>
      </c>
      <c r="I238" cm="1">
        <f t="array" aca="1" ref="I238" ca="1">INDEX($A$2:$A$15,RANDBETWEEN(1,ROWS($A$2:$A$15)),1)</f>
        <v>7</v>
      </c>
      <c r="J238" cm="1">
        <f t="array" aca="1" ref="J238" ca="1">INDEX($A$2:$A$15,RANDBETWEEN(1,ROWS($A$2:$A$15)),1)</f>
        <v>5</v>
      </c>
      <c r="K238" cm="1">
        <f t="array" aca="1" ref="K238" ca="1">INDEX($A$2:$A$15,RANDBETWEEN(1,ROWS($A$2:$A$15)),1)</f>
        <v>8</v>
      </c>
      <c r="L238" cm="1">
        <f t="array" aca="1" ref="L238" ca="1">INDEX($A$2:$A$15,RANDBETWEEN(1,ROWS($A$2:$A$15)),1)</f>
        <v>5</v>
      </c>
      <c r="M238" cm="1">
        <f t="array" aca="1" ref="M238" ca="1">INDEX($A$2:$A$15,RANDBETWEEN(1,ROWS($A$2:$A$15)),1)</f>
        <v>3</v>
      </c>
      <c r="N238" cm="1">
        <f t="array" aca="1" ref="N238" ca="1">INDEX($A$2:$A$15,RANDBETWEEN(1,ROWS($A$2:$A$15)),1)</f>
        <v>3</v>
      </c>
      <c r="O238" cm="1">
        <f t="array" aca="1" ref="O238" ca="1">INDEX($A$2:$A$15,RANDBETWEEN(1,ROWS($A$2:$A$15)),1)</f>
        <v>5</v>
      </c>
      <c r="P238" cm="1">
        <f t="array" aca="1" ref="P238" ca="1">INDEX($A$2:$A$15,RANDBETWEEN(1,ROWS($A$2:$A$15)),1)</f>
        <v>7</v>
      </c>
      <c r="Q238" cm="1">
        <f t="array" aca="1" ref="Q238" ca="1">INDEX($A$2:$A$15,RANDBETWEEN(1,ROWS($A$2:$A$15)),1)</f>
        <v>3</v>
      </c>
      <c r="R238" cm="1">
        <f t="array" aca="1" ref="R238" ca="1">INDEX($A$2:$A$15,RANDBETWEEN(1,ROWS($A$2:$A$15)),1)</f>
        <v>5</v>
      </c>
      <c r="S238" cm="1">
        <f t="array" aca="1" ref="S238" ca="1">INDEX($A$2:$A$15,RANDBETWEEN(1,ROWS($A$2:$A$15)),1)</f>
        <v>8</v>
      </c>
      <c r="V238">
        <f t="shared" ca="1" si="12"/>
        <v>5.4117647058823533</v>
      </c>
      <c r="W238">
        <f t="shared" ca="1" si="13"/>
        <v>5</v>
      </c>
      <c r="X238">
        <f t="shared" ca="1" si="14"/>
        <v>2</v>
      </c>
      <c r="Y238">
        <f t="shared" ca="1" si="15"/>
        <v>2.0633353923142188</v>
      </c>
    </row>
    <row r="239" spans="3:25" x14ac:dyDescent="0.35">
      <c r="C239" cm="1">
        <f t="array" aca="1" ref="C239" ca="1">INDEX($A$2:$A$15,RANDBETWEEN(1,ROWS($A$2:$A$15)),1)</f>
        <v>5</v>
      </c>
      <c r="D239" cm="1">
        <f t="array" aca="1" ref="D239" ca="1">INDEX($A$2:$A$15,RANDBETWEEN(1,ROWS($A$2:$A$15)),1)</f>
        <v>3</v>
      </c>
      <c r="E239" cm="1">
        <f t="array" aca="1" ref="E239" ca="1">INDEX($A$2:$A$15,RANDBETWEEN(1,ROWS($A$2:$A$15)),1)</f>
        <v>4</v>
      </c>
      <c r="F239" cm="1">
        <f t="array" aca="1" ref="F239" ca="1">INDEX($A$2:$A$15,RANDBETWEEN(1,ROWS($A$2:$A$15)),1)</f>
        <v>7</v>
      </c>
      <c r="G239" cm="1">
        <f t="array" aca="1" ref="G239" ca="1">INDEX($A$2:$A$15,RANDBETWEEN(1,ROWS($A$2:$A$15)),1)</f>
        <v>1</v>
      </c>
      <c r="H239" cm="1">
        <f t="array" aca="1" ref="H239" ca="1">INDEX($A$2:$A$15,RANDBETWEEN(1,ROWS($A$2:$A$15)),1)</f>
        <v>3</v>
      </c>
      <c r="I239" cm="1">
        <f t="array" aca="1" ref="I239" ca="1">INDEX($A$2:$A$15,RANDBETWEEN(1,ROWS($A$2:$A$15)),1)</f>
        <v>4</v>
      </c>
      <c r="J239" cm="1">
        <f t="array" aca="1" ref="J239" ca="1">INDEX($A$2:$A$15,RANDBETWEEN(1,ROWS($A$2:$A$15)),1)</f>
        <v>8</v>
      </c>
      <c r="K239" cm="1">
        <f t="array" aca="1" ref="K239" ca="1">INDEX($A$2:$A$15,RANDBETWEEN(1,ROWS($A$2:$A$15)),1)</f>
        <v>3</v>
      </c>
      <c r="L239" cm="1">
        <f t="array" aca="1" ref="L239" ca="1">INDEX($A$2:$A$15,RANDBETWEEN(1,ROWS($A$2:$A$15)),1)</f>
        <v>7</v>
      </c>
      <c r="M239" cm="1">
        <f t="array" aca="1" ref="M239" ca="1">INDEX($A$2:$A$15,RANDBETWEEN(1,ROWS($A$2:$A$15)),1)</f>
        <v>2</v>
      </c>
      <c r="N239" cm="1">
        <f t="array" aca="1" ref="N239" ca="1">INDEX($A$2:$A$15,RANDBETWEEN(1,ROWS($A$2:$A$15)),1)</f>
        <v>5</v>
      </c>
      <c r="O239" cm="1">
        <f t="array" aca="1" ref="O239" ca="1">INDEX($A$2:$A$15,RANDBETWEEN(1,ROWS($A$2:$A$15)),1)</f>
        <v>1</v>
      </c>
      <c r="P239" cm="1">
        <f t="array" aca="1" ref="P239" ca="1">INDEX($A$2:$A$15,RANDBETWEEN(1,ROWS($A$2:$A$15)),1)</f>
        <v>3</v>
      </c>
      <c r="Q239" cm="1">
        <f t="array" aca="1" ref="Q239" ca="1">INDEX($A$2:$A$15,RANDBETWEEN(1,ROWS($A$2:$A$15)),1)</f>
        <v>3</v>
      </c>
      <c r="R239" cm="1">
        <f t="array" aca="1" ref="R239" ca="1">INDEX($A$2:$A$15,RANDBETWEEN(1,ROWS($A$2:$A$15)),1)</f>
        <v>3</v>
      </c>
      <c r="S239" cm="1">
        <f t="array" aca="1" ref="S239" ca="1">INDEX($A$2:$A$15,RANDBETWEEN(1,ROWS($A$2:$A$15)),1)</f>
        <v>4</v>
      </c>
      <c r="V239">
        <f t="shared" ca="1" si="12"/>
        <v>3.8823529411764706</v>
      </c>
      <c r="W239">
        <f t="shared" ca="1" si="13"/>
        <v>3</v>
      </c>
      <c r="X239">
        <f t="shared" ca="1" si="14"/>
        <v>2</v>
      </c>
      <c r="Y239">
        <f t="shared" ca="1" si="15"/>
        <v>1.9963201440768608</v>
      </c>
    </row>
    <row r="240" spans="3:25" x14ac:dyDescent="0.35">
      <c r="C240" cm="1">
        <f t="array" aca="1" ref="C240" ca="1">INDEX($A$2:$A$15,RANDBETWEEN(1,ROWS($A$2:$A$15)),1)</f>
        <v>1</v>
      </c>
      <c r="D240" cm="1">
        <f t="array" aca="1" ref="D240" ca="1">INDEX($A$2:$A$15,RANDBETWEEN(1,ROWS($A$2:$A$15)),1)</f>
        <v>3</v>
      </c>
      <c r="E240" cm="1">
        <f t="array" aca="1" ref="E240" ca="1">INDEX($A$2:$A$15,RANDBETWEEN(1,ROWS($A$2:$A$15)),1)</f>
        <v>7</v>
      </c>
      <c r="F240" cm="1">
        <f t="array" aca="1" ref="F240" ca="1">INDEX($A$2:$A$15,RANDBETWEEN(1,ROWS($A$2:$A$15)),1)</f>
        <v>1</v>
      </c>
      <c r="G240" cm="1">
        <f t="array" aca="1" ref="G240" ca="1">INDEX($A$2:$A$15,RANDBETWEEN(1,ROWS($A$2:$A$15)),1)</f>
        <v>1</v>
      </c>
      <c r="H240" cm="1">
        <f t="array" aca="1" ref="H240" ca="1">INDEX($A$2:$A$15,RANDBETWEEN(1,ROWS($A$2:$A$15)),1)</f>
        <v>1</v>
      </c>
      <c r="I240" cm="1">
        <f t="array" aca="1" ref="I240" ca="1">INDEX($A$2:$A$15,RANDBETWEEN(1,ROWS($A$2:$A$15)),1)</f>
        <v>5</v>
      </c>
      <c r="J240" cm="1">
        <f t="array" aca="1" ref="J240" ca="1">INDEX($A$2:$A$15,RANDBETWEEN(1,ROWS($A$2:$A$15)),1)</f>
        <v>1</v>
      </c>
      <c r="K240" cm="1">
        <f t="array" aca="1" ref="K240" ca="1">INDEX($A$2:$A$15,RANDBETWEEN(1,ROWS($A$2:$A$15)),1)</f>
        <v>1</v>
      </c>
      <c r="L240" cm="1">
        <f t="array" aca="1" ref="L240" ca="1">INDEX($A$2:$A$15,RANDBETWEEN(1,ROWS($A$2:$A$15)),1)</f>
        <v>1</v>
      </c>
      <c r="M240" cm="1">
        <f t="array" aca="1" ref="M240" ca="1">INDEX($A$2:$A$15,RANDBETWEEN(1,ROWS($A$2:$A$15)),1)</f>
        <v>1</v>
      </c>
      <c r="N240" cm="1">
        <f t="array" aca="1" ref="N240" ca="1">INDEX($A$2:$A$15,RANDBETWEEN(1,ROWS($A$2:$A$15)),1)</f>
        <v>5</v>
      </c>
      <c r="O240" cm="1">
        <f t="array" aca="1" ref="O240" ca="1">INDEX($A$2:$A$15,RANDBETWEEN(1,ROWS($A$2:$A$15)),1)</f>
        <v>2</v>
      </c>
      <c r="P240" cm="1">
        <f t="array" aca="1" ref="P240" ca="1">INDEX($A$2:$A$15,RANDBETWEEN(1,ROWS($A$2:$A$15)),1)</f>
        <v>4</v>
      </c>
      <c r="Q240" cm="1">
        <f t="array" aca="1" ref="Q240" ca="1">INDEX($A$2:$A$15,RANDBETWEEN(1,ROWS($A$2:$A$15)),1)</f>
        <v>5</v>
      </c>
      <c r="R240" cm="1">
        <f t="array" aca="1" ref="R240" ca="1">INDEX($A$2:$A$15,RANDBETWEEN(1,ROWS($A$2:$A$15)),1)</f>
        <v>1</v>
      </c>
      <c r="S240" cm="1">
        <f t="array" aca="1" ref="S240" ca="1">INDEX($A$2:$A$15,RANDBETWEEN(1,ROWS($A$2:$A$15)),1)</f>
        <v>5</v>
      </c>
      <c r="V240">
        <f t="shared" ca="1" si="12"/>
        <v>2.6470588235294117</v>
      </c>
      <c r="W240">
        <f t="shared" ca="1" si="13"/>
        <v>1</v>
      </c>
      <c r="X240">
        <f t="shared" ca="1" si="14"/>
        <v>4</v>
      </c>
      <c r="Y240">
        <f t="shared" ca="1" si="15"/>
        <v>2.059768690611528</v>
      </c>
    </row>
    <row r="241" spans="3:25" x14ac:dyDescent="0.35">
      <c r="C241" cm="1">
        <f t="array" aca="1" ref="C241" ca="1">INDEX($A$2:$A$15,RANDBETWEEN(1,ROWS($A$2:$A$15)),1)</f>
        <v>8</v>
      </c>
      <c r="D241" cm="1">
        <f t="array" aca="1" ref="D241" ca="1">INDEX($A$2:$A$15,RANDBETWEEN(1,ROWS($A$2:$A$15)),1)</f>
        <v>3</v>
      </c>
      <c r="E241" cm="1">
        <f t="array" aca="1" ref="E241" ca="1">INDEX($A$2:$A$15,RANDBETWEEN(1,ROWS($A$2:$A$15)),1)</f>
        <v>4</v>
      </c>
      <c r="F241" cm="1">
        <f t="array" aca="1" ref="F241" ca="1">INDEX($A$2:$A$15,RANDBETWEEN(1,ROWS($A$2:$A$15)),1)</f>
        <v>4</v>
      </c>
      <c r="G241" cm="1">
        <f t="array" aca="1" ref="G241" ca="1">INDEX($A$2:$A$15,RANDBETWEEN(1,ROWS($A$2:$A$15)),1)</f>
        <v>7</v>
      </c>
      <c r="H241" cm="1">
        <f t="array" aca="1" ref="H241" ca="1">INDEX($A$2:$A$15,RANDBETWEEN(1,ROWS($A$2:$A$15)),1)</f>
        <v>5</v>
      </c>
      <c r="I241" cm="1">
        <f t="array" aca="1" ref="I241" ca="1">INDEX($A$2:$A$15,RANDBETWEEN(1,ROWS($A$2:$A$15)),1)</f>
        <v>5</v>
      </c>
      <c r="J241" cm="1">
        <f t="array" aca="1" ref="J241" ca="1">INDEX($A$2:$A$15,RANDBETWEEN(1,ROWS($A$2:$A$15)),1)</f>
        <v>4</v>
      </c>
      <c r="K241" cm="1">
        <f t="array" aca="1" ref="K241" ca="1">INDEX($A$2:$A$15,RANDBETWEEN(1,ROWS($A$2:$A$15)),1)</f>
        <v>3</v>
      </c>
      <c r="L241" cm="1">
        <f t="array" aca="1" ref="L241" ca="1">INDEX($A$2:$A$15,RANDBETWEEN(1,ROWS($A$2:$A$15)),1)</f>
        <v>7</v>
      </c>
      <c r="M241" cm="1">
        <f t="array" aca="1" ref="M241" ca="1">INDEX($A$2:$A$15,RANDBETWEEN(1,ROWS($A$2:$A$15)),1)</f>
        <v>5</v>
      </c>
      <c r="N241" cm="1">
        <f t="array" aca="1" ref="N241" ca="1">INDEX($A$2:$A$15,RANDBETWEEN(1,ROWS($A$2:$A$15)),1)</f>
        <v>5</v>
      </c>
      <c r="O241" cm="1">
        <f t="array" aca="1" ref="O241" ca="1">INDEX($A$2:$A$15,RANDBETWEEN(1,ROWS($A$2:$A$15)),1)</f>
        <v>5</v>
      </c>
      <c r="P241" cm="1">
        <f t="array" aca="1" ref="P241" ca="1">INDEX($A$2:$A$15,RANDBETWEEN(1,ROWS($A$2:$A$15)),1)</f>
        <v>5</v>
      </c>
      <c r="Q241" cm="1">
        <f t="array" aca="1" ref="Q241" ca="1">INDEX($A$2:$A$15,RANDBETWEEN(1,ROWS($A$2:$A$15)),1)</f>
        <v>4</v>
      </c>
      <c r="R241" cm="1">
        <f t="array" aca="1" ref="R241" ca="1">INDEX($A$2:$A$15,RANDBETWEEN(1,ROWS($A$2:$A$15)),1)</f>
        <v>4</v>
      </c>
      <c r="S241" cm="1">
        <f t="array" aca="1" ref="S241" ca="1">INDEX($A$2:$A$15,RANDBETWEEN(1,ROWS($A$2:$A$15)),1)</f>
        <v>1</v>
      </c>
      <c r="V241">
        <f t="shared" ca="1" si="12"/>
        <v>4.6470588235294121</v>
      </c>
      <c r="W241">
        <f t="shared" ca="1" si="13"/>
        <v>5</v>
      </c>
      <c r="X241">
        <f t="shared" ca="1" si="14"/>
        <v>1</v>
      </c>
      <c r="Y241">
        <f t="shared" ca="1" si="15"/>
        <v>1.6560939160637989</v>
      </c>
    </row>
    <row r="242" spans="3:25" x14ac:dyDescent="0.35">
      <c r="C242" cm="1">
        <f t="array" aca="1" ref="C242" ca="1">INDEX($A$2:$A$15,RANDBETWEEN(1,ROWS($A$2:$A$15)),1)</f>
        <v>1</v>
      </c>
      <c r="D242" cm="1">
        <f t="array" aca="1" ref="D242" ca="1">INDEX($A$2:$A$15,RANDBETWEEN(1,ROWS($A$2:$A$15)),1)</f>
        <v>3</v>
      </c>
      <c r="E242" cm="1">
        <f t="array" aca="1" ref="E242" ca="1">INDEX($A$2:$A$15,RANDBETWEEN(1,ROWS($A$2:$A$15)),1)</f>
        <v>1</v>
      </c>
      <c r="F242" cm="1">
        <f t="array" aca="1" ref="F242" ca="1">INDEX($A$2:$A$15,RANDBETWEEN(1,ROWS($A$2:$A$15)),1)</f>
        <v>1</v>
      </c>
      <c r="G242" cm="1">
        <f t="array" aca="1" ref="G242" ca="1">INDEX($A$2:$A$15,RANDBETWEEN(1,ROWS($A$2:$A$15)),1)</f>
        <v>8</v>
      </c>
      <c r="H242" cm="1">
        <f t="array" aca="1" ref="H242" ca="1">INDEX($A$2:$A$15,RANDBETWEEN(1,ROWS($A$2:$A$15)),1)</f>
        <v>7</v>
      </c>
      <c r="I242" cm="1">
        <f t="array" aca="1" ref="I242" ca="1">INDEX($A$2:$A$15,RANDBETWEEN(1,ROWS($A$2:$A$15)),1)</f>
        <v>7</v>
      </c>
      <c r="J242" cm="1">
        <f t="array" aca="1" ref="J242" ca="1">INDEX($A$2:$A$15,RANDBETWEEN(1,ROWS($A$2:$A$15)),1)</f>
        <v>5</v>
      </c>
      <c r="K242" cm="1">
        <f t="array" aca="1" ref="K242" ca="1">INDEX($A$2:$A$15,RANDBETWEEN(1,ROWS($A$2:$A$15)),1)</f>
        <v>8</v>
      </c>
      <c r="L242" cm="1">
        <f t="array" aca="1" ref="L242" ca="1">INDEX($A$2:$A$15,RANDBETWEEN(1,ROWS($A$2:$A$15)),1)</f>
        <v>1</v>
      </c>
      <c r="M242" cm="1">
        <f t="array" aca="1" ref="M242" ca="1">INDEX($A$2:$A$15,RANDBETWEEN(1,ROWS($A$2:$A$15)),1)</f>
        <v>8</v>
      </c>
      <c r="N242" cm="1">
        <f t="array" aca="1" ref="N242" ca="1">INDEX($A$2:$A$15,RANDBETWEEN(1,ROWS($A$2:$A$15)),1)</f>
        <v>1</v>
      </c>
      <c r="O242" cm="1">
        <f t="array" aca="1" ref="O242" ca="1">INDEX($A$2:$A$15,RANDBETWEEN(1,ROWS($A$2:$A$15)),1)</f>
        <v>1</v>
      </c>
      <c r="P242" cm="1">
        <f t="array" aca="1" ref="P242" ca="1">INDEX($A$2:$A$15,RANDBETWEEN(1,ROWS($A$2:$A$15)),1)</f>
        <v>8</v>
      </c>
      <c r="Q242" cm="1">
        <f t="array" aca="1" ref="Q242" ca="1">INDEX($A$2:$A$15,RANDBETWEEN(1,ROWS($A$2:$A$15)),1)</f>
        <v>3</v>
      </c>
      <c r="R242" cm="1">
        <f t="array" aca="1" ref="R242" ca="1">INDEX($A$2:$A$15,RANDBETWEEN(1,ROWS($A$2:$A$15)),1)</f>
        <v>8</v>
      </c>
      <c r="S242" cm="1">
        <f t="array" aca="1" ref="S242" ca="1">INDEX($A$2:$A$15,RANDBETWEEN(1,ROWS($A$2:$A$15)),1)</f>
        <v>7</v>
      </c>
      <c r="V242">
        <f t="shared" ca="1" si="12"/>
        <v>4.5882352941176467</v>
      </c>
      <c r="W242">
        <f t="shared" ca="1" si="13"/>
        <v>5</v>
      </c>
      <c r="X242">
        <f t="shared" ca="1" si="14"/>
        <v>7</v>
      </c>
      <c r="Y242">
        <f t="shared" ca="1" si="15"/>
        <v>3.1436209919735032</v>
      </c>
    </row>
    <row r="243" spans="3:25" x14ac:dyDescent="0.35">
      <c r="C243" cm="1">
        <f t="array" aca="1" ref="C243" ca="1">INDEX($A$2:$A$15,RANDBETWEEN(1,ROWS($A$2:$A$15)),1)</f>
        <v>4</v>
      </c>
      <c r="D243" cm="1">
        <f t="array" aca="1" ref="D243" ca="1">INDEX($A$2:$A$15,RANDBETWEEN(1,ROWS($A$2:$A$15)),1)</f>
        <v>1</v>
      </c>
      <c r="E243" cm="1">
        <f t="array" aca="1" ref="E243" ca="1">INDEX($A$2:$A$15,RANDBETWEEN(1,ROWS($A$2:$A$15)),1)</f>
        <v>3</v>
      </c>
      <c r="F243" cm="1">
        <f t="array" aca="1" ref="F243" ca="1">INDEX($A$2:$A$15,RANDBETWEEN(1,ROWS($A$2:$A$15)),1)</f>
        <v>1</v>
      </c>
      <c r="G243" cm="1">
        <f t="array" aca="1" ref="G243" ca="1">INDEX($A$2:$A$15,RANDBETWEEN(1,ROWS($A$2:$A$15)),1)</f>
        <v>5</v>
      </c>
      <c r="H243" cm="1">
        <f t="array" aca="1" ref="H243" ca="1">INDEX($A$2:$A$15,RANDBETWEEN(1,ROWS($A$2:$A$15)),1)</f>
        <v>3</v>
      </c>
      <c r="I243" cm="1">
        <f t="array" aca="1" ref="I243" ca="1">INDEX($A$2:$A$15,RANDBETWEEN(1,ROWS($A$2:$A$15)),1)</f>
        <v>7</v>
      </c>
      <c r="J243" cm="1">
        <f t="array" aca="1" ref="J243" ca="1">INDEX($A$2:$A$15,RANDBETWEEN(1,ROWS($A$2:$A$15)),1)</f>
        <v>2</v>
      </c>
      <c r="K243" cm="1">
        <f t="array" aca="1" ref="K243" ca="1">INDEX($A$2:$A$15,RANDBETWEEN(1,ROWS($A$2:$A$15)),1)</f>
        <v>5</v>
      </c>
      <c r="L243" cm="1">
        <f t="array" aca="1" ref="L243" ca="1">INDEX($A$2:$A$15,RANDBETWEEN(1,ROWS($A$2:$A$15)),1)</f>
        <v>1</v>
      </c>
      <c r="M243" cm="1">
        <f t="array" aca="1" ref="M243" ca="1">INDEX($A$2:$A$15,RANDBETWEEN(1,ROWS($A$2:$A$15)),1)</f>
        <v>5</v>
      </c>
      <c r="N243" cm="1">
        <f t="array" aca="1" ref="N243" ca="1">INDEX($A$2:$A$15,RANDBETWEEN(1,ROWS($A$2:$A$15)),1)</f>
        <v>3</v>
      </c>
      <c r="O243" cm="1">
        <f t="array" aca="1" ref="O243" ca="1">INDEX($A$2:$A$15,RANDBETWEEN(1,ROWS($A$2:$A$15)),1)</f>
        <v>1</v>
      </c>
      <c r="P243" cm="1">
        <f t="array" aca="1" ref="P243" ca="1">INDEX($A$2:$A$15,RANDBETWEEN(1,ROWS($A$2:$A$15)),1)</f>
        <v>1</v>
      </c>
      <c r="Q243" cm="1">
        <f t="array" aca="1" ref="Q243" ca="1">INDEX($A$2:$A$15,RANDBETWEEN(1,ROWS($A$2:$A$15)),1)</f>
        <v>3</v>
      </c>
      <c r="R243" cm="1">
        <f t="array" aca="1" ref="R243" ca="1">INDEX($A$2:$A$15,RANDBETWEEN(1,ROWS($A$2:$A$15)),1)</f>
        <v>5</v>
      </c>
      <c r="S243" cm="1">
        <f t="array" aca="1" ref="S243" ca="1">INDEX($A$2:$A$15,RANDBETWEEN(1,ROWS($A$2:$A$15)),1)</f>
        <v>5</v>
      </c>
      <c r="V243">
        <f t="shared" ca="1" si="12"/>
        <v>3.2352941176470589</v>
      </c>
      <c r="W243">
        <f t="shared" ca="1" si="13"/>
        <v>3</v>
      </c>
      <c r="X243">
        <f t="shared" ca="1" si="14"/>
        <v>4</v>
      </c>
      <c r="Y243">
        <f t="shared" ca="1" si="15"/>
        <v>1.8884322785284717</v>
      </c>
    </row>
    <row r="244" spans="3:25" x14ac:dyDescent="0.35">
      <c r="C244" cm="1">
        <f t="array" aca="1" ref="C244" ca="1">INDEX($A$2:$A$15,RANDBETWEEN(1,ROWS($A$2:$A$15)),1)</f>
        <v>2</v>
      </c>
      <c r="D244" cm="1">
        <f t="array" aca="1" ref="D244" ca="1">INDEX($A$2:$A$15,RANDBETWEEN(1,ROWS($A$2:$A$15)),1)</f>
        <v>8</v>
      </c>
      <c r="E244" cm="1">
        <f t="array" aca="1" ref="E244" ca="1">INDEX($A$2:$A$15,RANDBETWEEN(1,ROWS($A$2:$A$15)),1)</f>
        <v>4</v>
      </c>
      <c r="F244" cm="1">
        <f t="array" aca="1" ref="F244" ca="1">INDEX($A$2:$A$15,RANDBETWEEN(1,ROWS($A$2:$A$15)),1)</f>
        <v>2</v>
      </c>
      <c r="G244" cm="1">
        <f t="array" aca="1" ref="G244" ca="1">INDEX($A$2:$A$15,RANDBETWEEN(1,ROWS($A$2:$A$15)),1)</f>
        <v>5</v>
      </c>
      <c r="H244" cm="1">
        <f t="array" aca="1" ref="H244" ca="1">INDEX($A$2:$A$15,RANDBETWEEN(1,ROWS($A$2:$A$15)),1)</f>
        <v>4</v>
      </c>
      <c r="I244" cm="1">
        <f t="array" aca="1" ref="I244" ca="1">INDEX($A$2:$A$15,RANDBETWEEN(1,ROWS($A$2:$A$15)),1)</f>
        <v>8</v>
      </c>
      <c r="J244" cm="1">
        <f t="array" aca="1" ref="J244" ca="1">INDEX($A$2:$A$15,RANDBETWEEN(1,ROWS($A$2:$A$15)),1)</f>
        <v>1</v>
      </c>
      <c r="K244" cm="1">
        <f t="array" aca="1" ref="K244" ca="1">INDEX($A$2:$A$15,RANDBETWEEN(1,ROWS($A$2:$A$15)),1)</f>
        <v>1</v>
      </c>
      <c r="L244" cm="1">
        <f t="array" aca="1" ref="L244" ca="1">INDEX($A$2:$A$15,RANDBETWEEN(1,ROWS($A$2:$A$15)),1)</f>
        <v>1</v>
      </c>
      <c r="M244" cm="1">
        <f t="array" aca="1" ref="M244" ca="1">INDEX($A$2:$A$15,RANDBETWEEN(1,ROWS($A$2:$A$15)),1)</f>
        <v>5</v>
      </c>
      <c r="N244" cm="1">
        <f t="array" aca="1" ref="N244" ca="1">INDEX($A$2:$A$15,RANDBETWEEN(1,ROWS($A$2:$A$15)),1)</f>
        <v>1</v>
      </c>
      <c r="O244" cm="1">
        <f t="array" aca="1" ref="O244" ca="1">INDEX($A$2:$A$15,RANDBETWEEN(1,ROWS($A$2:$A$15)),1)</f>
        <v>3</v>
      </c>
      <c r="P244" cm="1">
        <f t="array" aca="1" ref="P244" ca="1">INDEX($A$2:$A$15,RANDBETWEEN(1,ROWS($A$2:$A$15)),1)</f>
        <v>4</v>
      </c>
      <c r="Q244" cm="1">
        <f t="array" aca="1" ref="Q244" ca="1">INDEX($A$2:$A$15,RANDBETWEEN(1,ROWS($A$2:$A$15)),1)</f>
        <v>5</v>
      </c>
      <c r="R244" cm="1">
        <f t="array" aca="1" ref="R244" ca="1">INDEX($A$2:$A$15,RANDBETWEEN(1,ROWS($A$2:$A$15)),1)</f>
        <v>7</v>
      </c>
      <c r="S244" cm="1">
        <f t="array" aca="1" ref="S244" ca="1">INDEX($A$2:$A$15,RANDBETWEEN(1,ROWS($A$2:$A$15)),1)</f>
        <v>3</v>
      </c>
      <c r="V244">
        <f t="shared" ca="1" si="12"/>
        <v>3.7647058823529411</v>
      </c>
      <c r="W244">
        <f t="shared" ca="1" si="13"/>
        <v>4</v>
      </c>
      <c r="X244">
        <f t="shared" ca="1" si="14"/>
        <v>3</v>
      </c>
      <c r="Y244">
        <f t="shared" ca="1" si="15"/>
        <v>2.3592745644770208</v>
      </c>
    </row>
    <row r="245" spans="3:25" x14ac:dyDescent="0.35">
      <c r="C245" cm="1">
        <f t="array" aca="1" ref="C245" ca="1">INDEX($A$2:$A$15,RANDBETWEEN(1,ROWS($A$2:$A$15)),1)</f>
        <v>5</v>
      </c>
      <c r="D245" cm="1">
        <f t="array" aca="1" ref="D245" ca="1">INDEX($A$2:$A$15,RANDBETWEEN(1,ROWS($A$2:$A$15)),1)</f>
        <v>1</v>
      </c>
      <c r="E245" cm="1">
        <f t="array" aca="1" ref="E245" ca="1">INDEX($A$2:$A$15,RANDBETWEEN(1,ROWS($A$2:$A$15)),1)</f>
        <v>4</v>
      </c>
      <c r="F245" cm="1">
        <f t="array" aca="1" ref="F245" ca="1">INDEX($A$2:$A$15,RANDBETWEEN(1,ROWS($A$2:$A$15)),1)</f>
        <v>1</v>
      </c>
      <c r="G245" cm="1">
        <f t="array" aca="1" ref="G245" ca="1">INDEX($A$2:$A$15,RANDBETWEEN(1,ROWS($A$2:$A$15)),1)</f>
        <v>5</v>
      </c>
      <c r="H245" cm="1">
        <f t="array" aca="1" ref="H245" ca="1">INDEX($A$2:$A$15,RANDBETWEEN(1,ROWS($A$2:$A$15)),1)</f>
        <v>4</v>
      </c>
      <c r="I245" cm="1">
        <f t="array" aca="1" ref="I245" ca="1">INDEX($A$2:$A$15,RANDBETWEEN(1,ROWS($A$2:$A$15)),1)</f>
        <v>5</v>
      </c>
      <c r="J245" cm="1">
        <f t="array" aca="1" ref="J245" ca="1">INDEX($A$2:$A$15,RANDBETWEEN(1,ROWS($A$2:$A$15)),1)</f>
        <v>2</v>
      </c>
      <c r="K245" cm="1">
        <f t="array" aca="1" ref="K245" ca="1">INDEX($A$2:$A$15,RANDBETWEEN(1,ROWS($A$2:$A$15)),1)</f>
        <v>5</v>
      </c>
      <c r="L245" cm="1">
        <f t="array" aca="1" ref="L245" ca="1">INDEX($A$2:$A$15,RANDBETWEEN(1,ROWS($A$2:$A$15)),1)</f>
        <v>4</v>
      </c>
      <c r="M245" cm="1">
        <f t="array" aca="1" ref="M245" ca="1">INDEX($A$2:$A$15,RANDBETWEEN(1,ROWS($A$2:$A$15)),1)</f>
        <v>1</v>
      </c>
      <c r="N245" cm="1">
        <f t="array" aca="1" ref="N245" ca="1">INDEX($A$2:$A$15,RANDBETWEEN(1,ROWS($A$2:$A$15)),1)</f>
        <v>3</v>
      </c>
      <c r="O245" cm="1">
        <f t="array" aca="1" ref="O245" ca="1">INDEX($A$2:$A$15,RANDBETWEEN(1,ROWS($A$2:$A$15)),1)</f>
        <v>3</v>
      </c>
      <c r="P245" cm="1">
        <f t="array" aca="1" ref="P245" ca="1">INDEX($A$2:$A$15,RANDBETWEEN(1,ROWS($A$2:$A$15)),1)</f>
        <v>1</v>
      </c>
      <c r="Q245" cm="1">
        <f t="array" aca="1" ref="Q245" ca="1">INDEX($A$2:$A$15,RANDBETWEEN(1,ROWS($A$2:$A$15)),1)</f>
        <v>5</v>
      </c>
      <c r="R245" cm="1">
        <f t="array" aca="1" ref="R245" ca="1">INDEX($A$2:$A$15,RANDBETWEEN(1,ROWS($A$2:$A$15)),1)</f>
        <v>5</v>
      </c>
      <c r="S245" cm="1">
        <f t="array" aca="1" ref="S245" ca="1">INDEX($A$2:$A$15,RANDBETWEEN(1,ROWS($A$2:$A$15)),1)</f>
        <v>5</v>
      </c>
      <c r="V245">
        <f t="shared" ca="1" si="12"/>
        <v>3.4705882352941178</v>
      </c>
      <c r="W245">
        <f t="shared" ca="1" si="13"/>
        <v>4</v>
      </c>
      <c r="X245">
        <f t="shared" ca="1" si="14"/>
        <v>3</v>
      </c>
      <c r="Y245">
        <f t="shared" ca="1" si="15"/>
        <v>1.662740473541479</v>
      </c>
    </row>
    <row r="246" spans="3:25" x14ac:dyDescent="0.35">
      <c r="C246" cm="1">
        <f t="array" aca="1" ref="C246" ca="1">INDEX($A$2:$A$15,RANDBETWEEN(1,ROWS($A$2:$A$15)),1)</f>
        <v>4</v>
      </c>
      <c r="D246" cm="1">
        <f t="array" aca="1" ref="D246" ca="1">INDEX($A$2:$A$15,RANDBETWEEN(1,ROWS($A$2:$A$15)),1)</f>
        <v>5</v>
      </c>
      <c r="E246" cm="1">
        <f t="array" aca="1" ref="E246" ca="1">INDEX($A$2:$A$15,RANDBETWEEN(1,ROWS($A$2:$A$15)),1)</f>
        <v>5</v>
      </c>
      <c r="F246" cm="1">
        <f t="array" aca="1" ref="F246" ca="1">INDEX($A$2:$A$15,RANDBETWEEN(1,ROWS($A$2:$A$15)),1)</f>
        <v>5</v>
      </c>
      <c r="G246" cm="1">
        <f t="array" aca="1" ref="G246" ca="1">INDEX($A$2:$A$15,RANDBETWEEN(1,ROWS($A$2:$A$15)),1)</f>
        <v>5</v>
      </c>
      <c r="H246" cm="1">
        <f t="array" aca="1" ref="H246" ca="1">INDEX($A$2:$A$15,RANDBETWEEN(1,ROWS($A$2:$A$15)),1)</f>
        <v>4</v>
      </c>
      <c r="I246" cm="1">
        <f t="array" aca="1" ref="I246" ca="1">INDEX($A$2:$A$15,RANDBETWEEN(1,ROWS($A$2:$A$15)),1)</f>
        <v>3</v>
      </c>
      <c r="J246" cm="1">
        <f t="array" aca="1" ref="J246" ca="1">INDEX($A$2:$A$15,RANDBETWEEN(1,ROWS($A$2:$A$15)),1)</f>
        <v>1</v>
      </c>
      <c r="K246" cm="1">
        <f t="array" aca="1" ref="K246" ca="1">INDEX($A$2:$A$15,RANDBETWEEN(1,ROWS($A$2:$A$15)),1)</f>
        <v>7</v>
      </c>
      <c r="L246" cm="1">
        <f t="array" aca="1" ref="L246" ca="1">INDEX($A$2:$A$15,RANDBETWEEN(1,ROWS($A$2:$A$15)),1)</f>
        <v>5</v>
      </c>
      <c r="M246" cm="1">
        <f t="array" aca="1" ref="M246" ca="1">INDEX($A$2:$A$15,RANDBETWEEN(1,ROWS($A$2:$A$15)),1)</f>
        <v>7</v>
      </c>
      <c r="N246" cm="1">
        <f t="array" aca="1" ref="N246" ca="1">INDEX($A$2:$A$15,RANDBETWEEN(1,ROWS($A$2:$A$15)),1)</f>
        <v>4</v>
      </c>
      <c r="O246" cm="1">
        <f t="array" aca="1" ref="O246" ca="1">INDEX($A$2:$A$15,RANDBETWEEN(1,ROWS($A$2:$A$15)),1)</f>
        <v>4</v>
      </c>
      <c r="P246" cm="1">
        <f t="array" aca="1" ref="P246" ca="1">INDEX($A$2:$A$15,RANDBETWEEN(1,ROWS($A$2:$A$15)),1)</f>
        <v>5</v>
      </c>
      <c r="Q246" cm="1">
        <f t="array" aca="1" ref="Q246" ca="1">INDEX($A$2:$A$15,RANDBETWEEN(1,ROWS($A$2:$A$15)),1)</f>
        <v>4</v>
      </c>
      <c r="R246" cm="1">
        <f t="array" aca="1" ref="R246" ca="1">INDEX($A$2:$A$15,RANDBETWEEN(1,ROWS($A$2:$A$15)),1)</f>
        <v>7</v>
      </c>
      <c r="S246" cm="1">
        <f t="array" aca="1" ref="S246" ca="1">INDEX($A$2:$A$15,RANDBETWEEN(1,ROWS($A$2:$A$15)),1)</f>
        <v>5</v>
      </c>
      <c r="V246">
        <f t="shared" ca="1" si="12"/>
        <v>4.7058823529411766</v>
      </c>
      <c r="W246">
        <f t="shared" ca="1" si="13"/>
        <v>5</v>
      </c>
      <c r="X246">
        <f t="shared" ca="1" si="14"/>
        <v>1</v>
      </c>
      <c r="Y246">
        <f t="shared" ca="1" si="15"/>
        <v>1.4901638283403995</v>
      </c>
    </row>
    <row r="247" spans="3:25" x14ac:dyDescent="0.35">
      <c r="C247" cm="1">
        <f t="array" aca="1" ref="C247" ca="1">INDEX($A$2:$A$15,RANDBETWEEN(1,ROWS($A$2:$A$15)),1)</f>
        <v>7</v>
      </c>
      <c r="D247" cm="1">
        <f t="array" aca="1" ref="D247" ca="1">INDEX($A$2:$A$15,RANDBETWEEN(1,ROWS($A$2:$A$15)),1)</f>
        <v>4</v>
      </c>
      <c r="E247" cm="1">
        <f t="array" aca="1" ref="E247" ca="1">INDEX($A$2:$A$15,RANDBETWEEN(1,ROWS($A$2:$A$15)),1)</f>
        <v>1</v>
      </c>
      <c r="F247" cm="1">
        <f t="array" aca="1" ref="F247" ca="1">INDEX($A$2:$A$15,RANDBETWEEN(1,ROWS($A$2:$A$15)),1)</f>
        <v>2</v>
      </c>
      <c r="G247" cm="1">
        <f t="array" aca="1" ref="G247" ca="1">INDEX($A$2:$A$15,RANDBETWEEN(1,ROWS($A$2:$A$15)),1)</f>
        <v>8</v>
      </c>
      <c r="H247" cm="1">
        <f t="array" aca="1" ref="H247" ca="1">INDEX($A$2:$A$15,RANDBETWEEN(1,ROWS($A$2:$A$15)),1)</f>
        <v>5</v>
      </c>
      <c r="I247" cm="1">
        <f t="array" aca="1" ref="I247" ca="1">INDEX($A$2:$A$15,RANDBETWEEN(1,ROWS($A$2:$A$15)),1)</f>
        <v>1</v>
      </c>
      <c r="J247" cm="1">
        <f t="array" aca="1" ref="J247" ca="1">INDEX($A$2:$A$15,RANDBETWEEN(1,ROWS($A$2:$A$15)),1)</f>
        <v>2</v>
      </c>
      <c r="K247" cm="1">
        <f t="array" aca="1" ref="K247" ca="1">INDEX($A$2:$A$15,RANDBETWEEN(1,ROWS($A$2:$A$15)),1)</f>
        <v>1</v>
      </c>
      <c r="L247" cm="1">
        <f t="array" aca="1" ref="L247" ca="1">INDEX($A$2:$A$15,RANDBETWEEN(1,ROWS($A$2:$A$15)),1)</f>
        <v>5</v>
      </c>
      <c r="M247" cm="1">
        <f t="array" aca="1" ref="M247" ca="1">INDEX($A$2:$A$15,RANDBETWEEN(1,ROWS($A$2:$A$15)),1)</f>
        <v>7</v>
      </c>
      <c r="N247" cm="1">
        <f t="array" aca="1" ref="N247" ca="1">INDEX($A$2:$A$15,RANDBETWEEN(1,ROWS($A$2:$A$15)),1)</f>
        <v>5</v>
      </c>
      <c r="O247" cm="1">
        <f t="array" aca="1" ref="O247" ca="1">INDEX($A$2:$A$15,RANDBETWEEN(1,ROWS($A$2:$A$15)),1)</f>
        <v>3</v>
      </c>
      <c r="P247" cm="1">
        <f t="array" aca="1" ref="P247" ca="1">INDEX($A$2:$A$15,RANDBETWEEN(1,ROWS($A$2:$A$15)),1)</f>
        <v>5</v>
      </c>
      <c r="Q247" cm="1">
        <f t="array" aca="1" ref="Q247" ca="1">INDEX($A$2:$A$15,RANDBETWEEN(1,ROWS($A$2:$A$15)),1)</f>
        <v>8</v>
      </c>
      <c r="R247" cm="1">
        <f t="array" aca="1" ref="R247" ca="1">INDEX($A$2:$A$15,RANDBETWEEN(1,ROWS($A$2:$A$15)),1)</f>
        <v>1</v>
      </c>
      <c r="S247" cm="1">
        <f t="array" aca="1" ref="S247" ca="1">INDEX($A$2:$A$15,RANDBETWEEN(1,ROWS($A$2:$A$15)),1)</f>
        <v>1</v>
      </c>
      <c r="V247">
        <f t="shared" ca="1" si="12"/>
        <v>3.8823529411764706</v>
      </c>
      <c r="W247">
        <f t="shared" ca="1" si="13"/>
        <v>4</v>
      </c>
      <c r="X247">
        <f t="shared" ca="1" si="14"/>
        <v>4</v>
      </c>
      <c r="Y247">
        <f t="shared" ca="1" si="15"/>
        <v>2.5952445198183267</v>
      </c>
    </row>
    <row r="248" spans="3:25" x14ac:dyDescent="0.35">
      <c r="C248" cm="1">
        <f t="array" aca="1" ref="C248" ca="1">INDEX($A$2:$A$15,RANDBETWEEN(1,ROWS($A$2:$A$15)),1)</f>
        <v>8</v>
      </c>
      <c r="D248" cm="1">
        <f t="array" aca="1" ref="D248" ca="1">INDEX($A$2:$A$15,RANDBETWEEN(1,ROWS($A$2:$A$15)),1)</f>
        <v>1</v>
      </c>
      <c r="E248" cm="1">
        <f t="array" aca="1" ref="E248" ca="1">INDEX($A$2:$A$15,RANDBETWEEN(1,ROWS($A$2:$A$15)),1)</f>
        <v>4</v>
      </c>
      <c r="F248" cm="1">
        <f t="array" aca="1" ref="F248" ca="1">INDEX($A$2:$A$15,RANDBETWEEN(1,ROWS($A$2:$A$15)),1)</f>
        <v>1</v>
      </c>
      <c r="G248" cm="1">
        <f t="array" aca="1" ref="G248" ca="1">INDEX($A$2:$A$15,RANDBETWEEN(1,ROWS($A$2:$A$15)),1)</f>
        <v>5</v>
      </c>
      <c r="H248" cm="1">
        <f t="array" aca="1" ref="H248" ca="1">INDEX($A$2:$A$15,RANDBETWEEN(1,ROWS($A$2:$A$15)),1)</f>
        <v>8</v>
      </c>
      <c r="I248" cm="1">
        <f t="array" aca="1" ref="I248" ca="1">INDEX($A$2:$A$15,RANDBETWEEN(1,ROWS($A$2:$A$15)),1)</f>
        <v>1</v>
      </c>
      <c r="J248" cm="1">
        <f t="array" aca="1" ref="J248" ca="1">INDEX($A$2:$A$15,RANDBETWEEN(1,ROWS($A$2:$A$15)),1)</f>
        <v>5</v>
      </c>
      <c r="K248" cm="1">
        <f t="array" aca="1" ref="K248" ca="1">INDEX($A$2:$A$15,RANDBETWEEN(1,ROWS($A$2:$A$15)),1)</f>
        <v>4</v>
      </c>
      <c r="L248" cm="1">
        <f t="array" aca="1" ref="L248" ca="1">INDEX($A$2:$A$15,RANDBETWEEN(1,ROWS($A$2:$A$15)),1)</f>
        <v>1</v>
      </c>
      <c r="M248" cm="1">
        <f t="array" aca="1" ref="M248" ca="1">INDEX($A$2:$A$15,RANDBETWEEN(1,ROWS($A$2:$A$15)),1)</f>
        <v>3</v>
      </c>
      <c r="N248" cm="1">
        <f t="array" aca="1" ref="N248" ca="1">INDEX($A$2:$A$15,RANDBETWEEN(1,ROWS($A$2:$A$15)),1)</f>
        <v>4</v>
      </c>
      <c r="O248" cm="1">
        <f t="array" aca="1" ref="O248" ca="1">INDEX($A$2:$A$15,RANDBETWEEN(1,ROWS($A$2:$A$15)),1)</f>
        <v>4</v>
      </c>
      <c r="P248" cm="1">
        <f t="array" aca="1" ref="P248" ca="1">INDEX($A$2:$A$15,RANDBETWEEN(1,ROWS($A$2:$A$15)),1)</f>
        <v>7</v>
      </c>
      <c r="Q248" cm="1">
        <f t="array" aca="1" ref="Q248" ca="1">INDEX($A$2:$A$15,RANDBETWEEN(1,ROWS($A$2:$A$15)),1)</f>
        <v>2</v>
      </c>
      <c r="R248" cm="1">
        <f t="array" aca="1" ref="R248" ca="1">INDEX($A$2:$A$15,RANDBETWEEN(1,ROWS($A$2:$A$15)),1)</f>
        <v>4</v>
      </c>
      <c r="S248" cm="1">
        <f t="array" aca="1" ref="S248" ca="1">INDEX($A$2:$A$15,RANDBETWEEN(1,ROWS($A$2:$A$15)),1)</f>
        <v>4</v>
      </c>
      <c r="V248">
        <f t="shared" ca="1" si="12"/>
        <v>3.8823529411764706</v>
      </c>
      <c r="W248">
        <f t="shared" ca="1" si="13"/>
        <v>4</v>
      </c>
      <c r="X248">
        <f t="shared" ca="1" si="14"/>
        <v>3</v>
      </c>
      <c r="Y248">
        <f t="shared" ca="1" si="15"/>
        <v>2.2880765104443204</v>
      </c>
    </row>
    <row r="249" spans="3:25" x14ac:dyDescent="0.35">
      <c r="C249" cm="1">
        <f t="array" aca="1" ref="C249" ca="1">INDEX($A$2:$A$15,RANDBETWEEN(1,ROWS($A$2:$A$15)),1)</f>
        <v>8</v>
      </c>
      <c r="D249" cm="1">
        <f t="array" aca="1" ref="D249" ca="1">INDEX($A$2:$A$15,RANDBETWEEN(1,ROWS($A$2:$A$15)),1)</f>
        <v>4</v>
      </c>
      <c r="E249" cm="1">
        <f t="array" aca="1" ref="E249" ca="1">INDEX($A$2:$A$15,RANDBETWEEN(1,ROWS($A$2:$A$15)),1)</f>
        <v>4</v>
      </c>
      <c r="F249" cm="1">
        <f t="array" aca="1" ref="F249" ca="1">INDEX($A$2:$A$15,RANDBETWEEN(1,ROWS($A$2:$A$15)),1)</f>
        <v>4</v>
      </c>
      <c r="G249" cm="1">
        <f t="array" aca="1" ref="G249" ca="1">INDEX($A$2:$A$15,RANDBETWEEN(1,ROWS($A$2:$A$15)),1)</f>
        <v>2</v>
      </c>
      <c r="H249" cm="1">
        <f t="array" aca="1" ref="H249" ca="1">INDEX($A$2:$A$15,RANDBETWEEN(1,ROWS($A$2:$A$15)),1)</f>
        <v>3</v>
      </c>
      <c r="I249" cm="1">
        <f t="array" aca="1" ref="I249" ca="1">INDEX($A$2:$A$15,RANDBETWEEN(1,ROWS($A$2:$A$15)),1)</f>
        <v>3</v>
      </c>
      <c r="J249" cm="1">
        <f t="array" aca="1" ref="J249" ca="1">INDEX($A$2:$A$15,RANDBETWEEN(1,ROWS($A$2:$A$15)),1)</f>
        <v>5</v>
      </c>
      <c r="K249" cm="1">
        <f t="array" aca="1" ref="K249" ca="1">INDEX($A$2:$A$15,RANDBETWEEN(1,ROWS($A$2:$A$15)),1)</f>
        <v>4</v>
      </c>
      <c r="L249" cm="1">
        <f t="array" aca="1" ref="L249" ca="1">INDEX($A$2:$A$15,RANDBETWEEN(1,ROWS($A$2:$A$15)),1)</f>
        <v>1</v>
      </c>
      <c r="M249" cm="1">
        <f t="array" aca="1" ref="M249" ca="1">INDEX($A$2:$A$15,RANDBETWEEN(1,ROWS($A$2:$A$15)),1)</f>
        <v>4</v>
      </c>
      <c r="N249" cm="1">
        <f t="array" aca="1" ref="N249" ca="1">INDEX($A$2:$A$15,RANDBETWEEN(1,ROWS($A$2:$A$15)),1)</f>
        <v>5</v>
      </c>
      <c r="O249" cm="1">
        <f t="array" aca="1" ref="O249" ca="1">INDEX($A$2:$A$15,RANDBETWEEN(1,ROWS($A$2:$A$15)),1)</f>
        <v>5</v>
      </c>
      <c r="P249" cm="1">
        <f t="array" aca="1" ref="P249" ca="1">INDEX($A$2:$A$15,RANDBETWEEN(1,ROWS($A$2:$A$15)),1)</f>
        <v>7</v>
      </c>
      <c r="Q249" cm="1">
        <f t="array" aca="1" ref="Q249" ca="1">INDEX($A$2:$A$15,RANDBETWEEN(1,ROWS($A$2:$A$15)),1)</f>
        <v>4</v>
      </c>
      <c r="R249" cm="1">
        <f t="array" aca="1" ref="R249" ca="1">INDEX($A$2:$A$15,RANDBETWEEN(1,ROWS($A$2:$A$15)),1)</f>
        <v>3</v>
      </c>
      <c r="S249" cm="1">
        <f t="array" aca="1" ref="S249" ca="1">INDEX($A$2:$A$15,RANDBETWEEN(1,ROWS($A$2:$A$15)),1)</f>
        <v>7</v>
      </c>
      <c r="V249">
        <f t="shared" ca="1" si="12"/>
        <v>4.2941176470588234</v>
      </c>
      <c r="W249">
        <f t="shared" ca="1" si="13"/>
        <v>4</v>
      </c>
      <c r="X249">
        <f t="shared" ca="1" si="14"/>
        <v>2</v>
      </c>
      <c r="Y249">
        <f t="shared" ca="1" si="15"/>
        <v>1.794599742364329</v>
      </c>
    </row>
    <row r="250" spans="3:25" x14ac:dyDescent="0.35">
      <c r="C250" cm="1">
        <f t="array" aca="1" ref="C250" ca="1">INDEX($A$2:$A$15,RANDBETWEEN(1,ROWS($A$2:$A$15)),1)</f>
        <v>1</v>
      </c>
      <c r="D250" cm="1">
        <f t="array" aca="1" ref="D250" ca="1">INDEX($A$2:$A$15,RANDBETWEEN(1,ROWS($A$2:$A$15)),1)</f>
        <v>7</v>
      </c>
      <c r="E250" cm="1">
        <f t="array" aca="1" ref="E250" ca="1">INDEX($A$2:$A$15,RANDBETWEEN(1,ROWS($A$2:$A$15)),1)</f>
        <v>4</v>
      </c>
      <c r="F250" cm="1">
        <f t="array" aca="1" ref="F250" ca="1">INDEX($A$2:$A$15,RANDBETWEEN(1,ROWS($A$2:$A$15)),1)</f>
        <v>5</v>
      </c>
      <c r="G250" cm="1">
        <f t="array" aca="1" ref="G250" ca="1">INDEX($A$2:$A$15,RANDBETWEEN(1,ROWS($A$2:$A$15)),1)</f>
        <v>3</v>
      </c>
      <c r="H250" cm="1">
        <f t="array" aca="1" ref="H250" ca="1">INDEX($A$2:$A$15,RANDBETWEEN(1,ROWS($A$2:$A$15)),1)</f>
        <v>1</v>
      </c>
      <c r="I250" cm="1">
        <f t="array" aca="1" ref="I250" ca="1">INDEX($A$2:$A$15,RANDBETWEEN(1,ROWS($A$2:$A$15)),1)</f>
        <v>5</v>
      </c>
      <c r="J250" cm="1">
        <f t="array" aca="1" ref="J250" ca="1">INDEX($A$2:$A$15,RANDBETWEEN(1,ROWS($A$2:$A$15)),1)</f>
        <v>3</v>
      </c>
      <c r="K250" cm="1">
        <f t="array" aca="1" ref="K250" ca="1">INDEX($A$2:$A$15,RANDBETWEEN(1,ROWS($A$2:$A$15)),1)</f>
        <v>2</v>
      </c>
      <c r="L250" cm="1">
        <f t="array" aca="1" ref="L250" ca="1">INDEX($A$2:$A$15,RANDBETWEEN(1,ROWS($A$2:$A$15)),1)</f>
        <v>1</v>
      </c>
      <c r="M250" cm="1">
        <f t="array" aca="1" ref="M250" ca="1">INDEX($A$2:$A$15,RANDBETWEEN(1,ROWS($A$2:$A$15)),1)</f>
        <v>8</v>
      </c>
      <c r="N250" cm="1">
        <f t="array" aca="1" ref="N250" ca="1">INDEX($A$2:$A$15,RANDBETWEEN(1,ROWS($A$2:$A$15)),1)</f>
        <v>5</v>
      </c>
      <c r="O250" cm="1">
        <f t="array" aca="1" ref="O250" ca="1">INDEX($A$2:$A$15,RANDBETWEEN(1,ROWS($A$2:$A$15)),1)</f>
        <v>5</v>
      </c>
      <c r="P250" cm="1">
        <f t="array" aca="1" ref="P250" ca="1">INDEX($A$2:$A$15,RANDBETWEEN(1,ROWS($A$2:$A$15)),1)</f>
        <v>7</v>
      </c>
      <c r="Q250" cm="1">
        <f t="array" aca="1" ref="Q250" ca="1">INDEX($A$2:$A$15,RANDBETWEEN(1,ROWS($A$2:$A$15)),1)</f>
        <v>5</v>
      </c>
      <c r="R250" cm="1">
        <f t="array" aca="1" ref="R250" ca="1">INDEX($A$2:$A$15,RANDBETWEEN(1,ROWS($A$2:$A$15)),1)</f>
        <v>8</v>
      </c>
      <c r="S250" cm="1">
        <f t="array" aca="1" ref="S250" ca="1">INDEX($A$2:$A$15,RANDBETWEEN(1,ROWS($A$2:$A$15)),1)</f>
        <v>1</v>
      </c>
      <c r="V250">
        <f t="shared" ca="1" si="12"/>
        <v>4.1764705882352944</v>
      </c>
      <c r="W250">
        <f t="shared" ca="1" si="13"/>
        <v>5</v>
      </c>
      <c r="X250">
        <f t="shared" ca="1" si="14"/>
        <v>3</v>
      </c>
      <c r="Y250">
        <f t="shared" ca="1" si="15"/>
        <v>2.4554860546755064</v>
      </c>
    </row>
    <row r="251" spans="3:25" x14ac:dyDescent="0.35">
      <c r="C251" cm="1">
        <f t="array" aca="1" ref="C251" ca="1">INDEX($A$2:$A$15,RANDBETWEEN(1,ROWS($A$2:$A$15)),1)</f>
        <v>5</v>
      </c>
      <c r="D251" cm="1">
        <f t="array" aca="1" ref="D251" ca="1">INDEX($A$2:$A$15,RANDBETWEEN(1,ROWS($A$2:$A$15)),1)</f>
        <v>7</v>
      </c>
      <c r="E251" cm="1">
        <f t="array" aca="1" ref="E251" ca="1">INDEX($A$2:$A$15,RANDBETWEEN(1,ROWS($A$2:$A$15)),1)</f>
        <v>1</v>
      </c>
      <c r="F251" cm="1">
        <f t="array" aca="1" ref="F251" ca="1">INDEX($A$2:$A$15,RANDBETWEEN(1,ROWS($A$2:$A$15)),1)</f>
        <v>1</v>
      </c>
      <c r="G251" cm="1">
        <f t="array" aca="1" ref="G251" ca="1">INDEX($A$2:$A$15,RANDBETWEEN(1,ROWS($A$2:$A$15)),1)</f>
        <v>1</v>
      </c>
      <c r="H251" cm="1">
        <f t="array" aca="1" ref="H251" ca="1">INDEX($A$2:$A$15,RANDBETWEEN(1,ROWS($A$2:$A$15)),1)</f>
        <v>1</v>
      </c>
      <c r="I251" cm="1">
        <f t="array" aca="1" ref="I251" ca="1">INDEX($A$2:$A$15,RANDBETWEEN(1,ROWS($A$2:$A$15)),1)</f>
        <v>5</v>
      </c>
      <c r="J251" cm="1">
        <f t="array" aca="1" ref="J251" ca="1">INDEX($A$2:$A$15,RANDBETWEEN(1,ROWS($A$2:$A$15)),1)</f>
        <v>5</v>
      </c>
      <c r="K251" cm="1">
        <f t="array" aca="1" ref="K251" ca="1">INDEX($A$2:$A$15,RANDBETWEEN(1,ROWS($A$2:$A$15)),1)</f>
        <v>1</v>
      </c>
      <c r="L251" cm="1">
        <f t="array" aca="1" ref="L251" ca="1">INDEX($A$2:$A$15,RANDBETWEEN(1,ROWS($A$2:$A$15)),1)</f>
        <v>3</v>
      </c>
      <c r="M251" cm="1">
        <f t="array" aca="1" ref="M251" ca="1">INDEX($A$2:$A$15,RANDBETWEEN(1,ROWS($A$2:$A$15)),1)</f>
        <v>2</v>
      </c>
      <c r="N251" cm="1">
        <f t="array" aca="1" ref="N251" ca="1">INDEX($A$2:$A$15,RANDBETWEEN(1,ROWS($A$2:$A$15)),1)</f>
        <v>7</v>
      </c>
      <c r="O251" cm="1">
        <f t="array" aca="1" ref="O251" ca="1">INDEX($A$2:$A$15,RANDBETWEEN(1,ROWS($A$2:$A$15)),1)</f>
        <v>2</v>
      </c>
      <c r="P251" cm="1">
        <f t="array" aca="1" ref="P251" ca="1">INDEX($A$2:$A$15,RANDBETWEEN(1,ROWS($A$2:$A$15)),1)</f>
        <v>2</v>
      </c>
      <c r="Q251" cm="1">
        <f t="array" aca="1" ref="Q251" ca="1">INDEX($A$2:$A$15,RANDBETWEEN(1,ROWS($A$2:$A$15)),1)</f>
        <v>3</v>
      </c>
      <c r="R251" cm="1">
        <f t="array" aca="1" ref="R251" ca="1">INDEX($A$2:$A$15,RANDBETWEEN(1,ROWS($A$2:$A$15)),1)</f>
        <v>5</v>
      </c>
      <c r="S251" cm="1">
        <f t="array" aca="1" ref="S251" ca="1">INDEX($A$2:$A$15,RANDBETWEEN(1,ROWS($A$2:$A$15)),1)</f>
        <v>1</v>
      </c>
      <c r="V251">
        <f t="shared" ca="1" si="12"/>
        <v>3.0588235294117645</v>
      </c>
      <c r="W251">
        <f t="shared" ca="1" si="13"/>
        <v>2</v>
      </c>
      <c r="X251">
        <f t="shared" ca="1" si="14"/>
        <v>4</v>
      </c>
      <c r="Y251">
        <f t="shared" ca="1" si="15"/>
        <v>2.164214298402948</v>
      </c>
    </row>
    <row r="252" spans="3:25" x14ac:dyDescent="0.35">
      <c r="C252" cm="1">
        <f t="array" aca="1" ref="C252" ca="1">INDEX($A$2:$A$15,RANDBETWEEN(1,ROWS($A$2:$A$15)),1)</f>
        <v>5</v>
      </c>
      <c r="D252" cm="1">
        <f t="array" aca="1" ref="D252" ca="1">INDEX($A$2:$A$15,RANDBETWEEN(1,ROWS($A$2:$A$15)),1)</f>
        <v>1</v>
      </c>
      <c r="E252" cm="1">
        <f t="array" aca="1" ref="E252" ca="1">INDEX($A$2:$A$15,RANDBETWEEN(1,ROWS($A$2:$A$15)),1)</f>
        <v>1</v>
      </c>
      <c r="F252" cm="1">
        <f t="array" aca="1" ref="F252" ca="1">INDEX($A$2:$A$15,RANDBETWEEN(1,ROWS($A$2:$A$15)),1)</f>
        <v>5</v>
      </c>
      <c r="G252" cm="1">
        <f t="array" aca="1" ref="G252" ca="1">INDEX($A$2:$A$15,RANDBETWEEN(1,ROWS($A$2:$A$15)),1)</f>
        <v>5</v>
      </c>
      <c r="H252" cm="1">
        <f t="array" aca="1" ref="H252" ca="1">INDEX($A$2:$A$15,RANDBETWEEN(1,ROWS($A$2:$A$15)),1)</f>
        <v>5</v>
      </c>
      <c r="I252" cm="1">
        <f t="array" aca="1" ref="I252" ca="1">INDEX($A$2:$A$15,RANDBETWEEN(1,ROWS($A$2:$A$15)),1)</f>
        <v>1</v>
      </c>
      <c r="J252" cm="1">
        <f t="array" aca="1" ref="J252" ca="1">INDEX($A$2:$A$15,RANDBETWEEN(1,ROWS($A$2:$A$15)),1)</f>
        <v>1</v>
      </c>
      <c r="K252" cm="1">
        <f t="array" aca="1" ref="K252" ca="1">INDEX($A$2:$A$15,RANDBETWEEN(1,ROWS($A$2:$A$15)),1)</f>
        <v>3</v>
      </c>
      <c r="L252" cm="1">
        <f t="array" aca="1" ref="L252" ca="1">INDEX($A$2:$A$15,RANDBETWEEN(1,ROWS($A$2:$A$15)),1)</f>
        <v>1</v>
      </c>
      <c r="M252" cm="1">
        <f t="array" aca="1" ref="M252" ca="1">INDEX($A$2:$A$15,RANDBETWEEN(1,ROWS($A$2:$A$15)),1)</f>
        <v>1</v>
      </c>
      <c r="N252" cm="1">
        <f t="array" aca="1" ref="N252" ca="1">INDEX($A$2:$A$15,RANDBETWEEN(1,ROWS($A$2:$A$15)),1)</f>
        <v>1</v>
      </c>
      <c r="O252" cm="1">
        <f t="array" aca="1" ref="O252" ca="1">INDEX($A$2:$A$15,RANDBETWEEN(1,ROWS($A$2:$A$15)),1)</f>
        <v>5</v>
      </c>
      <c r="P252" cm="1">
        <f t="array" aca="1" ref="P252" ca="1">INDEX($A$2:$A$15,RANDBETWEEN(1,ROWS($A$2:$A$15)),1)</f>
        <v>4</v>
      </c>
      <c r="Q252" cm="1">
        <f t="array" aca="1" ref="Q252" ca="1">INDEX($A$2:$A$15,RANDBETWEEN(1,ROWS($A$2:$A$15)),1)</f>
        <v>5</v>
      </c>
      <c r="R252" cm="1">
        <f t="array" aca="1" ref="R252" ca="1">INDEX($A$2:$A$15,RANDBETWEEN(1,ROWS($A$2:$A$15)),1)</f>
        <v>1</v>
      </c>
      <c r="S252" cm="1">
        <f t="array" aca="1" ref="S252" ca="1">INDEX($A$2:$A$15,RANDBETWEEN(1,ROWS($A$2:$A$15)),1)</f>
        <v>4</v>
      </c>
      <c r="V252">
        <f t="shared" ca="1" si="12"/>
        <v>2.8823529411764706</v>
      </c>
      <c r="W252">
        <f t="shared" ca="1" si="13"/>
        <v>3</v>
      </c>
      <c r="X252">
        <f t="shared" ca="1" si="14"/>
        <v>4</v>
      </c>
      <c r="Y252">
        <f t="shared" ca="1" si="15"/>
        <v>1.9000773978043783</v>
      </c>
    </row>
    <row r="253" spans="3:25" x14ac:dyDescent="0.35">
      <c r="C253" cm="1">
        <f t="array" aca="1" ref="C253" ca="1">INDEX($A$2:$A$15,RANDBETWEEN(1,ROWS($A$2:$A$15)),1)</f>
        <v>7</v>
      </c>
      <c r="D253" cm="1">
        <f t="array" aca="1" ref="D253" ca="1">INDEX($A$2:$A$15,RANDBETWEEN(1,ROWS($A$2:$A$15)),1)</f>
        <v>3</v>
      </c>
      <c r="E253" cm="1">
        <f t="array" aca="1" ref="E253" ca="1">INDEX($A$2:$A$15,RANDBETWEEN(1,ROWS($A$2:$A$15)),1)</f>
        <v>2</v>
      </c>
      <c r="F253" cm="1">
        <f t="array" aca="1" ref="F253" ca="1">INDEX($A$2:$A$15,RANDBETWEEN(1,ROWS($A$2:$A$15)),1)</f>
        <v>1</v>
      </c>
      <c r="G253" cm="1">
        <f t="array" aca="1" ref="G253" ca="1">INDEX($A$2:$A$15,RANDBETWEEN(1,ROWS($A$2:$A$15)),1)</f>
        <v>5</v>
      </c>
      <c r="H253" cm="1">
        <f t="array" aca="1" ref="H253" ca="1">INDEX($A$2:$A$15,RANDBETWEEN(1,ROWS($A$2:$A$15)),1)</f>
        <v>5</v>
      </c>
      <c r="I253" cm="1">
        <f t="array" aca="1" ref="I253" ca="1">INDEX($A$2:$A$15,RANDBETWEEN(1,ROWS($A$2:$A$15)),1)</f>
        <v>3</v>
      </c>
      <c r="J253" cm="1">
        <f t="array" aca="1" ref="J253" ca="1">INDEX($A$2:$A$15,RANDBETWEEN(1,ROWS($A$2:$A$15)),1)</f>
        <v>4</v>
      </c>
      <c r="K253" cm="1">
        <f t="array" aca="1" ref="K253" ca="1">INDEX($A$2:$A$15,RANDBETWEEN(1,ROWS($A$2:$A$15)),1)</f>
        <v>4</v>
      </c>
      <c r="L253" cm="1">
        <f t="array" aca="1" ref="L253" ca="1">INDEX($A$2:$A$15,RANDBETWEEN(1,ROWS($A$2:$A$15)),1)</f>
        <v>2</v>
      </c>
      <c r="M253" cm="1">
        <f t="array" aca="1" ref="M253" ca="1">INDEX($A$2:$A$15,RANDBETWEEN(1,ROWS($A$2:$A$15)),1)</f>
        <v>5</v>
      </c>
      <c r="N253" cm="1">
        <f t="array" aca="1" ref="N253" ca="1">INDEX($A$2:$A$15,RANDBETWEEN(1,ROWS($A$2:$A$15)),1)</f>
        <v>1</v>
      </c>
      <c r="O253" cm="1">
        <f t="array" aca="1" ref="O253" ca="1">INDEX($A$2:$A$15,RANDBETWEEN(1,ROWS($A$2:$A$15)),1)</f>
        <v>4</v>
      </c>
      <c r="P253" cm="1">
        <f t="array" aca="1" ref="P253" ca="1">INDEX($A$2:$A$15,RANDBETWEEN(1,ROWS($A$2:$A$15)),1)</f>
        <v>3</v>
      </c>
      <c r="Q253" cm="1">
        <f t="array" aca="1" ref="Q253" ca="1">INDEX($A$2:$A$15,RANDBETWEEN(1,ROWS($A$2:$A$15)),1)</f>
        <v>5</v>
      </c>
      <c r="R253" cm="1">
        <f t="array" aca="1" ref="R253" ca="1">INDEX($A$2:$A$15,RANDBETWEEN(1,ROWS($A$2:$A$15)),1)</f>
        <v>5</v>
      </c>
      <c r="S253" cm="1">
        <f t="array" aca="1" ref="S253" ca="1">INDEX($A$2:$A$15,RANDBETWEEN(1,ROWS($A$2:$A$15)),1)</f>
        <v>4</v>
      </c>
      <c r="V253">
        <f t="shared" ca="1" si="12"/>
        <v>3.7058823529411766</v>
      </c>
      <c r="W253">
        <f t="shared" ca="1" si="13"/>
        <v>4</v>
      </c>
      <c r="X253">
        <f t="shared" ca="1" si="14"/>
        <v>2</v>
      </c>
      <c r="Y253">
        <f t="shared" ca="1" si="15"/>
        <v>1.6110829386763792</v>
      </c>
    </row>
    <row r="254" spans="3:25" x14ac:dyDescent="0.35">
      <c r="C254" cm="1">
        <f t="array" aca="1" ref="C254" ca="1">INDEX($A$2:$A$15,RANDBETWEEN(1,ROWS($A$2:$A$15)),1)</f>
        <v>3</v>
      </c>
      <c r="D254" cm="1">
        <f t="array" aca="1" ref="D254" ca="1">INDEX($A$2:$A$15,RANDBETWEEN(1,ROWS($A$2:$A$15)),1)</f>
        <v>7</v>
      </c>
      <c r="E254" cm="1">
        <f t="array" aca="1" ref="E254" ca="1">INDEX($A$2:$A$15,RANDBETWEEN(1,ROWS($A$2:$A$15)),1)</f>
        <v>5</v>
      </c>
      <c r="F254" cm="1">
        <f t="array" aca="1" ref="F254" ca="1">INDEX($A$2:$A$15,RANDBETWEEN(1,ROWS($A$2:$A$15)),1)</f>
        <v>2</v>
      </c>
      <c r="G254" cm="1">
        <f t="array" aca="1" ref="G254" ca="1">INDEX($A$2:$A$15,RANDBETWEEN(1,ROWS($A$2:$A$15)),1)</f>
        <v>5</v>
      </c>
      <c r="H254" cm="1">
        <f t="array" aca="1" ref="H254" ca="1">INDEX($A$2:$A$15,RANDBETWEEN(1,ROWS($A$2:$A$15)),1)</f>
        <v>2</v>
      </c>
      <c r="I254" cm="1">
        <f t="array" aca="1" ref="I254" ca="1">INDEX($A$2:$A$15,RANDBETWEEN(1,ROWS($A$2:$A$15)),1)</f>
        <v>5</v>
      </c>
      <c r="J254" cm="1">
        <f t="array" aca="1" ref="J254" ca="1">INDEX($A$2:$A$15,RANDBETWEEN(1,ROWS($A$2:$A$15)),1)</f>
        <v>3</v>
      </c>
      <c r="K254" cm="1">
        <f t="array" aca="1" ref="K254" ca="1">INDEX($A$2:$A$15,RANDBETWEEN(1,ROWS($A$2:$A$15)),1)</f>
        <v>1</v>
      </c>
      <c r="L254" cm="1">
        <f t="array" aca="1" ref="L254" ca="1">INDEX($A$2:$A$15,RANDBETWEEN(1,ROWS($A$2:$A$15)),1)</f>
        <v>4</v>
      </c>
      <c r="M254" cm="1">
        <f t="array" aca="1" ref="M254" ca="1">INDEX($A$2:$A$15,RANDBETWEEN(1,ROWS($A$2:$A$15)),1)</f>
        <v>4</v>
      </c>
      <c r="N254" cm="1">
        <f t="array" aca="1" ref="N254" ca="1">INDEX($A$2:$A$15,RANDBETWEEN(1,ROWS($A$2:$A$15)),1)</f>
        <v>5</v>
      </c>
      <c r="O254" cm="1">
        <f t="array" aca="1" ref="O254" ca="1">INDEX($A$2:$A$15,RANDBETWEEN(1,ROWS($A$2:$A$15)),1)</f>
        <v>8</v>
      </c>
      <c r="P254" cm="1">
        <f t="array" aca="1" ref="P254" ca="1">INDEX($A$2:$A$15,RANDBETWEEN(1,ROWS($A$2:$A$15)),1)</f>
        <v>4</v>
      </c>
      <c r="Q254" cm="1">
        <f t="array" aca="1" ref="Q254" ca="1">INDEX($A$2:$A$15,RANDBETWEEN(1,ROWS($A$2:$A$15)),1)</f>
        <v>4</v>
      </c>
      <c r="R254" cm="1">
        <f t="array" aca="1" ref="R254" ca="1">INDEX($A$2:$A$15,RANDBETWEEN(1,ROWS($A$2:$A$15)),1)</f>
        <v>7</v>
      </c>
      <c r="S254" cm="1">
        <f t="array" aca="1" ref="S254" ca="1">INDEX($A$2:$A$15,RANDBETWEEN(1,ROWS($A$2:$A$15)),1)</f>
        <v>4</v>
      </c>
      <c r="V254">
        <f t="shared" ca="1" si="12"/>
        <v>4.2941176470588234</v>
      </c>
      <c r="W254">
        <f t="shared" ca="1" si="13"/>
        <v>4</v>
      </c>
      <c r="X254">
        <f t="shared" ca="1" si="14"/>
        <v>2</v>
      </c>
      <c r="Y254">
        <f t="shared" ca="1" si="15"/>
        <v>1.8629514849544837</v>
      </c>
    </row>
    <row r="255" spans="3:25" x14ac:dyDescent="0.35">
      <c r="C255" cm="1">
        <f t="array" aca="1" ref="C255" ca="1">INDEX($A$2:$A$15,RANDBETWEEN(1,ROWS($A$2:$A$15)),1)</f>
        <v>4</v>
      </c>
      <c r="D255" cm="1">
        <f t="array" aca="1" ref="D255" ca="1">INDEX($A$2:$A$15,RANDBETWEEN(1,ROWS($A$2:$A$15)),1)</f>
        <v>1</v>
      </c>
      <c r="E255" cm="1">
        <f t="array" aca="1" ref="E255" ca="1">INDEX($A$2:$A$15,RANDBETWEEN(1,ROWS($A$2:$A$15)),1)</f>
        <v>5</v>
      </c>
      <c r="F255" cm="1">
        <f t="array" aca="1" ref="F255" ca="1">INDEX($A$2:$A$15,RANDBETWEEN(1,ROWS($A$2:$A$15)),1)</f>
        <v>3</v>
      </c>
      <c r="G255" cm="1">
        <f t="array" aca="1" ref="G255" ca="1">INDEX($A$2:$A$15,RANDBETWEEN(1,ROWS($A$2:$A$15)),1)</f>
        <v>5</v>
      </c>
      <c r="H255" cm="1">
        <f t="array" aca="1" ref="H255" ca="1">INDEX($A$2:$A$15,RANDBETWEEN(1,ROWS($A$2:$A$15)),1)</f>
        <v>4</v>
      </c>
      <c r="I255" cm="1">
        <f t="array" aca="1" ref="I255" ca="1">INDEX($A$2:$A$15,RANDBETWEEN(1,ROWS($A$2:$A$15)),1)</f>
        <v>1</v>
      </c>
      <c r="J255" cm="1">
        <f t="array" aca="1" ref="J255" ca="1">INDEX($A$2:$A$15,RANDBETWEEN(1,ROWS($A$2:$A$15)),1)</f>
        <v>5</v>
      </c>
      <c r="K255" cm="1">
        <f t="array" aca="1" ref="K255" ca="1">INDEX($A$2:$A$15,RANDBETWEEN(1,ROWS($A$2:$A$15)),1)</f>
        <v>4</v>
      </c>
      <c r="L255" cm="1">
        <f t="array" aca="1" ref="L255" ca="1">INDEX($A$2:$A$15,RANDBETWEEN(1,ROWS($A$2:$A$15)),1)</f>
        <v>8</v>
      </c>
      <c r="M255" cm="1">
        <f t="array" aca="1" ref="M255" ca="1">INDEX($A$2:$A$15,RANDBETWEEN(1,ROWS($A$2:$A$15)),1)</f>
        <v>5</v>
      </c>
      <c r="N255" cm="1">
        <f t="array" aca="1" ref="N255" ca="1">INDEX($A$2:$A$15,RANDBETWEEN(1,ROWS($A$2:$A$15)),1)</f>
        <v>2</v>
      </c>
      <c r="O255" cm="1">
        <f t="array" aca="1" ref="O255" ca="1">INDEX($A$2:$A$15,RANDBETWEEN(1,ROWS($A$2:$A$15)),1)</f>
        <v>4</v>
      </c>
      <c r="P255" cm="1">
        <f t="array" aca="1" ref="P255" ca="1">INDEX($A$2:$A$15,RANDBETWEEN(1,ROWS($A$2:$A$15)),1)</f>
        <v>3</v>
      </c>
      <c r="Q255" cm="1">
        <f t="array" aca="1" ref="Q255" ca="1">INDEX($A$2:$A$15,RANDBETWEEN(1,ROWS($A$2:$A$15)),1)</f>
        <v>5</v>
      </c>
      <c r="R255" cm="1">
        <f t="array" aca="1" ref="R255" ca="1">INDEX($A$2:$A$15,RANDBETWEEN(1,ROWS($A$2:$A$15)),1)</f>
        <v>4</v>
      </c>
      <c r="S255" cm="1">
        <f t="array" aca="1" ref="S255" ca="1">INDEX($A$2:$A$15,RANDBETWEEN(1,ROWS($A$2:$A$15)),1)</f>
        <v>7</v>
      </c>
      <c r="V255">
        <f t="shared" ca="1" si="12"/>
        <v>4.117647058823529</v>
      </c>
      <c r="W255">
        <f t="shared" ca="1" si="13"/>
        <v>4</v>
      </c>
      <c r="X255">
        <f t="shared" ca="1" si="14"/>
        <v>2</v>
      </c>
      <c r="Y255">
        <f t="shared" ca="1" si="15"/>
        <v>1.833110503392269</v>
      </c>
    </row>
    <row r="256" spans="3:25" x14ac:dyDescent="0.35">
      <c r="C256" cm="1">
        <f t="array" aca="1" ref="C256" ca="1">INDEX($A$2:$A$15,RANDBETWEEN(1,ROWS($A$2:$A$15)),1)</f>
        <v>4</v>
      </c>
      <c r="D256" cm="1">
        <f t="array" aca="1" ref="D256" ca="1">INDEX($A$2:$A$15,RANDBETWEEN(1,ROWS($A$2:$A$15)),1)</f>
        <v>5</v>
      </c>
      <c r="E256" cm="1">
        <f t="array" aca="1" ref="E256" ca="1">INDEX($A$2:$A$15,RANDBETWEEN(1,ROWS($A$2:$A$15)),1)</f>
        <v>5</v>
      </c>
      <c r="F256" cm="1">
        <f t="array" aca="1" ref="F256" ca="1">INDEX($A$2:$A$15,RANDBETWEEN(1,ROWS($A$2:$A$15)),1)</f>
        <v>5</v>
      </c>
      <c r="G256" cm="1">
        <f t="array" aca="1" ref="G256" ca="1">INDEX($A$2:$A$15,RANDBETWEEN(1,ROWS($A$2:$A$15)),1)</f>
        <v>1</v>
      </c>
      <c r="H256" cm="1">
        <f t="array" aca="1" ref="H256" ca="1">INDEX($A$2:$A$15,RANDBETWEEN(1,ROWS($A$2:$A$15)),1)</f>
        <v>2</v>
      </c>
      <c r="I256" cm="1">
        <f t="array" aca="1" ref="I256" ca="1">INDEX($A$2:$A$15,RANDBETWEEN(1,ROWS($A$2:$A$15)),1)</f>
        <v>5</v>
      </c>
      <c r="J256" cm="1">
        <f t="array" aca="1" ref="J256" ca="1">INDEX($A$2:$A$15,RANDBETWEEN(1,ROWS($A$2:$A$15)),1)</f>
        <v>5</v>
      </c>
      <c r="K256" cm="1">
        <f t="array" aca="1" ref="K256" ca="1">INDEX($A$2:$A$15,RANDBETWEEN(1,ROWS($A$2:$A$15)),1)</f>
        <v>3</v>
      </c>
      <c r="L256" cm="1">
        <f t="array" aca="1" ref="L256" ca="1">INDEX($A$2:$A$15,RANDBETWEEN(1,ROWS($A$2:$A$15)),1)</f>
        <v>2</v>
      </c>
      <c r="M256" cm="1">
        <f t="array" aca="1" ref="M256" ca="1">INDEX($A$2:$A$15,RANDBETWEEN(1,ROWS($A$2:$A$15)),1)</f>
        <v>1</v>
      </c>
      <c r="N256" cm="1">
        <f t="array" aca="1" ref="N256" ca="1">INDEX($A$2:$A$15,RANDBETWEEN(1,ROWS($A$2:$A$15)),1)</f>
        <v>3</v>
      </c>
      <c r="O256" cm="1">
        <f t="array" aca="1" ref="O256" ca="1">INDEX($A$2:$A$15,RANDBETWEEN(1,ROWS($A$2:$A$15)),1)</f>
        <v>5</v>
      </c>
      <c r="P256" cm="1">
        <f t="array" aca="1" ref="P256" ca="1">INDEX($A$2:$A$15,RANDBETWEEN(1,ROWS($A$2:$A$15)),1)</f>
        <v>2</v>
      </c>
      <c r="Q256" cm="1">
        <f t="array" aca="1" ref="Q256" ca="1">INDEX($A$2:$A$15,RANDBETWEEN(1,ROWS($A$2:$A$15)),1)</f>
        <v>8</v>
      </c>
      <c r="R256" cm="1">
        <f t="array" aca="1" ref="R256" ca="1">INDEX($A$2:$A$15,RANDBETWEEN(1,ROWS($A$2:$A$15)),1)</f>
        <v>2</v>
      </c>
      <c r="S256" cm="1">
        <f t="array" aca="1" ref="S256" ca="1">INDEX($A$2:$A$15,RANDBETWEEN(1,ROWS($A$2:$A$15)),1)</f>
        <v>1</v>
      </c>
      <c r="V256">
        <f t="shared" ca="1" si="12"/>
        <v>3.4705882352941178</v>
      </c>
      <c r="W256">
        <f t="shared" ca="1" si="13"/>
        <v>3</v>
      </c>
      <c r="X256">
        <f t="shared" ca="1" si="14"/>
        <v>3</v>
      </c>
      <c r="Y256">
        <f t="shared" ca="1" si="15"/>
        <v>1.9722337291388519</v>
      </c>
    </row>
    <row r="257" spans="3:25" x14ac:dyDescent="0.35">
      <c r="C257" cm="1">
        <f t="array" aca="1" ref="C257" ca="1">INDEX($A$2:$A$15,RANDBETWEEN(1,ROWS($A$2:$A$15)),1)</f>
        <v>7</v>
      </c>
      <c r="D257" cm="1">
        <f t="array" aca="1" ref="D257" ca="1">INDEX($A$2:$A$15,RANDBETWEEN(1,ROWS($A$2:$A$15)),1)</f>
        <v>2</v>
      </c>
      <c r="E257" cm="1">
        <f t="array" aca="1" ref="E257" ca="1">INDEX($A$2:$A$15,RANDBETWEEN(1,ROWS($A$2:$A$15)),1)</f>
        <v>1</v>
      </c>
      <c r="F257" cm="1">
        <f t="array" aca="1" ref="F257" ca="1">INDEX($A$2:$A$15,RANDBETWEEN(1,ROWS($A$2:$A$15)),1)</f>
        <v>2</v>
      </c>
      <c r="G257" cm="1">
        <f t="array" aca="1" ref="G257" ca="1">INDEX($A$2:$A$15,RANDBETWEEN(1,ROWS($A$2:$A$15)),1)</f>
        <v>3</v>
      </c>
      <c r="H257" cm="1">
        <f t="array" aca="1" ref="H257" ca="1">INDEX($A$2:$A$15,RANDBETWEEN(1,ROWS($A$2:$A$15)),1)</f>
        <v>5</v>
      </c>
      <c r="I257" cm="1">
        <f t="array" aca="1" ref="I257" ca="1">INDEX($A$2:$A$15,RANDBETWEEN(1,ROWS($A$2:$A$15)),1)</f>
        <v>2</v>
      </c>
      <c r="J257" cm="1">
        <f t="array" aca="1" ref="J257" ca="1">INDEX($A$2:$A$15,RANDBETWEEN(1,ROWS($A$2:$A$15)),1)</f>
        <v>1</v>
      </c>
      <c r="K257" cm="1">
        <f t="array" aca="1" ref="K257" ca="1">INDEX($A$2:$A$15,RANDBETWEEN(1,ROWS($A$2:$A$15)),1)</f>
        <v>4</v>
      </c>
      <c r="L257" cm="1">
        <f t="array" aca="1" ref="L257" ca="1">INDEX($A$2:$A$15,RANDBETWEEN(1,ROWS($A$2:$A$15)),1)</f>
        <v>1</v>
      </c>
      <c r="M257" cm="1">
        <f t="array" aca="1" ref="M257" ca="1">INDEX($A$2:$A$15,RANDBETWEEN(1,ROWS($A$2:$A$15)),1)</f>
        <v>4</v>
      </c>
      <c r="N257" cm="1">
        <f t="array" aca="1" ref="N257" ca="1">INDEX($A$2:$A$15,RANDBETWEEN(1,ROWS($A$2:$A$15)),1)</f>
        <v>7</v>
      </c>
      <c r="O257" cm="1">
        <f t="array" aca="1" ref="O257" ca="1">INDEX($A$2:$A$15,RANDBETWEEN(1,ROWS($A$2:$A$15)),1)</f>
        <v>2</v>
      </c>
      <c r="P257" cm="1">
        <f t="array" aca="1" ref="P257" ca="1">INDEX($A$2:$A$15,RANDBETWEEN(1,ROWS($A$2:$A$15)),1)</f>
        <v>3</v>
      </c>
      <c r="Q257" cm="1">
        <f t="array" aca="1" ref="Q257" ca="1">INDEX($A$2:$A$15,RANDBETWEEN(1,ROWS($A$2:$A$15)),1)</f>
        <v>8</v>
      </c>
      <c r="R257" cm="1">
        <f t="array" aca="1" ref="R257" ca="1">INDEX($A$2:$A$15,RANDBETWEEN(1,ROWS($A$2:$A$15)),1)</f>
        <v>2</v>
      </c>
      <c r="S257" cm="1">
        <f t="array" aca="1" ref="S257" ca="1">INDEX($A$2:$A$15,RANDBETWEEN(1,ROWS($A$2:$A$15)),1)</f>
        <v>4</v>
      </c>
      <c r="V257">
        <f t="shared" ca="1" si="12"/>
        <v>3.4117647058823528</v>
      </c>
      <c r="W257">
        <f t="shared" ca="1" si="13"/>
        <v>3</v>
      </c>
      <c r="X257">
        <f t="shared" ca="1" si="14"/>
        <v>2</v>
      </c>
      <c r="Y257">
        <f t="shared" ca="1" si="15"/>
        <v>2.2096047024697589</v>
      </c>
    </row>
    <row r="258" spans="3:25" x14ac:dyDescent="0.35">
      <c r="C258" cm="1">
        <f t="array" aca="1" ref="C258" ca="1">INDEX($A$2:$A$15,RANDBETWEEN(1,ROWS($A$2:$A$15)),1)</f>
        <v>7</v>
      </c>
      <c r="D258" cm="1">
        <f t="array" aca="1" ref="D258" ca="1">INDEX($A$2:$A$15,RANDBETWEEN(1,ROWS($A$2:$A$15)),1)</f>
        <v>1</v>
      </c>
      <c r="E258" cm="1">
        <f t="array" aca="1" ref="E258" ca="1">INDEX($A$2:$A$15,RANDBETWEEN(1,ROWS($A$2:$A$15)),1)</f>
        <v>5</v>
      </c>
      <c r="F258" cm="1">
        <f t="array" aca="1" ref="F258" ca="1">INDEX($A$2:$A$15,RANDBETWEEN(1,ROWS($A$2:$A$15)),1)</f>
        <v>7</v>
      </c>
      <c r="G258" cm="1">
        <f t="array" aca="1" ref="G258" ca="1">INDEX($A$2:$A$15,RANDBETWEEN(1,ROWS($A$2:$A$15)),1)</f>
        <v>3</v>
      </c>
      <c r="H258" cm="1">
        <f t="array" aca="1" ref="H258" ca="1">INDEX($A$2:$A$15,RANDBETWEEN(1,ROWS($A$2:$A$15)),1)</f>
        <v>1</v>
      </c>
      <c r="I258" cm="1">
        <f t="array" aca="1" ref="I258" ca="1">INDEX($A$2:$A$15,RANDBETWEEN(1,ROWS($A$2:$A$15)),1)</f>
        <v>4</v>
      </c>
      <c r="J258" cm="1">
        <f t="array" aca="1" ref="J258" ca="1">INDEX($A$2:$A$15,RANDBETWEEN(1,ROWS($A$2:$A$15)),1)</f>
        <v>5</v>
      </c>
      <c r="K258" cm="1">
        <f t="array" aca="1" ref="K258" ca="1">INDEX($A$2:$A$15,RANDBETWEEN(1,ROWS($A$2:$A$15)),1)</f>
        <v>1</v>
      </c>
      <c r="L258" cm="1">
        <f t="array" aca="1" ref="L258" ca="1">INDEX($A$2:$A$15,RANDBETWEEN(1,ROWS($A$2:$A$15)),1)</f>
        <v>5</v>
      </c>
      <c r="M258" cm="1">
        <f t="array" aca="1" ref="M258" ca="1">INDEX($A$2:$A$15,RANDBETWEEN(1,ROWS($A$2:$A$15)),1)</f>
        <v>5</v>
      </c>
      <c r="N258" cm="1">
        <f t="array" aca="1" ref="N258" ca="1">INDEX($A$2:$A$15,RANDBETWEEN(1,ROWS($A$2:$A$15)),1)</f>
        <v>5</v>
      </c>
      <c r="O258" cm="1">
        <f t="array" aca="1" ref="O258" ca="1">INDEX($A$2:$A$15,RANDBETWEEN(1,ROWS($A$2:$A$15)),1)</f>
        <v>5</v>
      </c>
      <c r="P258" cm="1">
        <f t="array" aca="1" ref="P258" ca="1">INDEX($A$2:$A$15,RANDBETWEEN(1,ROWS($A$2:$A$15)),1)</f>
        <v>1</v>
      </c>
      <c r="Q258" cm="1">
        <f t="array" aca="1" ref="Q258" ca="1">INDEX($A$2:$A$15,RANDBETWEEN(1,ROWS($A$2:$A$15)),1)</f>
        <v>5</v>
      </c>
      <c r="R258" cm="1">
        <f t="array" aca="1" ref="R258" ca="1">INDEX($A$2:$A$15,RANDBETWEEN(1,ROWS($A$2:$A$15)),1)</f>
        <v>7</v>
      </c>
      <c r="S258" cm="1">
        <f t="array" aca="1" ref="S258" ca="1">INDEX($A$2:$A$15,RANDBETWEEN(1,ROWS($A$2:$A$15)),1)</f>
        <v>3</v>
      </c>
      <c r="V258">
        <f t="shared" ca="1" si="12"/>
        <v>4.117647058823529</v>
      </c>
      <c r="W258">
        <f t="shared" ca="1" si="13"/>
        <v>5</v>
      </c>
      <c r="X258">
        <f t="shared" ca="1" si="14"/>
        <v>2</v>
      </c>
      <c r="Y258">
        <f t="shared" ca="1" si="15"/>
        <v>2.1178512973405517</v>
      </c>
    </row>
    <row r="259" spans="3:25" x14ac:dyDescent="0.35">
      <c r="C259" cm="1">
        <f t="array" aca="1" ref="C259" ca="1">INDEX($A$2:$A$15,RANDBETWEEN(1,ROWS($A$2:$A$15)),1)</f>
        <v>4</v>
      </c>
      <c r="D259" cm="1">
        <f t="array" aca="1" ref="D259" ca="1">INDEX($A$2:$A$15,RANDBETWEEN(1,ROWS($A$2:$A$15)),1)</f>
        <v>5</v>
      </c>
      <c r="E259" cm="1">
        <f t="array" aca="1" ref="E259" ca="1">INDEX($A$2:$A$15,RANDBETWEEN(1,ROWS($A$2:$A$15)),1)</f>
        <v>3</v>
      </c>
      <c r="F259" cm="1">
        <f t="array" aca="1" ref="F259" ca="1">INDEX($A$2:$A$15,RANDBETWEEN(1,ROWS($A$2:$A$15)),1)</f>
        <v>1</v>
      </c>
      <c r="G259" cm="1">
        <f t="array" aca="1" ref="G259" ca="1">INDEX($A$2:$A$15,RANDBETWEEN(1,ROWS($A$2:$A$15)),1)</f>
        <v>1</v>
      </c>
      <c r="H259" cm="1">
        <f t="array" aca="1" ref="H259" ca="1">INDEX($A$2:$A$15,RANDBETWEEN(1,ROWS($A$2:$A$15)),1)</f>
        <v>5</v>
      </c>
      <c r="I259" cm="1">
        <f t="array" aca="1" ref="I259" ca="1">INDEX($A$2:$A$15,RANDBETWEEN(1,ROWS($A$2:$A$15)),1)</f>
        <v>5</v>
      </c>
      <c r="J259" cm="1">
        <f t="array" aca="1" ref="J259" ca="1">INDEX($A$2:$A$15,RANDBETWEEN(1,ROWS($A$2:$A$15)),1)</f>
        <v>5</v>
      </c>
      <c r="K259" cm="1">
        <f t="array" aca="1" ref="K259" ca="1">INDEX($A$2:$A$15,RANDBETWEEN(1,ROWS($A$2:$A$15)),1)</f>
        <v>1</v>
      </c>
      <c r="L259" cm="1">
        <f t="array" aca="1" ref="L259" ca="1">INDEX($A$2:$A$15,RANDBETWEEN(1,ROWS($A$2:$A$15)),1)</f>
        <v>1</v>
      </c>
      <c r="M259" cm="1">
        <f t="array" aca="1" ref="M259" ca="1">INDEX($A$2:$A$15,RANDBETWEEN(1,ROWS($A$2:$A$15)),1)</f>
        <v>3</v>
      </c>
      <c r="N259" cm="1">
        <f t="array" aca="1" ref="N259" ca="1">INDEX($A$2:$A$15,RANDBETWEEN(1,ROWS($A$2:$A$15)),1)</f>
        <v>1</v>
      </c>
      <c r="O259" cm="1">
        <f t="array" aca="1" ref="O259" ca="1">INDEX($A$2:$A$15,RANDBETWEEN(1,ROWS($A$2:$A$15)),1)</f>
        <v>1</v>
      </c>
      <c r="P259" cm="1">
        <f t="array" aca="1" ref="P259" ca="1">INDEX($A$2:$A$15,RANDBETWEEN(1,ROWS($A$2:$A$15)),1)</f>
        <v>7</v>
      </c>
      <c r="Q259" cm="1">
        <f t="array" aca="1" ref="Q259" ca="1">INDEX($A$2:$A$15,RANDBETWEEN(1,ROWS($A$2:$A$15)),1)</f>
        <v>8</v>
      </c>
      <c r="R259" cm="1">
        <f t="array" aca="1" ref="R259" ca="1">INDEX($A$2:$A$15,RANDBETWEEN(1,ROWS($A$2:$A$15)),1)</f>
        <v>2</v>
      </c>
      <c r="S259" cm="1">
        <f t="array" aca="1" ref="S259" ca="1">INDEX($A$2:$A$15,RANDBETWEEN(1,ROWS($A$2:$A$15)),1)</f>
        <v>3</v>
      </c>
      <c r="V259">
        <f t="shared" ref="V259:V299" ca="1" si="16">AVERAGE(C259:S259)</f>
        <v>3.2941176470588234</v>
      </c>
      <c r="W259">
        <f t="shared" ref="W259:W300" ca="1" si="17">MEDIAN(C259:S259)</f>
        <v>3</v>
      </c>
      <c r="X259">
        <f t="shared" ref="X259:X300" ca="1" si="18">_xlfn.QUARTILE.INC(C259:S259, 3)-_xlfn.QUARTILE.INC(C259:S259,1)</f>
        <v>4</v>
      </c>
      <c r="Y259">
        <f t="shared" ref="Y259:Y300" ca="1" si="19">_xlfn.STDEV.S(C259:S259)</f>
        <v>2.2573409656704762</v>
      </c>
    </row>
    <row r="260" spans="3:25" x14ac:dyDescent="0.35">
      <c r="C260" cm="1">
        <f t="array" aca="1" ref="C260" ca="1">INDEX($A$2:$A$15,RANDBETWEEN(1,ROWS($A$2:$A$15)),1)</f>
        <v>3</v>
      </c>
      <c r="D260" cm="1">
        <f t="array" aca="1" ref="D260" ca="1">INDEX($A$2:$A$15,RANDBETWEEN(1,ROWS($A$2:$A$15)),1)</f>
        <v>5</v>
      </c>
      <c r="E260" cm="1">
        <f t="array" aca="1" ref="E260" ca="1">INDEX($A$2:$A$15,RANDBETWEEN(1,ROWS($A$2:$A$15)),1)</f>
        <v>1</v>
      </c>
      <c r="F260" cm="1">
        <f t="array" aca="1" ref="F260" ca="1">INDEX($A$2:$A$15,RANDBETWEEN(1,ROWS($A$2:$A$15)),1)</f>
        <v>4</v>
      </c>
      <c r="G260" cm="1">
        <f t="array" aca="1" ref="G260" ca="1">INDEX($A$2:$A$15,RANDBETWEEN(1,ROWS($A$2:$A$15)),1)</f>
        <v>3</v>
      </c>
      <c r="H260" cm="1">
        <f t="array" aca="1" ref="H260" ca="1">INDEX($A$2:$A$15,RANDBETWEEN(1,ROWS($A$2:$A$15)),1)</f>
        <v>5</v>
      </c>
      <c r="I260" cm="1">
        <f t="array" aca="1" ref="I260" ca="1">INDEX($A$2:$A$15,RANDBETWEEN(1,ROWS($A$2:$A$15)),1)</f>
        <v>3</v>
      </c>
      <c r="J260" cm="1">
        <f t="array" aca="1" ref="J260" ca="1">INDEX($A$2:$A$15,RANDBETWEEN(1,ROWS($A$2:$A$15)),1)</f>
        <v>5</v>
      </c>
      <c r="K260" cm="1">
        <f t="array" aca="1" ref="K260" ca="1">INDEX($A$2:$A$15,RANDBETWEEN(1,ROWS($A$2:$A$15)),1)</f>
        <v>1</v>
      </c>
      <c r="L260" cm="1">
        <f t="array" aca="1" ref="L260" ca="1">INDEX($A$2:$A$15,RANDBETWEEN(1,ROWS($A$2:$A$15)),1)</f>
        <v>2</v>
      </c>
      <c r="M260" cm="1">
        <f t="array" aca="1" ref="M260" ca="1">INDEX($A$2:$A$15,RANDBETWEEN(1,ROWS($A$2:$A$15)),1)</f>
        <v>4</v>
      </c>
      <c r="N260" cm="1">
        <f t="array" aca="1" ref="N260" ca="1">INDEX($A$2:$A$15,RANDBETWEEN(1,ROWS($A$2:$A$15)),1)</f>
        <v>1</v>
      </c>
      <c r="O260" cm="1">
        <f t="array" aca="1" ref="O260" ca="1">INDEX($A$2:$A$15,RANDBETWEEN(1,ROWS($A$2:$A$15)),1)</f>
        <v>4</v>
      </c>
      <c r="P260" cm="1">
        <f t="array" aca="1" ref="P260" ca="1">INDEX($A$2:$A$15,RANDBETWEEN(1,ROWS($A$2:$A$15)),1)</f>
        <v>5</v>
      </c>
      <c r="Q260" cm="1">
        <f t="array" aca="1" ref="Q260" ca="1">INDEX($A$2:$A$15,RANDBETWEEN(1,ROWS($A$2:$A$15)),1)</f>
        <v>5</v>
      </c>
      <c r="R260" cm="1">
        <f t="array" aca="1" ref="R260" ca="1">INDEX($A$2:$A$15,RANDBETWEEN(1,ROWS($A$2:$A$15)),1)</f>
        <v>1</v>
      </c>
      <c r="S260" cm="1">
        <f t="array" aca="1" ref="S260" ca="1">INDEX($A$2:$A$15,RANDBETWEEN(1,ROWS($A$2:$A$15)),1)</f>
        <v>1</v>
      </c>
      <c r="V260">
        <f t="shared" ca="1" si="16"/>
        <v>3.1176470588235294</v>
      </c>
      <c r="W260">
        <f t="shared" ca="1" si="17"/>
        <v>3</v>
      </c>
      <c r="X260">
        <f t="shared" ca="1" si="18"/>
        <v>4</v>
      </c>
      <c r="Y260">
        <f t="shared" ca="1" si="19"/>
        <v>1.6538724611187703</v>
      </c>
    </row>
    <row r="261" spans="3:25" x14ac:dyDescent="0.35">
      <c r="C261" cm="1">
        <f t="array" aca="1" ref="C261" ca="1">INDEX($A$2:$A$15,RANDBETWEEN(1,ROWS($A$2:$A$15)),1)</f>
        <v>4</v>
      </c>
      <c r="D261" cm="1">
        <f t="array" aca="1" ref="D261" ca="1">INDEX($A$2:$A$15,RANDBETWEEN(1,ROWS($A$2:$A$15)),1)</f>
        <v>2</v>
      </c>
      <c r="E261" cm="1">
        <f t="array" aca="1" ref="E261" ca="1">INDEX($A$2:$A$15,RANDBETWEEN(1,ROWS($A$2:$A$15)),1)</f>
        <v>3</v>
      </c>
      <c r="F261" cm="1">
        <f t="array" aca="1" ref="F261" ca="1">INDEX($A$2:$A$15,RANDBETWEEN(1,ROWS($A$2:$A$15)),1)</f>
        <v>3</v>
      </c>
      <c r="G261" cm="1">
        <f t="array" aca="1" ref="G261" ca="1">INDEX($A$2:$A$15,RANDBETWEEN(1,ROWS($A$2:$A$15)),1)</f>
        <v>1</v>
      </c>
      <c r="H261" cm="1">
        <f t="array" aca="1" ref="H261" ca="1">INDEX($A$2:$A$15,RANDBETWEEN(1,ROWS($A$2:$A$15)),1)</f>
        <v>1</v>
      </c>
      <c r="I261" cm="1">
        <f t="array" aca="1" ref="I261" ca="1">INDEX($A$2:$A$15,RANDBETWEEN(1,ROWS($A$2:$A$15)),1)</f>
        <v>5</v>
      </c>
      <c r="J261" cm="1">
        <f t="array" aca="1" ref="J261" ca="1">INDEX($A$2:$A$15,RANDBETWEEN(1,ROWS($A$2:$A$15)),1)</f>
        <v>1</v>
      </c>
      <c r="K261" cm="1">
        <f t="array" aca="1" ref="K261" ca="1">INDEX($A$2:$A$15,RANDBETWEEN(1,ROWS($A$2:$A$15)),1)</f>
        <v>4</v>
      </c>
      <c r="L261" cm="1">
        <f t="array" aca="1" ref="L261" ca="1">INDEX($A$2:$A$15,RANDBETWEEN(1,ROWS($A$2:$A$15)),1)</f>
        <v>5</v>
      </c>
      <c r="M261" cm="1">
        <f t="array" aca="1" ref="M261" ca="1">INDEX($A$2:$A$15,RANDBETWEEN(1,ROWS($A$2:$A$15)),1)</f>
        <v>3</v>
      </c>
      <c r="N261" cm="1">
        <f t="array" aca="1" ref="N261" ca="1">INDEX($A$2:$A$15,RANDBETWEEN(1,ROWS($A$2:$A$15)),1)</f>
        <v>5</v>
      </c>
      <c r="O261" cm="1">
        <f t="array" aca="1" ref="O261" ca="1">INDEX($A$2:$A$15,RANDBETWEEN(1,ROWS($A$2:$A$15)),1)</f>
        <v>5</v>
      </c>
      <c r="P261" cm="1">
        <f t="array" aca="1" ref="P261" ca="1">INDEX($A$2:$A$15,RANDBETWEEN(1,ROWS($A$2:$A$15)),1)</f>
        <v>5</v>
      </c>
      <c r="Q261" cm="1">
        <f t="array" aca="1" ref="Q261" ca="1">INDEX($A$2:$A$15,RANDBETWEEN(1,ROWS($A$2:$A$15)),1)</f>
        <v>7</v>
      </c>
      <c r="R261" cm="1">
        <f t="array" aca="1" ref="R261" ca="1">INDEX($A$2:$A$15,RANDBETWEEN(1,ROWS($A$2:$A$15)),1)</f>
        <v>4</v>
      </c>
      <c r="S261" cm="1">
        <f t="array" aca="1" ref="S261" ca="1">INDEX($A$2:$A$15,RANDBETWEEN(1,ROWS($A$2:$A$15)),1)</f>
        <v>5</v>
      </c>
      <c r="V261">
        <f t="shared" ca="1" si="16"/>
        <v>3.7058823529411766</v>
      </c>
      <c r="W261">
        <f t="shared" ca="1" si="17"/>
        <v>4</v>
      </c>
      <c r="X261">
        <f t="shared" ca="1" si="18"/>
        <v>2</v>
      </c>
      <c r="Y261">
        <f t="shared" ca="1" si="19"/>
        <v>1.7235394498804248</v>
      </c>
    </row>
    <row r="262" spans="3:25" x14ac:dyDescent="0.35">
      <c r="C262" cm="1">
        <f t="array" aca="1" ref="C262" ca="1">INDEX($A$2:$A$15,RANDBETWEEN(1,ROWS($A$2:$A$15)),1)</f>
        <v>4</v>
      </c>
      <c r="D262" cm="1">
        <f t="array" aca="1" ref="D262" ca="1">INDEX($A$2:$A$15,RANDBETWEEN(1,ROWS($A$2:$A$15)),1)</f>
        <v>4</v>
      </c>
      <c r="E262" cm="1">
        <f t="array" aca="1" ref="E262" ca="1">INDEX($A$2:$A$15,RANDBETWEEN(1,ROWS($A$2:$A$15)),1)</f>
        <v>1</v>
      </c>
      <c r="F262" cm="1">
        <f t="array" aca="1" ref="F262" ca="1">INDEX($A$2:$A$15,RANDBETWEEN(1,ROWS($A$2:$A$15)),1)</f>
        <v>1</v>
      </c>
      <c r="G262" cm="1">
        <f t="array" aca="1" ref="G262" ca="1">INDEX($A$2:$A$15,RANDBETWEEN(1,ROWS($A$2:$A$15)),1)</f>
        <v>1</v>
      </c>
      <c r="H262" cm="1">
        <f t="array" aca="1" ref="H262" ca="1">INDEX($A$2:$A$15,RANDBETWEEN(1,ROWS($A$2:$A$15)),1)</f>
        <v>1</v>
      </c>
      <c r="I262" cm="1">
        <f t="array" aca="1" ref="I262" ca="1">INDEX($A$2:$A$15,RANDBETWEEN(1,ROWS($A$2:$A$15)),1)</f>
        <v>8</v>
      </c>
      <c r="J262" cm="1">
        <f t="array" aca="1" ref="J262" ca="1">INDEX($A$2:$A$15,RANDBETWEEN(1,ROWS($A$2:$A$15)),1)</f>
        <v>3</v>
      </c>
      <c r="K262" cm="1">
        <f t="array" aca="1" ref="K262" ca="1">INDEX($A$2:$A$15,RANDBETWEEN(1,ROWS($A$2:$A$15)),1)</f>
        <v>5</v>
      </c>
      <c r="L262" cm="1">
        <f t="array" aca="1" ref="L262" ca="1">INDEX($A$2:$A$15,RANDBETWEEN(1,ROWS($A$2:$A$15)),1)</f>
        <v>1</v>
      </c>
      <c r="M262" cm="1">
        <f t="array" aca="1" ref="M262" ca="1">INDEX($A$2:$A$15,RANDBETWEEN(1,ROWS($A$2:$A$15)),1)</f>
        <v>1</v>
      </c>
      <c r="N262" cm="1">
        <f t="array" aca="1" ref="N262" ca="1">INDEX($A$2:$A$15,RANDBETWEEN(1,ROWS($A$2:$A$15)),1)</f>
        <v>8</v>
      </c>
      <c r="O262" cm="1">
        <f t="array" aca="1" ref="O262" ca="1">INDEX($A$2:$A$15,RANDBETWEEN(1,ROWS($A$2:$A$15)),1)</f>
        <v>5</v>
      </c>
      <c r="P262" cm="1">
        <f t="array" aca="1" ref="P262" ca="1">INDEX($A$2:$A$15,RANDBETWEEN(1,ROWS($A$2:$A$15)),1)</f>
        <v>1</v>
      </c>
      <c r="Q262" cm="1">
        <f t="array" aca="1" ref="Q262" ca="1">INDEX($A$2:$A$15,RANDBETWEEN(1,ROWS($A$2:$A$15)),1)</f>
        <v>4</v>
      </c>
      <c r="R262" cm="1">
        <f t="array" aca="1" ref="R262" ca="1">INDEX($A$2:$A$15,RANDBETWEEN(1,ROWS($A$2:$A$15)),1)</f>
        <v>1</v>
      </c>
      <c r="S262" cm="1">
        <f t="array" aca="1" ref="S262" ca="1">INDEX($A$2:$A$15,RANDBETWEEN(1,ROWS($A$2:$A$15)),1)</f>
        <v>5</v>
      </c>
      <c r="V262">
        <f t="shared" ca="1" si="16"/>
        <v>3.1764705882352939</v>
      </c>
      <c r="W262">
        <f t="shared" ca="1" si="17"/>
        <v>3</v>
      </c>
      <c r="X262">
        <f t="shared" ca="1" si="18"/>
        <v>4</v>
      </c>
      <c r="Y262">
        <f t="shared" ca="1" si="19"/>
        <v>2.455486054675506</v>
      </c>
    </row>
    <row r="263" spans="3:25" x14ac:dyDescent="0.35">
      <c r="C263" cm="1">
        <f t="array" aca="1" ref="C263" ca="1">INDEX($A$2:$A$15,RANDBETWEEN(1,ROWS($A$2:$A$15)),1)</f>
        <v>4</v>
      </c>
      <c r="D263" cm="1">
        <f t="array" aca="1" ref="D263" ca="1">INDEX($A$2:$A$15,RANDBETWEEN(1,ROWS($A$2:$A$15)),1)</f>
        <v>1</v>
      </c>
      <c r="E263" cm="1">
        <f t="array" aca="1" ref="E263" ca="1">INDEX($A$2:$A$15,RANDBETWEEN(1,ROWS($A$2:$A$15)),1)</f>
        <v>2</v>
      </c>
      <c r="F263" cm="1">
        <f t="array" aca="1" ref="F263" ca="1">INDEX($A$2:$A$15,RANDBETWEEN(1,ROWS($A$2:$A$15)),1)</f>
        <v>5</v>
      </c>
      <c r="G263" cm="1">
        <f t="array" aca="1" ref="G263" ca="1">INDEX($A$2:$A$15,RANDBETWEEN(1,ROWS($A$2:$A$15)),1)</f>
        <v>3</v>
      </c>
      <c r="H263" cm="1">
        <f t="array" aca="1" ref="H263" ca="1">INDEX($A$2:$A$15,RANDBETWEEN(1,ROWS($A$2:$A$15)),1)</f>
        <v>5</v>
      </c>
      <c r="I263" cm="1">
        <f t="array" aca="1" ref="I263" ca="1">INDEX($A$2:$A$15,RANDBETWEEN(1,ROWS($A$2:$A$15)),1)</f>
        <v>5</v>
      </c>
      <c r="J263" cm="1">
        <f t="array" aca="1" ref="J263" ca="1">INDEX($A$2:$A$15,RANDBETWEEN(1,ROWS($A$2:$A$15)),1)</f>
        <v>7</v>
      </c>
      <c r="K263" cm="1">
        <f t="array" aca="1" ref="K263" ca="1">INDEX($A$2:$A$15,RANDBETWEEN(1,ROWS($A$2:$A$15)),1)</f>
        <v>2</v>
      </c>
      <c r="L263" cm="1">
        <f t="array" aca="1" ref="L263" ca="1">INDEX($A$2:$A$15,RANDBETWEEN(1,ROWS($A$2:$A$15)),1)</f>
        <v>5</v>
      </c>
      <c r="M263" cm="1">
        <f t="array" aca="1" ref="M263" ca="1">INDEX($A$2:$A$15,RANDBETWEEN(1,ROWS($A$2:$A$15)),1)</f>
        <v>5</v>
      </c>
      <c r="N263" cm="1">
        <f t="array" aca="1" ref="N263" ca="1">INDEX($A$2:$A$15,RANDBETWEEN(1,ROWS($A$2:$A$15)),1)</f>
        <v>5</v>
      </c>
      <c r="O263" cm="1">
        <f t="array" aca="1" ref="O263" ca="1">INDEX($A$2:$A$15,RANDBETWEEN(1,ROWS($A$2:$A$15)),1)</f>
        <v>1</v>
      </c>
      <c r="P263" cm="1">
        <f t="array" aca="1" ref="P263" ca="1">INDEX($A$2:$A$15,RANDBETWEEN(1,ROWS($A$2:$A$15)),1)</f>
        <v>7</v>
      </c>
      <c r="Q263" cm="1">
        <f t="array" aca="1" ref="Q263" ca="1">INDEX($A$2:$A$15,RANDBETWEEN(1,ROWS($A$2:$A$15)),1)</f>
        <v>8</v>
      </c>
      <c r="R263" cm="1">
        <f t="array" aca="1" ref="R263" ca="1">INDEX($A$2:$A$15,RANDBETWEEN(1,ROWS($A$2:$A$15)),1)</f>
        <v>4</v>
      </c>
      <c r="S263" cm="1">
        <f t="array" aca="1" ref="S263" ca="1">INDEX($A$2:$A$15,RANDBETWEEN(1,ROWS($A$2:$A$15)),1)</f>
        <v>5</v>
      </c>
      <c r="V263">
        <f t="shared" ca="1" si="16"/>
        <v>4.3529411764705879</v>
      </c>
      <c r="W263">
        <f t="shared" ca="1" si="17"/>
        <v>5</v>
      </c>
      <c r="X263">
        <f t="shared" ca="1" si="18"/>
        <v>2</v>
      </c>
      <c r="Y263">
        <f t="shared" ca="1" si="19"/>
        <v>2.0291986247835694</v>
      </c>
    </row>
    <row r="264" spans="3:25" x14ac:dyDescent="0.35">
      <c r="C264" cm="1">
        <f t="array" aca="1" ref="C264" ca="1">INDEX($A$2:$A$15,RANDBETWEEN(1,ROWS($A$2:$A$15)),1)</f>
        <v>5</v>
      </c>
      <c r="D264" cm="1">
        <f t="array" aca="1" ref="D264" ca="1">INDEX($A$2:$A$15,RANDBETWEEN(1,ROWS($A$2:$A$15)),1)</f>
        <v>5</v>
      </c>
      <c r="E264" cm="1">
        <f t="array" aca="1" ref="E264" ca="1">INDEX($A$2:$A$15,RANDBETWEEN(1,ROWS($A$2:$A$15)),1)</f>
        <v>5</v>
      </c>
      <c r="F264" cm="1">
        <f t="array" aca="1" ref="F264" ca="1">INDEX($A$2:$A$15,RANDBETWEEN(1,ROWS($A$2:$A$15)),1)</f>
        <v>5</v>
      </c>
      <c r="G264" cm="1">
        <f t="array" aca="1" ref="G264" ca="1">INDEX($A$2:$A$15,RANDBETWEEN(1,ROWS($A$2:$A$15)),1)</f>
        <v>4</v>
      </c>
      <c r="H264" cm="1">
        <f t="array" aca="1" ref="H264" ca="1">INDEX($A$2:$A$15,RANDBETWEEN(1,ROWS($A$2:$A$15)),1)</f>
        <v>4</v>
      </c>
      <c r="I264" cm="1">
        <f t="array" aca="1" ref="I264" ca="1">INDEX($A$2:$A$15,RANDBETWEEN(1,ROWS($A$2:$A$15)),1)</f>
        <v>5</v>
      </c>
      <c r="J264" cm="1">
        <f t="array" aca="1" ref="J264" ca="1">INDEX($A$2:$A$15,RANDBETWEEN(1,ROWS($A$2:$A$15)),1)</f>
        <v>5</v>
      </c>
      <c r="K264" cm="1">
        <f t="array" aca="1" ref="K264" ca="1">INDEX($A$2:$A$15,RANDBETWEEN(1,ROWS($A$2:$A$15)),1)</f>
        <v>1</v>
      </c>
      <c r="L264" cm="1">
        <f t="array" aca="1" ref="L264" ca="1">INDEX($A$2:$A$15,RANDBETWEEN(1,ROWS($A$2:$A$15)),1)</f>
        <v>5</v>
      </c>
      <c r="M264" cm="1">
        <f t="array" aca="1" ref="M264" ca="1">INDEX($A$2:$A$15,RANDBETWEEN(1,ROWS($A$2:$A$15)),1)</f>
        <v>3</v>
      </c>
      <c r="N264" cm="1">
        <f t="array" aca="1" ref="N264" ca="1">INDEX($A$2:$A$15,RANDBETWEEN(1,ROWS($A$2:$A$15)),1)</f>
        <v>4</v>
      </c>
      <c r="O264" cm="1">
        <f t="array" aca="1" ref="O264" ca="1">INDEX($A$2:$A$15,RANDBETWEEN(1,ROWS($A$2:$A$15)),1)</f>
        <v>7</v>
      </c>
      <c r="P264" cm="1">
        <f t="array" aca="1" ref="P264" ca="1">INDEX($A$2:$A$15,RANDBETWEEN(1,ROWS($A$2:$A$15)),1)</f>
        <v>5</v>
      </c>
      <c r="Q264" cm="1">
        <f t="array" aca="1" ref="Q264" ca="1">INDEX($A$2:$A$15,RANDBETWEEN(1,ROWS($A$2:$A$15)),1)</f>
        <v>8</v>
      </c>
      <c r="R264" cm="1">
        <f t="array" aca="1" ref="R264" ca="1">INDEX($A$2:$A$15,RANDBETWEEN(1,ROWS($A$2:$A$15)),1)</f>
        <v>4</v>
      </c>
      <c r="S264" cm="1">
        <f t="array" aca="1" ref="S264" ca="1">INDEX($A$2:$A$15,RANDBETWEEN(1,ROWS($A$2:$A$15)),1)</f>
        <v>7</v>
      </c>
      <c r="V264">
        <f t="shared" ca="1" si="16"/>
        <v>4.8235294117647056</v>
      </c>
      <c r="W264">
        <f t="shared" ca="1" si="17"/>
        <v>5</v>
      </c>
      <c r="X264">
        <f t="shared" ca="1" si="18"/>
        <v>1</v>
      </c>
      <c r="Y264">
        <f t="shared" ca="1" si="19"/>
        <v>1.5904124511289153</v>
      </c>
    </row>
    <row r="265" spans="3:25" x14ac:dyDescent="0.35">
      <c r="C265" cm="1">
        <f t="array" aca="1" ref="C265" ca="1">INDEX($A$2:$A$15,RANDBETWEEN(1,ROWS($A$2:$A$15)),1)</f>
        <v>3</v>
      </c>
      <c r="D265" cm="1">
        <f t="array" aca="1" ref="D265" ca="1">INDEX($A$2:$A$15,RANDBETWEEN(1,ROWS($A$2:$A$15)),1)</f>
        <v>5</v>
      </c>
      <c r="E265" cm="1">
        <f t="array" aca="1" ref="E265" ca="1">INDEX($A$2:$A$15,RANDBETWEEN(1,ROWS($A$2:$A$15)),1)</f>
        <v>7</v>
      </c>
      <c r="F265" cm="1">
        <f t="array" aca="1" ref="F265" ca="1">INDEX($A$2:$A$15,RANDBETWEEN(1,ROWS($A$2:$A$15)),1)</f>
        <v>1</v>
      </c>
      <c r="G265" cm="1">
        <f t="array" aca="1" ref="G265" ca="1">INDEX($A$2:$A$15,RANDBETWEEN(1,ROWS($A$2:$A$15)),1)</f>
        <v>4</v>
      </c>
      <c r="H265" cm="1">
        <f t="array" aca="1" ref="H265" ca="1">INDEX($A$2:$A$15,RANDBETWEEN(1,ROWS($A$2:$A$15)),1)</f>
        <v>2</v>
      </c>
      <c r="I265" cm="1">
        <f t="array" aca="1" ref="I265" ca="1">INDEX($A$2:$A$15,RANDBETWEEN(1,ROWS($A$2:$A$15)),1)</f>
        <v>5</v>
      </c>
      <c r="J265" cm="1">
        <f t="array" aca="1" ref="J265" ca="1">INDEX($A$2:$A$15,RANDBETWEEN(1,ROWS($A$2:$A$15)),1)</f>
        <v>2</v>
      </c>
      <c r="K265" cm="1">
        <f t="array" aca="1" ref="K265" ca="1">INDEX($A$2:$A$15,RANDBETWEEN(1,ROWS($A$2:$A$15)),1)</f>
        <v>7</v>
      </c>
      <c r="L265" cm="1">
        <f t="array" aca="1" ref="L265" ca="1">INDEX($A$2:$A$15,RANDBETWEEN(1,ROWS($A$2:$A$15)),1)</f>
        <v>1</v>
      </c>
      <c r="M265" cm="1">
        <f t="array" aca="1" ref="M265" ca="1">INDEX($A$2:$A$15,RANDBETWEEN(1,ROWS($A$2:$A$15)),1)</f>
        <v>3</v>
      </c>
      <c r="N265" cm="1">
        <f t="array" aca="1" ref="N265" ca="1">INDEX($A$2:$A$15,RANDBETWEEN(1,ROWS($A$2:$A$15)),1)</f>
        <v>1</v>
      </c>
      <c r="O265" cm="1">
        <f t="array" aca="1" ref="O265" ca="1">INDEX($A$2:$A$15,RANDBETWEEN(1,ROWS($A$2:$A$15)),1)</f>
        <v>5</v>
      </c>
      <c r="P265" cm="1">
        <f t="array" aca="1" ref="P265" ca="1">INDEX($A$2:$A$15,RANDBETWEEN(1,ROWS($A$2:$A$15)),1)</f>
        <v>3</v>
      </c>
      <c r="Q265" cm="1">
        <f t="array" aca="1" ref="Q265" ca="1">INDEX($A$2:$A$15,RANDBETWEEN(1,ROWS($A$2:$A$15)),1)</f>
        <v>5</v>
      </c>
      <c r="R265" cm="1">
        <f t="array" aca="1" ref="R265" ca="1">INDEX($A$2:$A$15,RANDBETWEEN(1,ROWS($A$2:$A$15)),1)</f>
        <v>5</v>
      </c>
      <c r="S265" cm="1">
        <f t="array" aca="1" ref="S265" ca="1">INDEX($A$2:$A$15,RANDBETWEEN(1,ROWS($A$2:$A$15)),1)</f>
        <v>4</v>
      </c>
      <c r="V265">
        <f t="shared" ca="1" si="16"/>
        <v>3.7058823529411766</v>
      </c>
      <c r="W265">
        <f t="shared" ca="1" si="17"/>
        <v>4</v>
      </c>
      <c r="X265">
        <f t="shared" ca="1" si="18"/>
        <v>3</v>
      </c>
      <c r="Y265">
        <f t="shared" ca="1" si="19"/>
        <v>1.9288826390670113</v>
      </c>
    </row>
    <row r="266" spans="3:25" x14ac:dyDescent="0.35">
      <c r="C266" cm="1">
        <f t="array" aca="1" ref="C266" ca="1">INDEX($A$2:$A$15,RANDBETWEEN(1,ROWS($A$2:$A$15)),1)</f>
        <v>4</v>
      </c>
      <c r="D266" cm="1">
        <f t="array" aca="1" ref="D266" ca="1">INDEX($A$2:$A$15,RANDBETWEEN(1,ROWS($A$2:$A$15)),1)</f>
        <v>5</v>
      </c>
      <c r="E266" cm="1">
        <f t="array" aca="1" ref="E266" ca="1">INDEX($A$2:$A$15,RANDBETWEEN(1,ROWS($A$2:$A$15)),1)</f>
        <v>1</v>
      </c>
      <c r="F266" cm="1">
        <f t="array" aca="1" ref="F266" ca="1">INDEX($A$2:$A$15,RANDBETWEEN(1,ROWS($A$2:$A$15)),1)</f>
        <v>4</v>
      </c>
      <c r="G266" cm="1">
        <f t="array" aca="1" ref="G266" ca="1">INDEX($A$2:$A$15,RANDBETWEEN(1,ROWS($A$2:$A$15)),1)</f>
        <v>5</v>
      </c>
      <c r="H266" cm="1">
        <f t="array" aca="1" ref="H266" ca="1">INDEX($A$2:$A$15,RANDBETWEEN(1,ROWS($A$2:$A$15)),1)</f>
        <v>5</v>
      </c>
      <c r="I266" cm="1">
        <f t="array" aca="1" ref="I266" ca="1">INDEX($A$2:$A$15,RANDBETWEEN(1,ROWS($A$2:$A$15)),1)</f>
        <v>3</v>
      </c>
      <c r="J266" cm="1">
        <f t="array" aca="1" ref="J266" ca="1">INDEX($A$2:$A$15,RANDBETWEEN(1,ROWS($A$2:$A$15)),1)</f>
        <v>5</v>
      </c>
      <c r="K266" cm="1">
        <f t="array" aca="1" ref="K266" ca="1">INDEX($A$2:$A$15,RANDBETWEEN(1,ROWS($A$2:$A$15)),1)</f>
        <v>1</v>
      </c>
      <c r="L266" cm="1">
        <f t="array" aca="1" ref="L266" ca="1">INDEX($A$2:$A$15,RANDBETWEEN(1,ROWS($A$2:$A$15)),1)</f>
        <v>8</v>
      </c>
      <c r="M266" cm="1">
        <f t="array" aca="1" ref="M266" ca="1">INDEX($A$2:$A$15,RANDBETWEEN(1,ROWS($A$2:$A$15)),1)</f>
        <v>1</v>
      </c>
      <c r="N266" cm="1">
        <f t="array" aca="1" ref="N266" ca="1">INDEX($A$2:$A$15,RANDBETWEEN(1,ROWS($A$2:$A$15)),1)</f>
        <v>3</v>
      </c>
      <c r="O266" cm="1">
        <f t="array" aca="1" ref="O266" ca="1">INDEX($A$2:$A$15,RANDBETWEEN(1,ROWS($A$2:$A$15)),1)</f>
        <v>1</v>
      </c>
      <c r="P266" cm="1">
        <f t="array" aca="1" ref="P266" ca="1">INDEX($A$2:$A$15,RANDBETWEEN(1,ROWS($A$2:$A$15)),1)</f>
        <v>5</v>
      </c>
      <c r="Q266" cm="1">
        <f t="array" aca="1" ref="Q266" ca="1">INDEX($A$2:$A$15,RANDBETWEEN(1,ROWS($A$2:$A$15)),1)</f>
        <v>1</v>
      </c>
      <c r="R266" cm="1">
        <f t="array" aca="1" ref="R266" ca="1">INDEX($A$2:$A$15,RANDBETWEEN(1,ROWS($A$2:$A$15)),1)</f>
        <v>3</v>
      </c>
      <c r="S266" cm="1">
        <f t="array" aca="1" ref="S266" ca="1">INDEX($A$2:$A$15,RANDBETWEEN(1,ROWS($A$2:$A$15)),1)</f>
        <v>2</v>
      </c>
      <c r="V266">
        <f t="shared" ca="1" si="16"/>
        <v>3.3529411764705883</v>
      </c>
      <c r="W266">
        <f t="shared" ca="1" si="17"/>
        <v>3</v>
      </c>
      <c r="X266">
        <f t="shared" ca="1" si="18"/>
        <v>4</v>
      </c>
      <c r="Y266">
        <f t="shared" ca="1" si="19"/>
        <v>2.0291986247835694</v>
      </c>
    </row>
    <row r="267" spans="3:25" x14ac:dyDescent="0.35">
      <c r="C267" cm="1">
        <f t="array" aca="1" ref="C267" ca="1">INDEX($A$2:$A$15,RANDBETWEEN(1,ROWS($A$2:$A$15)),1)</f>
        <v>8</v>
      </c>
      <c r="D267" cm="1">
        <f t="array" aca="1" ref="D267" ca="1">INDEX($A$2:$A$15,RANDBETWEEN(1,ROWS($A$2:$A$15)),1)</f>
        <v>5</v>
      </c>
      <c r="E267" cm="1">
        <f t="array" aca="1" ref="E267" ca="1">INDEX($A$2:$A$15,RANDBETWEEN(1,ROWS($A$2:$A$15)),1)</f>
        <v>4</v>
      </c>
      <c r="F267" cm="1">
        <f t="array" aca="1" ref="F267" ca="1">INDEX($A$2:$A$15,RANDBETWEEN(1,ROWS($A$2:$A$15)),1)</f>
        <v>8</v>
      </c>
      <c r="G267" cm="1">
        <f t="array" aca="1" ref="G267" ca="1">INDEX($A$2:$A$15,RANDBETWEEN(1,ROWS($A$2:$A$15)),1)</f>
        <v>3</v>
      </c>
      <c r="H267" cm="1">
        <f t="array" aca="1" ref="H267" ca="1">INDEX($A$2:$A$15,RANDBETWEEN(1,ROWS($A$2:$A$15)),1)</f>
        <v>5</v>
      </c>
      <c r="I267" cm="1">
        <f t="array" aca="1" ref="I267" ca="1">INDEX($A$2:$A$15,RANDBETWEEN(1,ROWS($A$2:$A$15)),1)</f>
        <v>3</v>
      </c>
      <c r="J267" cm="1">
        <f t="array" aca="1" ref="J267" ca="1">INDEX($A$2:$A$15,RANDBETWEEN(1,ROWS($A$2:$A$15)),1)</f>
        <v>8</v>
      </c>
      <c r="K267" cm="1">
        <f t="array" aca="1" ref="K267" ca="1">INDEX($A$2:$A$15,RANDBETWEEN(1,ROWS($A$2:$A$15)),1)</f>
        <v>3</v>
      </c>
      <c r="L267" cm="1">
        <f t="array" aca="1" ref="L267" ca="1">INDEX($A$2:$A$15,RANDBETWEEN(1,ROWS($A$2:$A$15)),1)</f>
        <v>4</v>
      </c>
      <c r="M267" cm="1">
        <f t="array" aca="1" ref="M267" ca="1">INDEX($A$2:$A$15,RANDBETWEEN(1,ROWS($A$2:$A$15)),1)</f>
        <v>8</v>
      </c>
      <c r="N267" cm="1">
        <f t="array" aca="1" ref="N267" ca="1">INDEX($A$2:$A$15,RANDBETWEEN(1,ROWS($A$2:$A$15)),1)</f>
        <v>4</v>
      </c>
      <c r="O267" cm="1">
        <f t="array" aca="1" ref="O267" ca="1">INDEX($A$2:$A$15,RANDBETWEEN(1,ROWS($A$2:$A$15)),1)</f>
        <v>4</v>
      </c>
      <c r="P267" cm="1">
        <f t="array" aca="1" ref="P267" ca="1">INDEX($A$2:$A$15,RANDBETWEEN(1,ROWS($A$2:$A$15)),1)</f>
        <v>3</v>
      </c>
      <c r="Q267" cm="1">
        <f t="array" aca="1" ref="Q267" ca="1">INDEX($A$2:$A$15,RANDBETWEEN(1,ROWS($A$2:$A$15)),1)</f>
        <v>3</v>
      </c>
      <c r="R267" cm="1">
        <f t="array" aca="1" ref="R267" ca="1">INDEX($A$2:$A$15,RANDBETWEEN(1,ROWS($A$2:$A$15)),1)</f>
        <v>8</v>
      </c>
      <c r="S267" cm="1">
        <f t="array" aca="1" ref="S267" ca="1">INDEX($A$2:$A$15,RANDBETWEEN(1,ROWS($A$2:$A$15)),1)</f>
        <v>7</v>
      </c>
      <c r="V267">
        <f t="shared" ca="1" si="16"/>
        <v>5.1764705882352944</v>
      </c>
      <c r="W267">
        <f t="shared" ca="1" si="17"/>
        <v>4</v>
      </c>
      <c r="X267">
        <f t="shared" ca="1" si="18"/>
        <v>5</v>
      </c>
      <c r="Y267">
        <f t="shared" ca="1" si="19"/>
        <v>2.1282414723677112</v>
      </c>
    </row>
    <row r="268" spans="3:25" x14ac:dyDescent="0.35">
      <c r="C268" cm="1">
        <f t="array" aca="1" ref="C268" ca="1">INDEX($A$2:$A$15,RANDBETWEEN(1,ROWS($A$2:$A$15)),1)</f>
        <v>1</v>
      </c>
      <c r="D268" cm="1">
        <f t="array" aca="1" ref="D268" ca="1">INDEX($A$2:$A$15,RANDBETWEEN(1,ROWS($A$2:$A$15)),1)</f>
        <v>3</v>
      </c>
      <c r="E268" cm="1">
        <f t="array" aca="1" ref="E268" ca="1">INDEX($A$2:$A$15,RANDBETWEEN(1,ROWS($A$2:$A$15)),1)</f>
        <v>5</v>
      </c>
      <c r="F268" cm="1">
        <f t="array" aca="1" ref="F268" ca="1">INDEX($A$2:$A$15,RANDBETWEEN(1,ROWS($A$2:$A$15)),1)</f>
        <v>2</v>
      </c>
      <c r="G268" cm="1">
        <f t="array" aca="1" ref="G268" ca="1">INDEX($A$2:$A$15,RANDBETWEEN(1,ROWS($A$2:$A$15)),1)</f>
        <v>8</v>
      </c>
      <c r="H268" cm="1">
        <f t="array" aca="1" ref="H268" ca="1">INDEX($A$2:$A$15,RANDBETWEEN(1,ROWS($A$2:$A$15)),1)</f>
        <v>8</v>
      </c>
      <c r="I268" cm="1">
        <f t="array" aca="1" ref="I268" ca="1">INDEX($A$2:$A$15,RANDBETWEEN(1,ROWS($A$2:$A$15)),1)</f>
        <v>5</v>
      </c>
      <c r="J268" cm="1">
        <f t="array" aca="1" ref="J268" ca="1">INDEX($A$2:$A$15,RANDBETWEEN(1,ROWS($A$2:$A$15)),1)</f>
        <v>1</v>
      </c>
      <c r="K268" cm="1">
        <f t="array" aca="1" ref="K268" ca="1">INDEX($A$2:$A$15,RANDBETWEEN(1,ROWS($A$2:$A$15)),1)</f>
        <v>2</v>
      </c>
      <c r="L268" cm="1">
        <f t="array" aca="1" ref="L268" ca="1">INDEX($A$2:$A$15,RANDBETWEEN(1,ROWS($A$2:$A$15)),1)</f>
        <v>7</v>
      </c>
      <c r="M268" cm="1">
        <f t="array" aca="1" ref="M268" ca="1">INDEX($A$2:$A$15,RANDBETWEEN(1,ROWS($A$2:$A$15)),1)</f>
        <v>3</v>
      </c>
      <c r="N268" cm="1">
        <f t="array" aca="1" ref="N268" ca="1">INDEX($A$2:$A$15,RANDBETWEEN(1,ROWS($A$2:$A$15)),1)</f>
        <v>5</v>
      </c>
      <c r="O268" cm="1">
        <f t="array" aca="1" ref="O268" ca="1">INDEX($A$2:$A$15,RANDBETWEEN(1,ROWS($A$2:$A$15)),1)</f>
        <v>5</v>
      </c>
      <c r="P268" cm="1">
        <f t="array" aca="1" ref="P268" ca="1">INDEX($A$2:$A$15,RANDBETWEEN(1,ROWS($A$2:$A$15)),1)</f>
        <v>1</v>
      </c>
      <c r="Q268" cm="1">
        <f t="array" aca="1" ref="Q268" ca="1">INDEX($A$2:$A$15,RANDBETWEEN(1,ROWS($A$2:$A$15)),1)</f>
        <v>5</v>
      </c>
      <c r="R268" cm="1">
        <f t="array" aca="1" ref="R268" ca="1">INDEX($A$2:$A$15,RANDBETWEEN(1,ROWS($A$2:$A$15)),1)</f>
        <v>1</v>
      </c>
      <c r="S268" cm="1">
        <f t="array" aca="1" ref="S268" ca="1">INDEX($A$2:$A$15,RANDBETWEEN(1,ROWS($A$2:$A$15)),1)</f>
        <v>1</v>
      </c>
      <c r="V268">
        <f t="shared" ca="1" si="16"/>
        <v>3.7058823529411766</v>
      </c>
      <c r="W268">
        <f t="shared" ca="1" si="17"/>
        <v>3</v>
      </c>
      <c r="X268">
        <f t="shared" ca="1" si="18"/>
        <v>4</v>
      </c>
      <c r="Y268">
        <f t="shared" ca="1" si="19"/>
        <v>2.4941107103122184</v>
      </c>
    </row>
    <row r="269" spans="3:25" x14ac:dyDescent="0.35">
      <c r="C269" cm="1">
        <f t="array" aca="1" ref="C269" ca="1">INDEX($A$2:$A$15,RANDBETWEEN(1,ROWS($A$2:$A$15)),1)</f>
        <v>3</v>
      </c>
      <c r="D269" cm="1">
        <f t="array" aca="1" ref="D269" ca="1">INDEX($A$2:$A$15,RANDBETWEEN(1,ROWS($A$2:$A$15)),1)</f>
        <v>5</v>
      </c>
      <c r="E269" cm="1">
        <f t="array" aca="1" ref="E269" ca="1">INDEX($A$2:$A$15,RANDBETWEEN(1,ROWS($A$2:$A$15)),1)</f>
        <v>3</v>
      </c>
      <c r="F269" cm="1">
        <f t="array" aca="1" ref="F269" ca="1">INDEX($A$2:$A$15,RANDBETWEEN(1,ROWS($A$2:$A$15)),1)</f>
        <v>2</v>
      </c>
      <c r="G269" cm="1">
        <f t="array" aca="1" ref="G269" ca="1">INDEX($A$2:$A$15,RANDBETWEEN(1,ROWS($A$2:$A$15)),1)</f>
        <v>3</v>
      </c>
      <c r="H269" cm="1">
        <f t="array" aca="1" ref="H269" ca="1">INDEX($A$2:$A$15,RANDBETWEEN(1,ROWS($A$2:$A$15)),1)</f>
        <v>5</v>
      </c>
      <c r="I269" cm="1">
        <f t="array" aca="1" ref="I269" ca="1">INDEX($A$2:$A$15,RANDBETWEEN(1,ROWS($A$2:$A$15)),1)</f>
        <v>5</v>
      </c>
      <c r="J269" cm="1">
        <f t="array" aca="1" ref="J269" ca="1">INDEX($A$2:$A$15,RANDBETWEEN(1,ROWS($A$2:$A$15)),1)</f>
        <v>1</v>
      </c>
      <c r="K269" cm="1">
        <f t="array" aca="1" ref="K269" ca="1">INDEX($A$2:$A$15,RANDBETWEEN(1,ROWS($A$2:$A$15)),1)</f>
        <v>5</v>
      </c>
      <c r="L269" cm="1">
        <f t="array" aca="1" ref="L269" ca="1">INDEX($A$2:$A$15,RANDBETWEEN(1,ROWS($A$2:$A$15)),1)</f>
        <v>3</v>
      </c>
      <c r="M269" cm="1">
        <f t="array" aca="1" ref="M269" ca="1">INDEX($A$2:$A$15,RANDBETWEEN(1,ROWS($A$2:$A$15)),1)</f>
        <v>2</v>
      </c>
      <c r="N269" cm="1">
        <f t="array" aca="1" ref="N269" ca="1">INDEX($A$2:$A$15,RANDBETWEEN(1,ROWS($A$2:$A$15)),1)</f>
        <v>2</v>
      </c>
      <c r="O269" cm="1">
        <f t="array" aca="1" ref="O269" ca="1">INDEX($A$2:$A$15,RANDBETWEEN(1,ROWS($A$2:$A$15)),1)</f>
        <v>5</v>
      </c>
      <c r="P269" cm="1">
        <f t="array" aca="1" ref="P269" ca="1">INDEX($A$2:$A$15,RANDBETWEEN(1,ROWS($A$2:$A$15)),1)</f>
        <v>3</v>
      </c>
      <c r="Q269" cm="1">
        <f t="array" aca="1" ref="Q269" ca="1">INDEX($A$2:$A$15,RANDBETWEEN(1,ROWS($A$2:$A$15)),1)</f>
        <v>3</v>
      </c>
      <c r="R269" cm="1">
        <f t="array" aca="1" ref="R269" ca="1">INDEX($A$2:$A$15,RANDBETWEEN(1,ROWS($A$2:$A$15)),1)</f>
        <v>4</v>
      </c>
      <c r="S269" cm="1">
        <f t="array" aca="1" ref="S269" ca="1">INDEX($A$2:$A$15,RANDBETWEEN(1,ROWS($A$2:$A$15)),1)</f>
        <v>5</v>
      </c>
      <c r="V269">
        <f t="shared" ca="1" si="16"/>
        <v>3.4705882352941178</v>
      </c>
      <c r="W269">
        <f t="shared" ca="1" si="17"/>
        <v>3</v>
      </c>
      <c r="X269">
        <f t="shared" ca="1" si="18"/>
        <v>2</v>
      </c>
      <c r="Y269">
        <f t="shared" ca="1" si="19"/>
        <v>1.3284223283101433</v>
      </c>
    </row>
    <row r="270" spans="3:25" x14ac:dyDescent="0.35">
      <c r="C270" cm="1">
        <f t="array" aca="1" ref="C270" ca="1">INDEX($A$2:$A$15,RANDBETWEEN(1,ROWS($A$2:$A$15)),1)</f>
        <v>3</v>
      </c>
      <c r="D270" cm="1">
        <f t="array" aca="1" ref="D270" ca="1">INDEX($A$2:$A$15,RANDBETWEEN(1,ROWS($A$2:$A$15)),1)</f>
        <v>3</v>
      </c>
      <c r="E270" cm="1">
        <f t="array" aca="1" ref="E270" ca="1">INDEX($A$2:$A$15,RANDBETWEEN(1,ROWS($A$2:$A$15)),1)</f>
        <v>5</v>
      </c>
      <c r="F270" cm="1">
        <f t="array" aca="1" ref="F270" ca="1">INDEX($A$2:$A$15,RANDBETWEEN(1,ROWS($A$2:$A$15)),1)</f>
        <v>5</v>
      </c>
      <c r="G270" cm="1">
        <f t="array" aca="1" ref="G270" ca="1">INDEX($A$2:$A$15,RANDBETWEEN(1,ROWS($A$2:$A$15)),1)</f>
        <v>4</v>
      </c>
      <c r="H270" cm="1">
        <f t="array" aca="1" ref="H270" ca="1">INDEX($A$2:$A$15,RANDBETWEEN(1,ROWS($A$2:$A$15)),1)</f>
        <v>1</v>
      </c>
      <c r="I270" cm="1">
        <f t="array" aca="1" ref="I270" ca="1">INDEX($A$2:$A$15,RANDBETWEEN(1,ROWS($A$2:$A$15)),1)</f>
        <v>1</v>
      </c>
      <c r="J270" cm="1">
        <f t="array" aca="1" ref="J270" ca="1">INDEX($A$2:$A$15,RANDBETWEEN(1,ROWS($A$2:$A$15)),1)</f>
        <v>5</v>
      </c>
      <c r="K270" cm="1">
        <f t="array" aca="1" ref="K270" ca="1">INDEX($A$2:$A$15,RANDBETWEEN(1,ROWS($A$2:$A$15)),1)</f>
        <v>5</v>
      </c>
      <c r="L270" cm="1">
        <f t="array" aca="1" ref="L270" ca="1">INDEX($A$2:$A$15,RANDBETWEEN(1,ROWS($A$2:$A$15)),1)</f>
        <v>5</v>
      </c>
      <c r="M270" cm="1">
        <f t="array" aca="1" ref="M270" ca="1">INDEX($A$2:$A$15,RANDBETWEEN(1,ROWS($A$2:$A$15)),1)</f>
        <v>4</v>
      </c>
      <c r="N270" cm="1">
        <f t="array" aca="1" ref="N270" ca="1">INDEX($A$2:$A$15,RANDBETWEEN(1,ROWS($A$2:$A$15)),1)</f>
        <v>1</v>
      </c>
      <c r="O270" cm="1">
        <f t="array" aca="1" ref="O270" ca="1">INDEX($A$2:$A$15,RANDBETWEEN(1,ROWS($A$2:$A$15)),1)</f>
        <v>5</v>
      </c>
      <c r="P270" cm="1">
        <f t="array" aca="1" ref="P270" ca="1">INDEX($A$2:$A$15,RANDBETWEEN(1,ROWS($A$2:$A$15)),1)</f>
        <v>8</v>
      </c>
      <c r="Q270" cm="1">
        <f t="array" aca="1" ref="Q270" ca="1">INDEX($A$2:$A$15,RANDBETWEEN(1,ROWS($A$2:$A$15)),1)</f>
        <v>4</v>
      </c>
      <c r="R270" cm="1">
        <f t="array" aca="1" ref="R270" ca="1">INDEX($A$2:$A$15,RANDBETWEEN(1,ROWS($A$2:$A$15)),1)</f>
        <v>5</v>
      </c>
      <c r="S270" cm="1">
        <f t="array" aca="1" ref="S270" ca="1">INDEX($A$2:$A$15,RANDBETWEEN(1,ROWS($A$2:$A$15)),1)</f>
        <v>5</v>
      </c>
      <c r="V270">
        <f t="shared" ca="1" si="16"/>
        <v>4.0588235294117645</v>
      </c>
      <c r="W270">
        <f t="shared" ca="1" si="17"/>
        <v>5</v>
      </c>
      <c r="X270">
        <f t="shared" ca="1" si="18"/>
        <v>2</v>
      </c>
      <c r="Y270">
        <f t="shared" ca="1" si="19"/>
        <v>1.8190171877724972</v>
      </c>
    </row>
    <row r="271" spans="3:25" x14ac:dyDescent="0.35">
      <c r="C271" cm="1">
        <f t="array" aca="1" ref="C271" ca="1">INDEX($A$2:$A$15,RANDBETWEEN(1,ROWS($A$2:$A$15)),1)</f>
        <v>4</v>
      </c>
      <c r="D271" cm="1">
        <f t="array" aca="1" ref="D271" ca="1">INDEX($A$2:$A$15,RANDBETWEEN(1,ROWS($A$2:$A$15)),1)</f>
        <v>5</v>
      </c>
      <c r="E271" cm="1">
        <f t="array" aca="1" ref="E271" ca="1">INDEX($A$2:$A$15,RANDBETWEEN(1,ROWS($A$2:$A$15)),1)</f>
        <v>5</v>
      </c>
      <c r="F271" cm="1">
        <f t="array" aca="1" ref="F271" ca="1">INDEX($A$2:$A$15,RANDBETWEEN(1,ROWS($A$2:$A$15)),1)</f>
        <v>5</v>
      </c>
      <c r="G271" cm="1">
        <f t="array" aca="1" ref="G271" ca="1">INDEX($A$2:$A$15,RANDBETWEEN(1,ROWS($A$2:$A$15)),1)</f>
        <v>1</v>
      </c>
      <c r="H271" cm="1">
        <f t="array" aca="1" ref="H271" ca="1">INDEX($A$2:$A$15,RANDBETWEEN(1,ROWS($A$2:$A$15)),1)</f>
        <v>1</v>
      </c>
      <c r="I271" cm="1">
        <f t="array" aca="1" ref="I271" ca="1">INDEX($A$2:$A$15,RANDBETWEEN(1,ROWS($A$2:$A$15)),1)</f>
        <v>1</v>
      </c>
      <c r="J271" cm="1">
        <f t="array" aca="1" ref="J271" ca="1">INDEX($A$2:$A$15,RANDBETWEEN(1,ROWS($A$2:$A$15)),1)</f>
        <v>8</v>
      </c>
      <c r="K271" cm="1">
        <f t="array" aca="1" ref="K271" ca="1">INDEX($A$2:$A$15,RANDBETWEEN(1,ROWS($A$2:$A$15)),1)</f>
        <v>3</v>
      </c>
      <c r="L271" cm="1">
        <f t="array" aca="1" ref="L271" ca="1">INDEX($A$2:$A$15,RANDBETWEEN(1,ROWS($A$2:$A$15)),1)</f>
        <v>5</v>
      </c>
      <c r="M271" cm="1">
        <f t="array" aca="1" ref="M271" ca="1">INDEX($A$2:$A$15,RANDBETWEEN(1,ROWS($A$2:$A$15)),1)</f>
        <v>2</v>
      </c>
      <c r="N271" cm="1">
        <f t="array" aca="1" ref="N271" ca="1">INDEX($A$2:$A$15,RANDBETWEEN(1,ROWS($A$2:$A$15)),1)</f>
        <v>5</v>
      </c>
      <c r="O271" cm="1">
        <f t="array" aca="1" ref="O271" ca="1">INDEX($A$2:$A$15,RANDBETWEEN(1,ROWS($A$2:$A$15)),1)</f>
        <v>4</v>
      </c>
      <c r="P271" cm="1">
        <f t="array" aca="1" ref="P271" ca="1">INDEX($A$2:$A$15,RANDBETWEEN(1,ROWS($A$2:$A$15)),1)</f>
        <v>3</v>
      </c>
      <c r="Q271" cm="1">
        <f t="array" aca="1" ref="Q271" ca="1">INDEX($A$2:$A$15,RANDBETWEEN(1,ROWS($A$2:$A$15)),1)</f>
        <v>3</v>
      </c>
      <c r="R271" cm="1">
        <f t="array" aca="1" ref="R271" ca="1">INDEX($A$2:$A$15,RANDBETWEEN(1,ROWS($A$2:$A$15)),1)</f>
        <v>5</v>
      </c>
      <c r="S271" cm="1">
        <f t="array" aca="1" ref="S271" ca="1">INDEX($A$2:$A$15,RANDBETWEEN(1,ROWS($A$2:$A$15)),1)</f>
        <v>1</v>
      </c>
      <c r="V271">
        <f t="shared" ca="1" si="16"/>
        <v>3.5882352941176472</v>
      </c>
      <c r="W271">
        <f t="shared" ca="1" si="17"/>
        <v>4</v>
      </c>
      <c r="X271">
        <f t="shared" ca="1" si="18"/>
        <v>3</v>
      </c>
      <c r="Y271">
        <f t="shared" ca="1" si="19"/>
        <v>1.970368732287556</v>
      </c>
    </row>
    <row r="272" spans="3:25" x14ac:dyDescent="0.35">
      <c r="C272" cm="1">
        <f t="array" aca="1" ref="C272" ca="1">INDEX($A$2:$A$15,RANDBETWEEN(1,ROWS($A$2:$A$15)),1)</f>
        <v>2</v>
      </c>
      <c r="D272" cm="1">
        <f t="array" aca="1" ref="D272" ca="1">INDEX($A$2:$A$15,RANDBETWEEN(1,ROWS($A$2:$A$15)),1)</f>
        <v>1</v>
      </c>
      <c r="E272" cm="1">
        <f t="array" aca="1" ref="E272" ca="1">INDEX($A$2:$A$15,RANDBETWEEN(1,ROWS($A$2:$A$15)),1)</f>
        <v>7</v>
      </c>
      <c r="F272" cm="1">
        <f t="array" aca="1" ref="F272" ca="1">INDEX($A$2:$A$15,RANDBETWEEN(1,ROWS($A$2:$A$15)),1)</f>
        <v>7</v>
      </c>
      <c r="G272" cm="1">
        <f t="array" aca="1" ref="G272" ca="1">INDEX($A$2:$A$15,RANDBETWEEN(1,ROWS($A$2:$A$15)),1)</f>
        <v>1</v>
      </c>
      <c r="H272" cm="1">
        <f t="array" aca="1" ref="H272" ca="1">INDEX($A$2:$A$15,RANDBETWEEN(1,ROWS($A$2:$A$15)),1)</f>
        <v>5</v>
      </c>
      <c r="I272" cm="1">
        <f t="array" aca="1" ref="I272" ca="1">INDEX($A$2:$A$15,RANDBETWEEN(1,ROWS($A$2:$A$15)),1)</f>
        <v>5</v>
      </c>
      <c r="J272" cm="1">
        <f t="array" aca="1" ref="J272" ca="1">INDEX($A$2:$A$15,RANDBETWEEN(1,ROWS($A$2:$A$15)),1)</f>
        <v>1</v>
      </c>
      <c r="K272" cm="1">
        <f t="array" aca="1" ref="K272" ca="1">INDEX($A$2:$A$15,RANDBETWEEN(1,ROWS($A$2:$A$15)),1)</f>
        <v>3</v>
      </c>
      <c r="L272" cm="1">
        <f t="array" aca="1" ref="L272" ca="1">INDEX($A$2:$A$15,RANDBETWEEN(1,ROWS($A$2:$A$15)),1)</f>
        <v>5</v>
      </c>
      <c r="M272" cm="1">
        <f t="array" aca="1" ref="M272" ca="1">INDEX($A$2:$A$15,RANDBETWEEN(1,ROWS($A$2:$A$15)),1)</f>
        <v>3</v>
      </c>
      <c r="N272" cm="1">
        <f t="array" aca="1" ref="N272" ca="1">INDEX($A$2:$A$15,RANDBETWEEN(1,ROWS($A$2:$A$15)),1)</f>
        <v>5</v>
      </c>
      <c r="O272" cm="1">
        <f t="array" aca="1" ref="O272" ca="1">INDEX($A$2:$A$15,RANDBETWEEN(1,ROWS($A$2:$A$15)),1)</f>
        <v>7</v>
      </c>
      <c r="P272" cm="1">
        <f t="array" aca="1" ref="P272" ca="1">INDEX($A$2:$A$15,RANDBETWEEN(1,ROWS($A$2:$A$15)),1)</f>
        <v>5</v>
      </c>
      <c r="Q272" cm="1">
        <f t="array" aca="1" ref="Q272" ca="1">INDEX($A$2:$A$15,RANDBETWEEN(1,ROWS($A$2:$A$15)),1)</f>
        <v>2</v>
      </c>
      <c r="R272" cm="1">
        <f t="array" aca="1" ref="R272" ca="1">INDEX($A$2:$A$15,RANDBETWEEN(1,ROWS($A$2:$A$15)),1)</f>
        <v>5</v>
      </c>
      <c r="S272" cm="1">
        <f t="array" aca="1" ref="S272" ca="1">INDEX($A$2:$A$15,RANDBETWEEN(1,ROWS($A$2:$A$15)),1)</f>
        <v>5</v>
      </c>
      <c r="V272">
        <f t="shared" ca="1" si="16"/>
        <v>4.0588235294117645</v>
      </c>
      <c r="W272">
        <f t="shared" ca="1" si="17"/>
        <v>5</v>
      </c>
      <c r="X272">
        <f t="shared" ca="1" si="18"/>
        <v>3</v>
      </c>
      <c r="Y272">
        <f t="shared" ca="1" si="19"/>
        <v>2.105664628902657</v>
      </c>
    </row>
    <row r="273" spans="3:25" x14ac:dyDescent="0.35">
      <c r="C273" cm="1">
        <f t="array" aca="1" ref="C273" ca="1">INDEX($A$2:$A$15,RANDBETWEEN(1,ROWS($A$2:$A$15)),1)</f>
        <v>4</v>
      </c>
      <c r="D273" cm="1">
        <f t="array" aca="1" ref="D273" ca="1">INDEX($A$2:$A$15,RANDBETWEEN(1,ROWS($A$2:$A$15)),1)</f>
        <v>8</v>
      </c>
      <c r="E273" cm="1">
        <f t="array" aca="1" ref="E273" ca="1">INDEX($A$2:$A$15,RANDBETWEEN(1,ROWS($A$2:$A$15)),1)</f>
        <v>5</v>
      </c>
      <c r="F273" cm="1">
        <f t="array" aca="1" ref="F273" ca="1">INDEX($A$2:$A$15,RANDBETWEEN(1,ROWS($A$2:$A$15)),1)</f>
        <v>1</v>
      </c>
      <c r="G273" cm="1">
        <f t="array" aca="1" ref="G273" ca="1">INDEX($A$2:$A$15,RANDBETWEEN(1,ROWS($A$2:$A$15)),1)</f>
        <v>5</v>
      </c>
      <c r="H273" cm="1">
        <f t="array" aca="1" ref="H273" ca="1">INDEX($A$2:$A$15,RANDBETWEEN(1,ROWS($A$2:$A$15)),1)</f>
        <v>1</v>
      </c>
      <c r="I273" cm="1">
        <f t="array" aca="1" ref="I273" ca="1">INDEX($A$2:$A$15,RANDBETWEEN(1,ROWS($A$2:$A$15)),1)</f>
        <v>1</v>
      </c>
      <c r="J273" cm="1">
        <f t="array" aca="1" ref="J273" ca="1">INDEX($A$2:$A$15,RANDBETWEEN(1,ROWS($A$2:$A$15)),1)</f>
        <v>8</v>
      </c>
      <c r="K273" cm="1">
        <f t="array" aca="1" ref="K273" ca="1">INDEX($A$2:$A$15,RANDBETWEEN(1,ROWS($A$2:$A$15)),1)</f>
        <v>1</v>
      </c>
      <c r="L273" cm="1">
        <f t="array" aca="1" ref="L273" ca="1">INDEX($A$2:$A$15,RANDBETWEEN(1,ROWS($A$2:$A$15)),1)</f>
        <v>4</v>
      </c>
      <c r="M273" cm="1">
        <f t="array" aca="1" ref="M273" ca="1">INDEX($A$2:$A$15,RANDBETWEEN(1,ROWS($A$2:$A$15)),1)</f>
        <v>5</v>
      </c>
      <c r="N273" cm="1">
        <f t="array" aca="1" ref="N273" ca="1">INDEX($A$2:$A$15,RANDBETWEEN(1,ROWS($A$2:$A$15)),1)</f>
        <v>3</v>
      </c>
      <c r="O273" cm="1">
        <f t="array" aca="1" ref="O273" ca="1">INDEX($A$2:$A$15,RANDBETWEEN(1,ROWS($A$2:$A$15)),1)</f>
        <v>5</v>
      </c>
      <c r="P273" cm="1">
        <f t="array" aca="1" ref="P273" ca="1">INDEX($A$2:$A$15,RANDBETWEEN(1,ROWS($A$2:$A$15)),1)</f>
        <v>5</v>
      </c>
      <c r="Q273" cm="1">
        <f t="array" aca="1" ref="Q273" ca="1">INDEX($A$2:$A$15,RANDBETWEEN(1,ROWS($A$2:$A$15)),1)</f>
        <v>5</v>
      </c>
      <c r="R273" cm="1">
        <f t="array" aca="1" ref="R273" ca="1">INDEX($A$2:$A$15,RANDBETWEEN(1,ROWS($A$2:$A$15)),1)</f>
        <v>3</v>
      </c>
      <c r="S273" cm="1">
        <f t="array" aca="1" ref="S273" ca="1">INDEX($A$2:$A$15,RANDBETWEEN(1,ROWS($A$2:$A$15)),1)</f>
        <v>4</v>
      </c>
      <c r="V273">
        <f t="shared" ca="1" si="16"/>
        <v>4</v>
      </c>
      <c r="W273">
        <f t="shared" ca="1" si="17"/>
        <v>4</v>
      </c>
      <c r="X273">
        <f t="shared" ca="1" si="18"/>
        <v>2</v>
      </c>
      <c r="Y273">
        <f t="shared" ca="1" si="19"/>
        <v>2.179449471770337</v>
      </c>
    </row>
    <row r="274" spans="3:25" x14ac:dyDescent="0.35">
      <c r="C274" cm="1">
        <f t="array" aca="1" ref="C274" ca="1">INDEX($A$2:$A$15,RANDBETWEEN(1,ROWS($A$2:$A$15)),1)</f>
        <v>1</v>
      </c>
      <c r="D274" cm="1">
        <f t="array" aca="1" ref="D274" ca="1">INDEX($A$2:$A$15,RANDBETWEEN(1,ROWS($A$2:$A$15)),1)</f>
        <v>4</v>
      </c>
      <c r="E274" cm="1">
        <f t="array" aca="1" ref="E274" ca="1">INDEX($A$2:$A$15,RANDBETWEEN(1,ROWS($A$2:$A$15)),1)</f>
        <v>5</v>
      </c>
      <c r="F274" cm="1">
        <f t="array" aca="1" ref="F274" ca="1">INDEX($A$2:$A$15,RANDBETWEEN(1,ROWS($A$2:$A$15)),1)</f>
        <v>4</v>
      </c>
      <c r="G274" cm="1">
        <f t="array" aca="1" ref="G274" ca="1">INDEX($A$2:$A$15,RANDBETWEEN(1,ROWS($A$2:$A$15)),1)</f>
        <v>1</v>
      </c>
      <c r="H274" cm="1">
        <f t="array" aca="1" ref="H274" ca="1">INDEX($A$2:$A$15,RANDBETWEEN(1,ROWS($A$2:$A$15)),1)</f>
        <v>4</v>
      </c>
      <c r="I274" cm="1">
        <f t="array" aca="1" ref="I274" ca="1">INDEX($A$2:$A$15,RANDBETWEEN(1,ROWS($A$2:$A$15)),1)</f>
        <v>7</v>
      </c>
      <c r="J274" cm="1">
        <f t="array" aca="1" ref="J274" ca="1">INDEX($A$2:$A$15,RANDBETWEEN(1,ROWS($A$2:$A$15)),1)</f>
        <v>1</v>
      </c>
      <c r="K274" cm="1">
        <f t="array" aca="1" ref="K274" ca="1">INDEX($A$2:$A$15,RANDBETWEEN(1,ROWS($A$2:$A$15)),1)</f>
        <v>2</v>
      </c>
      <c r="L274" cm="1">
        <f t="array" aca="1" ref="L274" ca="1">INDEX($A$2:$A$15,RANDBETWEEN(1,ROWS($A$2:$A$15)),1)</f>
        <v>3</v>
      </c>
      <c r="M274" cm="1">
        <f t="array" aca="1" ref="M274" ca="1">INDEX($A$2:$A$15,RANDBETWEEN(1,ROWS($A$2:$A$15)),1)</f>
        <v>1</v>
      </c>
      <c r="N274" cm="1">
        <f t="array" aca="1" ref="N274" ca="1">INDEX($A$2:$A$15,RANDBETWEEN(1,ROWS($A$2:$A$15)),1)</f>
        <v>4</v>
      </c>
      <c r="O274" cm="1">
        <f t="array" aca="1" ref="O274" ca="1">INDEX($A$2:$A$15,RANDBETWEEN(1,ROWS($A$2:$A$15)),1)</f>
        <v>1</v>
      </c>
      <c r="P274" cm="1">
        <f t="array" aca="1" ref="P274" ca="1">INDEX($A$2:$A$15,RANDBETWEEN(1,ROWS($A$2:$A$15)),1)</f>
        <v>3</v>
      </c>
      <c r="Q274" cm="1">
        <f t="array" aca="1" ref="Q274" ca="1">INDEX($A$2:$A$15,RANDBETWEEN(1,ROWS($A$2:$A$15)),1)</f>
        <v>5</v>
      </c>
      <c r="R274" cm="1">
        <f t="array" aca="1" ref="R274" ca="1">INDEX($A$2:$A$15,RANDBETWEEN(1,ROWS($A$2:$A$15)),1)</f>
        <v>3</v>
      </c>
      <c r="S274" cm="1">
        <f t="array" aca="1" ref="S274" ca="1">INDEX($A$2:$A$15,RANDBETWEEN(1,ROWS($A$2:$A$15)),1)</f>
        <v>1</v>
      </c>
      <c r="V274">
        <f t="shared" ca="1" si="16"/>
        <v>2.9411764705882355</v>
      </c>
      <c r="W274">
        <f t="shared" ca="1" si="17"/>
        <v>3</v>
      </c>
      <c r="X274">
        <f t="shared" ca="1" si="18"/>
        <v>3</v>
      </c>
      <c r="Y274">
        <f t="shared" ca="1" si="19"/>
        <v>1.8190171877724972</v>
      </c>
    </row>
    <row r="275" spans="3:25" x14ac:dyDescent="0.35">
      <c r="C275" cm="1">
        <f t="array" aca="1" ref="C275" ca="1">INDEX($A$2:$A$15,RANDBETWEEN(1,ROWS($A$2:$A$15)),1)</f>
        <v>8</v>
      </c>
      <c r="D275" cm="1">
        <f t="array" aca="1" ref="D275" ca="1">INDEX($A$2:$A$15,RANDBETWEEN(1,ROWS($A$2:$A$15)),1)</f>
        <v>5</v>
      </c>
      <c r="E275" cm="1">
        <f t="array" aca="1" ref="E275" ca="1">INDEX($A$2:$A$15,RANDBETWEEN(1,ROWS($A$2:$A$15)),1)</f>
        <v>5</v>
      </c>
      <c r="F275" cm="1">
        <f t="array" aca="1" ref="F275" ca="1">INDEX($A$2:$A$15,RANDBETWEEN(1,ROWS($A$2:$A$15)),1)</f>
        <v>1</v>
      </c>
      <c r="G275" cm="1">
        <f t="array" aca="1" ref="G275" ca="1">INDEX($A$2:$A$15,RANDBETWEEN(1,ROWS($A$2:$A$15)),1)</f>
        <v>3</v>
      </c>
      <c r="H275" cm="1">
        <f t="array" aca="1" ref="H275" ca="1">INDEX($A$2:$A$15,RANDBETWEEN(1,ROWS($A$2:$A$15)),1)</f>
        <v>4</v>
      </c>
      <c r="I275" cm="1">
        <f t="array" aca="1" ref="I275" ca="1">INDEX($A$2:$A$15,RANDBETWEEN(1,ROWS($A$2:$A$15)),1)</f>
        <v>3</v>
      </c>
      <c r="J275" cm="1">
        <f t="array" aca="1" ref="J275" ca="1">INDEX($A$2:$A$15,RANDBETWEEN(1,ROWS($A$2:$A$15)),1)</f>
        <v>1</v>
      </c>
      <c r="K275" cm="1">
        <f t="array" aca="1" ref="K275" ca="1">INDEX($A$2:$A$15,RANDBETWEEN(1,ROWS($A$2:$A$15)),1)</f>
        <v>5</v>
      </c>
      <c r="L275" cm="1">
        <f t="array" aca="1" ref="L275" ca="1">INDEX($A$2:$A$15,RANDBETWEEN(1,ROWS($A$2:$A$15)),1)</f>
        <v>5</v>
      </c>
      <c r="M275" cm="1">
        <f t="array" aca="1" ref="M275" ca="1">INDEX($A$2:$A$15,RANDBETWEEN(1,ROWS($A$2:$A$15)),1)</f>
        <v>3</v>
      </c>
      <c r="N275" cm="1">
        <f t="array" aca="1" ref="N275" ca="1">INDEX($A$2:$A$15,RANDBETWEEN(1,ROWS($A$2:$A$15)),1)</f>
        <v>4</v>
      </c>
      <c r="O275" cm="1">
        <f t="array" aca="1" ref="O275" ca="1">INDEX($A$2:$A$15,RANDBETWEEN(1,ROWS($A$2:$A$15)),1)</f>
        <v>5</v>
      </c>
      <c r="P275" cm="1">
        <f t="array" aca="1" ref="P275" ca="1">INDEX($A$2:$A$15,RANDBETWEEN(1,ROWS($A$2:$A$15)),1)</f>
        <v>7</v>
      </c>
      <c r="Q275" cm="1">
        <f t="array" aca="1" ref="Q275" ca="1">INDEX($A$2:$A$15,RANDBETWEEN(1,ROWS($A$2:$A$15)),1)</f>
        <v>8</v>
      </c>
      <c r="R275" cm="1">
        <f t="array" aca="1" ref="R275" ca="1">INDEX($A$2:$A$15,RANDBETWEEN(1,ROWS($A$2:$A$15)),1)</f>
        <v>4</v>
      </c>
      <c r="S275" cm="1">
        <f t="array" aca="1" ref="S275" ca="1">INDEX($A$2:$A$15,RANDBETWEEN(1,ROWS($A$2:$A$15)),1)</f>
        <v>5</v>
      </c>
      <c r="V275">
        <f t="shared" ca="1" si="16"/>
        <v>4.4705882352941178</v>
      </c>
      <c r="W275">
        <f t="shared" ca="1" si="17"/>
        <v>5</v>
      </c>
      <c r="X275">
        <f t="shared" ca="1" si="18"/>
        <v>2</v>
      </c>
      <c r="Y275">
        <f t="shared" ca="1" si="19"/>
        <v>2.0036730976766002</v>
      </c>
    </row>
    <row r="276" spans="3:25" x14ac:dyDescent="0.35">
      <c r="C276" cm="1">
        <f t="array" aca="1" ref="C276" ca="1">INDEX($A$2:$A$15,RANDBETWEEN(1,ROWS($A$2:$A$15)),1)</f>
        <v>4</v>
      </c>
      <c r="D276" cm="1">
        <f t="array" aca="1" ref="D276" ca="1">INDEX($A$2:$A$15,RANDBETWEEN(1,ROWS($A$2:$A$15)),1)</f>
        <v>7</v>
      </c>
      <c r="E276" cm="1">
        <f t="array" aca="1" ref="E276" ca="1">INDEX($A$2:$A$15,RANDBETWEEN(1,ROWS($A$2:$A$15)),1)</f>
        <v>7</v>
      </c>
      <c r="F276" cm="1">
        <f t="array" aca="1" ref="F276" ca="1">INDEX($A$2:$A$15,RANDBETWEEN(1,ROWS($A$2:$A$15)),1)</f>
        <v>5</v>
      </c>
      <c r="G276" cm="1">
        <f t="array" aca="1" ref="G276" ca="1">INDEX($A$2:$A$15,RANDBETWEEN(1,ROWS($A$2:$A$15)),1)</f>
        <v>8</v>
      </c>
      <c r="H276" cm="1">
        <f t="array" aca="1" ref="H276" ca="1">INDEX($A$2:$A$15,RANDBETWEEN(1,ROWS($A$2:$A$15)),1)</f>
        <v>1</v>
      </c>
      <c r="I276" cm="1">
        <f t="array" aca="1" ref="I276" ca="1">INDEX($A$2:$A$15,RANDBETWEEN(1,ROWS($A$2:$A$15)),1)</f>
        <v>1</v>
      </c>
      <c r="J276" cm="1">
        <f t="array" aca="1" ref="J276" ca="1">INDEX($A$2:$A$15,RANDBETWEEN(1,ROWS($A$2:$A$15)),1)</f>
        <v>2</v>
      </c>
      <c r="K276" cm="1">
        <f t="array" aca="1" ref="K276" ca="1">INDEX($A$2:$A$15,RANDBETWEEN(1,ROWS($A$2:$A$15)),1)</f>
        <v>4</v>
      </c>
      <c r="L276" cm="1">
        <f t="array" aca="1" ref="L276" ca="1">INDEX($A$2:$A$15,RANDBETWEEN(1,ROWS($A$2:$A$15)),1)</f>
        <v>7</v>
      </c>
      <c r="M276" cm="1">
        <f t="array" aca="1" ref="M276" ca="1">INDEX($A$2:$A$15,RANDBETWEEN(1,ROWS($A$2:$A$15)),1)</f>
        <v>8</v>
      </c>
      <c r="N276" cm="1">
        <f t="array" aca="1" ref="N276" ca="1">INDEX($A$2:$A$15,RANDBETWEEN(1,ROWS($A$2:$A$15)),1)</f>
        <v>5</v>
      </c>
      <c r="O276" cm="1">
        <f t="array" aca="1" ref="O276" ca="1">INDEX($A$2:$A$15,RANDBETWEEN(1,ROWS($A$2:$A$15)),1)</f>
        <v>5</v>
      </c>
      <c r="P276" cm="1">
        <f t="array" aca="1" ref="P276" ca="1">INDEX($A$2:$A$15,RANDBETWEEN(1,ROWS($A$2:$A$15)),1)</f>
        <v>1</v>
      </c>
      <c r="Q276" cm="1">
        <f t="array" aca="1" ref="Q276" ca="1">INDEX($A$2:$A$15,RANDBETWEEN(1,ROWS($A$2:$A$15)),1)</f>
        <v>5</v>
      </c>
      <c r="R276" cm="1">
        <f t="array" aca="1" ref="R276" ca="1">INDEX($A$2:$A$15,RANDBETWEEN(1,ROWS($A$2:$A$15)),1)</f>
        <v>3</v>
      </c>
      <c r="S276" cm="1">
        <f t="array" aca="1" ref="S276" ca="1">INDEX($A$2:$A$15,RANDBETWEEN(1,ROWS($A$2:$A$15)),1)</f>
        <v>5</v>
      </c>
      <c r="V276">
        <f t="shared" ca="1" si="16"/>
        <v>4.5882352941176467</v>
      </c>
      <c r="W276">
        <f t="shared" ca="1" si="17"/>
        <v>5</v>
      </c>
      <c r="X276">
        <f t="shared" ca="1" si="18"/>
        <v>4</v>
      </c>
      <c r="Y276">
        <f t="shared" ca="1" si="19"/>
        <v>2.3732578749846107</v>
      </c>
    </row>
    <row r="277" spans="3:25" x14ac:dyDescent="0.35">
      <c r="C277" cm="1">
        <f t="array" aca="1" ref="C277" ca="1">INDEX($A$2:$A$15,RANDBETWEEN(1,ROWS($A$2:$A$15)),1)</f>
        <v>4</v>
      </c>
      <c r="D277" cm="1">
        <f t="array" aca="1" ref="D277" ca="1">INDEX($A$2:$A$15,RANDBETWEEN(1,ROWS($A$2:$A$15)),1)</f>
        <v>2</v>
      </c>
      <c r="E277" cm="1">
        <f t="array" aca="1" ref="E277" ca="1">INDEX($A$2:$A$15,RANDBETWEEN(1,ROWS($A$2:$A$15)),1)</f>
        <v>2</v>
      </c>
      <c r="F277" cm="1">
        <f t="array" aca="1" ref="F277" ca="1">INDEX($A$2:$A$15,RANDBETWEEN(1,ROWS($A$2:$A$15)),1)</f>
        <v>5</v>
      </c>
      <c r="G277" cm="1">
        <f t="array" aca="1" ref="G277" ca="1">INDEX($A$2:$A$15,RANDBETWEEN(1,ROWS($A$2:$A$15)),1)</f>
        <v>3</v>
      </c>
      <c r="H277" cm="1">
        <f t="array" aca="1" ref="H277" ca="1">INDEX($A$2:$A$15,RANDBETWEEN(1,ROWS($A$2:$A$15)),1)</f>
        <v>5</v>
      </c>
      <c r="I277" cm="1">
        <f t="array" aca="1" ref="I277" ca="1">INDEX($A$2:$A$15,RANDBETWEEN(1,ROWS($A$2:$A$15)),1)</f>
        <v>5</v>
      </c>
      <c r="J277" cm="1">
        <f t="array" aca="1" ref="J277" ca="1">INDEX($A$2:$A$15,RANDBETWEEN(1,ROWS($A$2:$A$15)),1)</f>
        <v>1</v>
      </c>
      <c r="K277" cm="1">
        <f t="array" aca="1" ref="K277" ca="1">INDEX($A$2:$A$15,RANDBETWEEN(1,ROWS($A$2:$A$15)),1)</f>
        <v>1</v>
      </c>
      <c r="L277" cm="1">
        <f t="array" aca="1" ref="L277" ca="1">INDEX($A$2:$A$15,RANDBETWEEN(1,ROWS($A$2:$A$15)),1)</f>
        <v>5</v>
      </c>
      <c r="M277" cm="1">
        <f t="array" aca="1" ref="M277" ca="1">INDEX($A$2:$A$15,RANDBETWEEN(1,ROWS($A$2:$A$15)),1)</f>
        <v>7</v>
      </c>
      <c r="N277" cm="1">
        <f t="array" aca="1" ref="N277" ca="1">INDEX($A$2:$A$15,RANDBETWEEN(1,ROWS($A$2:$A$15)),1)</f>
        <v>5</v>
      </c>
      <c r="O277" cm="1">
        <f t="array" aca="1" ref="O277" ca="1">INDEX($A$2:$A$15,RANDBETWEEN(1,ROWS($A$2:$A$15)),1)</f>
        <v>1</v>
      </c>
      <c r="P277" cm="1">
        <f t="array" aca="1" ref="P277" ca="1">INDEX($A$2:$A$15,RANDBETWEEN(1,ROWS($A$2:$A$15)),1)</f>
        <v>3</v>
      </c>
      <c r="Q277" cm="1">
        <f t="array" aca="1" ref="Q277" ca="1">INDEX($A$2:$A$15,RANDBETWEEN(1,ROWS($A$2:$A$15)),1)</f>
        <v>5</v>
      </c>
      <c r="R277" cm="1">
        <f t="array" aca="1" ref="R277" ca="1">INDEX($A$2:$A$15,RANDBETWEEN(1,ROWS($A$2:$A$15)),1)</f>
        <v>3</v>
      </c>
      <c r="S277" cm="1">
        <f t="array" aca="1" ref="S277" ca="1">INDEX($A$2:$A$15,RANDBETWEEN(1,ROWS($A$2:$A$15)),1)</f>
        <v>3</v>
      </c>
      <c r="V277">
        <f t="shared" ca="1" si="16"/>
        <v>3.5294117647058822</v>
      </c>
      <c r="W277">
        <f t="shared" ca="1" si="17"/>
        <v>3</v>
      </c>
      <c r="X277">
        <f t="shared" ca="1" si="18"/>
        <v>3</v>
      </c>
      <c r="Y277">
        <f t="shared" ca="1" si="19"/>
        <v>1.7719215226281728</v>
      </c>
    </row>
    <row r="278" spans="3:25" x14ac:dyDescent="0.35">
      <c r="C278" cm="1">
        <f t="array" aca="1" ref="C278" ca="1">INDEX($A$2:$A$15,RANDBETWEEN(1,ROWS($A$2:$A$15)),1)</f>
        <v>3</v>
      </c>
      <c r="D278" cm="1">
        <f t="array" aca="1" ref="D278" ca="1">INDEX($A$2:$A$15,RANDBETWEEN(1,ROWS($A$2:$A$15)),1)</f>
        <v>8</v>
      </c>
      <c r="E278" cm="1">
        <f t="array" aca="1" ref="E278" ca="1">INDEX($A$2:$A$15,RANDBETWEEN(1,ROWS($A$2:$A$15)),1)</f>
        <v>5</v>
      </c>
      <c r="F278" cm="1">
        <f t="array" aca="1" ref="F278" ca="1">INDEX($A$2:$A$15,RANDBETWEEN(1,ROWS($A$2:$A$15)),1)</f>
        <v>1</v>
      </c>
      <c r="G278" cm="1">
        <f t="array" aca="1" ref="G278" ca="1">INDEX($A$2:$A$15,RANDBETWEEN(1,ROWS($A$2:$A$15)),1)</f>
        <v>1</v>
      </c>
      <c r="H278" cm="1">
        <f t="array" aca="1" ref="H278" ca="1">INDEX($A$2:$A$15,RANDBETWEEN(1,ROWS($A$2:$A$15)),1)</f>
        <v>1</v>
      </c>
      <c r="I278" cm="1">
        <f t="array" aca="1" ref="I278" ca="1">INDEX($A$2:$A$15,RANDBETWEEN(1,ROWS($A$2:$A$15)),1)</f>
        <v>1</v>
      </c>
      <c r="J278" cm="1">
        <f t="array" aca="1" ref="J278" ca="1">INDEX($A$2:$A$15,RANDBETWEEN(1,ROWS($A$2:$A$15)),1)</f>
        <v>5</v>
      </c>
      <c r="K278" cm="1">
        <f t="array" aca="1" ref="K278" ca="1">INDEX($A$2:$A$15,RANDBETWEEN(1,ROWS($A$2:$A$15)),1)</f>
        <v>5</v>
      </c>
      <c r="L278" cm="1">
        <f t="array" aca="1" ref="L278" ca="1">INDEX($A$2:$A$15,RANDBETWEEN(1,ROWS($A$2:$A$15)),1)</f>
        <v>7</v>
      </c>
      <c r="M278" cm="1">
        <f t="array" aca="1" ref="M278" ca="1">INDEX($A$2:$A$15,RANDBETWEEN(1,ROWS($A$2:$A$15)),1)</f>
        <v>5</v>
      </c>
      <c r="N278" cm="1">
        <f t="array" aca="1" ref="N278" ca="1">INDEX($A$2:$A$15,RANDBETWEEN(1,ROWS($A$2:$A$15)),1)</f>
        <v>1</v>
      </c>
      <c r="O278" cm="1">
        <f t="array" aca="1" ref="O278" ca="1">INDEX($A$2:$A$15,RANDBETWEEN(1,ROWS($A$2:$A$15)),1)</f>
        <v>4</v>
      </c>
      <c r="P278" cm="1">
        <f t="array" aca="1" ref="P278" ca="1">INDEX($A$2:$A$15,RANDBETWEEN(1,ROWS($A$2:$A$15)),1)</f>
        <v>2</v>
      </c>
      <c r="Q278" cm="1">
        <f t="array" aca="1" ref="Q278" ca="1">INDEX($A$2:$A$15,RANDBETWEEN(1,ROWS($A$2:$A$15)),1)</f>
        <v>5</v>
      </c>
      <c r="R278" cm="1">
        <f t="array" aca="1" ref="R278" ca="1">INDEX($A$2:$A$15,RANDBETWEEN(1,ROWS($A$2:$A$15)),1)</f>
        <v>7</v>
      </c>
      <c r="S278" cm="1">
        <f t="array" aca="1" ref="S278" ca="1">INDEX($A$2:$A$15,RANDBETWEEN(1,ROWS($A$2:$A$15)),1)</f>
        <v>7</v>
      </c>
      <c r="V278">
        <f t="shared" ca="1" si="16"/>
        <v>4</v>
      </c>
      <c r="W278">
        <f t="shared" ca="1" si="17"/>
        <v>5</v>
      </c>
      <c r="X278">
        <f t="shared" ca="1" si="18"/>
        <v>4</v>
      </c>
      <c r="Y278">
        <f t="shared" ca="1" si="19"/>
        <v>2.4748737341529163</v>
      </c>
    </row>
    <row r="279" spans="3:25" x14ac:dyDescent="0.35">
      <c r="C279" cm="1">
        <f t="array" aca="1" ref="C279" ca="1">INDEX($A$2:$A$15,RANDBETWEEN(1,ROWS($A$2:$A$15)),1)</f>
        <v>7</v>
      </c>
      <c r="D279" cm="1">
        <f t="array" aca="1" ref="D279" ca="1">INDEX($A$2:$A$15,RANDBETWEEN(1,ROWS($A$2:$A$15)),1)</f>
        <v>1</v>
      </c>
      <c r="E279" cm="1">
        <f t="array" aca="1" ref="E279" ca="1">INDEX($A$2:$A$15,RANDBETWEEN(1,ROWS($A$2:$A$15)),1)</f>
        <v>2</v>
      </c>
      <c r="F279" cm="1">
        <f t="array" aca="1" ref="F279" ca="1">INDEX($A$2:$A$15,RANDBETWEEN(1,ROWS($A$2:$A$15)),1)</f>
        <v>1</v>
      </c>
      <c r="G279" cm="1">
        <f t="array" aca="1" ref="G279" ca="1">INDEX($A$2:$A$15,RANDBETWEEN(1,ROWS($A$2:$A$15)),1)</f>
        <v>5</v>
      </c>
      <c r="H279" cm="1">
        <f t="array" aca="1" ref="H279" ca="1">INDEX($A$2:$A$15,RANDBETWEEN(1,ROWS($A$2:$A$15)),1)</f>
        <v>1</v>
      </c>
      <c r="I279" cm="1">
        <f t="array" aca="1" ref="I279" ca="1">INDEX($A$2:$A$15,RANDBETWEEN(1,ROWS($A$2:$A$15)),1)</f>
        <v>8</v>
      </c>
      <c r="J279" cm="1">
        <f t="array" aca="1" ref="J279" ca="1">INDEX($A$2:$A$15,RANDBETWEEN(1,ROWS($A$2:$A$15)),1)</f>
        <v>8</v>
      </c>
      <c r="K279" cm="1">
        <f t="array" aca="1" ref="K279" ca="1">INDEX($A$2:$A$15,RANDBETWEEN(1,ROWS($A$2:$A$15)),1)</f>
        <v>5</v>
      </c>
      <c r="L279" cm="1">
        <f t="array" aca="1" ref="L279" ca="1">INDEX($A$2:$A$15,RANDBETWEEN(1,ROWS($A$2:$A$15)),1)</f>
        <v>7</v>
      </c>
      <c r="M279" cm="1">
        <f t="array" aca="1" ref="M279" ca="1">INDEX($A$2:$A$15,RANDBETWEEN(1,ROWS($A$2:$A$15)),1)</f>
        <v>1</v>
      </c>
      <c r="N279" cm="1">
        <f t="array" aca="1" ref="N279" ca="1">INDEX($A$2:$A$15,RANDBETWEEN(1,ROWS($A$2:$A$15)),1)</f>
        <v>1</v>
      </c>
      <c r="O279" cm="1">
        <f t="array" aca="1" ref="O279" ca="1">INDEX($A$2:$A$15,RANDBETWEEN(1,ROWS($A$2:$A$15)),1)</f>
        <v>1</v>
      </c>
      <c r="P279" cm="1">
        <f t="array" aca="1" ref="P279" ca="1">INDEX($A$2:$A$15,RANDBETWEEN(1,ROWS($A$2:$A$15)),1)</f>
        <v>4</v>
      </c>
      <c r="Q279" cm="1">
        <f t="array" aca="1" ref="Q279" ca="1">INDEX($A$2:$A$15,RANDBETWEEN(1,ROWS($A$2:$A$15)),1)</f>
        <v>2</v>
      </c>
      <c r="R279" cm="1">
        <f t="array" aca="1" ref="R279" ca="1">INDEX($A$2:$A$15,RANDBETWEEN(1,ROWS($A$2:$A$15)),1)</f>
        <v>1</v>
      </c>
      <c r="S279" cm="1">
        <f t="array" aca="1" ref="S279" ca="1">INDEX($A$2:$A$15,RANDBETWEEN(1,ROWS($A$2:$A$15)),1)</f>
        <v>2</v>
      </c>
      <c r="V279">
        <f t="shared" ca="1" si="16"/>
        <v>3.3529411764705883</v>
      </c>
      <c r="W279">
        <f t="shared" ca="1" si="17"/>
        <v>2</v>
      </c>
      <c r="X279">
        <f t="shared" ca="1" si="18"/>
        <v>4</v>
      </c>
      <c r="Y279">
        <f t="shared" ca="1" si="19"/>
        <v>2.7372700010820141</v>
      </c>
    </row>
    <row r="280" spans="3:25" x14ac:dyDescent="0.35">
      <c r="C280" cm="1">
        <f t="array" aca="1" ref="C280" ca="1">INDEX($A$2:$A$15,RANDBETWEEN(1,ROWS($A$2:$A$15)),1)</f>
        <v>5</v>
      </c>
      <c r="D280" cm="1">
        <f t="array" aca="1" ref="D280" ca="1">INDEX($A$2:$A$15,RANDBETWEEN(1,ROWS($A$2:$A$15)),1)</f>
        <v>4</v>
      </c>
      <c r="E280" cm="1">
        <f t="array" aca="1" ref="E280" ca="1">INDEX($A$2:$A$15,RANDBETWEEN(1,ROWS($A$2:$A$15)),1)</f>
        <v>3</v>
      </c>
      <c r="F280" cm="1">
        <f t="array" aca="1" ref="F280" ca="1">INDEX($A$2:$A$15,RANDBETWEEN(1,ROWS($A$2:$A$15)),1)</f>
        <v>5</v>
      </c>
      <c r="G280" cm="1">
        <f t="array" aca="1" ref="G280" ca="1">INDEX($A$2:$A$15,RANDBETWEEN(1,ROWS($A$2:$A$15)),1)</f>
        <v>1</v>
      </c>
      <c r="H280" cm="1">
        <f t="array" aca="1" ref="H280" ca="1">INDEX($A$2:$A$15,RANDBETWEEN(1,ROWS($A$2:$A$15)),1)</f>
        <v>1</v>
      </c>
      <c r="I280" cm="1">
        <f t="array" aca="1" ref="I280" ca="1">INDEX($A$2:$A$15,RANDBETWEEN(1,ROWS($A$2:$A$15)),1)</f>
        <v>4</v>
      </c>
      <c r="J280" cm="1">
        <f t="array" aca="1" ref="J280" ca="1">INDEX($A$2:$A$15,RANDBETWEEN(1,ROWS($A$2:$A$15)),1)</f>
        <v>5</v>
      </c>
      <c r="K280" cm="1">
        <f t="array" aca="1" ref="K280" ca="1">INDEX($A$2:$A$15,RANDBETWEEN(1,ROWS($A$2:$A$15)),1)</f>
        <v>4</v>
      </c>
      <c r="L280" cm="1">
        <f t="array" aca="1" ref="L280" ca="1">INDEX($A$2:$A$15,RANDBETWEEN(1,ROWS($A$2:$A$15)),1)</f>
        <v>8</v>
      </c>
      <c r="M280" cm="1">
        <f t="array" aca="1" ref="M280" ca="1">INDEX($A$2:$A$15,RANDBETWEEN(1,ROWS($A$2:$A$15)),1)</f>
        <v>4</v>
      </c>
      <c r="N280" cm="1">
        <f t="array" aca="1" ref="N280" ca="1">INDEX($A$2:$A$15,RANDBETWEEN(1,ROWS($A$2:$A$15)),1)</f>
        <v>7</v>
      </c>
      <c r="O280" cm="1">
        <f t="array" aca="1" ref="O280" ca="1">INDEX($A$2:$A$15,RANDBETWEEN(1,ROWS($A$2:$A$15)),1)</f>
        <v>3</v>
      </c>
      <c r="P280" cm="1">
        <f t="array" aca="1" ref="P280" ca="1">INDEX($A$2:$A$15,RANDBETWEEN(1,ROWS($A$2:$A$15)),1)</f>
        <v>5</v>
      </c>
      <c r="Q280" cm="1">
        <f t="array" aca="1" ref="Q280" ca="1">INDEX($A$2:$A$15,RANDBETWEEN(1,ROWS($A$2:$A$15)),1)</f>
        <v>1</v>
      </c>
      <c r="R280" cm="1">
        <f t="array" aca="1" ref="R280" ca="1">INDEX($A$2:$A$15,RANDBETWEEN(1,ROWS($A$2:$A$15)),1)</f>
        <v>3</v>
      </c>
      <c r="S280" cm="1">
        <f t="array" aca="1" ref="S280" ca="1">INDEX($A$2:$A$15,RANDBETWEEN(1,ROWS($A$2:$A$15)),1)</f>
        <v>5</v>
      </c>
      <c r="V280">
        <f t="shared" ca="1" si="16"/>
        <v>4</v>
      </c>
      <c r="W280">
        <f t="shared" ca="1" si="17"/>
        <v>4</v>
      </c>
      <c r="X280">
        <f t="shared" ca="1" si="18"/>
        <v>2</v>
      </c>
      <c r="Y280">
        <f t="shared" ca="1" si="19"/>
        <v>1.9364916731037085</v>
      </c>
    </row>
    <row r="281" spans="3:25" x14ac:dyDescent="0.35">
      <c r="C281" cm="1">
        <f t="array" aca="1" ref="C281" ca="1">INDEX($A$2:$A$15,RANDBETWEEN(1,ROWS($A$2:$A$15)),1)</f>
        <v>5</v>
      </c>
      <c r="D281" cm="1">
        <f t="array" aca="1" ref="D281" ca="1">INDEX($A$2:$A$15,RANDBETWEEN(1,ROWS($A$2:$A$15)),1)</f>
        <v>3</v>
      </c>
      <c r="E281" cm="1">
        <f t="array" aca="1" ref="E281" ca="1">INDEX($A$2:$A$15,RANDBETWEEN(1,ROWS($A$2:$A$15)),1)</f>
        <v>5</v>
      </c>
      <c r="F281" cm="1">
        <f t="array" aca="1" ref="F281" ca="1">INDEX($A$2:$A$15,RANDBETWEEN(1,ROWS($A$2:$A$15)),1)</f>
        <v>3</v>
      </c>
      <c r="G281" cm="1">
        <f t="array" aca="1" ref="G281" ca="1">INDEX($A$2:$A$15,RANDBETWEEN(1,ROWS($A$2:$A$15)),1)</f>
        <v>4</v>
      </c>
      <c r="H281" cm="1">
        <f t="array" aca="1" ref="H281" ca="1">INDEX($A$2:$A$15,RANDBETWEEN(1,ROWS($A$2:$A$15)),1)</f>
        <v>5</v>
      </c>
      <c r="I281" cm="1">
        <f t="array" aca="1" ref="I281" ca="1">INDEX($A$2:$A$15,RANDBETWEEN(1,ROWS($A$2:$A$15)),1)</f>
        <v>1</v>
      </c>
      <c r="J281" cm="1">
        <f t="array" aca="1" ref="J281" ca="1">INDEX($A$2:$A$15,RANDBETWEEN(1,ROWS($A$2:$A$15)),1)</f>
        <v>4</v>
      </c>
      <c r="K281" cm="1">
        <f t="array" aca="1" ref="K281" ca="1">INDEX($A$2:$A$15,RANDBETWEEN(1,ROWS($A$2:$A$15)),1)</f>
        <v>8</v>
      </c>
      <c r="L281" cm="1">
        <f t="array" aca="1" ref="L281" ca="1">INDEX($A$2:$A$15,RANDBETWEEN(1,ROWS($A$2:$A$15)),1)</f>
        <v>3</v>
      </c>
      <c r="M281" cm="1">
        <f t="array" aca="1" ref="M281" ca="1">INDEX($A$2:$A$15,RANDBETWEEN(1,ROWS($A$2:$A$15)),1)</f>
        <v>4</v>
      </c>
      <c r="N281" cm="1">
        <f t="array" aca="1" ref="N281" ca="1">INDEX($A$2:$A$15,RANDBETWEEN(1,ROWS($A$2:$A$15)),1)</f>
        <v>7</v>
      </c>
      <c r="O281" cm="1">
        <f t="array" aca="1" ref="O281" ca="1">INDEX($A$2:$A$15,RANDBETWEEN(1,ROWS($A$2:$A$15)),1)</f>
        <v>8</v>
      </c>
      <c r="P281" cm="1">
        <f t="array" aca="1" ref="P281" ca="1">INDEX($A$2:$A$15,RANDBETWEEN(1,ROWS($A$2:$A$15)),1)</f>
        <v>7</v>
      </c>
      <c r="Q281" cm="1">
        <f t="array" aca="1" ref="Q281" ca="1">INDEX($A$2:$A$15,RANDBETWEEN(1,ROWS($A$2:$A$15)),1)</f>
        <v>5</v>
      </c>
      <c r="R281" cm="1">
        <f t="array" aca="1" ref="R281" ca="1">INDEX($A$2:$A$15,RANDBETWEEN(1,ROWS($A$2:$A$15)),1)</f>
        <v>4</v>
      </c>
      <c r="S281" cm="1">
        <f t="array" aca="1" ref="S281" ca="1">INDEX($A$2:$A$15,RANDBETWEEN(1,ROWS($A$2:$A$15)),1)</f>
        <v>5</v>
      </c>
      <c r="V281">
        <f t="shared" ca="1" si="16"/>
        <v>4.7647058823529411</v>
      </c>
      <c r="W281">
        <f t="shared" ca="1" si="17"/>
        <v>5</v>
      </c>
      <c r="X281">
        <f t="shared" ca="1" si="18"/>
        <v>1</v>
      </c>
      <c r="Y281">
        <f t="shared" ca="1" si="19"/>
        <v>1.8884322785284717</v>
      </c>
    </row>
    <row r="282" spans="3:25" x14ac:dyDescent="0.35">
      <c r="C282" cm="1">
        <f t="array" aca="1" ref="C282" ca="1">INDEX($A$2:$A$15,RANDBETWEEN(1,ROWS($A$2:$A$15)),1)</f>
        <v>4</v>
      </c>
      <c r="D282" cm="1">
        <f t="array" aca="1" ref="D282" ca="1">INDEX($A$2:$A$15,RANDBETWEEN(1,ROWS($A$2:$A$15)),1)</f>
        <v>7</v>
      </c>
      <c r="E282" cm="1">
        <f t="array" aca="1" ref="E282" ca="1">INDEX($A$2:$A$15,RANDBETWEEN(1,ROWS($A$2:$A$15)),1)</f>
        <v>2</v>
      </c>
      <c r="F282" cm="1">
        <f t="array" aca="1" ref="F282" ca="1">INDEX($A$2:$A$15,RANDBETWEEN(1,ROWS($A$2:$A$15)),1)</f>
        <v>1</v>
      </c>
      <c r="G282" cm="1">
        <f t="array" aca="1" ref="G282" ca="1">INDEX($A$2:$A$15,RANDBETWEEN(1,ROWS($A$2:$A$15)),1)</f>
        <v>5</v>
      </c>
      <c r="H282" cm="1">
        <f t="array" aca="1" ref="H282" ca="1">INDEX($A$2:$A$15,RANDBETWEEN(1,ROWS($A$2:$A$15)),1)</f>
        <v>4</v>
      </c>
      <c r="I282" cm="1">
        <f t="array" aca="1" ref="I282" ca="1">INDEX($A$2:$A$15,RANDBETWEEN(1,ROWS($A$2:$A$15)),1)</f>
        <v>4</v>
      </c>
      <c r="J282" cm="1">
        <f t="array" aca="1" ref="J282" ca="1">INDEX($A$2:$A$15,RANDBETWEEN(1,ROWS($A$2:$A$15)),1)</f>
        <v>5</v>
      </c>
      <c r="K282" cm="1">
        <f t="array" aca="1" ref="K282" ca="1">INDEX($A$2:$A$15,RANDBETWEEN(1,ROWS($A$2:$A$15)),1)</f>
        <v>7</v>
      </c>
      <c r="L282" cm="1">
        <f t="array" aca="1" ref="L282" ca="1">INDEX($A$2:$A$15,RANDBETWEEN(1,ROWS($A$2:$A$15)),1)</f>
        <v>4</v>
      </c>
      <c r="M282" cm="1">
        <f t="array" aca="1" ref="M282" ca="1">INDEX($A$2:$A$15,RANDBETWEEN(1,ROWS($A$2:$A$15)),1)</f>
        <v>5</v>
      </c>
      <c r="N282" cm="1">
        <f t="array" aca="1" ref="N282" ca="1">INDEX($A$2:$A$15,RANDBETWEEN(1,ROWS($A$2:$A$15)),1)</f>
        <v>7</v>
      </c>
      <c r="O282" cm="1">
        <f t="array" aca="1" ref="O282" ca="1">INDEX($A$2:$A$15,RANDBETWEEN(1,ROWS($A$2:$A$15)),1)</f>
        <v>4</v>
      </c>
      <c r="P282" cm="1">
        <f t="array" aca="1" ref="P282" ca="1">INDEX($A$2:$A$15,RANDBETWEEN(1,ROWS($A$2:$A$15)),1)</f>
        <v>2</v>
      </c>
      <c r="Q282" cm="1">
        <f t="array" aca="1" ref="Q282" ca="1">INDEX($A$2:$A$15,RANDBETWEEN(1,ROWS($A$2:$A$15)),1)</f>
        <v>7</v>
      </c>
      <c r="R282" cm="1">
        <f t="array" aca="1" ref="R282" ca="1">INDEX($A$2:$A$15,RANDBETWEEN(1,ROWS($A$2:$A$15)),1)</f>
        <v>8</v>
      </c>
      <c r="S282" cm="1">
        <f t="array" aca="1" ref="S282" ca="1">INDEX($A$2:$A$15,RANDBETWEEN(1,ROWS($A$2:$A$15)),1)</f>
        <v>2</v>
      </c>
      <c r="V282">
        <f t="shared" ca="1" si="16"/>
        <v>4.5882352941176467</v>
      </c>
      <c r="W282">
        <f t="shared" ca="1" si="17"/>
        <v>4</v>
      </c>
      <c r="X282">
        <f t="shared" ca="1" si="18"/>
        <v>3</v>
      </c>
      <c r="Y282">
        <f t="shared" ca="1" si="19"/>
        <v>2.0934070175616761</v>
      </c>
    </row>
    <row r="283" spans="3:25" x14ac:dyDescent="0.35">
      <c r="C283" cm="1">
        <f t="array" aca="1" ref="C283" ca="1">INDEX($A$2:$A$15,RANDBETWEEN(1,ROWS($A$2:$A$15)),1)</f>
        <v>1</v>
      </c>
      <c r="D283" cm="1">
        <f t="array" aca="1" ref="D283" ca="1">INDEX($A$2:$A$15,RANDBETWEEN(1,ROWS($A$2:$A$15)),1)</f>
        <v>5</v>
      </c>
      <c r="E283" cm="1">
        <f t="array" aca="1" ref="E283" ca="1">INDEX($A$2:$A$15,RANDBETWEEN(1,ROWS($A$2:$A$15)),1)</f>
        <v>5</v>
      </c>
      <c r="F283" cm="1">
        <f t="array" aca="1" ref="F283" ca="1">INDEX($A$2:$A$15,RANDBETWEEN(1,ROWS($A$2:$A$15)),1)</f>
        <v>4</v>
      </c>
      <c r="G283" cm="1">
        <f t="array" aca="1" ref="G283" ca="1">INDEX($A$2:$A$15,RANDBETWEEN(1,ROWS($A$2:$A$15)),1)</f>
        <v>1</v>
      </c>
      <c r="H283" cm="1">
        <f t="array" aca="1" ref="H283" ca="1">INDEX($A$2:$A$15,RANDBETWEEN(1,ROWS($A$2:$A$15)),1)</f>
        <v>5</v>
      </c>
      <c r="I283" cm="1">
        <f t="array" aca="1" ref="I283" ca="1">INDEX($A$2:$A$15,RANDBETWEEN(1,ROWS($A$2:$A$15)),1)</f>
        <v>1</v>
      </c>
      <c r="J283" cm="1">
        <f t="array" aca="1" ref="J283" ca="1">INDEX($A$2:$A$15,RANDBETWEEN(1,ROWS($A$2:$A$15)),1)</f>
        <v>3</v>
      </c>
      <c r="K283" cm="1">
        <f t="array" aca="1" ref="K283" ca="1">INDEX($A$2:$A$15,RANDBETWEEN(1,ROWS($A$2:$A$15)),1)</f>
        <v>5</v>
      </c>
      <c r="L283" cm="1">
        <f t="array" aca="1" ref="L283" ca="1">INDEX($A$2:$A$15,RANDBETWEEN(1,ROWS($A$2:$A$15)),1)</f>
        <v>5</v>
      </c>
      <c r="M283" cm="1">
        <f t="array" aca="1" ref="M283" ca="1">INDEX($A$2:$A$15,RANDBETWEEN(1,ROWS($A$2:$A$15)),1)</f>
        <v>8</v>
      </c>
      <c r="N283" cm="1">
        <f t="array" aca="1" ref="N283" ca="1">INDEX($A$2:$A$15,RANDBETWEEN(1,ROWS($A$2:$A$15)),1)</f>
        <v>5</v>
      </c>
      <c r="O283" cm="1">
        <f t="array" aca="1" ref="O283" ca="1">INDEX($A$2:$A$15,RANDBETWEEN(1,ROWS($A$2:$A$15)),1)</f>
        <v>5</v>
      </c>
      <c r="P283" cm="1">
        <f t="array" aca="1" ref="P283" ca="1">INDEX($A$2:$A$15,RANDBETWEEN(1,ROWS($A$2:$A$15)),1)</f>
        <v>8</v>
      </c>
      <c r="Q283" cm="1">
        <f t="array" aca="1" ref="Q283" ca="1">INDEX($A$2:$A$15,RANDBETWEEN(1,ROWS($A$2:$A$15)),1)</f>
        <v>3</v>
      </c>
      <c r="R283" cm="1">
        <f t="array" aca="1" ref="R283" ca="1">INDEX($A$2:$A$15,RANDBETWEEN(1,ROWS($A$2:$A$15)),1)</f>
        <v>4</v>
      </c>
      <c r="S283" cm="1">
        <f t="array" aca="1" ref="S283" ca="1">INDEX($A$2:$A$15,RANDBETWEEN(1,ROWS($A$2:$A$15)),1)</f>
        <v>1</v>
      </c>
      <c r="V283">
        <f t="shared" ca="1" si="16"/>
        <v>4.0588235294117645</v>
      </c>
      <c r="W283">
        <f t="shared" ca="1" si="17"/>
        <v>5</v>
      </c>
      <c r="X283">
        <f t="shared" ca="1" si="18"/>
        <v>2</v>
      </c>
      <c r="Y283">
        <f t="shared" ca="1" si="19"/>
        <v>2.1929029913363163</v>
      </c>
    </row>
    <row r="284" spans="3:25" x14ac:dyDescent="0.35">
      <c r="C284" cm="1">
        <f t="array" aca="1" ref="C284" ca="1">INDEX($A$2:$A$15,RANDBETWEEN(1,ROWS($A$2:$A$15)),1)</f>
        <v>5</v>
      </c>
      <c r="D284" cm="1">
        <f t="array" aca="1" ref="D284" ca="1">INDEX($A$2:$A$15,RANDBETWEEN(1,ROWS($A$2:$A$15)),1)</f>
        <v>1</v>
      </c>
      <c r="E284" cm="1">
        <f t="array" aca="1" ref="E284" ca="1">INDEX($A$2:$A$15,RANDBETWEEN(1,ROWS($A$2:$A$15)),1)</f>
        <v>4</v>
      </c>
      <c r="F284" cm="1">
        <f t="array" aca="1" ref="F284" ca="1">INDEX($A$2:$A$15,RANDBETWEEN(1,ROWS($A$2:$A$15)),1)</f>
        <v>5</v>
      </c>
      <c r="G284" cm="1">
        <f t="array" aca="1" ref="G284" ca="1">INDEX($A$2:$A$15,RANDBETWEEN(1,ROWS($A$2:$A$15)),1)</f>
        <v>2</v>
      </c>
      <c r="H284" cm="1">
        <f t="array" aca="1" ref="H284" ca="1">INDEX($A$2:$A$15,RANDBETWEEN(1,ROWS($A$2:$A$15)),1)</f>
        <v>1</v>
      </c>
      <c r="I284" cm="1">
        <f t="array" aca="1" ref="I284" ca="1">INDEX($A$2:$A$15,RANDBETWEEN(1,ROWS($A$2:$A$15)),1)</f>
        <v>8</v>
      </c>
      <c r="J284" cm="1">
        <f t="array" aca="1" ref="J284" ca="1">INDEX($A$2:$A$15,RANDBETWEEN(1,ROWS($A$2:$A$15)),1)</f>
        <v>4</v>
      </c>
      <c r="K284" cm="1">
        <f t="array" aca="1" ref="K284" ca="1">INDEX($A$2:$A$15,RANDBETWEEN(1,ROWS($A$2:$A$15)),1)</f>
        <v>4</v>
      </c>
      <c r="L284" cm="1">
        <f t="array" aca="1" ref="L284" ca="1">INDEX($A$2:$A$15,RANDBETWEEN(1,ROWS($A$2:$A$15)),1)</f>
        <v>7</v>
      </c>
      <c r="M284" cm="1">
        <f t="array" aca="1" ref="M284" ca="1">INDEX($A$2:$A$15,RANDBETWEEN(1,ROWS($A$2:$A$15)),1)</f>
        <v>5</v>
      </c>
      <c r="N284" cm="1">
        <f t="array" aca="1" ref="N284" ca="1">INDEX($A$2:$A$15,RANDBETWEEN(1,ROWS($A$2:$A$15)),1)</f>
        <v>3</v>
      </c>
      <c r="O284" cm="1">
        <f t="array" aca="1" ref="O284" ca="1">INDEX($A$2:$A$15,RANDBETWEEN(1,ROWS($A$2:$A$15)),1)</f>
        <v>5</v>
      </c>
      <c r="P284" cm="1">
        <f t="array" aca="1" ref="P284" ca="1">INDEX($A$2:$A$15,RANDBETWEEN(1,ROWS($A$2:$A$15)),1)</f>
        <v>4</v>
      </c>
      <c r="Q284" cm="1">
        <f t="array" aca="1" ref="Q284" ca="1">INDEX($A$2:$A$15,RANDBETWEEN(1,ROWS($A$2:$A$15)),1)</f>
        <v>8</v>
      </c>
      <c r="R284" cm="1">
        <f t="array" aca="1" ref="R284" ca="1">INDEX($A$2:$A$15,RANDBETWEEN(1,ROWS($A$2:$A$15)),1)</f>
        <v>5</v>
      </c>
      <c r="S284" cm="1">
        <f t="array" aca="1" ref="S284" ca="1">INDEX($A$2:$A$15,RANDBETWEEN(1,ROWS($A$2:$A$15)),1)</f>
        <v>1</v>
      </c>
      <c r="V284">
        <f t="shared" ca="1" si="16"/>
        <v>4.2352941176470589</v>
      </c>
      <c r="W284">
        <f t="shared" ca="1" si="17"/>
        <v>4</v>
      </c>
      <c r="X284">
        <f t="shared" ca="1" si="18"/>
        <v>2</v>
      </c>
      <c r="Y284">
        <f t="shared" ca="1" si="19"/>
        <v>2.1945788822888632</v>
      </c>
    </row>
    <row r="285" spans="3:25" x14ac:dyDescent="0.35">
      <c r="C285" cm="1">
        <f t="array" aca="1" ref="C285" ca="1">INDEX($A$2:$A$15,RANDBETWEEN(1,ROWS($A$2:$A$15)),1)</f>
        <v>4</v>
      </c>
      <c r="D285" cm="1">
        <f t="array" aca="1" ref="D285" ca="1">INDEX($A$2:$A$15,RANDBETWEEN(1,ROWS($A$2:$A$15)),1)</f>
        <v>5</v>
      </c>
      <c r="E285" cm="1">
        <f t="array" aca="1" ref="E285" ca="1">INDEX($A$2:$A$15,RANDBETWEEN(1,ROWS($A$2:$A$15)),1)</f>
        <v>3</v>
      </c>
      <c r="F285" cm="1">
        <f t="array" aca="1" ref="F285" ca="1">INDEX($A$2:$A$15,RANDBETWEEN(1,ROWS($A$2:$A$15)),1)</f>
        <v>5</v>
      </c>
      <c r="G285" cm="1">
        <f t="array" aca="1" ref="G285" ca="1">INDEX($A$2:$A$15,RANDBETWEEN(1,ROWS($A$2:$A$15)),1)</f>
        <v>8</v>
      </c>
      <c r="H285" cm="1">
        <f t="array" aca="1" ref="H285" ca="1">INDEX($A$2:$A$15,RANDBETWEEN(1,ROWS($A$2:$A$15)),1)</f>
        <v>4</v>
      </c>
      <c r="I285" cm="1">
        <f t="array" aca="1" ref="I285" ca="1">INDEX($A$2:$A$15,RANDBETWEEN(1,ROWS($A$2:$A$15)),1)</f>
        <v>3</v>
      </c>
      <c r="J285" cm="1">
        <f t="array" aca="1" ref="J285" ca="1">INDEX($A$2:$A$15,RANDBETWEEN(1,ROWS($A$2:$A$15)),1)</f>
        <v>4</v>
      </c>
      <c r="K285" cm="1">
        <f t="array" aca="1" ref="K285" ca="1">INDEX($A$2:$A$15,RANDBETWEEN(1,ROWS($A$2:$A$15)),1)</f>
        <v>1</v>
      </c>
      <c r="L285" cm="1">
        <f t="array" aca="1" ref="L285" ca="1">INDEX($A$2:$A$15,RANDBETWEEN(1,ROWS($A$2:$A$15)),1)</f>
        <v>5</v>
      </c>
      <c r="M285" cm="1">
        <f t="array" aca="1" ref="M285" ca="1">INDEX($A$2:$A$15,RANDBETWEEN(1,ROWS($A$2:$A$15)),1)</f>
        <v>1</v>
      </c>
      <c r="N285" cm="1">
        <f t="array" aca="1" ref="N285" ca="1">INDEX($A$2:$A$15,RANDBETWEEN(1,ROWS($A$2:$A$15)),1)</f>
        <v>5</v>
      </c>
      <c r="O285" cm="1">
        <f t="array" aca="1" ref="O285" ca="1">INDEX($A$2:$A$15,RANDBETWEEN(1,ROWS($A$2:$A$15)),1)</f>
        <v>4</v>
      </c>
      <c r="P285" cm="1">
        <f t="array" aca="1" ref="P285" ca="1">INDEX($A$2:$A$15,RANDBETWEEN(1,ROWS($A$2:$A$15)),1)</f>
        <v>5</v>
      </c>
      <c r="Q285" cm="1">
        <f t="array" aca="1" ref="Q285" ca="1">INDEX($A$2:$A$15,RANDBETWEEN(1,ROWS($A$2:$A$15)),1)</f>
        <v>5</v>
      </c>
      <c r="R285" cm="1">
        <f t="array" aca="1" ref="R285" ca="1">INDEX($A$2:$A$15,RANDBETWEEN(1,ROWS($A$2:$A$15)),1)</f>
        <v>3</v>
      </c>
      <c r="S285" cm="1">
        <f t="array" aca="1" ref="S285" ca="1">INDEX($A$2:$A$15,RANDBETWEEN(1,ROWS($A$2:$A$15)),1)</f>
        <v>5</v>
      </c>
      <c r="V285">
        <f t="shared" ca="1" si="16"/>
        <v>4.117647058823529</v>
      </c>
      <c r="W285">
        <f t="shared" ca="1" si="17"/>
        <v>4</v>
      </c>
      <c r="X285">
        <f t="shared" ca="1" si="18"/>
        <v>2</v>
      </c>
      <c r="Y285">
        <f t="shared" ca="1" si="19"/>
        <v>1.6538724611187703</v>
      </c>
    </row>
    <row r="286" spans="3:25" x14ac:dyDescent="0.35">
      <c r="C286" cm="1">
        <f t="array" aca="1" ref="C286" ca="1">INDEX($A$2:$A$15,RANDBETWEEN(1,ROWS($A$2:$A$15)),1)</f>
        <v>2</v>
      </c>
      <c r="D286" cm="1">
        <f t="array" aca="1" ref="D286" ca="1">INDEX($A$2:$A$15,RANDBETWEEN(1,ROWS($A$2:$A$15)),1)</f>
        <v>3</v>
      </c>
      <c r="E286" cm="1">
        <f t="array" aca="1" ref="E286" ca="1">INDEX($A$2:$A$15,RANDBETWEEN(1,ROWS($A$2:$A$15)),1)</f>
        <v>5</v>
      </c>
      <c r="F286" cm="1">
        <f t="array" aca="1" ref="F286" ca="1">INDEX($A$2:$A$15,RANDBETWEEN(1,ROWS($A$2:$A$15)),1)</f>
        <v>1</v>
      </c>
      <c r="G286" cm="1">
        <f t="array" aca="1" ref="G286" ca="1">INDEX($A$2:$A$15,RANDBETWEEN(1,ROWS($A$2:$A$15)),1)</f>
        <v>8</v>
      </c>
      <c r="H286" cm="1">
        <f t="array" aca="1" ref="H286" ca="1">INDEX($A$2:$A$15,RANDBETWEEN(1,ROWS($A$2:$A$15)),1)</f>
        <v>5</v>
      </c>
      <c r="I286" cm="1">
        <f t="array" aca="1" ref="I286" ca="1">INDEX($A$2:$A$15,RANDBETWEEN(1,ROWS($A$2:$A$15)),1)</f>
        <v>3</v>
      </c>
      <c r="J286" cm="1">
        <f t="array" aca="1" ref="J286" ca="1">INDEX($A$2:$A$15,RANDBETWEEN(1,ROWS($A$2:$A$15)),1)</f>
        <v>1</v>
      </c>
      <c r="K286" cm="1">
        <f t="array" aca="1" ref="K286" ca="1">INDEX($A$2:$A$15,RANDBETWEEN(1,ROWS($A$2:$A$15)),1)</f>
        <v>1</v>
      </c>
      <c r="L286" cm="1">
        <f t="array" aca="1" ref="L286" ca="1">INDEX($A$2:$A$15,RANDBETWEEN(1,ROWS($A$2:$A$15)),1)</f>
        <v>1</v>
      </c>
      <c r="M286" cm="1">
        <f t="array" aca="1" ref="M286" ca="1">INDEX($A$2:$A$15,RANDBETWEEN(1,ROWS($A$2:$A$15)),1)</f>
        <v>2</v>
      </c>
      <c r="N286" cm="1">
        <f t="array" aca="1" ref="N286" ca="1">INDEX($A$2:$A$15,RANDBETWEEN(1,ROWS($A$2:$A$15)),1)</f>
        <v>5</v>
      </c>
      <c r="O286" cm="1">
        <f t="array" aca="1" ref="O286" ca="1">INDEX($A$2:$A$15,RANDBETWEEN(1,ROWS($A$2:$A$15)),1)</f>
        <v>4</v>
      </c>
      <c r="P286" cm="1">
        <f t="array" aca="1" ref="P286" ca="1">INDEX($A$2:$A$15,RANDBETWEEN(1,ROWS($A$2:$A$15)),1)</f>
        <v>7</v>
      </c>
      <c r="Q286" cm="1">
        <f t="array" aca="1" ref="Q286" ca="1">INDEX($A$2:$A$15,RANDBETWEEN(1,ROWS($A$2:$A$15)),1)</f>
        <v>8</v>
      </c>
      <c r="R286" cm="1">
        <f t="array" aca="1" ref="R286" ca="1">INDEX($A$2:$A$15,RANDBETWEEN(1,ROWS($A$2:$A$15)),1)</f>
        <v>3</v>
      </c>
      <c r="S286" cm="1">
        <f t="array" aca="1" ref="S286" ca="1">INDEX($A$2:$A$15,RANDBETWEEN(1,ROWS($A$2:$A$15)),1)</f>
        <v>8</v>
      </c>
      <c r="V286">
        <f t="shared" ca="1" si="16"/>
        <v>3.9411764705882355</v>
      </c>
      <c r="W286">
        <f t="shared" ca="1" si="17"/>
        <v>3</v>
      </c>
      <c r="X286">
        <f t="shared" ca="1" si="18"/>
        <v>3</v>
      </c>
      <c r="Y286">
        <f t="shared" ca="1" si="19"/>
        <v>2.5853091748206372</v>
      </c>
    </row>
    <row r="287" spans="3:25" x14ac:dyDescent="0.35">
      <c r="C287" cm="1">
        <f t="array" aca="1" ref="C287" ca="1">INDEX($A$2:$A$15,RANDBETWEEN(1,ROWS($A$2:$A$15)),1)</f>
        <v>1</v>
      </c>
      <c r="D287" cm="1">
        <f t="array" aca="1" ref="D287" ca="1">INDEX($A$2:$A$15,RANDBETWEEN(1,ROWS($A$2:$A$15)),1)</f>
        <v>4</v>
      </c>
      <c r="E287" cm="1">
        <f t="array" aca="1" ref="E287" ca="1">INDEX($A$2:$A$15,RANDBETWEEN(1,ROWS($A$2:$A$15)),1)</f>
        <v>5</v>
      </c>
      <c r="F287" cm="1">
        <f t="array" aca="1" ref="F287" ca="1">INDEX($A$2:$A$15,RANDBETWEEN(1,ROWS($A$2:$A$15)),1)</f>
        <v>4</v>
      </c>
      <c r="G287" cm="1">
        <f t="array" aca="1" ref="G287" ca="1">INDEX($A$2:$A$15,RANDBETWEEN(1,ROWS($A$2:$A$15)),1)</f>
        <v>8</v>
      </c>
      <c r="H287" cm="1">
        <f t="array" aca="1" ref="H287" ca="1">INDEX($A$2:$A$15,RANDBETWEEN(1,ROWS($A$2:$A$15)),1)</f>
        <v>8</v>
      </c>
      <c r="I287" cm="1">
        <f t="array" aca="1" ref="I287" ca="1">INDEX($A$2:$A$15,RANDBETWEEN(1,ROWS($A$2:$A$15)),1)</f>
        <v>3</v>
      </c>
      <c r="J287" cm="1">
        <f t="array" aca="1" ref="J287" ca="1">INDEX($A$2:$A$15,RANDBETWEEN(1,ROWS($A$2:$A$15)),1)</f>
        <v>1</v>
      </c>
      <c r="K287" cm="1">
        <f t="array" aca="1" ref="K287" ca="1">INDEX($A$2:$A$15,RANDBETWEEN(1,ROWS($A$2:$A$15)),1)</f>
        <v>7</v>
      </c>
      <c r="L287" cm="1">
        <f t="array" aca="1" ref="L287" ca="1">INDEX($A$2:$A$15,RANDBETWEEN(1,ROWS($A$2:$A$15)),1)</f>
        <v>5</v>
      </c>
      <c r="M287" cm="1">
        <f t="array" aca="1" ref="M287" ca="1">INDEX($A$2:$A$15,RANDBETWEEN(1,ROWS($A$2:$A$15)),1)</f>
        <v>3</v>
      </c>
      <c r="N287" cm="1">
        <f t="array" aca="1" ref="N287" ca="1">INDEX($A$2:$A$15,RANDBETWEEN(1,ROWS($A$2:$A$15)),1)</f>
        <v>5</v>
      </c>
      <c r="O287" cm="1">
        <f t="array" aca="1" ref="O287" ca="1">INDEX($A$2:$A$15,RANDBETWEEN(1,ROWS($A$2:$A$15)),1)</f>
        <v>2</v>
      </c>
      <c r="P287" cm="1">
        <f t="array" aca="1" ref="P287" ca="1">INDEX($A$2:$A$15,RANDBETWEEN(1,ROWS($A$2:$A$15)),1)</f>
        <v>1</v>
      </c>
      <c r="Q287" cm="1">
        <f t="array" aca="1" ref="Q287" ca="1">INDEX($A$2:$A$15,RANDBETWEEN(1,ROWS($A$2:$A$15)),1)</f>
        <v>3</v>
      </c>
      <c r="R287" cm="1">
        <f t="array" aca="1" ref="R287" ca="1">INDEX($A$2:$A$15,RANDBETWEEN(1,ROWS($A$2:$A$15)),1)</f>
        <v>5</v>
      </c>
      <c r="S287" cm="1">
        <f t="array" aca="1" ref="S287" ca="1">INDEX($A$2:$A$15,RANDBETWEEN(1,ROWS($A$2:$A$15)),1)</f>
        <v>4</v>
      </c>
      <c r="V287">
        <f t="shared" ca="1" si="16"/>
        <v>4.0588235294117645</v>
      </c>
      <c r="W287">
        <f t="shared" ca="1" si="17"/>
        <v>4</v>
      </c>
      <c r="X287">
        <f t="shared" ca="1" si="18"/>
        <v>2</v>
      </c>
      <c r="Y287">
        <f t="shared" ca="1" si="19"/>
        <v>2.2212211797594055</v>
      </c>
    </row>
    <row r="288" spans="3:25" x14ac:dyDescent="0.35">
      <c r="C288" cm="1">
        <f t="array" aca="1" ref="C288" ca="1">INDEX($A$2:$A$15,RANDBETWEEN(1,ROWS($A$2:$A$15)),1)</f>
        <v>3</v>
      </c>
      <c r="D288" cm="1">
        <f t="array" aca="1" ref="D288" ca="1">INDEX($A$2:$A$15,RANDBETWEEN(1,ROWS($A$2:$A$15)),1)</f>
        <v>7</v>
      </c>
      <c r="E288" cm="1">
        <f t="array" aca="1" ref="E288" ca="1">INDEX($A$2:$A$15,RANDBETWEEN(1,ROWS($A$2:$A$15)),1)</f>
        <v>1</v>
      </c>
      <c r="F288" cm="1">
        <f t="array" aca="1" ref="F288" ca="1">INDEX($A$2:$A$15,RANDBETWEEN(1,ROWS($A$2:$A$15)),1)</f>
        <v>3</v>
      </c>
      <c r="G288" cm="1">
        <f t="array" aca="1" ref="G288" ca="1">INDEX($A$2:$A$15,RANDBETWEEN(1,ROWS($A$2:$A$15)),1)</f>
        <v>7</v>
      </c>
      <c r="H288" cm="1">
        <f t="array" aca="1" ref="H288" ca="1">INDEX($A$2:$A$15,RANDBETWEEN(1,ROWS($A$2:$A$15)),1)</f>
        <v>5</v>
      </c>
      <c r="I288" cm="1">
        <f t="array" aca="1" ref="I288" ca="1">INDEX($A$2:$A$15,RANDBETWEEN(1,ROWS($A$2:$A$15)),1)</f>
        <v>1</v>
      </c>
      <c r="J288" cm="1">
        <f t="array" aca="1" ref="J288" ca="1">INDEX($A$2:$A$15,RANDBETWEEN(1,ROWS($A$2:$A$15)),1)</f>
        <v>3</v>
      </c>
      <c r="K288" cm="1">
        <f t="array" aca="1" ref="K288" ca="1">INDEX($A$2:$A$15,RANDBETWEEN(1,ROWS($A$2:$A$15)),1)</f>
        <v>1</v>
      </c>
      <c r="L288" cm="1">
        <f t="array" aca="1" ref="L288" ca="1">INDEX($A$2:$A$15,RANDBETWEEN(1,ROWS($A$2:$A$15)),1)</f>
        <v>5</v>
      </c>
      <c r="M288" cm="1">
        <f t="array" aca="1" ref="M288" ca="1">INDEX($A$2:$A$15,RANDBETWEEN(1,ROWS($A$2:$A$15)),1)</f>
        <v>7</v>
      </c>
      <c r="N288" cm="1">
        <f t="array" aca="1" ref="N288" ca="1">INDEX($A$2:$A$15,RANDBETWEEN(1,ROWS($A$2:$A$15)),1)</f>
        <v>1</v>
      </c>
      <c r="O288" cm="1">
        <f t="array" aca="1" ref="O288" ca="1">INDEX($A$2:$A$15,RANDBETWEEN(1,ROWS($A$2:$A$15)),1)</f>
        <v>3</v>
      </c>
      <c r="P288" cm="1">
        <f t="array" aca="1" ref="P288" ca="1">INDEX($A$2:$A$15,RANDBETWEEN(1,ROWS($A$2:$A$15)),1)</f>
        <v>5</v>
      </c>
      <c r="Q288" cm="1">
        <f t="array" aca="1" ref="Q288" ca="1">INDEX($A$2:$A$15,RANDBETWEEN(1,ROWS($A$2:$A$15)),1)</f>
        <v>1</v>
      </c>
      <c r="R288" cm="1">
        <f t="array" aca="1" ref="R288" ca="1">INDEX($A$2:$A$15,RANDBETWEEN(1,ROWS($A$2:$A$15)),1)</f>
        <v>5</v>
      </c>
      <c r="S288" cm="1">
        <f t="array" aca="1" ref="S288" ca="1">INDEX($A$2:$A$15,RANDBETWEEN(1,ROWS($A$2:$A$15)),1)</f>
        <v>5</v>
      </c>
      <c r="V288">
        <f t="shared" ca="1" si="16"/>
        <v>3.7058823529411766</v>
      </c>
      <c r="W288">
        <f t="shared" ca="1" si="17"/>
        <v>3</v>
      </c>
      <c r="X288">
        <f t="shared" ca="1" si="18"/>
        <v>4</v>
      </c>
      <c r="Y288">
        <f t="shared" ca="1" si="19"/>
        <v>2.2294816068526151</v>
      </c>
    </row>
    <row r="289" spans="3:25" x14ac:dyDescent="0.35">
      <c r="C289" cm="1">
        <f t="array" aca="1" ref="C289" ca="1">INDEX($A$2:$A$15,RANDBETWEEN(1,ROWS($A$2:$A$15)),1)</f>
        <v>5</v>
      </c>
      <c r="D289" cm="1">
        <f t="array" aca="1" ref="D289" ca="1">INDEX($A$2:$A$15,RANDBETWEEN(1,ROWS($A$2:$A$15)),1)</f>
        <v>3</v>
      </c>
      <c r="E289" cm="1">
        <f t="array" aca="1" ref="E289" ca="1">INDEX($A$2:$A$15,RANDBETWEEN(1,ROWS($A$2:$A$15)),1)</f>
        <v>4</v>
      </c>
      <c r="F289" cm="1">
        <f t="array" aca="1" ref="F289" ca="1">INDEX($A$2:$A$15,RANDBETWEEN(1,ROWS($A$2:$A$15)),1)</f>
        <v>1</v>
      </c>
      <c r="G289" cm="1">
        <f t="array" aca="1" ref="G289" ca="1">INDEX($A$2:$A$15,RANDBETWEEN(1,ROWS($A$2:$A$15)),1)</f>
        <v>3</v>
      </c>
      <c r="H289" cm="1">
        <f t="array" aca="1" ref="H289" ca="1">INDEX($A$2:$A$15,RANDBETWEEN(1,ROWS($A$2:$A$15)),1)</f>
        <v>5</v>
      </c>
      <c r="I289" cm="1">
        <f t="array" aca="1" ref="I289" ca="1">INDEX($A$2:$A$15,RANDBETWEEN(1,ROWS($A$2:$A$15)),1)</f>
        <v>2</v>
      </c>
      <c r="J289" cm="1">
        <f t="array" aca="1" ref="J289" ca="1">INDEX($A$2:$A$15,RANDBETWEEN(1,ROWS($A$2:$A$15)),1)</f>
        <v>8</v>
      </c>
      <c r="K289" cm="1">
        <f t="array" aca="1" ref="K289" ca="1">INDEX($A$2:$A$15,RANDBETWEEN(1,ROWS($A$2:$A$15)),1)</f>
        <v>4</v>
      </c>
      <c r="L289" cm="1">
        <f t="array" aca="1" ref="L289" ca="1">INDEX($A$2:$A$15,RANDBETWEEN(1,ROWS($A$2:$A$15)),1)</f>
        <v>8</v>
      </c>
      <c r="M289" cm="1">
        <f t="array" aca="1" ref="M289" ca="1">INDEX($A$2:$A$15,RANDBETWEEN(1,ROWS($A$2:$A$15)),1)</f>
        <v>4</v>
      </c>
      <c r="N289" cm="1">
        <f t="array" aca="1" ref="N289" ca="1">INDEX($A$2:$A$15,RANDBETWEEN(1,ROWS($A$2:$A$15)),1)</f>
        <v>5</v>
      </c>
      <c r="O289" cm="1">
        <f t="array" aca="1" ref="O289" ca="1">INDEX($A$2:$A$15,RANDBETWEEN(1,ROWS($A$2:$A$15)),1)</f>
        <v>3</v>
      </c>
      <c r="P289" cm="1">
        <f t="array" aca="1" ref="P289" ca="1">INDEX($A$2:$A$15,RANDBETWEEN(1,ROWS($A$2:$A$15)),1)</f>
        <v>3</v>
      </c>
      <c r="Q289" cm="1">
        <f t="array" aca="1" ref="Q289" ca="1">INDEX($A$2:$A$15,RANDBETWEEN(1,ROWS($A$2:$A$15)),1)</f>
        <v>8</v>
      </c>
      <c r="R289" cm="1">
        <f t="array" aca="1" ref="R289" ca="1">INDEX($A$2:$A$15,RANDBETWEEN(1,ROWS($A$2:$A$15)),1)</f>
        <v>5</v>
      </c>
      <c r="S289" cm="1">
        <f t="array" aca="1" ref="S289" ca="1">INDEX($A$2:$A$15,RANDBETWEEN(1,ROWS($A$2:$A$15)),1)</f>
        <v>5</v>
      </c>
      <c r="V289">
        <f t="shared" ca="1" si="16"/>
        <v>4.4705882352941178</v>
      </c>
      <c r="W289">
        <f t="shared" ca="1" si="17"/>
        <v>4</v>
      </c>
      <c r="X289">
        <f t="shared" ca="1" si="18"/>
        <v>2</v>
      </c>
      <c r="Y289">
        <f t="shared" ca="1" si="19"/>
        <v>2.0346267181851667</v>
      </c>
    </row>
    <row r="290" spans="3:25" x14ac:dyDescent="0.35">
      <c r="C290" cm="1">
        <f t="array" aca="1" ref="C290" ca="1">INDEX($A$2:$A$15,RANDBETWEEN(1,ROWS($A$2:$A$15)),1)</f>
        <v>3</v>
      </c>
      <c r="D290" cm="1">
        <f t="array" aca="1" ref="D290" ca="1">INDEX($A$2:$A$15,RANDBETWEEN(1,ROWS($A$2:$A$15)),1)</f>
        <v>4</v>
      </c>
      <c r="E290" cm="1">
        <f t="array" aca="1" ref="E290" ca="1">INDEX($A$2:$A$15,RANDBETWEEN(1,ROWS($A$2:$A$15)),1)</f>
        <v>5</v>
      </c>
      <c r="F290" cm="1">
        <f t="array" aca="1" ref="F290" ca="1">INDEX($A$2:$A$15,RANDBETWEEN(1,ROWS($A$2:$A$15)),1)</f>
        <v>4</v>
      </c>
      <c r="G290" cm="1">
        <f t="array" aca="1" ref="G290" ca="1">INDEX($A$2:$A$15,RANDBETWEEN(1,ROWS($A$2:$A$15)),1)</f>
        <v>4</v>
      </c>
      <c r="H290" cm="1">
        <f t="array" aca="1" ref="H290" ca="1">INDEX($A$2:$A$15,RANDBETWEEN(1,ROWS($A$2:$A$15)),1)</f>
        <v>1</v>
      </c>
      <c r="I290" cm="1">
        <f t="array" aca="1" ref="I290" ca="1">INDEX($A$2:$A$15,RANDBETWEEN(1,ROWS($A$2:$A$15)),1)</f>
        <v>5</v>
      </c>
      <c r="J290" cm="1">
        <f t="array" aca="1" ref="J290" ca="1">INDEX($A$2:$A$15,RANDBETWEEN(1,ROWS($A$2:$A$15)),1)</f>
        <v>5</v>
      </c>
      <c r="K290" cm="1">
        <f t="array" aca="1" ref="K290" ca="1">INDEX($A$2:$A$15,RANDBETWEEN(1,ROWS($A$2:$A$15)),1)</f>
        <v>5</v>
      </c>
      <c r="L290" cm="1">
        <f t="array" aca="1" ref="L290" ca="1">INDEX($A$2:$A$15,RANDBETWEEN(1,ROWS($A$2:$A$15)),1)</f>
        <v>3</v>
      </c>
      <c r="M290" cm="1">
        <f t="array" aca="1" ref="M290" ca="1">INDEX($A$2:$A$15,RANDBETWEEN(1,ROWS($A$2:$A$15)),1)</f>
        <v>2</v>
      </c>
      <c r="N290" cm="1">
        <f t="array" aca="1" ref="N290" ca="1">INDEX($A$2:$A$15,RANDBETWEEN(1,ROWS($A$2:$A$15)),1)</f>
        <v>5</v>
      </c>
      <c r="O290" cm="1">
        <f t="array" aca="1" ref="O290" ca="1">INDEX($A$2:$A$15,RANDBETWEEN(1,ROWS($A$2:$A$15)),1)</f>
        <v>2</v>
      </c>
      <c r="P290" cm="1">
        <f t="array" aca="1" ref="P290" ca="1">INDEX($A$2:$A$15,RANDBETWEEN(1,ROWS($A$2:$A$15)),1)</f>
        <v>1</v>
      </c>
      <c r="Q290" cm="1">
        <f t="array" aca="1" ref="Q290" ca="1">INDEX($A$2:$A$15,RANDBETWEEN(1,ROWS($A$2:$A$15)),1)</f>
        <v>5</v>
      </c>
      <c r="R290" cm="1">
        <f t="array" aca="1" ref="R290" ca="1">INDEX($A$2:$A$15,RANDBETWEEN(1,ROWS($A$2:$A$15)),1)</f>
        <v>1</v>
      </c>
      <c r="S290" cm="1">
        <f t="array" aca="1" ref="S290" ca="1">INDEX($A$2:$A$15,RANDBETWEEN(1,ROWS($A$2:$A$15)),1)</f>
        <v>1</v>
      </c>
      <c r="V290">
        <f t="shared" ca="1" si="16"/>
        <v>3.2941176470588234</v>
      </c>
      <c r="W290">
        <f t="shared" ca="1" si="17"/>
        <v>4</v>
      </c>
      <c r="X290">
        <f t="shared" ca="1" si="18"/>
        <v>3</v>
      </c>
      <c r="Y290">
        <f t="shared" ca="1" si="19"/>
        <v>1.6494205756247002</v>
      </c>
    </row>
    <row r="291" spans="3:25" x14ac:dyDescent="0.35">
      <c r="C291" cm="1">
        <f t="array" aca="1" ref="C291" ca="1">INDEX($A$2:$A$15,RANDBETWEEN(1,ROWS($A$2:$A$15)),1)</f>
        <v>1</v>
      </c>
      <c r="D291" cm="1">
        <f t="array" aca="1" ref="D291" ca="1">INDEX($A$2:$A$15,RANDBETWEEN(1,ROWS($A$2:$A$15)),1)</f>
        <v>4</v>
      </c>
      <c r="E291" cm="1">
        <f t="array" aca="1" ref="E291" ca="1">INDEX($A$2:$A$15,RANDBETWEEN(1,ROWS($A$2:$A$15)),1)</f>
        <v>1</v>
      </c>
      <c r="F291" cm="1">
        <f t="array" aca="1" ref="F291" ca="1">INDEX($A$2:$A$15,RANDBETWEEN(1,ROWS($A$2:$A$15)),1)</f>
        <v>4</v>
      </c>
      <c r="G291" cm="1">
        <f t="array" aca="1" ref="G291" ca="1">INDEX($A$2:$A$15,RANDBETWEEN(1,ROWS($A$2:$A$15)),1)</f>
        <v>5</v>
      </c>
      <c r="H291" cm="1">
        <f t="array" aca="1" ref="H291" ca="1">INDEX($A$2:$A$15,RANDBETWEEN(1,ROWS($A$2:$A$15)),1)</f>
        <v>2</v>
      </c>
      <c r="I291" cm="1">
        <f t="array" aca="1" ref="I291" ca="1">INDEX($A$2:$A$15,RANDBETWEEN(1,ROWS($A$2:$A$15)),1)</f>
        <v>5</v>
      </c>
      <c r="J291" cm="1">
        <f t="array" aca="1" ref="J291" ca="1">INDEX($A$2:$A$15,RANDBETWEEN(1,ROWS($A$2:$A$15)),1)</f>
        <v>5</v>
      </c>
      <c r="K291" cm="1">
        <f t="array" aca="1" ref="K291" ca="1">INDEX($A$2:$A$15,RANDBETWEEN(1,ROWS($A$2:$A$15)),1)</f>
        <v>5</v>
      </c>
      <c r="L291" cm="1">
        <f t="array" aca="1" ref="L291" ca="1">INDEX($A$2:$A$15,RANDBETWEEN(1,ROWS($A$2:$A$15)),1)</f>
        <v>8</v>
      </c>
      <c r="M291" cm="1">
        <f t="array" aca="1" ref="M291" ca="1">INDEX($A$2:$A$15,RANDBETWEEN(1,ROWS($A$2:$A$15)),1)</f>
        <v>5</v>
      </c>
      <c r="N291" cm="1">
        <f t="array" aca="1" ref="N291" ca="1">INDEX($A$2:$A$15,RANDBETWEEN(1,ROWS($A$2:$A$15)),1)</f>
        <v>1</v>
      </c>
      <c r="O291" cm="1">
        <f t="array" aca="1" ref="O291" ca="1">INDEX($A$2:$A$15,RANDBETWEEN(1,ROWS($A$2:$A$15)),1)</f>
        <v>3</v>
      </c>
      <c r="P291" cm="1">
        <f t="array" aca="1" ref="P291" ca="1">INDEX($A$2:$A$15,RANDBETWEEN(1,ROWS($A$2:$A$15)),1)</f>
        <v>4</v>
      </c>
      <c r="Q291" cm="1">
        <f t="array" aca="1" ref="Q291" ca="1">INDEX($A$2:$A$15,RANDBETWEEN(1,ROWS($A$2:$A$15)),1)</f>
        <v>3</v>
      </c>
      <c r="R291" cm="1">
        <f t="array" aca="1" ref="R291" ca="1">INDEX($A$2:$A$15,RANDBETWEEN(1,ROWS($A$2:$A$15)),1)</f>
        <v>5</v>
      </c>
      <c r="S291" cm="1">
        <f t="array" aca="1" ref="S291" ca="1">INDEX($A$2:$A$15,RANDBETWEEN(1,ROWS($A$2:$A$15)),1)</f>
        <v>3</v>
      </c>
      <c r="V291">
        <f t="shared" ca="1" si="16"/>
        <v>3.7647058823529411</v>
      </c>
      <c r="W291">
        <f t="shared" ca="1" si="17"/>
        <v>4</v>
      </c>
      <c r="X291">
        <f t="shared" ca="1" si="18"/>
        <v>2</v>
      </c>
      <c r="Y291">
        <f t="shared" ca="1" si="19"/>
        <v>1.8550408272025269</v>
      </c>
    </row>
    <row r="292" spans="3:25" x14ac:dyDescent="0.35">
      <c r="C292" cm="1">
        <f t="array" aca="1" ref="C292" ca="1">INDEX($A$2:$A$15,RANDBETWEEN(1,ROWS($A$2:$A$15)),1)</f>
        <v>5</v>
      </c>
      <c r="D292" cm="1">
        <f t="array" aca="1" ref="D292" ca="1">INDEX($A$2:$A$15,RANDBETWEEN(1,ROWS($A$2:$A$15)),1)</f>
        <v>3</v>
      </c>
      <c r="E292" cm="1">
        <f t="array" aca="1" ref="E292" ca="1">INDEX($A$2:$A$15,RANDBETWEEN(1,ROWS($A$2:$A$15)),1)</f>
        <v>5</v>
      </c>
      <c r="F292" cm="1">
        <f t="array" aca="1" ref="F292" ca="1">INDEX($A$2:$A$15,RANDBETWEEN(1,ROWS($A$2:$A$15)),1)</f>
        <v>7</v>
      </c>
      <c r="G292" cm="1">
        <f t="array" aca="1" ref="G292" ca="1">INDEX($A$2:$A$15,RANDBETWEEN(1,ROWS($A$2:$A$15)),1)</f>
        <v>7</v>
      </c>
      <c r="H292" cm="1">
        <f t="array" aca="1" ref="H292" ca="1">INDEX($A$2:$A$15,RANDBETWEEN(1,ROWS($A$2:$A$15)),1)</f>
        <v>5</v>
      </c>
      <c r="I292" cm="1">
        <f t="array" aca="1" ref="I292" ca="1">INDEX($A$2:$A$15,RANDBETWEEN(1,ROWS($A$2:$A$15)),1)</f>
        <v>4</v>
      </c>
      <c r="J292" cm="1">
        <f t="array" aca="1" ref="J292" ca="1">INDEX($A$2:$A$15,RANDBETWEEN(1,ROWS($A$2:$A$15)),1)</f>
        <v>3</v>
      </c>
      <c r="K292" cm="1">
        <f t="array" aca="1" ref="K292" ca="1">INDEX($A$2:$A$15,RANDBETWEEN(1,ROWS($A$2:$A$15)),1)</f>
        <v>2</v>
      </c>
      <c r="L292" cm="1">
        <f t="array" aca="1" ref="L292" ca="1">INDEX($A$2:$A$15,RANDBETWEEN(1,ROWS($A$2:$A$15)),1)</f>
        <v>2</v>
      </c>
      <c r="M292" cm="1">
        <f t="array" aca="1" ref="M292" ca="1">INDEX($A$2:$A$15,RANDBETWEEN(1,ROWS($A$2:$A$15)),1)</f>
        <v>4</v>
      </c>
      <c r="N292" cm="1">
        <f t="array" aca="1" ref="N292" ca="1">INDEX($A$2:$A$15,RANDBETWEEN(1,ROWS($A$2:$A$15)),1)</f>
        <v>5</v>
      </c>
      <c r="O292" cm="1">
        <f t="array" aca="1" ref="O292" ca="1">INDEX($A$2:$A$15,RANDBETWEEN(1,ROWS($A$2:$A$15)),1)</f>
        <v>1</v>
      </c>
      <c r="P292" cm="1">
        <f t="array" aca="1" ref="P292" ca="1">INDEX($A$2:$A$15,RANDBETWEEN(1,ROWS($A$2:$A$15)),1)</f>
        <v>7</v>
      </c>
      <c r="Q292" cm="1">
        <f t="array" aca="1" ref="Q292" ca="1">INDEX($A$2:$A$15,RANDBETWEEN(1,ROWS($A$2:$A$15)),1)</f>
        <v>1</v>
      </c>
      <c r="R292" cm="1">
        <f t="array" aca="1" ref="R292" ca="1">INDEX($A$2:$A$15,RANDBETWEEN(1,ROWS($A$2:$A$15)),1)</f>
        <v>4</v>
      </c>
      <c r="S292" cm="1">
        <f t="array" aca="1" ref="S292" ca="1">INDEX($A$2:$A$15,RANDBETWEEN(1,ROWS($A$2:$A$15)),1)</f>
        <v>8</v>
      </c>
      <c r="V292">
        <f t="shared" ca="1" si="16"/>
        <v>4.2941176470588234</v>
      </c>
      <c r="W292">
        <f t="shared" ca="1" si="17"/>
        <v>4</v>
      </c>
      <c r="X292">
        <f t="shared" ca="1" si="18"/>
        <v>2</v>
      </c>
      <c r="Y292">
        <f t="shared" ca="1" si="19"/>
        <v>2.14373231428136</v>
      </c>
    </row>
    <row r="293" spans="3:25" x14ac:dyDescent="0.35">
      <c r="C293" cm="1">
        <f t="array" aca="1" ref="C293" ca="1">INDEX($A$2:$A$15,RANDBETWEEN(1,ROWS($A$2:$A$15)),1)</f>
        <v>3</v>
      </c>
      <c r="D293" cm="1">
        <f t="array" aca="1" ref="D293" ca="1">INDEX($A$2:$A$15,RANDBETWEEN(1,ROWS($A$2:$A$15)),1)</f>
        <v>2</v>
      </c>
      <c r="E293" cm="1">
        <f t="array" aca="1" ref="E293" ca="1">INDEX($A$2:$A$15,RANDBETWEEN(1,ROWS($A$2:$A$15)),1)</f>
        <v>5</v>
      </c>
      <c r="F293" cm="1">
        <f t="array" aca="1" ref="F293" ca="1">INDEX($A$2:$A$15,RANDBETWEEN(1,ROWS($A$2:$A$15)),1)</f>
        <v>7</v>
      </c>
      <c r="G293" cm="1">
        <f t="array" aca="1" ref="G293" ca="1">INDEX($A$2:$A$15,RANDBETWEEN(1,ROWS($A$2:$A$15)),1)</f>
        <v>3</v>
      </c>
      <c r="H293" cm="1">
        <f t="array" aca="1" ref="H293" ca="1">INDEX($A$2:$A$15,RANDBETWEEN(1,ROWS($A$2:$A$15)),1)</f>
        <v>1</v>
      </c>
      <c r="I293" cm="1">
        <f t="array" aca="1" ref="I293" ca="1">INDEX($A$2:$A$15,RANDBETWEEN(1,ROWS($A$2:$A$15)),1)</f>
        <v>8</v>
      </c>
      <c r="J293" cm="1">
        <f t="array" aca="1" ref="J293" ca="1">INDEX($A$2:$A$15,RANDBETWEEN(1,ROWS($A$2:$A$15)),1)</f>
        <v>1</v>
      </c>
      <c r="K293" cm="1">
        <f t="array" aca="1" ref="K293" ca="1">INDEX($A$2:$A$15,RANDBETWEEN(1,ROWS($A$2:$A$15)),1)</f>
        <v>3</v>
      </c>
      <c r="L293" cm="1">
        <f t="array" aca="1" ref="L293" ca="1">INDEX($A$2:$A$15,RANDBETWEEN(1,ROWS($A$2:$A$15)),1)</f>
        <v>5</v>
      </c>
      <c r="M293" cm="1">
        <f t="array" aca="1" ref="M293" ca="1">INDEX($A$2:$A$15,RANDBETWEEN(1,ROWS($A$2:$A$15)),1)</f>
        <v>5</v>
      </c>
      <c r="N293" cm="1">
        <f t="array" aca="1" ref="N293" ca="1">INDEX($A$2:$A$15,RANDBETWEEN(1,ROWS($A$2:$A$15)),1)</f>
        <v>5</v>
      </c>
      <c r="O293" cm="1">
        <f t="array" aca="1" ref="O293" ca="1">INDEX($A$2:$A$15,RANDBETWEEN(1,ROWS($A$2:$A$15)),1)</f>
        <v>2</v>
      </c>
      <c r="P293" cm="1">
        <f t="array" aca="1" ref="P293" ca="1">INDEX($A$2:$A$15,RANDBETWEEN(1,ROWS($A$2:$A$15)),1)</f>
        <v>1</v>
      </c>
      <c r="Q293" cm="1">
        <f t="array" aca="1" ref="Q293" ca="1">INDEX($A$2:$A$15,RANDBETWEEN(1,ROWS($A$2:$A$15)),1)</f>
        <v>7</v>
      </c>
      <c r="R293" cm="1">
        <f t="array" aca="1" ref="R293" ca="1">INDEX($A$2:$A$15,RANDBETWEEN(1,ROWS($A$2:$A$15)),1)</f>
        <v>8</v>
      </c>
      <c r="S293" cm="1">
        <f t="array" aca="1" ref="S293" ca="1">INDEX($A$2:$A$15,RANDBETWEEN(1,ROWS($A$2:$A$15)),1)</f>
        <v>5</v>
      </c>
      <c r="V293">
        <f t="shared" ca="1" si="16"/>
        <v>4.1764705882352944</v>
      </c>
      <c r="W293">
        <f t="shared" ca="1" si="17"/>
        <v>5</v>
      </c>
      <c r="X293">
        <f t="shared" ca="1" si="18"/>
        <v>3</v>
      </c>
      <c r="Y293">
        <f t="shared" ca="1" si="19"/>
        <v>2.4040407161081703</v>
      </c>
    </row>
    <row r="294" spans="3:25" x14ac:dyDescent="0.35">
      <c r="C294" cm="1">
        <f t="array" aca="1" ref="C294" ca="1">INDEX($A$2:$A$15,RANDBETWEEN(1,ROWS($A$2:$A$15)),1)</f>
        <v>5</v>
      </c>
      <c r="D294" cm="1">
        <f t="array" aca="1" ref="D294" ca="1">INDEX($A$2:$A$15,RANDBETWEEN(1,ROWS($A$2:$A$15)),1)</f>
        <v>5</v>
      </c>
      <c r="E294" cm="1">
        <f t="array" aca="1" ref="E294" ca="1">INDEX($A$2:$A$15,RANDBETWEEN(1,ROWS($A$2:$A$15)),1)</f>
        <v>2</v>
      </c>
      <c r="F294" cm="1">
        <f t="array" aca="1" ref="F294" ca="1">INDEX($A$2:$A$15,RANDBETWEEN(1,ROWS($A$2:$A$15)),1)</f>
        <v>5</v>
      </c>
      <c r="G294" cm="1">
        <f t="array" aca="1" ref="G294" ca="1">INDEX($A$2:$A$15,RANDBETWEEN(1,ROWS($A$2:$A$15)),1)</f>
        <v>1</v>
      </c>
      <c r="H294" cm="1">
        <f t="array" aca="1" ref="H294" ca="1">INDEX($A$2:$A$15,RANDBETWEEN(1,ROWS($A$2:$A$15)),1)</f>
        <v>5</v>
      </c>
      <c r="I294" cm="1">
        <f t="array" aca="1" ref="I294" ca="1">INDEX($A$2:$A$15,RANDBETWEEN(1,ROWS($A$2:$A$15)),1)</f>
        <v>1</v>
      </c>
      <c r="J294" cm="1">
        <f t="array" aca="1" ref="J294" ca="1">INDEX($A$2:$A$15,RANDBETWEEN(1,ROWS($A$2:$A$15)),1)</f>
        <v>5</v>
      </c>
      <c r="K294" cm="1">
        <f t="array" aca="1" ref="K294" ca="1">INDEX($A$2:$A$15,RANDBETWEEN(1,ROWS($A$2:$A$15)),1)</f>
        <v>5</v>
      </c>
      <c r="L294" cm="1">
        <f t="array" aca="1" ref="L294" ca="1">INDEX($A$2:$A$15,RANDBETWEEN(1,ROWS($A$2:$A$15)),1)</f>
        <v>1</v>
      </c>
      <c r="M294" cm="1">
        <f t="array" aca="1" ref="M294" ca="1">INDEX($A$2:$A$15,RANDBETWEEN(1,ROWS($A$2:$A$15)),1)</f>
        <v>5</v>
      </c>
      <c r="N294" cm="1">
        <f t="array" aca="1" ref="N294" ca="1">INDEX($A$2:$A$15,RANDBETWEEN(1,ROWS($A$2:$A$15)),1)</f>
        <v>5</v>
      </c>
      <c r="O294" cm="1">
        <f t="array" aca="1" ref="O294" ca="1">INDEX($A$2:$A$15,RANDBETWEEN(1,ROWS($A$2:$A$15)),1)</f>
        <v>1</v>
      </c>
      <c r="P294" cm="1">
        <f t="array" aca="1" ref="P294" ca="1">INDEX($A$2:$A$15,RANDBETWEEN(1,ROWS($A$2:$A$15)),1)</f>
        <v>1</v>
      </c>
      <c r="Q294" cm="1">
        <f t="array" aca="1" ref="Q294" ca="1">INDEX($A$2:$A$15,RANDBETWEEN(1,ROWS($A$2:$A$15)),1)</f>
        <v>2</v>
      </c>
      <c r="R294" cm="1">
        <f t="array" aca="1" ref="R294" ca="1">INDEX($A$2:$A$15,RANDBETWEEN(1,ROWS($A$2:$A$15)),1)</f>
        <v>4</v>
      </c>
      <c r="S294" cm="1">
        <f t="array" aca="1" ref="S294" ca="1">INDEX($A$2:$A$15,RANDBETWEEN(1,ROWS($A$2:$A$15)),1)</f>
        <v>8</v>
      </c>
      <c r="V294">
        <f t="shared" ca="1" si="16"/>
        <v>3.5882352941176472</v>
      </c>
      <c r="W294">
        <f t="shared" ca="1" si="17"/>
        <v>5</v>
      </c>
      <c r="X294">
        <f t="shared" ca="1" si="18"/>
        <v>4</v>
      </c>
      <c r="Y294">
        <f t="shared" ca="1" si="19"/>
        <v>2.1522901619383181</v>
      </c>
    </row>
    <row r="295" spans="3:25" x14ac:dyDescent="0.35">
      <c r="C295" cm="1">
        <f t="array" aca="1" ref="C295" ca="1">INDEX($A$2:$A$15,RANDBETWEEN(1,ROWS($A$2:$A$15)),1)</f>
        <v>5</v>
      </c>
      <c r="D295" cm="1">
        <f t="array" aca="1" ref="D295" ca="1">INDEX($A$2:$A$15,RANDBETWEEN(1,ROWS($A$2:$A$15)),1)</f>
        <v>5</v>
      </c>
      <c r="E295" cm="1">
        <f t="array" aca="1" ref="E295" ca="1">INDEX($A$2:$A$15,RANDBETWEEN(1,ROWS($A$2:$A$15)),1)</f>
        <v>5</v>
      </c>
      <c r="F295" cm="1">
        <f t="array" aca="1" ref="F295" ca="1">INDEX($A$2:$A$15,RANDBETWEEN(1,ROWS($A$2:$A$15)),1)</f>
        <v>7</v>
      </c>
      <c r="G295" cm="1">
        <f t="array" aca="1" ref="G295" ca="1">INDEX($A$2:$A$15,RANDBETWEEN(1,ROWS($A$2:$A$15)),1)</f>
        <v>5</v>
      </c>
      <c r="H295" cm="1">
        <f t="array" aca="1" ref="H295" ca="1">INDEX($A$2:$A$15,RANDBETWEEN(1,ROWS($A$2:$A$15)),1)</f>
        <v>7</v>
      </c>
      <c r="I295" cm="1">
        <f t="array" aca="1" ref="I295" ca="1">INDEX($A$2:$A$15,RANDBETWEEN(1,ROWS($A$2:$A$15)),1)</f>
        <v>2</v>
      </c>
      <c r="J295" cm="1">
        <f t="array" aca="1" ref="J295" ca="1">INDEX($A$2:$A$15,RANDBETWEEN(1,ROWS($A$2:$A$15)),1)</f>
        <v>5</v>
      </c>
      <c r="K295" cm="1">
        <f t="array" aca="1" ref="K295" ca="1">INDEX($A$2:$A$15,RANDBETWEEN(1,ROWS($A$2:$A$15)),1)</f>
        <v>7</v>
      </c>
      <c r="L295" cm="1">
        <f t="array" aca="1" ref="L295" ca="1">INDEX($A$2:$A$15,RANDBETWEEN(1,ROWS($A$2:$A$15)),1)</f>
        <v>5</v>
      </c>
      <c r="M295" cm="1">
        <f t="array" aca="1" ref="M295" ca="1">INDEX($A$2:$A$15,RANDBETWEEN(1,ROWS($A$2:$A$15)),1)</f>
        <v>8</v>
      </c>
      <c r="N295" cm="1">
        <f t="array" aca="1" ref="N295" ca="1">INDEX($A$2:$A$15,RANDBETWEEN(1,ROWS($A$2:$A$15)),1)</f>
        <v>1</v>
      </c>
      <c r="O295" cm="1">
        <f t="array" aca="1" ref="O295" ca="1">INDEX($A$2:$A$15,RANDBETWEEN(1,ROWS($A$2:$A$15)),1)</f>
        <v>5</v>
      </c>
      <c r="P295" cm="1">
        <f t="array" aca="1" ref="P295" ca="1">INDEX($A$2:$A$15,RANDBETWEEN(1,ROWS($A$2:$A$15)),1)</f>
        <v>5</v>
      </c>
      <c r="Q295" cm="1">
        <f t="array" aca="1" ref="Q295" ca="1">INDEX($A$2:$A$15,RANDBETWEEN(1,ROWS($A$2:$A$15)),1)</f>
        <v>1</v>
      </c>
      <c r="R295" cm="1">
        <f t="array" aca="1" ref="R295" ca="1">INDEX($A$2:$A$15,RANDBETWEEN(1,ROWS($A$2:$A$15)),1)</f>
        <v>4</v>
      </c>
      <c r="S295" cm="1">
        <f t="array" aca="1" ref="S295" ca="1">INDEX($A$2:$A$15,RANDBETWEEN(1,ROWS($A$2:$A$15)),1)</f>
        <v>7</v>
      </c>
      <c r="V295">
        <f t="shared" ca="1" si="16"/>
        <v>4.9411764705882355</v>
      </c>
      <c r="W295">
        <f t="shared" ca="1" si="17"/>
        <v>5</v>
      </c>
      <c r="X295">
        <f t="shared" ca="1" si="18"/>
        <v>2</v>
      </c>
      <c r="Y295">
        <f t="shared" ca="1" si="19"/>
        <v>2.0454396909739883</v>
      </c>
    </row>
    <row r="296" spans="3:25" x14ac:dyDescent="0.35">
      <c r="C296" cm="1">
        <f t="array" aca="1" ref="C296" ca="1">INDEX($A$2:$A$15,RANDBETWEEN(1,ROWS($A$2:$A$15)),1)</f>
        <v>5</v>
      </c>
      <c r="D296" cm="1">
        <f t="array" aca="1" ref="D296" ca="1">INDEX($A$2:$A$15,RANDBETWEEN(1,ROWS($A$2:$A$15)),1)</f>
        <v>4</v>
      </c>
      <c r="E296" cm="1">
        <f t="array" aca="1" ref="E296" ca="1">INDEX($A$2:$A$15,RANDBETWEEN(1,ROWS($A$2:$A$15)),1)</f>
        <v>4</v>
      </c>
      <c r="F296" cm="1">
        <f t="array" aca="1" ref="F296" ca="1">INDEX($A$2:$A$15,RANDBETWEEN(1,ROWS($A$2:$A$15)),1)</f>
        <v>1</v>
      </c>
      <c r="G296" cm="1">
        <f t="array" aca="1" ref="G296" ca="1">INDEX($A$2:$A$15,RANDBETWEEN(1,ROWS($A$2:$A$15)),1)</f>
        <v>5</v>
      </c>
      <c r="H296" cm="1">
        <f t="array" aca="1" ref="H296" ca="1">INDEX($A$2:$A$15,RANDBETWEEN(1,ROWS($A$2:$A$15)),1)</f>
        <v>3</v>
      </c>
      <c r="I296" cm="1">
        <f t="array" aca="1" ref="I296" ca="1">INDEX($A$2:$A$15,RANDBETWEEN(1,ROWS($A$2:$A$15)),1)</f>
        <v>7</v>
      </c>
      <c r="J296" cm="1">
        <f t="array" aca="1" ref="J296" ca="1">INDEX($A$2:$A$15,RANDBETWEEN(1,ROWS($A$2:$A$15)),1)</f>
        <v>1</v>
      </c>
      <c r="K296" cm="1">
        <f t="array" aca="1" ref="K296" ca="1">INDEX($A$2:$A$15,RANDBETWEEN(1,ROWS($A$2:$A$15)),1)</f>
        <v>5</v>
      </c>
      <c r="L296" cm="1">
        <f t="array" aca="1" ref="L296" ca="1">INDEX($A$2:$A$15,RANDBETWEEN(1,ROWS($A$2:$A$15)),1)</f>
        <v>4</v>
      </c>
      <c r="M296" cm="1">
        <f t="array" aca="1" ref="M296" ca="1">INDEX($A$2:$A$15,RANDBETWEEN(1,ROWS($A$2:$A$15)),1)</f>
        <v>4</v>
      </c>
      <c r="N296" cm="1">
        <f t="array" aca="1" ref="N296" ca="1">INDEX($A$2:$A$15,RANDBETWEEN(1,ROWS($A$2:$A$15)),1)</f>
        <v>3</v>
      </c>
      <c r="O296" cm="1">
        <f t="array" aca="1" ref="O296" ca="1">INDEX($A$2:$A$15,RANDBETWEEN(1,ROWS($A$2:$A$15)),1)</f>
        <v>7</v>
      </c>
      <c r="P296" cm="1">
        <f t="array" aca="1" ref="P296" ca="1">INDEX($A$2:$A$15,RANDBETWEEN(1,ROWS($A$2:$A$15)),1)</f>
        <v>5</v>
      </c>
      <c r="Q296" cm="1">
        <f t="array" aca="1" ref="Q296" ca="1">INDEX($A$2:$A$15,RANDBETWEEN(1,ROWS($A$2:$A$15)),1)</f>
        <v>7</v>
      </c>
      <c r="R296" cm="1">
        <f t="array" aca="1" ref="R296" ca="1">INDEX($A$2:$A$15,RANDBETWEEN(1,ROWS($A$2:$A$15)),1)</f>
        <v>7</v>
      </c>
      <c r="S296" cm="1">
        <f t="array" aca="1" ref="S296" ca="1">INDEX($A$2:$A$15,RANDBETWEEN(1,ROWS($A$2:$A$15)),1)</f>
        <v>5</v>
      </c>
      <c r="V296">
        <f t="shared" ca="1" si="16"/>
        <v>4.5294117647058822</v>
      </c>
      <c r="W296">
        <f t="shared" ca="1" si="17"/>
        <v>5</v>
      </c>
      <c r="X296">
        <f t="shared" ca="1" si="18"/>
        <v>1</v>
      </c>
      <c r="Y296">
        <f t="shared" ca="1" si="19"/>
        <v>1.8747548859392105</v>
      </c>
    </row>
    <row r="297" spans="3:25" x14ac:dyDescent="0.35">
      <c r="C297" cm="1">
        <f t="array" aca="1" ref="C297" ca="1">INDEX($A$2:$A$15,RANDBETWEEN(1,ROWS($A$2:$A$15)),1)</f>
        <v>1</v>
      </c>
      <c r="D297" cm="1">
        <f t="array" aca="1" ref="D297" ca="1">INDEX($A$2:$A$15,RANDBETWEEN(1,ROWS($A$2:$A$15)),1)</f>
        <v>4</v>
      </c>
      <c r="E297" cm="1">
        <f t="array" aca="1" ref="E297" ca="1">INDEX($A$2:$A$15,RANDBETWEEN(1,ROWS($A$2:$A$15)),1)</f>
        <v>8</v>
      </c>
      <c r="F297" cm="1">
        <f t="array" aca="1" ref="F297" ca="1">INDEX($A$2:$A$15,RANDBETWEEN(1,ROWS($A$2:$A$15)),1)</f>
        <v>4</v>
      </c>
      <c r="G297" cm="1">
        <f t="array" aca="1" ref="G297" ca="1">INDEX($A$2:$A$15,RANDBETWEEN(1,ROWS($A$2:$A$15)),1)</f>
        <v>1</v>
      </c>
      <c r="H297" cm="1">
        <f t="array" aca="1" ref="H297" ca="1">INDEX($A$2:$A$15,RANDBETWEEN(1,ROWS($A$2:$A$15)),1)</f>
        <v>4</v>
      </c>
      <c r="I297" cm="1">
        <f t="array" aca="1" ref="I297" ca="1">INDEX($A$2:$A$15,RANDBETWEEN(1,ROWS($A$2:$A$15)),1)</f>
        <v>1</v>
      </c>
      <c r="J297" cm="1">
        <f t="array" aca="1" ref="J297" ca="1">INDEX($A$2:$A$15,RANDBETWEEN(1,ROWS($A$2:$A$15)),1)</f>
        <v>8</v>
      </c>
      <c r="K297" cm="1">
        <f t="array" aca="1" ref="K297" ca="1">INDEX($A$2:$A$15,RANDBETWEEN(1,ROWS($A$2:$A$15)),1)</f>
        <v>5</v>
      </c>
      <c r="L297" cm="1">
        <f t="array" aca="1" ref="L297" ca="1">INDEX($A$2:$A$15,RANDBETWEEN(1,ROWS($A$2:$A$15)),1)</f>
        <v>5</v>
      </c>
      <c r="M297" cm="1">
        <f t="array" aca="1" ref="M297" ca="1">INDEX($A$2:$A$15,RANDBETWEEN(1,ROWS($A$2:$A$15)),1)</f>
        <v>2</v>
      </c>
      <c r="N297" cm="1">
        <f t="array" aca="1" ref="N297" ca="1">INDEX($A$2:$A$15,RANDBETWEEN(1,ROWS($A$2:$A$15)),1)</f>
        <v>1</v>
      </c>
      <c r="O297" cm="1">
        <f t="array" aca="1" ref="O297" ca="1">INDEX($A$2:$A$15,RANDBETWEEN(1,ROWS($A$2:$A$15)),1)</f>
        <v>3</v>
      </c>
      <c r="P297" cm="1">
        <f t="array" aca="1" ref="P297" ca="1">INDEX($A$2:$A$15,RANDBETWEEN(1,ROWS($A$2:$A$15)),1)</f>
        <v>1</v>
      </c>
      <c r="Q297" cm="1">
        <f t="array" aca="1" ref="Q297" ca="1">INDEX($A$2:$A$15,RANDBETWEEN(1,ROWS($A$2:$A$15)),1)</f>
        <v>8</v>
      </c>
      <c r="R297" cm="1">
        <f t="array" aca="1" ref="R297" ca="1">INDEX($A$2:$A$15,RANDBETWEEN(1,ROWS($A$2:$A$15)),1)</f>
        <v>7</v>
      </c>
      <c r="S297" cm="1">
        <f t="array" aca="1" ref="S297" ca="1">INDEX($A$2:$A$15,RANDBETWEEN(1,ROWS($A$2:$A$15)),1)</f>
        <v>1</v>
      </c>
      <c r="V297">
        <f t="shared" ca="1" si="16"/>
        <v>3.7647058823529411</v>
      </c>
      <c r="W297">
        <f t="shared" ca="1" si="17"/>
        <v>4</v>
      </c>
      <c r="X297">
        <f t="shared" ca="1" si="18"/>
        <v>4</v>
      </c>
      <c r="Y297">
        <f t="shared" ca="1" si="19"/>
        <v>2.7048431508293111</v>
      </c>
    </row>
    <row r="298" spans="3:25" x14ac:dyDescent="0.35">
      <c r="C298" cm="1">
        <f t="array" aca="1" ref="C298" ca="1">INDEX($A$2:$A$15,RANDBETWEEN(1,ROWS($A$2:$A$15)),1)</f>
        <v>4</v>
      </c>
      <c r="D298" cm="1">
        <f t="array" aca="1" ref="D298" ca="1">INDEX($A$2:$A$15,RANDBETWEEN(1,ROWS($A$2:$A$15)),1)</f>
        <v>4</v>
      </c>
      <c r="E298" cm="1">
        <f t="array" aca="1" ref="E298" ca="1">INDEX($A$2:$A$15,RANDBETWEEN(1,ROWS($A$2:$A$15)),1)</f>
        <v>4</v>
      </c>
      <c r="F298" cm="1">
        <f t="array" aca="1" ref="F298" ca="1">INDEX($A$2:$A$15,RANDBETWEEN(1,ROWS($A$2:$A$15)),1)</f>
        <v>2</v>
      </c>
      <c r="G298" cm="1">
        <f t="array" aca="1" ref="G298" ca="1">INDEX($A$2:$A$15,RANDBETWEEN(1,ROWS($A$2:$A$15)),1)</f>
        <v>5</v>
      </c>
      <c r="H298" cm="1">
        <f t="array" aca="1" ref="H298" ca="1">INDEX($A$2:$A$15,RANDBETWEEN(1,ROWS($A$2:$A$15)),1)</f>
        <v>1</v>
      </c>
      <c r="I298" cm="1">
        <f t="array" aca="1" ref="I298" ca="1">INDEX($A$2:$A$15,RANDBETWEEN(1,ROWS($A$2:$A$15)),1)</f>
        <v>1</v>
      </c>
      <c r="J298" cm="1">
        <f t="array" aca="1" ref="J298" ca="1">INDEX($A$2:$A$15,RANDBETWEEN(1,ROWS($A$2:$A$15)),1)</f>
        <v>8</v>
      </c>
      <c r="K298" cm="1">
        <f t="array" aca="1" ref="K298" ca="1">INDEX($A$2:$A$15,RANDBETWEEN(1,ROWS($A$2:$A$15)),1)</f>
        <v>2</v>
      </c>
      <c r="L298" cm="1">
        <f t="array" aca="1" ref="L298" ca="1">INDEX($A$2:$A$15,RANDBETWEEN(1,ROWS($A$2:$A$15)),1)</f>
        <v>7</v>
      </c>
      <c r="M298" cm="1">
        <f t="array" aca="1" ref="M298" ca="1">INDEX($A$2:$A$15,RANDBETWEEN(1,ROWS($A$2:$A$15)),1)</f>
        <v>4</v>
      </c>
      <c r="N298" cm="1">
        <f t="array" aca="1" ref="N298" ca="1">INDEX($A$2:$A$15,RANDBETWEEN(1,ROWS($A$2:$A$15)),1)</f>
        <v>5</v>
      </c>
      <c r="O298" cm="1">
        <f t="array" aca="1" ref="O298" ca="1">INDEX($A$2:$A$15,RANDBETWEEN(1,ROWS($A$2:$A$15)),1)</f>
        <v>3</v>
      </c>
      <c r="P298" cm="1">
        <f t="array" aca="1" ref="P298" ca="1">INDEX($A$2:$A$15,RANDBETWEEN(1,ROWS($A$2:$A$15)),1)</f>
        <v>2</v>
      </c>
      <c r="Q298" cm="1">
        <f t="array" aca="1" ref="Q298" ca="1">INDEX($A$2:$A$15,RANDBETWEEN(1,ROWS($A$2:$A$15)),1)</f>
        <v>3</v>
      </c>
      <c r="R298" cm="1">
        <f t="array" aca="1" ref="R298" ca="1">INDEX($A$2:$A$15,RANDBETWEEN(1,ROWS($A$2:$A$15)),1)</f>
        <v>1</v>
      </c>
      <c r="S298" cm="1">
        <f t="array" aca="1" ref="S298" ca="1">INDEX($A$2:$A$15,RANDBETWEEN(1,ROWS($A$2:$A$15)),1)</f>
        <v>5</v>
      </c>
      <c r="V298">
        <f t="shared" ca="1" si="16"/>
        <v>3.5882352941176472</v>
      </c>
      <c r="W298">
        <f t="shared" ca="1" si="17"/>
        <v>4</v>
      </c>
      <c r="X298">
        <f t="shared" ca="1" si="18"/>
        <v>3</v>
      </c>
      <c r="Y298">
        <f t="shared" ca="1" si="19"/>
        <v>2.0328189641914673</v>
      </c>
    </row>
    <row r="299" spans="3:25" x14ac:dyDescent="0.35">
      <c r="C299" cm="1">
        <f t="array" aca="1" ref="C299" ca="1">INDEX($A$2:$A$15,RANDBETWEEN(1,ROWS($A$2:$A$15)),1)</f>
        <v>5</v>
      </c>
      <c r="D299" cm="1">
        <f t="array" aca="1" ref="D299" ca="1">INDEX($A$2:$A$15,RANDBETWEEN(1,ROWS($A$2:$A$15)),1)</f>
        <v>2</v>
      </c>
      <c r="E299" cm="1">
        <f t="array" aca="1" ref="E299" ca="1">INDEX($A$2:$A$15,RANDBETWEEN(1,ROWS($A$2:$A$15)),1)</f>
        <v>5</v>
      </c>
      <c r="F299" cm="1">
        <f t="array" aca="1" ref="F299" ca="1">INDEX($A$2:$A$15,RANDBETWEEN(1,ROWS($A$2:$A$15)),1)</f>
        <v>1</v>
      </c>
      <c r="G299" cm="1">
        <f t="array" aca="1" ref="G299" ca="1">INDEX($A$2:$A$15,RANDBETWEEN(1,ROWS($A$2:$A$15)),1)</f>
        <v>5</v>
      </c>
      <c r="H299" cm="1">
        <f t="array" aca="1" ref="H299" ca="1">INDEX($A$2:$A$15,RANDBETWEEN(1,ROWS($A$2:$A$15)),1)</f>
        <v>4</v>
      </c>
      <c r="I299" cm="1">
        <f t="array" aca="1" ref="I299" ca="1">INDEX($A$2:$A$15,RANDBETWEEN(1,ROWS($A$2:$A$15)),1)</f>
        <v>5</v>
      </c>
      <c r="J299" cm="1">
        <f t="array" aca="1" ref="J299" ca="1">INDEX($A$2:$A$15,RANDBETWEEN(1,ROWS($A$2:$A$15)),1)</f>
        <v>2</v>
      </c>
      <c r="K299" cm="1">
        <f t="array" aca="1" ref="K299" ca="1">INDEX($A$2:$A$15,RANDBETWEEN(1,ROWS($A$2:$A$15)),1)</f>
        <v>5</v>
      </c>
      <c r="L299" cm="1">
        <f t="array" aca="1" ref="L299" ca="1">INDEX($A$2:$A$15,RANDBETWEEN(1,ROWS($A$2:$A$15)),1)</f>
        <v>5</v>
      </c>
      <c r="M299" cm="1">
        <f t="array" aca="1" ref="M299" ca="1">INDEX($A$2:$A$15,RANDBETWEEN(1,ROWS($A$2:$A$15)),1)</f>
        <v>1</v>
      </c>
      <c r="N299" cm="1">
        <f t="array" aca="1" ref="N299" ca="1">INDEX($A$2:$A$15,RANDBETWEEN(1,ROWS($A$2:$A$15)),1)</f>
        <v>1</v>
      </c>
      <c r="O299" cm="1">
        <f t="array" aca="1" ref="O299" ca="1">INDEX($A$2:$A$15,RANDBETWEEN(1,ROWS($A$2:$A$15)),1)</f>
        <v>1</v>
      </c>
      <c r="P299" cm="1">
        <f t="array" aca="1" ref="P299" ca="1">INDEX($A$2:$A$15,RANDBETWEEN(1,ROWS($A$2:$A$15)),1)</f>
        <v>5</v>
      </c>
      <c r="Q299" cm="1">
        <f t="array" aca="1" ref="Q299" ca="1">INDEX($A$2:$A$15,RANDBETWEEN(1,ROWS($A$2:$A$15)),1)</f>
        <v>4</v>
      </c>
      <c r="R299" cm="1">
        <f t="array" aca="1" ref="R299" ca="1">INDEX($A$2:$A$15,RANDBETWEEN(1,ROWS($A$2:$A$15)),1)</f>
        <v>4</v>
      </c>
      <c r="S299" cm="1">
        <f t="array" aca="1" ref="S299" ca="1">INDEX($A$2:$A$15,RANDBETWEEN(1,ROWS($A$2:$A$15)),1)</f>
        <v>5</v>
      </c>
      <c r="V299">
        <f t="shared" ca="1" si="16"/>
        <v>3.5294117647058822</v>
      </c>
      <c r="W299">
        <f t="shared" ca="1" si="17"/>
        <v>4</v>
      </c>
      <c r="X299">
        <f t="shared" ca="1" si="18"/>
        <v>3</v>
      </c>
      <c r="Y299">
        <f t="shared" ca="1" si="19"/>
        <v>1.7362908403700521</v>
      </c>
    </row>
    <row r="300" spans="3:25" x14ac:dyDescent="0.35">
      <c r="C300" cm="1">
        <f t="array" aca="1" ref="C300" ca="1">INDEX($A$2:$A$15,RANDBETWEEN(1,ROWS($A$2:$A$15)),1)</f>
        <v>4</v>
      </c>
      <c r="D300" cm="1">
        <f t="array" aca="1" ref="D300" ca="1">INDEX($A$2:$A$15,RANDBETWEEN(1,ROWS($A$2:$A$15)),1)</f>
        <v>5</v>
      </c>
      <c r="E300" cm="1">
        <f t="array" aca="1" ref="E300" ca="1">INDEX($A$2:$A$15,RANDBETWEEN(1,ROWS($A$2:$A$15)),1)</f>
        <v>5</v>
      </c>
      <c r="F300" cm="1">
        <f t="array" aca="1" ref="F300" ca="1">INDEX($A$2:$A$15,RANDBETWEEN(1,ROWS($A$2:$A$15)),1)</f>
        <v>5</v>
      </c>
      <c r="G300" cm="1">
        <f t="array" aca="1" ref="G300" ca="1">INDEX($A$2:$A$15,RANDBETWEEN(1,ROWS($A$2:$A$15)),1)</f>
        <v>1</v>
      </c>
      <c r="H300" cm="1">
        <f t="array" aca="1" ref="H300" ca="1">INDEX($A$2:$A$15,RANDBETWEEN(1,ROWS($A$2:$A$15)),1)</f>
        <v>1</v>
      </c>
      <c r="I300" cm="1">
        <f t="array" aca="1" ref="I300" ca="1">INDEX($A$2:$A$15,RANDBETWEEN(1,ROWS($A$2:$A$15)),1)</f>
        <v>5</v>
      </c>
      <c r="J300" cm="1">
        <f t="array" aca="1" ref="J300" ca="1">INDEX($A$2:$A$15,RANDBETWEEN(1,ROWS($A$2:$A$15)),1)</f>
        <v>5</v>
      </c>
      <c r="K300" cm="1">
        <f t="array" aca="1" ref="K300" ca="1">INDEX($A$2:$A$15,RANDBETWEEN(1,ROWS($A$2:$A$15)),1)</f>
        <v>5</v>
      </c>
      <c r="L300" cm="1">
        <f t="array" aca="1" ref="L300" ca="1">INDEX($A$2:$A$15,RANDBETWEEN(1,ROWS($A$2:$A$15)),1)</f>
        <v>3</v>
      </c>
      <c r="M300" cm="1">
        <f t="array" aca="1" ref="M300" ca="1">INDEX($A$2:$A$15,RANDBETWEEN(1,ROWS($A$2:$A$15)),1)</f>
        <v>5</v>
      </c>
      <c r="N300" cm="1">
        <f t="array" aca="1" ref="N300" ca="1">INDEX($A$2:$A$15,RANDBETWEEN(1,ROWS($A$2:$A$15)),1)</f>
        <v>4</v>
      </c>
      <c r="O300" cm="1">
        <f t="array" aca="1" ref="O300" ca="1">INDEX($A$2:$A$15,RANDBETWEEN(1,ROWS($A$2:$A$15)),1)</f>
        <v>3</v>
      </c>
      <c r="P300" cm="1">
        <f t="array" aca="1" ref="P300" ca="1">INDEX($A$2:$A$15,RANDBETWEEN(1,ROWS($A$2:$A$15)),1)</f>
        <v>2</v>
      </c>
      <c r="Q300" cm="1">
        <f t="array" aca="1" ref="Q300" ca="1">INDEX($A$2:$A$15,RANDBETWEEN(1,ROWS($A$2:$A$15)),1)</f>
        <v>5</v>
      </c>
      <c r="R300" cm="1">
        <f t="array" aca="1" ref="R300" ca="1">INDEX($A$2:$A$15,RANDBETWEEN(1,ROWS($A$2:$A$15)),1)</f>
        <v>5</v>
      </c>
      <c r="S300" cm="1">
        <f t="array" aca="1" ref="S300" ca="1">INDEX($A$2:$A$15,RANDBETWEEN(1,ROWS($A$2:$A$15)),1)</f>
        <v>5</v>
      </c>
      <c r="V300">
        <f ca="1">AVERAGE(C300:S300)</f>
        <v>4</v>
      </c>
      <c r="W300">
        <f t="shared" ca="1" si="17"/>
        <v>5</v>
      </c>
      <c r="X300">
        <f t="shared" ca="1" si="18"/>
        <v>2</v>
      </c>
      <c r="Y300">
        <f t="shared" ca="1" si="19"/>
        <v>1.4577379737113252</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8118D-AF66-40B7-A3A9-50098BFD39FC}">
  <dimension ref="A1:L138"/>
  <sheetViews>
    <sheetView zoomScale="60" workbookViewId="0">
      <selection activeCell="I47" sqref="I47"/>
    </sheetView>
  </sheetViews>
  <sheetFormatPr defaultRowHeight="14.5" x14ac:dyDescent="0.35"/>
  <cols>
    <col min="1" max="1" width="16.08984375" style="5" customWidth="1"/>
    <col min="2" max="2" width="14.08984375" style="8" customWidth="1"/>
    <col min="5" max="5" width="19.54296875" bestFit="1" customWidth="1"/>
    <col min="6" max="6" width="16.453125" bestFit="1" customWidth="1"/>
    <col min="9" max="9" width="31.08984375" bestFit="1" customWidth="1"/>
    <col min="10" max="10" width="25.1796875" bestFit="1" customWidth="1"/>
    <col min="11" max="11" width="21.26953125" bestFit="1" customWidth="1"/>
    <col min="12" max="12" width="17.08984375" bestFit="1" customWidth="1"/>
  </cols>
  <sheetData>
    <row r="1" spans="1:10" x14ac:dyDescent="0.35">
      <c r="A1" s="7" t="s">
        <v>2</v>
      </c>
      <c r="B1" s="8" t="s">
        <v>4</v>
      </c>
      <c r="E1" s="16" t="s">
        <v>69</v>
      </c>
      <c r="F1" s="16" t="s">
        <v>1352</v>
      </c>
    </row>
    <row r="2" spans="1:10" x14ac:dyDescent="0.35">
      <c r="A2" s="5">
        <v>48</v>
      </c>
      <c r="B2" s="8">
        <v>0.85</v>
      </c>
      <c r="E2">
        <f>(A2-$J$3)/$J$26</f>
        <v>3.3346100318416125</v>
      </c>
      <c r="F2" s="9">
        <f>(B2-$J$4)/$J$27</f>
        <v>-0.43118590185092137</v>
      </c>
      <c r="I2" s="13"/>
      <c r="J2" s="5"/>
    </row>
    <row r="3" spans="1:10" x14ac:dyDescent="0.35">
      <c r="A3" s="5">
        <v>12</v>
      </c>
      <c r="B3" s="8">
        <v>0.85</v>
      </c>
      <c r="E3">
        <f t="shared" ref="E3:E66" si="0">(A3-$J$3)/$J$26</f>
        <v>6.5076026784813848E-2</v>
      </c>
      <c r="F3" s="9">
        <f t="shared" ref="F3:F66" si="1">(B3-$J$4)/$J$27</f>
        <v>-0.43118590185092137</v>
      </c>
      <c r="I3" s="13" t="s">
        <v>32</v>
      </c>
      <c r="J3" s="5">
        <f>AVERAGE(A:A)</f>
        <v>11.283464566929133</v>
      </c>
    </row>
    <row r="4" spans="1:10" x14ac:dyDescent="0.35">
      <c r="A4" s="5">
        <v>5</v>
      </c>
      <c r="B4" s="8">
        <v>0.85</v>
      </c>
      <c r="E4">
        <f t="shared" si="0"/>
        <v>-0.5706666964206748</v>
      </c>
      <c r="F4" s="9">
        <f t="shared" si="1"/>
        <v>-0.43118590185092137</v>
      </c>
      <c r="I4" s="13" t="s">
        <v>33</v>
      </c>
      <c r="J4" s="8">
        <f>AVERAGE(B:B)</f>
        <v>0.99212598425196663</v>
      </c>
    </row>
    <row r="5" spans="1:10" x14ac:dyDescent="0.35">
      <c r="A5" s="5">
        <v>1</v>
      </c>
      <c r="B5" s="8">
        <v>0.85</v>
      </c>
      <c r="E5">
        <f t="shared" si="0"/>
        <v>-0.93394825253809688</v>
      </c>
      <c r="F5" s="9">
        <f t="shared" si="1"/>
        <v>-0.43118590185092137</v>
      </c>
      <c r="I5" s="13"/>
      <c r="J5" s="5"/>
    </row>
    <row r="6" spans="1:10" x14ac:dyDescent="0.35">
      <c r="A6" s="5">
        <v>1</v>
      </c>
      <c r="B6" s="8">
        <v>0.85</v>
      </c>
      <c r="E6">
        <f t="shared" si="0"/>
        <v>-0.93394825253809688</v>
      </c>
      <c r="F6" s="9">
        <f t="shared" si="1"/>
        <v>-0.43118590185092137</v>
      </c>
      <c r="I6" s="13"/>
      <c r="J6" s="5"/>
    </row>
    <row r="7" spans="1:10" x14ac:dyDescent="0.35">
      <c r="A7" s="11">
        <v>11</v>
      </c>
      <c r="B7" s="8">
        <v>1.66</v>
      </c>
      <c r="E7">
        <f t="shared" si="0"/>
        <v>-2.5744362244541675E-2</v>
      </c>
      <c r="F7" s="9">
        <f t="shared" si="1"/>
        <v>2.0262154124651373</v>
      </c>
      <c r="I7" s="13"/>
      <c r="J7" s="5"/>
    </row>
    <row r="8" spans="1:10" x14ac:dyDescent="0.35">
      <c r="A8" s="5">
        <v>2</v>
      </c>
      <c r="B8" s="8">
        <v>1.66</v>
      </c>
      <c r="E8">
        <f t="shared" si="0"/>
        <v>-0.84312786350874136</v>
      </c>
      <c r="F8" s="9">
        <f t="shared" si="1"/>
        <v>2.0262154124651373</v>
      </c>
      <c r="I8" s="13" t="s">
        <v>34</v>
      </c>
      <c r="J8" s="5">
        <f>AVERAGE(A:A)</f>
        <v>11.283464566929133</v>
      </c>
    </row>
    <row r="9" spans="1:10" x14ac:dyDescent="0.35">
      <c r="A9" s="5">
        <v>1</v>
      </c>
      <c r="B9" s="8">
        <v>1.66</v>
      </c>
      <c r="E9">
        <f t="shared" si="0"/>
        <v>-0.93394825253809688</v>
      </c>
      <c r="F9" s="9">
        <f t="shared" si="1"/>
        <v>2.0262154124651373</v>
      </c>
      <c r="I9" s="13" t="s">
        <v>35</v>
      </c>
      <c r="J9" s="14">
        <f>AVERAGE(B:B)</f>
        <v>0.99212598425196663</v>
      </c>
    </row>
    <row r="10" spans="1:10" x14ac:dyDescent="0.35">
      <c r="A10" s="5">
        <v>10</v>
      </c>
      <c r="B10" s="8">
        <v>0.85</v>
      </c>
      <c r="E10">
        <f t="shared" si="0"/>
        <v>-0.11656475127389719</v>
      </c>
      <c r="F10" s="9">
        <f t="shared" si="1"/>
        <v>-0.43118590185092137</v>
      </c>
      <c r="I10" s="13"/>
      <c r="J10" s="5"/>
    </row>
    <row r="11" spans="1:10" x14ac:dyDescent="0.35">
      <c r="A11" s="5">
        <v>1</v>
      </c>
      <c r="B11" s="8">
        <v>0.85</v>
      </c>
      <c r="E11">
        <f t="shared" si="0"/>
        <v>-0.93394825253809688</v>
      </c>
      <c r="F11" s="9">
        <f t="shared" si="1"/>
        <v>-0.43118590185092137</v>
      </c>
      <c r="I11" s="13" t="s">
        <v>36</v>
      </c>
      <c r="J11" s="5">
        <f>MIN(A:A)</f>
        <v>1</v>
      </c>
    </row>
    <row r="12" spans="1:10" x14ac:dyDescent="0.35">
      <c r="A12" s="5">
        <v>1</v>
      </c>
      <c r="B12" s="8">
        <v>0.85</v>
      </c>
      <c r="E12">
        <f t="shared" si="0"/>
        <v>-0.93394825253809688</v>
      </c>
      <c r="F12" s="9">
        <f t="shared" si="1"/>
        <v>-0.43118590185092137</v>
      </c>
      <c r="I12" s="13" t="s">
        <v>37</v>
      </c>
      <c r="J12" s="5">
        <f>MAX(A:A)</f>
        <v>48</v>
      </c>
    </row>
    <row r="13" spans="1:10" x14ac:dyDescent="0.35">
      <c r="A13" s="5">
        <v>3</v>
      </c>
      <c r="B13" s="8">
        <v>0.85</v>
      </c>
      <c r="E13">
        <f t="shared" si="0"/>
        <v>-0.75230747447938584</v>
      </c>
      <c r="F13" s="9">
        <f t="shared" si="1"/>
        <v>-0.43118590185092137</v>
      </c>
      <c r="I13" s="13"/>
      <c r="J13" s="5"/>
    </row>
    <row r="14" spans="1:10" x14ac:dyDescent="0.35">
      <c r="A14" s="5">
        <v>24</v>
      </c>
      <c r="B14" s="8">
        <v>0.85</v>
      </c>
      <c r="E14">
        <f t="shared" si="0"/>
        <v>1.1549206951370801</v>
      </c>
      <c r="F14" s="9">
        <f t="shared" si="1"/>
        <v>-0.43118590185092137</v>
      </c>
      <c r="I14" s="13"/>
      <c r="J14" s="5"/>
    </row>
    <row r="15" spans="1:10" x14ac:dyDescent="0.35">
      <c r="A15" s="5">
        <v>1</v>
      </c>
      <c r="B15" s="8">
        <v>1.66</v>
      </c>
      <c r="E15">
        <f t="shared" si="0"/>
        <v>-0.93394825253809688</v>
      </c>
      <c r="F15" s="9">
        <f t="shared" si="1"/>
        <v>2.0262154124651373</v>
      </c>
      <c r="I15" s="13" t="s">
        <v>38</v>
      </c>
      <c r="J15" s="14">
        <f>MIN(B:B)</f>
        <v>0.75</v>
      </c>
    </row>
    <row r="16" spans="1:10" x14ac:dyDescent="0.35">
      <c r="A16" s="5">
        <v>2</v>
      </c>
      <c r="B16" s="8">
        <v>0.85</v>
      </c>
      <c r="E16">
        <f t="shared" si="0"/>
        <v>-0.84312786350874136</v>
      </c>
      <c r="F16" s="9">
        <f t="shared" si="1"/>
        <v>-0.43118590185092137</v>
      </c>
      <c r="I16" s="13" t="s">
        <v>39</v>
      </c>
      <c r="J16" s="15">
        <f>MAX(B:B)</f>
        <v>1.66</v>
      </c>
    </row>
    <row r="17" spans="1:10" x14ac:dyDescent="0.35">
      <c r="A17" s="5">
        <v>5</v>
      </c>
      <c r="B17" s="8">
        <v>1.66</v>
      </c>
      <c r="E17">
        <f t="shared" si="0"/>
        <v>-0.5706666964206748</v>
      </c>
      <c r="F17" s="9">
        <f t="shared" si="1"/>
        <v>2.0262154124651373</v>
      </c>
      <c r="I17" s="13"/>
      <c r="J17" s="5"/>
    </row>
    <row r="18" spans="1:10" x14ac:dyDescent="0.35">
      <c r="A18" s="5">
        <v>2</v>
      </c>
      <c r="B18" s="8">
        <v>0.85</v>
      </c>
      <c r="E18">
        <f t="shared" si="0"/>
        <v>-0.84312786350874136</v>
      </c>
      <c r="F18" s="9">
        <f t="shared" si="1"/>
        <v>-0.43118590185092137</v>
      </c>
      <c r="I18" s="13"/>
      <c r="J18" s="5"/>
    </row>
    <row r="19" spans="1:10" x14ac:dyDescent="0.35">
      <c r="A19" s="5">
        <v>10</v>
      </c>
      <c r="B19" s="8">
        <v>0.85</v>
      </c>
      <c r="E19">
        <f t="shared" si="0"/>
        <v>-0.11656475127389719</v>
      </c>
      <c r="F19" s="9">
        <f t="shared" si="1"/>
        <v>-0.43118590185092137</v>
      </c>
    </row>
    <row r="20" spans="1:10" x14ac:dyDescent="0.35">
      <c r="A20" s="5">
        <v>10</v>
      </c>
      <c r="B20" s="8">
        <v>0.85</v>
      </c>
      <c r="E20">
        <f t="shared" si="0"/>
        <v>-0.11656475127389719</v>
      </c>
      <c r="F20" s="9">
        <f t="shared" si="1"/>
        <v>-0.43118590185092137</v>
      </c>
    </row>
    <row r="21" spans="1:10" x14ac:dyDescent="0.35">
      <c r="A21" s="5">
        <v>10</v>
      </c>
      <c r="B21" s="8">
        <v>0.85</v>
      </c>
      <c r="E21">
        <f t="shared" si="0"/>
        <v>-0.11656475127389719</v>
      </c>
      <c r="F21" s="9">
        <f t="shared" si="1"/>
        <v>-0.43118590185092137</v>
      </c>
    </row>
    <row r="22" spans="1:10" x14ac:dyDescent="0.35">
      <c r="A22" s="5">
        <v>10</v>
      </c>
      <c r="B22" s="8">
        <v>0.85</v>
      </c>
      <c r="E22">
        <f t="shared" si="0"/>
        <v>-0.11656475127389719</v>
      </c>
      <c r="F22" s="9">
        <f t="shared" si="1"/>
        <v>-0.43118590185092137</v>
      </c>
    </row>
    <row r="23" spans="1:10" x14ac:dyDescent="0.35">
      <c r="A23" s="5">
        <v>6</v>
      </c>
      <c r="B23" s="8">
        <v>0.81</v>
      </c>
      <c r="E23">
        <f t="shared" si="0"/>
        <v>-0.47984630739131928</v>
      </c>
      <c r="F23" s="9">
        <f t="shared" si="1"/>
        <v>-0.55253905317517094</v>
      </c>
    </row>
    <row r="24" spans="1:10" x14ac:dyDescent="0.35">
      <c r="A24" s="5">
        <v>1</v>
      </c>
      <c r="B24" s="8">
        <v>0.81</v>
      </c>
      <c r="E24">
        <f t="shared" si="0"/>
        <v>-0.93394825253809688</v>
      </c>
      <c r="F24" s="9">
        <f t="shared" si="1"/>
        <v>-0.55253905317517094</v>
      </c>
      <c r="I24" s="13"/>
      <c r="J24" s="5"/>
    </row>
    <row r="25" spans="1:10" x14ac:dyDescent="0.35">
      <c r="A25" s="5">
        <v>1</v>
      </c>
      <c r="B25" s="8">
        <v>0.81</v>
      </c>
      <c r="E25">
        <f t="shared" si="0"/>
        <v>-0.93394825253809688</v>
      </c>
      <c r="F25" s="9">
        <f t="shared" si="1"/>
        <v>-0.55253905317517094</v>
      </c>
      <c r="I25" s="13"/>
      <c r="J25" s="5"/>
    </row>
    <row r="26" spans="1:10" x14ac:dyDescent="0.35">
      <c r="A26" s="5">
        <v>1</v>
      </c>
      <c r="B26" s="8">
        <v>0.81</v>
      </c>
      <c r="E26">
        <f t="shared" si="0"/>
        <v>-0.93394825253809688</v>
      </c>
      <c r="F26" s="9">
        <f t="shared" si="1"/>
        <v>-0.55253905317517094</v>
      </c>
      <c r="I26" s="13" t="s">
        <v>44</v>
      </c>
      <c r="J26" s="5">
        <f>_xlfn.STDEV.S(A:A)</f>
        <v>11.010743410015277</v>
      </c>
    </row>
    <row r="27" spans="1:10" x14ac:dyDescent="0.35">
      <c r="A27" s="5">
        <v>5</v>
      </c>
      <c r="B27" s="8">
        <v>0.81</v>
      </c>
      <c r="E27">
        <f t="shared" si="0"/>
        <v>-0.5706666964206748</v>
      </c>
      <c r="F27" s="9">
        <f t="shared" si="1"/>
        <v>-0.55253905317517094</v>
      </c>
      <c r="I27" s="13" t="s">
        <v>45</v>
      </c>
      <c r="J27" s="5">
        <f>_xlfn.STDEV.S(B:B)</f>
        <v>0.32961649173099689</v>
      </c>
    </row>
    <row r="28" spans="1:10" x14ac:dyDescent="0.35">
      <c r="A28" s="5">
        <v>3</v>
      </c>
      <c r="B28" s="8">
        <v>0.81</v>
      </c>
      <c r="E28">
        <f t="shared" si="0"/>
        <v>-0.75230747447938584</v>
      </c>
      <c r="F28" s="9">
        <f t="shared" si="1"/>
        <v>-0.55253905317517094</v>
      </c>
      <c r="I28" s="13"/>
      <c r="J28" s="5"/>
    </row>
    <row r="29" spans="1:10" x14ac:dyDescent="0.35">
      <c r="A29" s="5">
        <v>1</v>
      </c>
      <c r="B29" s="8">
        <v>0.81</v>
      </c>
      <c r="E29">
        <f t="shared" si="0"/>
        <v>-0.93394825253809688</v>
      </c>
      <c r="F29" s="9">
        <f t="shared" si="1"/>
        <v>-0.55253905317517094</v>
      </c>
    </row>
    <row r="30" spans="1:10" x14ac:dyDescent="0.35">
      <c r="A30" s="5">
        <v>6</v>
      </c>
      <c r="B30" s="8">
        <v>0.81</v>
      </c>
      <c r="E30">
        <f t="shared" si="0"/>
        <v>-0.47984630739131928</v>
      </c>
      <c r="F30" s="9">
        <f t="shared" si="1"/>
        <v>-0.55253905317517094</v>
      </c>
    </row>
    <row r="31" spans="1:10" x14ac:dyDescent="0.35">
      <c r="A31" s="5">
        <v>3</v>
      </c>
      <c r="B31" s="8">
        <v>0.81</v>
      </c>
      <c r="E31">
        <f t="shared" si="0"/>
        <v>-0.75230747447938584</v>
      </c>
      <c r="F31" s="9">
        <f t="shared" si="1"/>
        <v>-0.55253905317517094</v>
      </c>
    </row>
    <row r="32" spans="1:10" ht="15" thickBot="1" x14ac:dyDescent="0.4">
      <c r="A32" s="5">
        <v>7</v>
      </c>
      <c r="B32" s="8">
        <v>0.81</v>
      </c>
      <c r="E32">
        <f t="shared" si="0"/>
        <v>-0.38902591836196376</v>
      </c>
      <c r="F32" s="9">
        <f t="shared" si="1"/>
        <v>-0.55253905317517094</v>
      </c>
    </row>
    <row r="33" spans="1:12" x14ac:dyDescent="0.35">
      <c r="A33" s="5">
        <v>1</v>
      </c>
      <c r="B33" s="8">
        <v>0.81</v>
      </c>
      <c r="E33">
        <f t="shared" si="0"/>
        <v>-0.93394825253809688</v>
      </c>
      <c r="F33" s="9">
        <f t="shared" si="1"/>
        <v>-0.55253905317517094</v>
      </c>
      <c r="J33" s="28"/>
      <c r="K33" s="28" t="s">
        <v>69</v>
      </c>
      <c r="L33" s="28" t="s">
        <v>1352</v>
      </c>
    </row>
    <row r="34" spans="1:12" x14ac:dyDescent="0.35">
      <c r="A34" s="5">
        <v>4</v>
      </c>
      <c r="B34" s="8">
        <v>0.79</v>
      </c>
      <c r="E34">
        <f t="shared" si="0"/>
        <v>-0.66148708545003032</v>
      </c>
      <c r="F34" s="9">
        <f t="shared" si="1"/>
        <v>-0.61321562883729586</v>
      </c>
      <c r="J34" t="s">
        <v>69</v>
      </c>
      <c r="K34">
        <f>VARP(PCA_Analysis!$E$2:$E$1048576)</f>
        <v>0.99212598425196985</v>
      </c>
    </row>
    <row r="35" spans="1:12" ht="15" thickBot="1" x14ac:dyDescent="0.4">
      <c r="A35" s="5">
        <v>22</v>
      </c>
      <c r="B35" s="8">
        <v>0.79</v>
      </c>
      <c r="E35">
        <f t="shared" si="0"/>
        <v>0.97327991707836903</v>
      </c>
      <c r="F35" s="9">
        <f t="shared" si="1"/>
        <v>-0.61321562883729586</v>
      </c>
      <c r="J35" s="27" t="s">
        <v>1352</v>
      </c>
      <c r="K35" s="27">
        <v>-0.28982336252534696</v>
      </c>
      <c r="L35" s="27">
        <f>VARP(PCA_Analysis!$F$2:$F$1048576)</f>
        <v>0.99212598425194021</v>
      </c>
    </row>
    <row r="36" spans="1:12" x14ac:dyDescent="0.35">
      <c r="A36" s="5">
        <v>12</v>
      </c>
      <c r="B36" s="8">
        <v>0.79</v>
      </c>
      <c r="E36">
        <f t="shared" si="0"/>
        <v>6.5076026784813848E-2</v>
      </c>
      <c r="F36" s="9">
        <f t="shared" si="1"/>
        <v>-0.61321562883729586</v>
      </c>
    </row>
    <row r="37" spans="1:12" x14ac:dyDescent="0.35">
      <c r="A37" s="5">
        <v>2</v>
      </c>
      <c r="B37" s="8">
        <v>0.85</v>
      </c>
      <c r="E37">
        <f t="shared" si="0"/>
        <v>-0.84312786350874136</v>
      </c>
      <c r="F37" s="9">
        <f t="shared" si="1"/>
        <v>-0.43118590185092137</v>
      </c>
    </row>
    <row r="38" spans="1:12" x14ac:dyDescent="0.35">
      <c r="A38" s="5">
        <v>12</v>
      </c>
      <c r="B38" s="8">
        <v>0.75</v>
      </c>
      <c r="E38">
        <f t="shared" si="0"/>
        <v>6.5076026784813848E-2</v>
      </c>
      <c r="F38" s="9">
        <f t="shared" si="1"/>
        <v>-0.73456878016154581</v>
      </c>
      <c r="J38" t="s">
        <v>1353</v>
      </c>
      <c r="K38">
        <f>((K34+L35)+SQRT((K34+L35)^2-4*(K34*L35-K35^2)))/2</f>
        <v>1.2819493467773018</v>
      </c>
    </row>
    <row r="39" spans="1:12" x14ac:dyDescent="0.35">
      <c r="A39" s="5">
        <v>12</v>
      </c>
      <c r="B39" s="8">
        <v>0.75</v>
      </c>
      <c r="E39">
        <f t="shared" si="0"/>
        <v>6.5076026784813848E-2</v>
      </c>
      <c r="F39" s="9">
        <f t="shared" si="1"/>
        <v>-0.73456878016154581</v>
      </c>
      <c r="J39" t="s">
        <v>70</v>
      </c>
      <c r="K39">
        <f>((K34+L35)-SQRT((K34+L35)^2-4*(K34*L35-K35^2)))/2</f>
        <v>0.70230262172660818</v>
      </c>
    </row>
    <row r="40" spans="1:12" x14ac:dyDescent="0.35">
      <c r="A40" s="5">
        <v>12</v>
      </c>
      <c r="B40" s="8">
        <v>0.75</v>
      </c>
      <c r="E40">
        <f t="shared" si="0"/>
        <v>6.5076026784813848E-2</v>
      </c>
      <c r="F40" s="9">
        <f t="shared" si="1"/>
        <v>-0.73456878016154581</v>
      </c>
    </row>
    <row r="41" spans="1:12" x14ac:dyDescent="0.35">
      <c r="A41" s="5">
        <v>24</v>
      </c>
      <c r="B41" s="8">
        <v>0.75</v>
      </c>
      <c r="E41">
        <f t="shared" si="0"/>
        <v>1.1549206951370801</v>
      </c>
      <c r="F41" s="9">
        <f t="shared" si="1"/>
        <v>-0.73456878016154581</v>
      </c>
      <c r="J41" t="s">
        <v>1354</v>
      </c>
      <c r="K41">
        <f>K38/(K38+K39)*100</f>
        <v>64.606177397110926</v>
      </c>
    </row>
    <row r="42" spans="1:12" x14ac:dyDescent="0.35">
      <c r="A42" s="5">
        <v>12</v>
      </c>
      <c r="B42" s="8">
        <v>0.75</v>
      </c>
      <c r="E42">
        <f t="shared" si="0"/>
        <v>6.5076026784813848E-2</v>
      </c>
      <c r="F42" s="9">
        <f t="shared" si="1"/>
        <v>-0.73456878016154581</v>
      </c>
      <c r="J42" t="s">
        <v>1355</v>
      </c>
      <c r="K42">
        <f>K39/(K38+K39)*100</f>
        <v>35.393822602889067</v>
      </c>
    </row>
    <row r="43" spans="1:12" x14ac:dyDescent="0.35">
      <c r="A43" s="5">
        <v>1</v>
      </c>
      <c r="B43" s="8">
        <v>1.63</v>
      </c>
      <c r="E43">
        <f t="shared" si="0"/>
        <v>-0.93394825253809688</v>
      </c>
      <c r="F43" s="9">
        <f t="shared" si="1"/>
        <v>1.9352005489719497</v>
      </c>
    </row>
    <row r="44" spans="1:12" x14ac:dyDescent="0.35">
      <c r="A44" s="5">
        <v>12</v>
      </c>
      <c r="B44" s="8">
        <v>1.63</v>
      </c>
      <c r="E44">
        <f t="shared" si="0"/>
        <v>6.5076026784813848E-2</v>
      </c>
      <c r="F44" s="9">
        <f t="shared" si="1"/>
        <v>1.9352005489719497</v>
      </c>
    </row>
    <row r="45" spans="1:12" x14ac:dyDescent="0.35">
      <c r="A45" s="5">
        <v>4</v>
      </c>
      <c r="B45" s="8">
        <v>1.63</v>
      </c>
      <c r="E45">
        <f t="shared" si="0"/>
        <v>-0.66148708545003032</v>
      </c>
      <c r="F45" s="9">
        <f t="shared" si="1"/>
        <v>1.9352005489719497</v>
      </c>
    </row>
    <row r="46" spans="1:12" x14ac:dyDescent="0.35">
      <c r="A46" s="5">
        <v>17</v>
      </c>
      <c r="B46" s="12">
        <v>0.99</v>
      </c>
      <c r="E46">
        <f t="shared" si="0"/>
        <v>0.51917797193159143</v>
      </c>
      <c r="F46" s="9">
        <f t="shared" si="1"/>
        <v>-6.4498722160469908E-3</v>
      </c>
    </row>
    <row r="47" spans="1:12" x14ac:dyDescent="0.35">
      <c r="A47" s="5">
        <v>12</v>
      </c>
      <c r="B47" s="8">
        <v>0.75</v>
      </c>
      <c r="E47">
        <f t="shared" si="0"/>
        <v>6.5076026784813848E-2</v>
      </c>
      <c r="F47" s="9">
        <f t="shared" si="1"/>
        <v>-0.73456878016154581</v>
      </c>
      <c r="I47" t="s">
        <v>1356</v>
      </c>
    </row>
    <row r="48" spans="1:12" x14ac:dyDescent="0.35">
      <c r="A48" s="5">
        <v>12</v>
      </c>
      <c r="B48" s="8">
        <v>0.75</v>
      </c>
      <c r="E48">
        <f t="shared" si="0"/>
        <v>6.5076026784813848E-2</v>
      </c>
      <c r="F48" s="9">
        <f t="shared" si="1"/>
        <v>-0.73456878016154581</v>
      </c>
    </row>
    <row r="49" spans="1:12" x14ac:dyDescent="0.35">
      <c r="A49" s="5">
        <v>24</v>
      </c>
      <c r="B49" s="8">
        <v>0.75</v>
      </c>
      <c r="E49">
        <f t="shared" si="0"/>
        <v>1.1549206951370801</v>
      </c>
      <c r="F49" s="9">
        <f t="shared" si="1"/>
        <v>-0.73456878016154581</v>
      </c>
    </row>
    <row r="50" spans="1:12" ht="15" thickBot="1" x14ac:dyDescent="0.4">
      <c r="A50" s="5">
        <v>24</v>
      </c>
      <c r="B50" s="8">
        <v>0.75</v>
      </c>
      <c r="E50">
        <f t="shared" si="0"/>
        <v>1.1549206951370801</v>
      </c>
      <c r="F50" s="9">
        <f t="shared" si="1"/>
        <v>-0.73456878016154581</v>
      </c>
    </row>
    <row r="51" spans="1:12" x14ac:dyDescent="0.35">
      <c r="A51" s="5">
        <v>11</v>
      </c>
      <c r="B51" s="8">
        <v>1.63</v>
      </c>
      <c r="E51">
        <f t="shared" si="0"/>
        <v>-2.5744362244541675E-2</v>
      </c>
      <c r="F51" s="9">
        <f t="shared" si="1"/>
        <v>1.9352005489719497</v>
      </c>
      <c r="I51" s="28" t="s">
        <v>2</v>
      </c>
      <c r="J51" s="28"/>
      <c r="K51" s="28" t="s">
        <v>4</v>
      </c>
      <c r="L51" s="28"/>
    </row>
    <row r="52" spans="1:12" x14ac:dyDescent="0.35">
      <c r="A52" s="5">
        <v>12</v>
      </c>
      <c r="B52" s="8">
        <v>1.63</v>
      </c>
      <c r="E52">
        <f t="shared" si="0"/>
        <v>6.5076026784813848E-2</v>
      </c>
      <c r="F52" s="9">
        <f t="shared" si="1"/>
        <v>1.9352005489719497</v>
      </c>
    </row>
    <row r="53" spans="1:12" x14ac:dyDescent="0.35">
      <c r="A53" s="5">
        <v>22</v>
      </c>
      <c r="B53" s="8">
        <v>1.63</v>
      </c>
      <c r="E53">
        <f t="shared" si="0"/>
        <v>0.97327991707836903</v>
      </c>
      <c r="F53" s="9">
        <f t="shared" si="1"/>
        <v>1.9352005489719497</v>
      </c>
      <c r="I53" t="s">
        <v>74</v>
      </c>
      <c r="J53">
        <v>11.283464566929133</v>
      </c>
      <c r="K53" t="s">
        <v>74</v>
      </c>
      <c r="L53">
        <v>0.99212598425196663</v>
      </c>
    </row>
    <row r="54" spans="1:12" x14ac:dyDescent="0.35">
      <c r="A54" s="5">
        <v>6</v>
      </c>
      <c r="B54" s="8">
        <v>1.63</v>
      </c>
      <c r="E54">
        <f t="shared" si="0"/>
        <v>-0.47984630739131928</v>
      </c>
      <c r="F54" s="9">
        <f t="shared" si="1"/>
        <v>1.9352005489719497</v>
      </c>
      <c r="I54" t="s">
        <v>75</v>
      </c>
      <c r="J54">
        <v>0.97704548383876344</v>
      </c>
      <c r="K54" t="s">
        <v>75</v>
      </c>
      <c r="L54">
        <v>2.9248733954840275E-2</v>
      </c>
    </row>
    <row r="55" spans="1:12" x14ac:dyDescent="0.35">
      <c r="A55" s="5">
        <v>12</v>
      </c>
      <c r="B55" s="8">
        <v>0.75</v>
      </c>
      <c r="E55">
        <f t="shared" si="0"/>
        <v>6.5076026784813848E-2</v>
      </c>
      <c r="F55" s="9">
        <f t="shared" si="1"/>
        <v>-0.73456878016154581</v>
      </c>
      <c r="I55" t="s">
        <v>76</v>
      </c>
      <c r="J55">
        <v>10</v>
      </c>
      <c r="K55" t="s">
        <v>76</v>
      </c>
      <c r="L55">
        <v>0.85</v>
      </c>
    </row>
    <row r="56" spans="1:12" x14ac:dyDescent="0.35">
      <c r="A56" s="5">
        <v>12</v>
      </c>
      <c r="B56" s="8">
        <v>0.75</v>
      </c>
      <c r="E56">
        <f t="shared" si="0"/>
        <v>6.5076026784813848E-2</v>
      </c>
      <c r="F56" s="9">
        <f t="shared" si="1"/>
        <v>-0.73456878016154581</v>
      </c>
      <c r="I56" t="s">
        <v>77</v>
      </c>
      <c r="J56">
        <v>1</v>
      </c>
      <c r="K56" t="s">
        <v>77</v>
      </c>
      <c r="L56">
        <v>0.85</v>
      </c>
    </row>
    <row r="57" spans="1:12" x14ac:dyDescent="0.35">
      <c r="A57" s="5">
        <v>24</v>
      </c>
      <c r="B57" s="8">
        <v>0.75</v>
      </c>
      <c r="E57">
        <f t="shared" si="0"/>
        <v>1.1549206951370801</v>
      </c>
      <c r="F57" s="9">
        <f t="shared" si="1"/>
        <v>-0.73456878016154581</v>
      </c>
      <c r="I57" t="s">
        <v>78</v>
      </c>
      <c r="J57">
        <v>11.010743410015277</v>
      </c>
      <c r="K57" t="s">
        <v>78</v>
      </c>
      <c r="L57">
        <v>0.32961649173099689</v>
      </c>
    </row>
    <row r="58" spans="1:12" x14ac:dyDescent="0.35">
      <c r="A58" s="5">
        <v>4</v>
      </c>
      <c r="B58" s="8">
        <v>1.63</v>
      </c>
      <c r="E58">
        <f t="shared" si="0"/>
        <v>-0.66148708545003032</v>
      </c>
      <c r="F58" s="9">
        <f t="shared" si="1"/>
        <v>1.9352005489719497</v>
      </c>
      <c r="I58" t="s">
        <v>79</v>
      </c>
      <c r="J58">
        <v>121.23647044119485</v>
      </c>
      <c r="K58" t="s">
        <v>79</v>
      </c>
      <c r="L58">
        <v>0.10864703162105033</v>
      </c>
    </row>
    <row r="59" spans="1:12" x14ac:dyDescent="0.35">
      <c r="A59" s="5">
        <v>12</v>
      </c>
      <c r="B59" s="8">
        <v>0.83</v>
      </c>
      <c r="E59">
        <f t="shared" si="0"/>
        <v>6.5076026784813848E-2</v>
      </c>
      <c r="F59" s="9">
        <f t="shared" si="1"/>
        <v>-0.49186247751304629</v>
      </c>
      <c r="I59" t="s">
        <v>80</v>
      </c>
      <c r="J59">
        <v>2.3223413005171132</v>
      </c>
      <c r="K59" t="s">
        <v>80</v>
      </c>
      <c r="L59">
        <v>0.15193136776574567</v>
      </c>
    </row>
    <row r="60" spans="1:12" x14ac:dyDescent="0.35">
      <c r="A60" s="5">
        <v>1</v>
      </c>
      <c r="B60" s="8">
        <v>1.63</v>
      </c>
      <c r="E60">
        <f t="shared" si="0"/>
        <v>-0.93394825253809688</v>
      </c>
      <c r="F60" s="9">
        <f t="shared" si="1"/>
        <v>1.9352005489719497</v>
      </c>
      <c r="I60" t="s">
        <v>81</v>
      </c>
      <c r="J60">
        <v>1.4640895119222925</v>
      </c>
      <c r="K60" t="s">
        <v>81</v>
      </c>
      <c r="L60">
        <v>1.442948274260905</v>
      </c>
    </row>
    <row r="61" spans="1:12" x14ac:dyDescent="0.35">
      <c r="A61" s="5">
        <v>12</v>
      </c>
      <c r="B61" s="8">
        <v>0.83</v>
      </c>
      <c r="E61">
        <f t="shared" si="0"/>
        <v>6.5076026784813848E-2</v>
      </c>
      <c r="F61" s="9">
        <f t="shared" si="1"/>
        <v>-0.49186247751304629</v>
      </c>
      <c r="I61" t="s">
        <v>82</v>
      </c>
      <c r="J61">
        <v>47</v>
      </c>
      <c r="K61" t="s">
        <v>82</v>
      </c>
      <c r="L61">
        <v>0.90999999999999992</v>
      </c>
    </row>
    <row r="62" spans="1:12" x14ac:dyDescent="0.35">
      <c r="A62" s="5">
        <v>6</v>
      </c>
      <c r="B62" s="8">
        <v>1.63</v>
      </c>
      <c r="E62">
        <f t="shared" si="0"/>
        <v>-0.47984630739131928</v>
      </c>
      <c r="F62" s="9">
        <f t="shared" si="1"/>
        <v>1.9352005489719497</v>
      </c>
      <c r="I62" t="s">
        <v>83</v>
      </c>
      <c r="J62">
        <v>1</v>
      </c>
      <c r="K62" t="s">
        <v>83</v>
      </c>
      <c r="L62">
        <v>0.75</v>
      </c>
    </row>
    <row r="63" spans="1:12" x14ac:dyDescent="0.35">
      <c r="A63" s="5">
        <v>48</v>
      </c>
      <c r="B63" s="8">
        <v>0.75</v>
      </c>
      <c r="E63">
        <f t="shared" si="0"/>
        <v>3.3346100318416125</v>
      </c>
      <c r="F63" s="9">
        <f t="shared" si="1"/>
        <v>-0.73456878016154581</v>
      </c>
      <c r="I63" t="s">
        <v>84</v>
      </c>
      <c r="J63">
        <v>48</v>
      </c>
      <c r="K63" t="s">
        <v>84</v>
      </c>
      <c r="L63">
        <v>1.66</v>
      </c>
    </row>
    <row r="64" spans="1:12" x14ac:dyDescent="0.35">
      <c r="A64" s="5">
        <v>36</v>
      </c>
      <c r="B64" s="8">
        <v>0.75</v>
      </c>
      <c r="E64">
        <f t="shared" si="0"/>
        <v>2.2447653634893463</v>
      </c>
      <c r="F64" s="9">
        <f t="shared" si="1"/>
        <v>-0.73456878016154581</v>
      </c>
      <c r="I64" t="s">
        <v>85</v>
      </c>
      <c r="J64">
        <v>1433</v>
      </c>
      <c r="K64" t="s">
        <v>85</v>
      </c>
      <c r="L64">
        <v>125.99999999999976</v>
      </c>
    </row>
    <row r="65" spans="1:12" x14ac:dyDescent="0.35">
      <c r="A65" s="5">
        <v>36</v>
      </c>
      <c r="B65" s="8">
        <v>0.83</v>
      </c>
      <c r="E65">
        <f t="shared" si="0"/>
        <v>2.2447653634893463</v>
      </c>
      <c r="F65" s="9">
        <f t="shared" si="1"/>
        <v>-0.49186247751304629</v>
      </c>
      <c r="I65" t="s">
        <v>86</v>
      </c>
      <c r="J65">
        <v>127</v>
      </c>
      <c r="K65" t="s">
        <v>86</v>
      </c>
      <c r="L65">
        <v>127</v>
      </c>
    </row>
    <row r="66" spans="1:12" ht="15" thickBot="1" x14ac:dyDescent="0.4">
      <c r="A66" s="5">
        <v>1</v>
      </c>
      <c r="B66" s="8">
        <v>1.63</v>
      </c>
      <c r="E66">
        <f t="shared" si="0"/>
        <v>-0.93394825253809688</v>
      </c>
      <c r="F66" s="9">
        <f t="shared" si="1"/>
        <v>1.9352005489719497</v>
      </c>
      <c r="I66" s="27" t="s">
        <v>87</v>
      </c>
      <c r="J66" s="27">
        <v>1.9335442893246206</v>
      </c>
      <c r="K66" s="27" t="s">
        <v>87</v>
      </c>
      <c r="L66" s="27">
        <v>5.7882384642073938E-2</v>
      </c>
    </row>
    <row r="67" spans="1:12" x14ac:dyDescent="0.35">
      <c r="A67" s="5">
        <v>17</v>
      </c>
      <c r="B67" s="8">
        <v>1.63</v>
      </c>
      <c r="E67">
        <f t="shared" ref="E67:E128" si="2">(A67-$J$3)/$J$26</f>
        <v>0.51917797193159143</v>
      </c>
      <c r="F67" s="9">
        <f t="shared" ref="F67:F128" si="3">(B67-$J$4)/$J$27</f>
        <v>1.9352005489719497</v>
      </c>
    </row>
    <row r="68" spans="1:12" x14ac:dyDescent="0.35">
      <c r="A68" s="5">
        <v>3</v>
      </c>
      <c r="B68" s="8">
        <v>0.83</v>
      </c>
      <c r="E68">
        <f t="shared" si="2"/>
        <v>-0.75230747447938584</v>
      </c>
      <c r="F68" s="9">
        <f t="shared" si="3"/>
        <v>-0.49186247751304629</v>
      </c>
    </row>
    <row r="69" spans="1:12" x14ac:dyDescent="0.35">
      <c r="A69" s="5">
        <v>12</v>
      </c>
      <c r="B69" s="8">
        <v>0.83</v>
      </c>
      <c r="E69">
        <f t="shared" si="2"/>
        <v>6.5076026784813848E-2</v>
      </c>
      <c r="F69" s="9">
        <f t="shared" si="3"/>
        <v>-0.49186247751304629</v>
      </c>
    </row>
    <row r="70" spans="1:12" x14ac:dyDescent="0.35">
      <c r="A70" s="5">
        <v>12</v>
      </c>
      <c r="B70" s="8">
        <v>0.83</v>
      </c>
      <c r="E70">
        <f t="shared" si="2"/>
        <v>6.5076026784813848E-2</v>
      </c>
      <c r="F70" s="9">
        <f t="shared" si="3"/>
        <v>-0.49186247751304629</v>
      </c>
    </row>
    <row r="71" spans="1:12" x14ac:dyDescent="0.35">
      <c r="A71" s="5">
        <v>12</v>
      </c>
      <c r="B71" s="8">
        <v>0.83</v>
      </c>
      <c r="E71">
        <f t="shared" si="2"/>
        <v>6.5076026784813848E-2</v>
      </c>
      <c r="F71" s="9">
        <f t="shared" si="3"/>
        <v>-0.49186247751304629</v>
      </c>
    </row>
    <row r="72" spans="1:12" x14ac:dyDescent="0.35">
      <c r="A72" s="5">
        <v>12</v>
      </c>
      <c r="B72" s="8">
        <v>0.83</v>
      </c>
      <c r="E72">
        <f t="shared" si="2"/>
        <v>6.5076026784813848E-2</v>
      </c>
      <c r="F72" s="9">
        <f t="shared" si="3"/>
        <v>-0.49186247751304629</v>
      </c>
    </row>
    <row r="73" spans="1:12" x14ac:dyDescent="0.35">
      <c r="A73" s="5">
        <v>24</v>
      </c>
      <c r="B73" s="8">
        <v>0.83</v>
      </c>
      <c r="E73">
        <f t="shared" si="2"/>
        <v>1.1549206951370801</v>
      </c>
      <c r="F73" s="9">
        <f t="shared" si="3"/>
        <v>-0.49186247751304629</v>
      </c>
    </row>
    <row r="74" spans="1:12" x14ac:dyDescent="0.35">
      <c r="A74" s="5">
        <v>12</v>
      </c>
      <c r="B74" s="8">
        <v>0.83</v>
      </c>
      <c r="E74">
        <f t="shared" si="2"/>
        <v>6.5076026784813848E-2</v>
      </c>
      <c r="F74" s="9">
        <f t="shared" si="3"/>
        <v>-0.49186247751304629</v>
      </c>
    </row>
    <row r="75" spans="1:12" x14ac:dyDescent="0.35">
      <c r="A75" s="5">
        <v>24</v>
      </c>
      <c r="B75" s="8">
        <v>0.83</v>
      </c>
      <c r="E75">
        <f t="shared" si="2"/>
        <v>1.1549206951370801</v>
      </c>
      <c r="F75" s="9">
        <f t="shared" si="3"/>
        <v>-0.49186247751304629</v>
      </c>
    </row>
    <row r="76" spans="1:12" x14ac:dyDescent="0.35">
      <c r="A76" s="5">
        <v>48</v>
      </c>
      <c r="B76" s="8">
        <v>0.83</v>
      </c>
      <c r="E76">
        <f t="shared" si="2"/>
        <v>3.3346100318416125</v>
      </c>
      <c r="F76" s="9">
        <f t="shared" si="3"/>
        <v>-0.49186247751304629</v>
      </c>
    </row>
    <row r="77" spans="1:12" x14ac:dyDescent="0.35">
      <c r="A77" s="5">
        <v>48</v>
      </c>
      <c r="B77" s="8">
        <v>0.83</v>
      </c>
      <c r="E77">
        <f t="shared" si="2"/>
        <v>3.3346100318416125</v>
      </c>
      <c r="F77" s="9">
        <f t="shared" si="3"/>
        <v>-0.49186247751304629</v>
      </c>
    </row>
    <row r="78" spans="1:12" x14ac:dyDescent="0.35">
      <c r="A78" s="5">
        <v>1</v>
      </c>
      <c r="B78" s="8">
        <v>0.85</v>
      </c>
      <c r="E78">
        <f t="shared" si="2"/>
        <v>-0.93394825253809688</v>
      </c>
      <c r="F78" s="9">
        <f t="shared" si="3"/>
        <v>-0.43118590185092137</v>
      </c>
    </row>
    <row r="79" spans="1:12" x14ac:dyDescent="0.35">
      <c r="A79" s="5">
        <v>2</v>
      </c>
      <c r="B79" s="8">
        <v>1.63</v>
      </c>
      <c r="E79">
        <f t="shared" si="2"/>
        <v>-0.84312786350874136</v>
      </c>
      <c r="F79" s="9">
        <f t="shared" si="3"/>
        <v>1.9352005489719497</v>
      </c>
    </row>
    <row r="80" spans="1:12" x14ac:dyDescent="0.35">
      <c r="A80" s="5">
        <v>12</v>
      </c>
      <c r="B80" s="8">
        <v>0.83</v>
      </c>
      <c r="E80">
        <f t="shared" si="2"/>
        <v>6.5076026784813848E-2</v>
      </c>
      <c r="F80" s="9">
        <f t="shared" si="3"/>
        <v>-0.49186247751304629</v>
      </c>
    </row>
    <row r="81" spans="1:6" x14ac:dyDescent="0.35">
      <c r="A81" s="5">
        <v>4</v>
      </c>
      <c r="B81" s="8">
        <v>1.63</v>
      </c>
      <c r="E81">
        <f t="shared" si="2"/>
        <v>-0.66148708545003032</v>
      </c>
      <c r="F81" s="9">
        <f t="shared" si="3"/>
        <v>1.9352005489719497</v>
      </c>
    </row>
    <row r="82" spans="1:6" x14ac:dyDescent="0.35">
      <c r="A82" s="5">
        <v>3</v>
      </c>
      <c r="B82" s="8">
        <v>1.63</v>
      </c>
      <c r="E82">
        <f t="shared" si="2"/>
        <v>-0.75230747447938584</v>
      </c>
      <c r="F82" s="9">
        <f t="shared" si="3"/>
        <v>1.9352005489719497</v>
      </c>
    </row>
    <row r="83" spans="1:6" x14ac:dyDescent="0.35">
      <c r="A83" s="5">
        <v>2</v>
      </c>
      <c r="B83" s="8">
        <v>1.63</v>
      </c>
      <c r="E83">
        <f t="shared" si="2"/>
        <v>-0.84312786350874136</v>
      </c>
      <c r="F83" s="9">
        <f t="shared" si="3"/>
        <v>1.9352005489719497</v>
      </c>
    </row>
    <row r="84" spans="1:6" x14ac:dyDescent="0.35">
      <c r="A84" s="5">
        <v>24</v>
      </c>
      <c r="B84" s="8">
        <v>0.83</v>
      </c>
      <c r="E84">
        <f t="shared" si="2"/>
        <v>1.1549206951370801</v>
      </c>
      <c r="F84" s="9">
        <f t="shared" si="3"/>
        <v>-0.49186247751304629</v>
      </c>
    </row>
    <row r="85" spans="1:6" x14ac:dyDescent="0.35">
      <c r="A85" s="5">
        <v>24</v>
      </c>
      <c r="B85" s="8">
        <v>0.83</v>
      </c>
      <c r="E85">
        <f t="shared" si="2"/>
        <v>1.1549206951370801</v>
      </c>
      <c r="F85" s="9">
        <f t="shared" si="3"/>
        <v>-0.49186247751304629</v>
      </c>
    </row>
    <row r="86" spans="1:6" x14ac:dyDescent="0.35">
      <c r="A86" s="5">
        <v>24</v>
      </c>
      <c r="B86" s="8">
        <v>0.83</v>
      </c>
      <c r="E86">
        <f t="shared" si="2"/>
        <v>1.1549206951370801</v>
      </c>
      <c r="F86" s="9">
        <f t="shared" si="3"/>
        <v>-0.49186247751304629</v>
      </c>
    </row>
    <row r="87" spans="1:6" x14ac:dyDescent="0.35">
      <c r="A87" s="5">
        <v>24</v>
      </c>
      <c r="B87" s="8">
        <v>0.83</v>
      </c>
      <c r="E87">
        <f t="shared" si="2"/>
        <v>1.1549206951370801</v>
      </c>
      <c r="F87" s="9">
        <f t="shared" si="3"/>
        <v>-0.49186247751304629</v>
      </c>
    </row>
    <row r="88" spans="1:6" x14ac:dyDescent="0.35">
      <c r="A88" s="5">
        <v>5</v>
      </c>
      <c r="B88" s="8">
        <v>1.63</v>
      </c>
      <c r="E88">
        <f t="shared" si="2"/>
        <v>-0.5706666964206748</v>
      </c>
      <c r="F88" s="9">
        <f t="shared" si="3"/>
        <v>1.9352005489719497</v>
      </c>
    </row>
    <row r="89" spans="1:6" x14ac:dyDescent="0.35">
      <c r="A89" s="5">
        <v>1</v>
      </c>
      <c r="B89" s="8">
        <v>1.63</v>
      </c>
      <c r="E89">
        <f t="shared" si="2"/>
        <v>-0.93394825253809688</v>
      </c>
      <c r="F89" s="9">
        <f t="shared" si="3"/>
        <v>1.9352005489719497</v>
      </c>
    </row>
    <row r="90" spans="1:6" x14ac:dyDescent="0.35">
      <c r="A90" s="5">
        <v>12</v>
      </c>
      <c r="B90" s="8">
        <v>0.83</v>
      </c>
      <c r="E90">
        <f t="shared" si="2"/>
        <v>6.5076026784813848E-2</v>
      </c>
      <c r="F90" s="9">
        <f t="shared" si="3"/>
        <v>-0.49186247751304629</v>
      </c>
    </row>
    <row r="91" spans="1:6" x14ac:dyDescent="0.35">
      <c r="A91" s="5">
        <v>12</v>
      </c>
      <c r="B91" s="8">
        <v>0.83</v>
      </c>
      <c r="E91">
        <f t="shared" si="2"/>
        <v>6.5076026784813848E-2</v>
      </c>
      <c r="F91" s="9">
        <f t="shared" si="3"/>
        <v>-0.49186247751304629</v>
      </c>
    </row>
    <row r="92" spans="1:6" x14ac:dyDescent="0.35">
      <c r="A92" s="5">
        <v>12</v>
      </c>
      <c r="B92" s="8">
        <v>0.83</v>
      </c>
      <c r="E92">
        <f t="shared" si="2"/>
        <v>6.5076026784813848E-2</v>
      </c>
      <c r="F92" s="9">
        <f t="shared" si="3"/>
        <v>-0.49186247751304629</v>
      </c>
    </row>
    <row r="93" spans="1:6" x14ac:dyDescent="0.35">
      <c r="A93" s="5">
        <v>12</v>
      </c>
      <c r="B93" s="8">
        <v>0.83</v>
      </c>
      <c r="E93">
        <f t="shared" si="2"/>
        <v>6.5076026784813848E-2</v>
      </c>
      <c r="F93" s="9">
        <f t="shared" si="3"/>
        <v>-0.49186247751304629</v>
      </c>
    </row>
    <row r="94" spans="1:6" x14ac:dyDescent="0.35">
      <c r="A94" s="5">
        <v>1</v>
      </c>
      <c r="B94" s="8">
        <v>0.83</v>
      </c>
      <c r="E94">
        <f t="shared" si="2"/>
        <v>-0.93394825253809688</v>
      </c>
      <c r="F94" s="9">
        <f t="shared" si="3"/>
        <v>-0.49186247751304629</v>
      </c>
    </row>
    <row r="95" spans="1:6" x14ac:dyDescent="0.35">
      <c r="A95" s="5">
        <v>15</v>
      </c>
      <c r="B95" s="8">
        <v>0.83</v>
      </c>
      <c r="E95">
        <f t="shared" si="2"/>
        <v>0.33753719387288039</v>
      </c>
      <c r="F95" s="9">
        <f t="shared" si="3"/>
        <v>-0.49186247751304629</v>
      </c>
    </row>
    <row r="96" spans="1:6" x14ac:dyDescent="0.35">
      <c r="A96" s="5">
        <v>24</v>
      </c>
      <c r="B96" s="8">
        <v>0.83</v>
      </c>
      <c r="E96">
        <f t="shared" si="2"/>
        <v>1.1549206951370801</v>
      </c>
      <c r="F96" s="9">
        <f t="shared" si="3"/>
        <v>-0.49186247751304629</v>
      </c>
    </row>
    <row r="97" spans="1:6" x14ac:dyDescent="0.35">
      <c r="A97" s="5">
        <v>1</v>
      </c>
      <c r="B97" s="8">
        <v>0.85</v>
      </c>
      <c r="E97">
        <f t="shared" si="2"/>
        <v>-0.93394825253809688</v>
      </c>
      <c r="F97" s="9">
        <f t="shared" si="3"/>
        <v>-0.43118590185092137</v>
      </c>
    </row>
    <row r="98" spans="1:6" x14ac:dyDescent="0.35">
      <c r="A98" s="5">
        <v>1</v>
      </c>
      <c r="B98" s="8">
        <v>0.85</v>
      </c>
      <c r="E98">
        <f t="shared" si="2"/>
        <v>-0.93394825253809688</v>
      </c>
      <c r="F98" s="9">
        <f t="shared" si="3"/>
        <v>-0.43118590185092137</v>
      </c>
    </row>
    <row r="99" spans="1:6" x14ac:dyDescent="0.35">
      <c r="A99" s="5">
        <v>1</v>
      </c>
      <c r="B99" s="8">
        <v>0.85</v>
      </c>
      <c r="E99">
        <f t="shared" si="2"/>
        <v>-0.93394825253809688</v>
      </c>
      <c r="F99" s="9">
        <f t="shared" si="3"/>
        <v>-0.43118590185092137</v>
      </c>
    </row>
    <row r="100" spans="1:6" x14ac:dyDescent="0.35">
      <c r="A100" s="5">
        <v>3</v>
      </c>
      <c r="B100" s="8">
        <v>0.85</v>
      </c>
      <c r="E100">
        <f t="shared" si="2"/>
        <v>-0.75230747447938584</v>
      </c>
      <c r="F100" s="9">
        <f t="shared" si="3"/>
        <v>-0.43118590185092137</v>
      </c>
    </row>
    <row r="101" spans="1:6" x14ac:dyDescent="0.35">
      <c r="A101" s="5">
        <v>1</v>
      </c>
      <c r="B101" s="8">
        <v>0.85</v>
      </c>
      <c r="E101">
        <f t="shared" si="2"/>
        <v>-0.93394825253809688</v>
      </c>
      <c r="F101" s="9">
        <f t="shared" si="3"/>
        <v>-0.43118590185092137</v>
      </c>
    </row>
    <row r="102" spans="1:6" x14ac:dyDescent="0.35">
      <c r="A102" s="5">
        <v>1</v>
      </c>
      <c r="B102" s="8">
        <v>0.85</v>
      </c>
      <c r="E102">
        <f t="shared" si="2"/>
        <v>-0.93394825253809688</v>
      </c>
      <c r="F102" s="9">
        <f t="shared" si="3"/>
        <v>-0.43118590185092137</v>
      </c>
    </row>
    <row r="103" spans="1:6" x14ac:dyDescent="0.35">
      <c r="A103" s="5">
        <v>1</v>
      </c>
      <c r="B103" s="8">
        <v>0.85</v>
      </c>
      <c r="E103">
        <f t="shared" si="2"/>
        <v>-0.93394825253809688</v>
      </c>
      <c r="F103" s="9">
        <f t="shared" si="3"/>
        <v>-0.43118590185092137</v>
      </c>
    </row>
    <row r="104" spans="1:6" x14ac:dyDescent="0.35">
      <c r="A104" s="5">
        <v>12</v>
      </c>
      <c r="B104" s="8">
        <v>0.85</v>
      </c>
      <c r="E104">
        <f t="shared" si="2"/>
        <v>6.5076026784813848E-2</v>
      </c>
      <c r="F104" s="9">
        <f t="shared" si="3"/>
        <v>-0.43118590185092137</v>
      </c>
    </row>
    <row r="105" spans="1:6" x14ac:dyDescent="0.35">
      <c r="A105" s="5">
        <v>2</v>
      </c>
      <c r="B105" s="8">
        <v>1.63</v>
      </c>
      <c r="E105">
        <f t="shared" si="2"/>
        <v>-0.84312786350874136</v>
      </c>
      <c r="F105" s="9">
        <f t="shared" si="3"/>
        <v>1.9352005489719497</v>
      </c>
    </row>
    <row r="106" spans="1:6" x14ac:dyDescent="0.35">
      <c r="A106" s="5">
        <v>1</v>
      </c>
      <c r="B106" s="8">
        <v>0.85</v>
      </c>
      <c r="E106">
        <f t="shared" si="2"/>
        <v>-0.93394825253809688</v>
      </c>
      <c r="F106" s="9">
        <f t="shared" si="3"/>
        <v>-0.43118590185092137</v>
      </c>
    </row>
    <row r="107" spans="1:6" x14ac:dyDescent="0.35">
      <c r="A107" s="5">
        <v>3</v>
      </c>
      <c r="B107" s="8">
        <v>0.85</v>
      </c>
      <c r="E107">
        <f t="shared" si="2"/>
        <v>-0.75230747447938584</v>
      </c>
      <c r="F107" s="9">
        <f t="shared" si="3"/>
        <v>-0.43118590185092137</v>
      </c>
    </row>
    <row r="108" spans="1:6" x14ac:dyDescent="0.35">
      <c r="A108" s="5">
        <v>1</v>
      </c>
      <c r="B108" s="8">
        <v>0.85</v>
      </c>
      <c r="E108">
        <f t="shared" si="2"/>
        <v>-0.93394825253809688</v>
      </c>
      <c r="F108" s="9">
        <f t="shared" si="3"/>
        <v>-0.43118590185092137</v>
      </c>
    </row>
    <row r="109" spans="1:6" x14ac:dyDescent="0.35">
      <c r="A109" s="5">
        <v>20</v>
      </c>
      <c r="B109" s="8">
        <v>0.85</v>
      </c>
      <c r="E109">
        <f t="shared" si="2"/>
        <v>0.79163913901965799</v>
      </c>
      <c r="F109" s="9">
        <f t="shared" si="3"/>
        <v>-0.43118590185092137</v>
      </c>
    </row>
    <row r="110" spans="1:6" x14ac:dyDescent="0.35">
      <c r="A110" s="5">
        <v>1</v>
      </c>
      <c r="B110" s="8">
        <v>1.63</v>
      </c>
      <c r="E110">
        <f t="shared" si="2"/>
        <v>-0.93394825253809688</v>
      </c>
      <c r="F110" s="9">
        <f t="shared" si="3"/>
        <v>1.9352005489719497</v>
      </c>
    </row>
    <row r="111" spans="1:6" x14ac:dyDescent="0.35">
      <c r="A111" s="5">
        <v>5</v>
      </c>
      <c r="B111" s="8">
        <v>0.85</v>
      </c>
      <c r="E111">
        <f t="shared" si="2"/>
        <v>-0.5706666964206748</v>
      </c>
      <c r="F111" s="9">
        <f t="shared" si="3"/>
        <v>-0.43118590185092137</v>
      </c>
    </row>
    <row r="112" spans="1:6" x14ac:dyDescent="0.35">
      <c r="A112" s="5">
        <v>20</v>
      </c>
      <c r="B112" s="8">
        <v>0.85</v>
      </c>
      <c r="E112">
        <f t="shared" si="2"/>
        <v>0.79163913901965799</v>
      </c>
      <c r="F112" s="9">
        <f t="shared" si="3"/>
        <v>-0.43118590185092137</v>
      </c>
    </row>
    <row r="113" spans="1:6" x14ac:dyDescent="0.35">
      <c r="A113" s="5">
        <v>5</v>
      </c>
      <c r="B113" s="8">
        <v>0.85</v>
      </c>
      <c r="E113">
        <f t="shared" si="2"/>
        <v>-0.5706666964206748</v>
      </c>
      <c r="F113" s="9">
        <f t="shared" si="3"/>
        <v>-0.43118590185092137</v>
      </c>
    </row>
    <row r="114" spans="1:6" x14ac:dyDescent="0.35">
      <c r="A114" s="5">
        <v>20</v>
      </c>
      <c r="B114" s="8">
        <v>0.85</v>
      </c>
      <c r="E114">
        <f t="shared" si="2"/>
        <v>0.79163913901965799</v>
      </c>
      <c r="F114" s="9">
        <f t="shared" si="3"/>
        <v>-0.43118590185092137</v>
      </c>
    </row>
    <row r="115" spans="1:6" x14ac:dyDescent="0.35">
      <c r="A115" s="5">
        <v>40</v>
      </c>
      <c r="B115" s="8">
        <v>0.85</v>
      </c>
      <c r="E115">
        <f t="shared" si="2"/>
        <v>2.6080469196067684</v>
      </c>
      <c r="F115" s="9">
        <f t="shared" si="3"/>
        <v>-0.43118590185092137</v>
      </c>
    </row>
    <row r="116" spans="1:6" x14ac:dyDescent="0.35">
      <c r="A116" s="5">
        <v>20</v>
      </c>
      <c r="B116" s="8">
        <v>0.85</v>
      </c>
      <c r="E116">
        <f t="shared" si="2"/>
        <v>0.79163913901965799</v>
      </c>
      <c r="F116" s="9">
        <f t="shared" si="3"/>
        <v>-0.43118590185092137</v>
      </c>
    </row>
    <row r="117" spans="1:6" x14ac:dyDescent="0.35">
      <c r="A117" s="5">
        <v>5</v>
      </c>
      <c r="B117" s="8">
        <v>0.85</v>
      </c>
      <c r="E117">
        <f t="shared" si="2"/>
        <v>-0.5706666964206748</v>
      </c>
      <c r="F117" s="9">
        <f t="shared" si="3"/>
        <v>-0.43118590185092137</v>
      </c>
    </row>
    <row r="118" spans="1:6" x14ac:dyDescent="0.35">
      <c r="A118" s="5">
        <v>20</v>
      </c>
      <c r="B118" s="8">
        <v>0.85</v>
      </c>
      <c r="E118">
        <f t="shared" si="2"/>
        <v>0.79163913901965799</v>
      </c>
      <c r="F118" s="9">
        <f t="shared" si="3"/>
        <v>-0.43118590185092137</v>
      </c>
    </row>
    <row r="119" spans="1:6" x14ac:dyDescent="0.35">
      <c r="A119" s="5">
        <v>20</v>
      </c>
      <c r="B119" s="8">
        <v>0.85</v>
      </c>
      <c r="E119">
        <f t="shared" si="2"/>
        <v>0.79163913901965799</v>
      </c>
      <c r="F119" s="9">
        <f t="shared" si="3"/>
        <v>-0.43118590185092137</v>
      </c>
    </row>
    <row r="120" spans="1:6" x14ac:dyDescent="0.35">
      <c r="A120" s="5">
        <v>20</v>
      </c>
      <c r="B120" s="8">
        <v>0.85</v>
      </c>
      <c r="E120">
        <f t="shared" si="2"/>
        <v>0.79163913901965799</v>
      </c>
      <c r="F120" s="9">
        <f t="shared" si="3"/>
        <v>-0.43118590185092137</v>
      </c>
    </row>
    <row r="121" spans="1:6" x14ac:dyDescent="0.35">
      <c r="A121" s="5">
        <v>20</v>
      </c>
      <c r="B121" s="8">
        <v>0.85</v>
      </c>
      <c r="E121">
        <f t="shared" si="2"/>
        <v>0.79163913901965799</v>
      </c>
      <c r="F121" s="9">
        <f t="shared" si="3"/>
        <v>-0.43118590185092137</v>
      </c>
    </row>
    <row r="122" spans="1:6" x14ac:dyDescent="0.35">
      <c r="A122" s="5">
        <v>7</v>
      </c>
      <c r="B122" s="8">
        <v>0.85</v>
      </c>
      <c r="E122">
        <f t="shared" si="2"/>
        <v>-0.38902591836196376</v>
      </c>
      <c r="F122" s="9">
        <f t="shared" si="3"/>
        <v>-0.43118590185092137</v>
      </c>
    </row>
    <row r="123" spans="1:6" x14ac:dyDescent="0.35">
      <c r="A123" s="5">
        <v>3</v>
      </c>
      <c r="B123" s="8">
        <v>0.85</v>
      </c>
      <c r="E123">
        <f t="shared" si="2"/>
        <v>-0.75230747447938584</v>
      </c>
      <c r="F123" s="9">
        <f t="shared" si="3"/>
        <v>-0.43118590185092137</v>
      </c>
    </row>
    <row r="124" spans="1:6" x14ac:dyDescent="0.35">
      <c r="A124" s="5">
        <v>1</v>
      </c>
      <c r="B124" s="8">
        <v>1.63</v>
      </c>
      <c r="E124">
        <f t="shared" si="2"/>
        <v>-0.93394825253809688</v>
      </c>
      <c r="F124" s="9">
        <f t="shared" si="3"/>
        <v>1.9352005489719497</v>
      </c>
    </row>
    <row r="125" spans="1:6" x14ac:dyDescent="0.35">
      <c r="A125" s="5">
        <v>20</v>
      </c>
      <c r="B125" s="8">
        <v>0.85</v>
      </c>
      <c r="E125">
        <f t="shared" si="2"/>
        <v>0.79163913901965799</v>
      </c>
      <c r="F125" s="9">
        <f t="shared" si="3"/>
        <v>-0.43118590185092137</v>
      </c>
    </row>
    <row r="126" spans="1:6" x14ac:dyDescent="0.35">
      <c r="A126" s="5">
        <v>20</v>
      </c>
      <c r="B126" s="8">
        <v>0.85</v>
      </c>
      <c r="E126">
        <f t="shared" si="2"/>
        <v>0.79163913901965799</v>
      </c>
      <c r="F126" s="9">
        <f t="shared" si="3"/>
        <v>-0.43118590185092137</v>
      </c>
    </row>
    <row r="127" spans="1:6" x14ac:dyDescent="0.35">
      <c r="A127" s="5">
        <v>2</v>
      </c>
      <c r="B127" s="8">
        <v>0.85</v>
      </c>
      <c r="E127">
        <f t="shared" si="2"/>
        <v>-0.84312786350874136</v>
      </c>
      <c r="F127" s="9">
        <f t="shared" si="3"/>
        <v>-0.43118590185092137</v>
      </c>
    </row>
    <row r="128" spans="1:6" x14ac:dyDescent="0.35">
      <c r="A128" s="5">
        <v>20</v>
      </c>
      <c r="B128" s="8">
        <v>0.85</v>
      </c>
      <c r="E128">
        <f t="shared" si="2"/>
        <v>0.79163913901965799</v>
      </c>
      <c r="F128" s="9">
        <f t="shared" si="3"/>
        <v>-0.43118590185092137</v>
      </c>
    </row>
    <row r="133" spans="2:2" x14ac:dyDescent="0.35">
      <c r="B133"/>
    </row>
    <row r="134" spans="2:2" x14ac:dyDescent="0.35">
      <c r="B134"/>
    </row>
    <row r="135" spans="2:2" x14ac:dyDescent="0.35">
      <c r="B135"/>
    </row>
    <row r="136" spans="2:2" x14ac:dyDescent="0.35">
      <c r="B136"/>
    </row>
    <row r="137" spans="2:2" x14ac:dyDescent="0.35">
      <c r="B137"/>
    </row>
    <row r="138" spans="2:2" x14ac:dyDescent="0.35">
      <c r="B138"/>
    </row>
  </sheetData>
  <conditionalFormatting sqref="A1:A1048576">
    <cfRule type="colorScale" priority="4">
      <colorScale>
        <cfvo type="num" val="-28.5"/>
        <cfvo type="num" val="55.5"/>
        <color theme="8" tint="0.79998168889431442"/>
        <color theme="8" tint="-0.249977111117893"/>
      </colorScale>
    </cfRule>
  </conditionalFormatting>
  <conditionalFormatting sqref="A2:A128">
    <cfRule type="colorScale" priority="5">
      <colorScale>
        <cfvo type="min"/>
        <cfvo type="max"/>
        <color theme="8" tint="0.79998168889431442"/>
        <color theme="8" tint="-0.249977111117893"/>
      </colorScale>
    </cfRule>
    <cfRule type="colorScale" priority="6">
      <colorScale>
        <cfvo type="num" val="0"/>
        <cfvo type="num" val="100"/>
        <color theme="8" tint="0.79998168889431442"/>
        <color theme="8" tint="-0.249977111117893"/>
      </colorScale>
    </cfRule>
  </conditionalFormatting>
  <conditionalFormatting sqref="A3">
    <cfRule type="duplicateValues" dxfId="4" priority="3"/>
  </conditionalFormatting>
  <conditionalFormatting sqref="B1:B1048576">
    <cfRule type="colorScale" priority="1">
      <colorScale>
        <cfvo type="num" val="0.48"/>
        <cfvo type="num" val="1.57"/>
        <color theme="8" tint="0.79998168889431442"/>
        <color theme="8" tint="-0.249977111117893"/>
      </colorScale>
    </cfRule>
  </conditionalFormatting>
  <conditionalFormatting sqref="B139:B1048576 B1:B132">
    <cfRule type="colorScale" priority="2">
      <colorScale>
        <cfvo type="min"/>
        <cfvo type="max"/>
        <color theme="8" tint="0.79998168889431442"/>
        <color theme="8" tint="-0.249977111117893"/>
      </colorScale>
    </cfRule>
  </conditionalFormatting>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A4DB7-1B6D-4DA8-B0F4-A0F288E41F2E}">
  <dimension ref="A1:AA138"/>
  <sheetViews>
    <sheetView topLeftCell="K1" zoomScale="54" workbookViewId="0">
      <selection activeCell="U31" sqref="U31"/>
    </sheetView>
  </sheetViews>
  <sheetFormatPr defaultRowHeight="14.5" x14ac:dyDescent="0.35"/>
  <cols>
    <col min="1" max="1" width="13.54296875" style="5" bestFit="1" customWidth="1"/>
    <col min="2" max="2" width="14.08984375" style="5" customWidth="1"/>
    <col min="3" max="3" width="13.453125" style="5" customWidth="1"/>
    <col min="4" max="4" width="16.08984375" style="5" customWidth="1"/>
    <col min="5" max="5" width="22.453125" style="5" bestFit="1" customWidth="1"/>
    <col min="6" max="6" width="13.6328125" style="8" bestFit="1" customWidth="1"/>
    <col min="7" max="7" width="12.90625" style="5" customWidth="1"/>
    <col min="8" max="12" width="13.54296875" style="5" customWidth="1"/>
    <col min="13" max="15" width="12.08984375" customWidth="1"/>
    <col min="16" max="16" width="20.26953125" bestFit="1" customWidth="1"/>
    <col min="17" max="17" width="27.81640625" bestFit="1" customWidth="1"/>
    <col min="18" max="18" width="27.81640625" customWidth="1"/>
    <col min="19" max="19" width="12.08984375" customWidth="1"/>
    <col min="20" max="20" width="23.81640625" bestFit="1" customWidth="1"/>
    <col min="21" max="21" width="12.08984375" customWidth="1"/>
    <col min="22" max="22" width="12.26953125" bestFit="1" customWidth="1"/>
    <col min="23" max="23" width="30.08984375" customWidth="1"/>
    <col min="24" max="24" width="24.08984375" bestFit="1" customWidth="1"/>
    <col min="25" max="25" width="11.81640625" customWidth="1"/>
  </cols>
  <sheetData>
    <row r="1" spans="1:27" s="7" customFormat="1" x14ac:dyDescent="0.35">
      <c r="A1" s="7" t="s">
        <v>6</v>
      </c>
      <c r="B1" s="7" t="s">
        <v>0</v>
      </c>
      <c r="C1" s="7" t="s">
        <v>1</v>
      </c>
      <c r="D1" s="7" t="s">
        <v>2</v>
      </c>
      <c r="E1" s="7" t="s">
        <v>3</v>
      </c>
      <c r="F1" s="8" t="s">
        <v>4</v>
      </c>
      <c r="G1" s="7" t="s">
        <v>5</v>
      </c>
      <c r="H1" s="7" t="s">
        <v>48</v>
      </c>
      <c r="I1" s="7" t="s">
        <v>49</v>
      </c>
      <c r="J1" s="7" t="s">
        <v>50</v>
      </c>
      <c r="K1" s="7" t="s">
        <v>51</v>
      </c>
      <c r="L1" s="7" t="s">
        <v>52</v>
      </c>
      <c r="M1" s="7" t="s">
        <v>53</v>
      </c>
      <c r="N1" s="7" t="s">
        <v>93</v>
      </c>
      <c r="O1" s="7" t="s">
        <v>950</v>
      </c>
      <c r="P1" s="7" t="s">
        <v>1343</v>
      </c>
      <c r="Q1" s="7" t="s">
        <v>1344</v>
      </c>
      <c r="R1" s="7" t="s">
        <v>1345</v>
      </c>
      <c r="T1"/>
      <c r="U1"/>
    </row>
    <row r="2" spans="1:27" x14ac:dyDescent="0.35">
      <c r="A2" s="5" t="s">
        <v>7</v>
      </c>
      <c r="B2" s="5">
        <v>536370</v>
      </c>
      <c r="C2" s="5">
        <v>10002</v>
      </c>
      <c r="D2" s="5">
        <v>48</v>
      </c>
      <c r="E2" s="6">
        <v>40513.364583333336</v>
      </c>
      <c r="F2" s="8">
        <v>0.85</v>
      </c>
      <c r="G2" s="5">
        <v>12583</v>
      </c>
      <c r="H2" s="5">
        <f t="shared" ref="H2:H33" si="0">(D2-1)/(48-1)</f>
        <v>1</v>
      </c>
      <c r="I2" s="5">
        <f t="shared" ref="I2:I33" si="1">(D2-$X$21)/$X$44</f>
        <v>3.3346100318416125</v>
      </c>
      <c r="J2" s="5" t="str">
        <f t="shared" ref="J2:J33" si="2">IF(D2&gt;$X$6, "HIGH", "LOW")</f>
        <v>HIGH</v>
      </c>
      <c r="K2" s="8">
        <f t="shared" ref="K2:K33" si="3">(F2-0.75)/(1.66-0.75)</f>
        <v>0.10989010989010987</v>
      </c>
      <c r="L2" s="8">
        <f t="shared" ref="L2:L33" si="4">(F2-$X$22)/$X$45</f>
        <v>-0.43118590185092137</v>
      </c>
      <c r="M2" s="5" t="str">
        <f t="shared" ref="M2:M33" si="5">IF(F2&gt;$X$7, "HIGH", "LOW")</f>
        <v>LOW</v>
      </c>
      <c r="N2" s="5">
        <v>12</v>
      </c>
      <c r="O2" s="5">
        <v>4</v>
      </c>
      <c r="P2" s="5">
        <f t="shared" ref="P2:P33" si="6">AVERAGE(B2:O2)</f>
        <v>49961.435658131093</v>
      </c>
      <c r="Q2" s="5" cm="1">
        <f t="array" aca="1" ref="Q2" ca="1">INDEX($D$2:$D$129, RANDBETWEEN(1,128))</f>
        <v>10</v>
      </c>
      <c r="R2" s="5" cm="1">
        <f t="array" aca="1" ref="R2" ca="1">INDEX($F$2:$F$129, RANDBETWEEN(1,129))</f>
        <v>0.85</v>
      </c>
      <c r="S2" s="5"/>
    </row>
    <row r="3" spans="1:27" x14ac:dyDescent="0.35">
      <c r="A3" s="5" t="s">
        <v>8</v>
      </c>
      <c r="B3" s="5">
        <v>536382</v>
      </c>
      <c r="C3" s="5">
        <v>10002</v>
      </c>
      <c r="D3" s="5">
        <v>12</v>
      </c>
      <c r="E3" s="6">
        <v>40513.40625</v>
      </c>
      <c r="F3" s="8">
        <v>0.85</v>
      </c>
      <c r="G3" s="5">
        <v>16098</v>
      </c>
      <c r="H3" s="5">
        <f t="shared" si="0"/>
        <v>0.23404255319148937</v>
      </c>
      <c r="I3" s="5">
        <f t="shared" si="1"/>
        <v>6.5076026784813848E-2</v>
      </c>
      <c r="J3" s="5" t="str">
        <f t="shared" si="2"/>
        <v>HIGH</v>
      </c>
      <c r="K3" s="8">
        <f t="shared" si="3"/>
        <v>0.10989010989010987</v>
      </c>
      <c r="L3" s="8">
        <f t="shared" si="4"/>
        <v>-0.43118590185092137</v>
      </c>
      <c r="M3" s="5" t="str">
        <f t="shared" si="5"/>
        <v>LOW</v>
      </c>
      <c r="N3" s="5">
        <v>4</v>
      </c>
      <c r="O3" s="5">
        <v>1</v>
      </c>
      <c r="P3" s="5">
        <f t="shared" si="6"/>
        <v>50251.102839399005</v>
      </c>
      <c r="Q3" s="5" cm="1">
        <f t="array" aca="1" ref="Q3" ca="1">INDEX($D$2:$D$129, RANDBETWEEN(1,128))</f>
        <v>15</v>
      </c>
      <c r="R3" s="5" cm="1">
        <f t="array" aca="1" ref="R3" ca="1">INDEX($F$2:$F$129, RANDBETWEEN(1,129))</f>
        <v>0.85</v>
      </c>
      <c r="S3" s="5"/>
      <c r="T3" s="5"/>
      <c r="U3" s="5"/>
    </row>
    <row r="4" spans="1:27" x14ac:dyDescent="0.35">
      <c r="A4" s="5" t="s">
        <v>8</v>
      </c>
      <c r="B4" s="5">
        <v>536446</v>
      </c>
      <c r="C4" s="5">
        <v>10133</v>
      </c>
      <c r="D4" s="5">
        <v>5</v>
      </c>
      <c r="E4" s="6">
        <v>40513.510416666664</v>
      </c>
      <c r="F4" s="8">
        <v>0.85</v>
      </c>
      <c r="G4" s="5">
        <v>15983</v>
      </c>
      <c r="H4" s="5">
        <f t="shared" si="0"/>
        <v>8.5106382978723402E-2</v>
      </c>
      <c r="I4" s="5">
        <f t="shared" si="1"/>
        <v>-0.5706666964206748</v>
      </c>
      <c r="J4" s="5" t="str">
        <f t="shared" si="2"/>
        <v>LOW</v>
      </c>
      <c r="K4" s="8">
        <f t="shared" si="3"/>
        <v>0.10989010989010987</v>
      </c>
      <c r="L4" s="8">
        <f t="shared" si="4"/>
        <v>-0.43118590185092137</v>
      </c>
      <c r="M4" s="5" t="str">
        <f t="shared" si="5"/>
        <v>LOW</v>
      </c>
      <c r="N4" s="5" cm="1">
        <f t="array" aca="1" ref="N4" ca="1">INDEX($N$2:$N$15,RANDBETWEEN(1, ROWS($N$2:$N$15)))</f>
        <v>2</v>
      </c>
      <c r="O4" s="5" cm="1">
        <f t="array" aca="1" ref="O4" ca="1">INDEX($O$2:$O$15,RANDBETWEEN(1, ROWS($O$2:$O$15)))</f>
        <v>5</v>
      </c>
      <c r="P4" s="5">
        <f t="shared" ca="1" si="6"/>
        <v>50257.296130046765</v>
      </c>
      <c r="Q4" s="5" cm="1">
        <f t="array" aca="1" ref="Q4" ca="1">INDEX($D$2:$D$129, RANDBETWEEN(1,128))</f>
        <v>12</v>
      </c>
      <c r="R4" s="5" cm="1">
        <f t="array" aca="1" ref="R4" ca="1">INDEX($F$2:$F$129, RANDBETWEEN(1,129))</f>
        <v>0.83</v>
      </c>
      <c r="S4" s="5"/>
      <c r="T4" s="5"/>
      <c r="U4" s="5"/>
      <c r="W4" s="7"/>
    </row>
    <row r="5" spans="1:27" x14ac:dyDescent="0.35">
      <c r="A5" s="5" t="s">
        <v>8</v>
      </c>
      <c r="B5" s="5">
        <v>536756</v>
      </c>
      <c r="C5" s="5">
        <v>10002</v>
      </c>
      <c r="D5" s="5">
        <v>1</v>
      </c>
      <c r="E5" s="6">
        <v>40514.599305555559</v>
      </c>
      <c r="F5" s="8">
        <v>0.85</v>
      </c>
      <c r="G5" s="5" t="s">
        <v>1331</v>
      </c>
      <c r="H5" s="5">
        <f t="shared" si="0"/>
        <v>0</v>
      </c>
      <c r="I5" s="5">
        <f t="shared" si="1"/>
        <v>-0.93394825253809688</v>
      </c>
      <c r="J5" s="5" t="str">
        <f t="shared" si="2"/>
        <v>LOW</v>
      </c>
      <c r="K5" s="8">
        <f t="shared" si="3"/>
        <v>0.10989010989010987</v>
      </c>
      <c r="L5" s="8">
        <f t="shared" si="4"/>
        <v>-0.43118590185092137</v>
      </c>
      <c r="M5" s="5" t="str">
        <f t="shared" si="5"/>
        <v>LOW</v>
      </c>
      <c r="N5" s="5">
        <v>9</v>
      </c>
      <c r="O5" s="5">
        <v>5</v>
      </c>
      <c r="P5" s="5">
        <f t="shared" si="6"/>
        <v>53389.744914682815</v>
      </c>
      <c r="Q5" s="5" cm="1">
        <f t="array" aca="1" ref="Q5" ca="1">INDEX($D$2:$D$129, RANDBETWEEN(1,128))</f>
        <v>12</v>
      </c>
      <c r="R5" s="5" cm="1">
        <f t="array" aca="1" ref="R5" ca="1">INDEX($F$2:$F$129, RANDBETWEEN(1,129))</f>
        <v>0.81</v>
      </c>
      <c r="S5" s="5"/>
      <c r="T5" s="5"/>
      <c r="U5" s="5"/>
      <c r="V5" s="7"/>
      <c r="X5" s="7"/>
      <c r="Y5" s="7"/>
      <c r="Z5" s="7"/>
      <c r="AA5" s="7"/>
    </row>
    <row r="6" spans="1:27" x14ac:dyDescent="0.35">
      <c r="A6" s="5" t="s">
        <v>8</v>
      </c>
      <c r="B6" s="5">
        <v>536863</v>
      </c>
      <c r="C6" s="5">
        <v>10002</v>
      </c>
      <c r="D6" s="5">
        <v>1</v>
      </c>
      <c r="E6" s="6">
        <v>40515.47152777778</v>
      </c>
      <c r="F6" s="8">
        <v>0.85</v>
      </c>
      <c r="G6" s="5">
        <v>17967</v>
      </c>
      <c r="H6" s="5">
        <f t="shared" si="0"/>
        <v>0</v>
      </c>
      <c r="I6" s="5">
        <f t="shared" si="1"/>
        <v>-0.93394825253809688</v>
      </c>
      <c r="J6" s="5" t="str">
        <f t="shared" si="2"/>
        <v>LOW</v>
      </c>
      <c r="K6" s="8">
        <f t="shared" si="3"/>
        <v>0.10989010989010987</v>
      </c>
      <c r="L6" s="8">
        <f t="shared" si="4"/>
        <v>-0.43118590185092137</v>
      </c>
      <c r="M6" s="5" t="str">
        <f t="shared" si="5"/>
        <v>LOW</v>
      </c>
      <c r="N6" s="5">
        <v>9</v>
      </c>
      <c r="O6" s="5">
        <v>1</v>
      </c>
      <c r="P6" s="5">
        <f t="shared" si="6"/>
        <v>50446.505523644424</v>
      </c>
      <c r="Q6" s="5" cm="1">
        <f t="array" aca="1" ref="Q6" ca="1">INDEX($D$2:$D$129, RANDBETWEEN(1,128))</f>
        <v>1</v>
      </c>
      <c r="R6" s="5" cm="1">
        <f t="array" aca="1" ref="R6" ca="1">INDEX($F$2:$F$129, RANDBETWEEN(1,129))</f>
        <v>0.85</v>
      </c>
      <c r="S6" s="5"/>
      <c r="T6" s="5"/>
      <c r="U6" s="5"/>
      <c r="W6" s="20" t="s">
        <v>26</v>
      </c>
      <c r="X6" s="20">
        <f>AVERAGE(D:D)</f>
        <v>11.283464566929133</v>
      </c>
    </row>
    <row r="7" spans="1:27" x14ac:dyDescent="0.35">
      <c r="A7" s="5" t="s">
        <v>8</v>
      </c>
      <c r="B7" s="5">
        <v>536865</v>
      </c>
      <c r="C7" s="5">
        <v>10002</v>
      </c>
      <c r="D7" s="11">
        <v>11</v>
      </c>
      <c r="E7" s="6">
        <v>40515.477777777778</v>
      </c>
      <c r="F7" s="8">
        <v>1.66</v>
      </c>
      <c r="G7" s="5" t="s">
        <v>1331</v>
      </c>
      <c r="H7" s="5">
        <f t="shared" si="0"/>
        <v>0.21276595744680851</v>
      </c>
      <c r="I7" s="5">
        <f t="shared" si="1"/>
        <v>-2.5744362244541675E-2</v>
      </c>
      <c r="J7" s="5" t="str">
        <f t="shared" si="2"/>
        <v>LOW</v>
      </c>
      <c r="K7" s="8">
        <f t="shared" si="3"/>
        <v>1</v>
      </c>
      <c r="L7" s="8">
        <f t="shared" si="4"/>
        <v>2.0262154124651373</v>
      </c>
      <c r="M7" s="5" t="str">
        <f t="shared" si="5"/>
        <v>HIGH</v>
      </c>
      <c r="N7" s="5">
        <v>11</v>
      </c>
      <c r="O7" s="5">
        <v>4</v>
      </c>
      <c r="P7" s="5">
        <f t="shared" si="6"/>
        <v>53401.213728616858</v>
      </c>
      <c r="Q7" s="5" cm="1">
        <f t="array" aca="1" ref="Q7" ca="1">INDEX($D$2:$D$129, RANDBETWEEN(1,128))</f>
        <v>20</v>
      </c>
      <c r="R7" s="5" cm="1">
        <f t="array" aca="1" ref="R7" ca="1">INDEX($F$2:$F$129, RANDBETWEEN(1,129))</f>
        <v>0.81</v>
      </c>
      <c r="S7" s="5"/>
      <c r="T7" s="5"/>
      <c r="U7" s="5"/>
      <c r="W7" s="20" t="s">
        <v>27</v>
      </c>
      <c r="X7" s="21">
        <f>AVERAGE(F:F)</f>
        <v>0.99212598425196663</v>
      </c>
    </row>
    <row r="8" spans="1:27" x14ac:dyDescent="0.35">
      <c r="A8" s="5" t="s">
        <v>8</v>
      </c>
      <c r="B8" s="5">
        <v>536876</v>
      </c>
      <c r="C8" s="5">
        <v>10002</v>
      </c>
      <c r="D8" s="5">
        <v>2</v>
      </c>
      <c r="E8" s="6">
        <v>40515.48333333333</v>
      </c>
      <c r="F8" s="8">
        <v>1.66</v>
      </c>
      <c r="G8" s="5" t="s">
        <v>1331</v>
      </c>
      <c r="H8" s="5">
        <f t="shared" si="0"/>
        <v>2.1276595744680851E-2</v>
      </c>
      <c r="I8" s="5">
        <f t="shared" si="1"/>
        <v>-0.84312786350874136</v>
      </c>
      <c r="J8" s="5" t="str">
        <f t="shared" si="2"/>
        <v>LOW</v>
      </c>
      <c r="K8" s="8">
        <f t="shared" si="3"/>
        <v>1</v>
      </c>
      <c r="L8" s="8">
        <f t="shared" si="4"/>
        <v>2.0262154124651373</v>
      </c>
      <c r="M8" s="5" t="str">
        <f t="shared" si="5"/>
        <v>HIGH</v>
      </c>
      <c r="N8" s="5">
        <v>8</v>
      </c>
      <c r="O8" s="5">
        <v>3</v>
      </c>
      <c r="P8" s="5">
        <f t="shared" si="6"/>
        <v>53400.940699770726</v>
      </c>
      <c r="Q8" s="5" cm="1">
        <f t="array" aca="1" ref="Q8" ca="1">INDEX($D$2:$D$129, RANDBETWEEN(1,128))</f>
        <v>12</v>
      </c>
      <c r="R8" s="5" cm="1">
        <f t="array" aca="1" ref="R8" ca="1">INDEX($F$2:$F$129, RANDBETWEEN(1,129))</f>
        <v>0.85</v>
      </c>
      <c r="S8" s="5"/>
      <c r="T8" s="5"/>
      <c r="U8" s="5"/>
      <c r="W8" s="20"/>
      <c r="X8" s="20"/>
    </row>
    <row r="9" spans="1:27" x14ac:dyDescent="0.35">
      <c r="A9" s="5" t="s">
        <v>8</v>
      </c>
      <c r="B9" s="5">
        <v>536876</v>
      </c>
      <c r="C9" s="5">
        <v>10133</v>
      </c>
      <c r="D9" s="5">
        <v>1</v>
      </c>
      <c r="E9" s="6">
        <v>40515.48333333333</v>
      </c>
      <c r="F9" s="8">
        <v>1.66</v>
      </c>
      <c r="G9" s="5" t="s">
        <v>1331</v>
      </c>
      <c r="H9" s="5">
        <f t="shared" si="0"/>
        <v>0</v>
      </c>
      <c r="I9" s="5">
        <f t="shared" si="1"/>
        <v>-0.93394825253809688</v>
      </c>
      <c r="J9" s="5" t="str">
        <f t="shared" si="2"/>
        <v>LOW</v>
      </c>
      <c r="K9" s="8">
        <f t="shared" si="3"/>
        <v>1</v>
      </c>
      <c r="L9" s="8">
        <f t="shared" si="4"/>
        <v>2.0262154124651373</v>
      </c>
      <c r="M9" s="5" t="str">
        <f t="shared" si="5"/>
        <v>HIGH</v>
      </c>
      <c r="N9" s="5" cm="1">
        <f t="array" aca="1" ref="N9" ca="1">INDEX($N$2:$N$15,RANDBETWEEN(1, ROWS($N$2:$N$15)))</f>
        <v>12</v>
      </c>
      <c r="O9" s="5" cm="1">
        <f t="array" aca="1" ref="O9" ca="1">INDEX($O$2:$O$15,RANDBETWEEN(1, ROWS($O$2:$O$15)))</f>
        <v>4</v>
      </c>
      <c r="P9" s="5">
        <f t="shared" ca="1" si="6"/>
        <v>53413.203236408466</v>
      </c>
      <c r="Q9" s="5" cm="1">
        <f t="array" aca="1" ref="Q9" ca="1">INDEX($D$2:$D$129, RANDBETWEEN(1,128))</f>
        <v>1</v>
      </c>
      <c r="R9" s="5" cm="1">
        <f t="array" aca="1" ref="R9" ca="1">INDEX($F$2:$F$129, RANDBETWEEN(1,129))</f>
        <v>0.85</v>
      </c>
      <c r="S9" s="5"/>
      <c r="T9" s="5"/>
      <c r="U9" s="5"/>
      <c r="W9" s="20"/>
      <c r="X9" s="20"/>
    </row>
    <row r="10" spans="1:27" x14ac:dyDescent="0.35">
      <c r="A10" s="5" t="s">
        <v>8</v>
      </c>
      <c r="B10" s="5">
        <v>537225</v>
      </c>
      <c r="C10" s="5">
        <v>10133</v>
      </c>
      <c r="D10" s="5">
        <v>10</v>
      </c>
      <c r="E10" s="10">
        <v>40517</v>
      </c>
      <c r="F10" s="8">
        <v>0.85</v>
      </c>
      <c r="G10" s="5">
        <v>12748</v>
      </c>
      <c r="H10" s="5">
        <f t="shared" si="0"/>
        <v>0.19148936170212766</v>
      </c>
      <c r="I10" s="5">
        <f t="shared" si="1"/>
        <v>-0.11656475127389719</v>
      </c>
      <c r="J10" s="5" t="str">
        <f t="shared" si="2"/>
        <v>LOW</v>
      </c>
      <c r="K10" s="8">
        <f t="shared" si="3"/>
        <v>0.10989010989010987</v>
      </c>
      <c r="L10" s="8">
        <f t="shared" si="4"/>
        <v>-0.43118590185092137</v>
      </c>
      <c r="M10" s="5" t="str">
        <f t="shared" si="5"/>
        <v>LOW</v>
      </c>
      <c r="N10" s="5" cm="1">
        <f t="array" aca="1" ref="N10" ca="1">INDEX($N$2:$N$15,RANDBETWEEN(1, ROWS($N$2:$N$15)))</f>
        <v>9</v>
      </c>
      <c r="O10" s="5" cm="1">
        <f t="array" aca="1" ref="O10" ca="1">INDEX($O$2:$O$15,RANDBETWEEN(1, ROWS($O$2:$O$15)))</f>
        <v>3</v>
      </c>
      <c r="P10" s="5">
        <f t="shared" ca="1" si="6"/>
        <v>50053.800302401534</v>
      </c>
      <c r="Q10" s="5" cm="1">
        <f t="array" aca="1" ref="Q10" ca="1">INDEX($D$2:$D$129, RANDBETWEEN(1,128))</f>
        <v>48</v>
      </c>
      <c r="R10" s="5" cm="1">
        <f t="array" aca="1" ref="R10" ca="1">INDEX($F$2:$F$129, RANDBETWEEN(1,129))</f>
        <v>0.83</v>
      </c>
      <c r="S10" s="5"/>
      <c r="T10" s="5"/>
      <c r="U10" s="5"/>
      <c r="W10" s="20" t="s">
        <v>28</v>
      </c>
      <c r="X10" s="20">
        <f>MAX(D:D)</f>
        <v>48</v>
      </c>
    </row>
    <row r="11" spans="1:27" x14ac:dyDescent="0.35">
      <c r="A11" s="5" t="s">
        <v>8</v>
      </c>
      <c r="B11" s="5">
        <v>537047</v>
      </c>
      <c r="C11" s="5">
        <v>10002</v>
      </c>
      <c r="D11" s="5">
        <v>1</v>
      </c>
      <c r="E11" s="6">
        <v>40517.459722222222</v>
      </c>
      <c r="F11" s="8">
        <v>0.85</v>
      </c>
      <c r="G11" s="5">
        <v>13069</v>
      </c>
      <c r="H11" s="5">
        <f t="shared" si="0"/>
        <v>0</v>
      </c>
      <c r="I11" s="5">
        <f t="shared" si="1"/>
        <v>-0.93394825253809688</v>
      </c>
      <c r="J11" s="5" t="str">
        <f t="shared" si="2"/>
        <v>LOW</v>
      </c>
      <c r="K11" s="8">
        <f t="shared" si="3"/>
        <v>0.10989010989010987</v>
      </c>
      <c r="L11" s="8">
        <f t="shared" si="4"/>
        <v>-0.43118590185092137</v>
      </c>
      <c r="M11" s="5" t="str">
        <f t="shared" si="5"/>
        <v>LOW</v>
      </c>
      <c r="N11" s="5">
        <v>4</v>
      </c>
      <c r="O11" s="5">
        <v>5</v>
      </c>
      <c r="P11" s="5">
        <f t="shared" si="6"/>
        <v>50053.754539848131</v>
      </c>
      <c r="Q11" s="5" cm="1">
        <f t="array" aca="1" ref="Q11" ca="1">INDEX($D$2:$D$129, RANDBETWEEN(1,128))</f>
        <v>4</v>
      </c>
      <c r="R11" s="5" cm="1">
        <f t="array" aca="1" ref="R11" ca="1">INDEX($F$2:$F$129, RANDBETWEEN(1,129))</f>
        <v>0.85</v>
      </c>
      <c r="S11" s="5"/>
      <c r="T11" s="5"/>
      <c r="U11" s="5"/>
      <c r="W11" s="20" t="s">
        <v>29</v>
      </c>
      <c r="X11" s="20">
        <f>MIN(D:D)</f>
        <v>1</v>
      </c>
    </row>
    <row r="12" spans="1:27" x14ac:dyDescent="0.35">
      <c r="A12" s="5" t="s">
        <v>8</v>
      </c>
      <c r="B12" s="5">
        <v>537126</v>
      </c>
      <c r="C12" s="5">
        <v>10133</v>
      </c>
      <c r="D12" s="5">
        <v>1</v>
      </c>
      <c r="E12" s="6">
        <v>40517.509027777778</v>
      </c>
      <c r="F12" s="8">
        <v>0.85</v>
      </c>
      <c r="G12" s="5">
        <v>18118</v>
      </c>
      <c r="H12" s="5">
        <f t="shared" si="0"/>
        <v>0</v>
      </c>
      <c r="I12" s="5">
        <f t="shared" si="1"/>
        <v>-0.93394825253809688</v>
      </c>
      <c r="J12" s="5" t="str">
        <f t="shared" si="2"/>
        <v>LOW</v>
      </c>
      <c r="K12" s="8">
        <f t="shared" si="3"/>
        <v>0.10989010989010987</v>
      </c>
      <c r="L12" s="8">
        <f t="shared" si="4"/>
        <v>-0.43118590185092137</v>
      </c>
      <c r="M12" s="5" t="str">
        <f t="shared" si="5"/>
        <v>LOW</v>
      </c>
      <c r="N12" s="5" cm="1">
        <f t="array" aca="1" ref="N12" ca="1">INDEX($N$2:$N$15,RANDBETWEEN(1, ROWS($N$2:$N$15)))</f>
        <v>8</v>
      </c>
      <c r="O12" s="5" cm="1">
        <f t="array" aca="1" ref="O12" ca="1">INDEX($O$2:$O$15,RANDBETWEEN(1, ROWS($O$2:$O$15)))</f>
        <v>5</v>
      </c>
      <c r="P12" s="5">
        <f t="shared" ca="1" si="6"/>
        <v>50492.34198197777</v>
      </c>
      <c r="Q12" s="5" cm="1">
        <f t="array" aca="1" ref="Q12" ca="1">INDEX($D$2:$D$129, RANDBETWEEN(1,128))</f>
        <v>15</v>
      </c>
      <c r="R12" s="5" cm="1">
        <f t="array" aca="1" ref="R12" ca="1">INDEX($F$2:$F$129, RANDBETWEEN(1,129))</f>
        <v>0.81</v>
      </c>
      <c r="S12" s="5"/>
      <c r="T12" s="5"/>
      <c r="U12" s="5"/>
      <c r="W12" s="20"/>
      <c r="X12" s="20"/>
    </row>
    <row r="13" spans="1:27" x14ac:dyDescent="0.35">
      <c r="A13" s="5" t="s">
        <v>8</v>
      </c>
      <c r="B13" s="5">
        <v>537155</v>
      </c>
      <c r="C13" s="5">
        <v>10133</v>
      </c>
      <c r="D13" s="5">
        <v>3</v>
      </c>
      <c r="E13" s="6">
        <v>40517.545138888891</v>
      </c>
      <c r="F13" s="8">
        <v>0.85</v>
      </c>
      <c r="G13" s="5">
        <v>12748</v>
      </c>
      <c r="H13" s="5">
        <f t="shared" si="0"/>
        <v>4.2553191489361701E-2</v>
      </c>
      <c r="I13" s="5">
        <f t="shared" si="1"/>
        <v>-0.75230747447938584</v>
      </c>
      <c r="J13" s="5" t="str">
        <f t="shared" si="2"/>
        <v>LOW</v>
      </c>
      <c r="K13" s="8">
        <f t="shared" si="3"/>
        <v>0.10989010989010987</v>
      </c>
      <c r="L13" s="8">
        <f t="shared" si="4"/>
        <v>-0.43118590185092137</v>
      </c>
      <c r="M13" s="5" t="str">
        <f t="shared" si="5"/>
        <v>LOW</v>
      </c>
      <c r="N13" s="5" cm="1">
        <f t="array" aca="1" ref="N13" ca="1">INDEX($N$2:$N$15,RANDBETWEEN(1, ROWS($N$2:$N$15)))</f>
        <v>2</v>
      </c>
      <c r="O13" s="5" cm="1">
        <f t="array" aca="1" ref="O13" ca="1">INDEX($O$2:$O$15,RANDBETWEEN(1, ROWS($O$2:$O$15)))</f>
        <v>7</v>
      </c>
      <c r="P13" s="5">
        <f t="shared" ca="1" si="6"/>
        <v>50047.113674067827</v>
      </c>
      <c r="Q13" s="5" cm="1">
        <f t="array" aca="1" ref="Q13" ca="1">INDEX($D$2:$D$129, RANDBETWEEN(1,128))</f>
        <v>12</v>
      </c>
      <c r="R13" s="5" cm="1">
        <f t="array" aca="1" ref="R13" ca="1">INDEX($F$2:$F$129, RANDBETWEEN(1,129))</f>
        <v>0.85</v>
      </c>
      <c r="S13" s="5"/>
      <c r="T13" s="5"/>
      <c r="U13" s="5"/>
      <c r="W13" s="20" t="s">
        <v>30</v>
      </c>
      <c r="X13" s="20">
        <f>_xlfn.STDEV.S(D:D)</f>
        <v>11.010743410015277</v>
      </c>
    </row>
    <row r="14" spans="1:27" x14ac:dyDescent="0.35">
      <c r="A14" s="5" t="s">
        <v>8</v>
      </c>
      <c r="B14" s="5">
        <v>537227</v>
      </c>
      <c r="C14" s="5">
        <v>10002</v>
      </c>
      <c r="D14" s="5">
        <v>24</v>
      </c>
      <c r="E14" s="6">
        <v>40518.362500000003</v>
      </c>
      <c r="F14" s="8">
        <v>0.85</v>
      </c>
      <c r="G14" s="5">
        <v>17677</v>
      </c>
      <c r="H14" s="5">
        <f t="shared" si="0"/>
        <v>0.48936170212765956</v>
      </c>
      <c r="I14" s="5">
        <f t="shared" si="1"/>
        <v>1.1549206951370801</v>
      </c>
      <c r="J14" s="5" t="str">
        <f t="shared" si="2"/>
        <v>HIGH</v>
      </c>
      <c r="K14" s="8">
        <f t="shared" si="3"/>
        <v>0.10989010989010987</v>
      </c>
      <c r="L14" s="8">
        <f t="shared" si="4"/>
        <v>-0.43118590185092137</v>
      </c>
      <c r="M14" s="5" t="str">
        <f t="shared" si="5"/>
        <v>LOW</v>
      </c>
      <c r="N14" s="5">
        <v>2</v>
      </c>
      <c r="O14" s="5">
        <v>5</v>
      </c>
      <c r="P14" s="5">
        <f t="shared" si="6"/>
        <v>50454.794623883769</v>
      </c>
      <c r="Q14" s="5" cm="1">
        <f t="array" aca="1" ref="Q14" ca="1">INDEX($D$2:$D$129, RANDBETWEEN(1,128))</f>
        <v>5</v>
      </c>
      <c r="R14" s="5" cm="1">
        <f t="array" aca="1" ref="R14" ca="1">INDEX($F$2:$F$129, RANDBETWEEN(1,129))</f>
        <v>0.83</v>
      </c>
      <c r="S14" s="5"/>
      <c r="T14" s="5"/>
      <c r="U14" s="5"/>
      <c r="W14" s="20" t="s">
        <v>31</v>
      </c>
      <c r="X14" s="20">
        <f>_xlfn.STDEV.S(F:F)</f>
        <v>0.32961649173099689</v>
      </c>
    </row>
    <row r="15" spans="1:27" x14ac:dyDescent="0.35">
      <c r="A15" s="5" t="s">
        <v>8</v>
      </c>
      <c r="B15" s="5">
        <v>537240</v>
      </c>
      <c r="C15" s="5">
        <v>10002</v>
      </c>
      <c r="D15" s="5">
        <v>1</v>
      </c>
      <c r="E15" s="6">
        <v>40518.422222222223</v>
      </c>
      <c r="F15" s="8">
        <v>1.66</v>
      </c>
      <c r="G15" s="5" t="s">
        <v>1331</v>
      </c>
      <c r="H15" s="5">
        <f t="shared" si="0"/>
        <v>0</v>
      </c>
      <c r="I15" s="5">
        <f t="shared" si="1"/>
        <v>-0.93394825253809688</v>
      </c>
      <c r="J15" s="5" t="str">
        <f t="shared" si="2"/>
        <v>LOW</v>
      </c>
      <c r="K15" s="8">
        <f t="shared" si="3"/>
        <v>1</v>
      </c>
      <c r="L15" s="8">
        <f t="shared" si="4"/>
        <v>2.0262154124651373</v>
      </c>
      <c r="M15" s="5" t="str">
        <f t="shared" si="5"/>
        <v>HIGH</v>
      </c>
      <c r="N15" s="5">
        <v>12</v>
      </c>
      <c r="O15" s="5">
        <v>7</v>
      </c>
      <c r="P15" s="5">
        <f t="shared" si="6"/>
        <v>53434.924953580186</v>
      </c>
      <c r="Q15" s="5" cm="1">
        <f t="array" aca="1" ref="Q15" ca="1">INDEX($D$2:$D$129, RANDBETWEEN(1,128))</f>
        <v>12</v>
      </c>
      <c r="R15" s="5" cm="1">
        <f t="array" aca="1" ref="R15" ca="1">INDEX($F$2:$F$129, RANDBETWEEN(1,129))</f>
        <v>0.85</v>
      </c>
      <c r="S15" s="5"/>
      <c r="T15" s="5"/>
      <c r="U15" s="5"/>
    </row>
    <row r="16" spans="1:27" x14ac:dyDescent="0.35">
      <c r="A16" s="5" t="s">
        <v>8</v>
      </c>
      <c r="B16" s="5">
        <v>537374</v>
      </c>
      <c r="C16" s="5">
        <v>10133</v>
      </c>
      <c r="D16" s="5">
        <v>2</v>
      </c>
      <c r="E16" s="6">
        <v>40518.538194444445</v>
      </c>
      <c r="F16" s="8">
        <v>0.85</v>
      </c>
      <c r="G16" s="5">
        <v>17259</v>
      </c>
      <c r="H16" s="5">
        <f t="shared" si="0"/>
        <v>2.1276595744680851E-2</v>
      </c>
      <c r="I16" s="5">
        <f t="shared" si="1"/>
        <v>-0.84312786350874136</v>
      </c>
      <c r="J16" s="5" t="str">
        <f t="shared" si="2"/>
        <v>LOW</v>
      </c>
      <c r="K16" s="8">
        <f t="shared" si="3"/>
        <v>0.10989010989010987</v>
      </c>
      <c r="L16" s="8">
        <f t="shared" si="4"/>
        <v>-0.43118590185092137</v>
      </c>
      <c r="M16" s="5" t="str">
        <f t="shared" si="5"/>
        <v>LOW</v>
      </c>
      <c r="N16" s="5" cm="1">
        <f t="array" aca="1" ref="N16" ca="1">INDEX($N$2:$N$15,RANDBETWEEN(1, ROWS($N$2:$N$15)))</f>
        <v>4</v>
      </c>
      <c r="O16" s="5" cm="1">
        <f t="array" aca="1" ref="O16" ca="1">INDEX($O$2:$O$15,RANDBETWEEN(1, ROWS($O$2:$O$15)))</f>
        <v>1</v>
      </c>
      <c r="P16" s="5">
        <f t="shared" ca="1" si="6"/>
        <v>50440.937087282065</v>
      </c>
      <c r="Q16" s="5" cm="1">
        <f t="array" aca="1" ref="Q16" ca="1">INDEX($D$2:$D$129, RANDBETWEEN(1,128))</f>
        <v>7</v>
      </c>
      <c r="R16" s="5" cm="1">
        <f t="array" aca="1" ref="R16" ca="1">INDEX($F$2:$F$129, RANDBETWEEN(1,129))</f>
        <v>0.75</v>
      </c>
      <c r="S16" s="5"/>
      <c r="T16" s="5"/>
      <c r="U16" s="5"/>
    </row>
    <row r="17" spans="1:24" x14ac:dyDescent="0.35">
      <c r="A17" s="5" t="s">
        <v>8</v>
      </c>
      <c r="B17" s="5">
        <v>537638</v>
      </c>
      <c r="C17" s="5">
        <v>10002</v>
      </c>
      <c r="D17" s="5">
        <v>5</v>
      </c>
      <c r="E17" s="6">
        <v>40519.644444444442</v>
      </c>
      <c r="F17" s="8">
        <v>1.66</v>
      </c>
      <c r="G17" s="5" t="s">
        <v>1331</v>
      </c>
      <c r="H17" s="5">
        <f t="shared" si="0"/>
        <v>8.5106382978723402E-2</v>
      </c>
      <c r="I17" s="5">
        <f t="shared" si="1"/>
        <v>-0.5706666964206748</v>
      </c>
      <c r="J17" s="5" t="str">
        <f t="shared" si="2"/>
        <v>LOW</v>
      </c>
      <c r="K17" s="8">
        <f t="shared" si="3"/>
        <v>1</v>
      </c>
      <c r="L17" s="8">
        <f t="shared" si="4"/>
        <v>2.0262154124651373</v>
      </c>
      <c r="M17" s="5" t="str">
        <f t="shared" si="5"/>
        <v>HIGH</v>
      </c>
      <c r="N17" s="5">
        <v>3</v>
      </c>
      <c r="O17" s="5">
        <v>5</v>
      </c>
      <c r="P17" s="5">
        <f t="shared" si="6"/>
        <v>53470.622281776676</v>
      </c>
      <c r="Q17" s="5" cm="1">
        <f t="array" aca="1" ref="Q17" ca="1">INDEX($D$2:$D$129, RANDBETWEEN(1,128))</f>
        <v>2</v>
      </c>
      <c r="R17" s="5" cm="1">
        <f t="array" aca="1" ref="R17" ca="1">INDEX($F$2:$F$129, RANDBETWEEN(1,129))</f>
        <v>0.81</v>
      </c>
      <c r="S17" s="5"/>
      <c r="T17" s="5"/>
      <c r="U17" s="5"/>
    </row>
    <row r="18" spans="1:24" x14ac:dyDescent="0.35">
      <c r="A18" s="5" t="s">
        <v>8</v>
      </c>
      <c r="B18" s="5">
        <v>538064</v>
      </c>
      <c r="C18" s="5">
        <v>10133</v>
      </c>
      <c r="D18" s="5">
        <v>2</v>
      </c>
      <c r="E18" s="6">
        <v>40521.574305555558</v>
      </c>
      <c r="F18" s="8">
        <v>0.85</v>
      </c>
      <c r="G18" s="5">
        <v>15271</v>
      </c>
      <c r="H18" s="5">
        <f t="shared" si="0"/>
        <v>2.1276595744680851E-2</v>
      </c>
      <c r="I18" s="5">
        <f t="shared" si="1"/>
        <v>-0.84312786350874136</v>
      </c>
      <c r="J18" s="5" t="str">
        <f t="shared" si="2"/>
        <v>LOW</v>
      </c>
      <c r="K18" s="8">
        <f t="shared" si="3"/>
        <v>0.10989010989010987</v>
      </c>
      <c r="L18" s="8">
        <f t="shared" si="4"/>
        <v>-0.43118590185092137</v>
      </c>
      <c r="M18" s="5" t="str">
        <f t="shared" si="5"/>
        <v>LOW</v>
      </c>
      <c r="N18" s="5" cm="1">
        <f t="array" aca="1" ref="N18" ca="1">INDEX($N$2:$N$15,RANDBETWEEN(1, ROWS($N$2:$N$15)))</f>
        <v>9</v>
      </c>
      <c r="O18" s="5" cm="1">
        <f t="array" aca="1" ref="O18" ca="1">INDEX($O$2:$O$15,RANDBETWEEN(1, ROWS($O$2:$O$15)))</f>
        <v>5</v>
      </c>
      <c r="P18" s="5">
        <f t="shared" ca="1" si="6"/>
        <v>50333.773429874651</v>
      </c>
      <c r="Q18" s="5" cm="1">
        <f t="array" aca="1" ref="Q18" ca="1">INDEX($D$2:$D$129, RANDBETWEEN(1,128))</f>
        <v>15</v>
      </c>
      <c r="R18" s="5" cm="1">
        <f t="array" aca="1" ref="R18" ca="1">INDEX($F$2:$F$129, RANDBETWEEN(1,129))</f>
        <v>0.83</v>
      </c>
      <c r="S18" s="5"/>
      <c r="T18" s="5"/>
      <c r="U18" s="5"/>
    </row>
    <row r="19" spans="1:24" x14ac:dyDescent="0.35">
      <c r="A19" s="5" t="s">
        <v>8</v>
      </c>
      <c r="B19" s="5">
        <v>538070</v>
      </c>
      <c r="C19" s="5">
        <v>10133</v>
      </c>
      <c r="D19" s="5">
        <v>10</v>
      </c>
      <c r="E19" s="6">
        <v>40521.588888888888</v>
      </c>
      <c r="F19" s="8">
        <v>0.85</v>
      </c>
      <c r="G19" s="5">
        <v>16519</v>
      </c>
      <c r="H19" s="5">
        <f t="shared" si="0"/>
        <v>0.19148936170212766</v>
      </c>
      <c r="I19" s="5">
        <f t="shared" si="1"/>
        <v>-0.11656475127389719</v>
      </c>
      <c r="J19" s="5" t="str">
        <f t="shared" si="2"/>
        <v>LOW</v>
      </c>
      <c r="K19" s="8">
        <f t="shared" si="3"/>
        <v>0.10989010989010987</v>
      </c>
      <c r="L19" s="8">
        <f t="shared" si="4"/>
        <v>-0.43118590185092137</v>
      </c>
      <c r="M19" s="5" t="str">
        <f t="shared" si="5"/>
        <v>LOW</v>
      </c>
      <c r="N19" s="5" cm="1">
        <f t="array" aca="1" ref="N19" ca="1">INDEX($N$2:$N$15,RANDBETWEEN(1, ROWS($N$2:$N$15)))</f>
        <v>12</v>
      </c>
      <c r="O19" s="5" cm="1">
        <f t="array" aca="1" ref="O19" ca="1">INDEX($O$2:$O$15,RANDBETWEEN(1, ROWS($O$2:$O$15)))</f>
        <v>5</v>
      </c>
      <c r="P19" s="5">
        <f t="shared" ca="1" si="6"/>
        <v>50439.266043142277</v>
      </c>
      <c r="Q19" s="5" cm="1">
        <f t="array" aca="1" ref="Q19" ca="1">INDEX($D$2:$D$129, RANDBETWEEN(1,128))</f>
        <v>12</v>
      </c>
      <c r="R19" s="5" cm="1">
        <f t="array" aca="1" ref="R19" ca="1">INDEX($F$2:$F$129, RANDBETWEEN(1,129))</f>
        <v>0.85</v>
      </c>
      <c r="S19" s="5"/>
      <c r="T19" s="5"/>
      <c r="U19" s="5"/>
    </row>
    <row r="20" spans="1:24" x14ac:dyDescent="0.35">
      <c r="A20" s="5" t="s">
        <v>1331</v>
      </c>
      <c r="B20" s="5">
        <v>539222</v>
      </c>
      <c r="C20" s="5">
        <v>10133</v>
      </c>
      <c r="D20" s="5">
        <v>10</v>
      </c>
      <c r="E20" s="6">
        <v>40528.541666666664</v>
      </c>
      <c r="F20" s="8">
        <v>0.85</v>
      </c>
      <c r="G20" s="5">
        <v>14621</v>
      </c>
      <c r="H20" s="5">
        <f t="shared" si="0"/>
        <v>0.19148936170212766</v>
      </c>
      <c r="I20" s="5">
        <f t="shared" si="1"/>
        <v>-0.11656475127389719</v>
      </c>
      <c r="J20" s="5" t="str">
        <f t="shared" si="2"/>
        <v>LOW</v>
      </c>
      <c r="K20" s="8">
        <f t="shared" si="3"/>
        <v>0.10989010989010987</v>
      </c>
      <c r="L20" s="8">
        <f t="shared" si="4"/>
        <v>-0.43118590185092137</v>
      </c>
      <c r="M20" s="5" t="str">
        <f t="shared" si="5"/>
        <v>LOW</v>
      </c>
      <c r="N20" s="5" cm="1">
        <f t="array" aca="1" ref="N20" ca="1">INDEX($N$2:$N$15,RANDBETWEEN(1, ROWS($N$2:$N$15)))</f>
        <v>4</v>
      </c>
      <c r="O20" s="5" cm="1">
        <f t="array" aca="1" ref="O20" ca="1">INDEX($O$2:$O$15,RANDBETWEEN(1, ROWS($O$2:$O$15)))</f>
        <v>1</v>
      </c>
      <c r="P20" s="5">
        <f t="shared" ca="1" si="6"/>
        <v>50376.678774623753</v>
      </c>
      <c r="Q20" s="5" cm="1">
        <f t="array" aca="1" ref="Q20" ca="1">INDEX($D$2:$D$129, RANDBETWEEN(1,128))</f>
        <v>1</v>
      </c>
      <c r="R20" s="5" cm="1">
        <f t="array" aca="1" ref="R20" ca="1">INDEX($F$2:$F$129, RANDBETWEEN(1,129))</f>
        <v>0.83</v>
      </c>
      <c r="S20" s="5"/>
      <c r="T20" s="5"/>
      <c r="U20" s="5"/>
    </row>
    <row r="21" spans="1:24" x14ac:dyDescent="0.35">
      <c r="A21" s="5" t="s">
        <v>8</v>
      </c>
      <c r="B21" s="5">
        <v>539477</v>
      </c>
      <c r="C21" s="5">
        <v>10133</v>
      </c>
      <c r="D21" s="5">
        <v>10</v>
      </c>
      <c r="E21" s="6">
        <v>40531.623611111114</v>
      </c>
      <c r="F21" s="8">
        <v>0.85</v>
      </c>
      <c r="G21" s="5">
        <v>18245</v>
      </c>
      <c r="H21" s="5">
        <f t="shared" si="0"/>
        <v>0.19148936170212766</v>
      </c>
      <c r="I21" s="5">
        <f t="shared" si="1"/>
        <v>-0.11656475127389719</v>
      </c>
      <c r="J21" s="5" t="str">
        <f t="shared" si="2"/>
        <v>LOW</v>
      </c>
      <c r="K21" s="8">
        <f t="shared" si="3"/>
        <v>0.10989010989010987</v>
      </c>
      <c r="L21" s="8">
        <f t="shared" si="4"/>
        <v>-0.43118590185092137</v>
      </c>
      <c r="M21" s="5" t="str">
        <f t="shared" si="5"/>
        <v>LOW</v>
      </c>
      <c r="N21" s="5" cm="1">
        <f t="array" aca="1" ref="N21" ca="1">INDEX($N$2:$N$15,RANDBETWEEN(1, ROWS($N$2:$N$15)))</f>
        <v>9</v>
      </c>
      <c r="O21" s="5" cm="1">
        <f t="array" aca="1" ref="O21" ca="1">INDEX($O$2:$O$15,RANDBETWEEN(1, ROWS($O$2:$O$15)))</f>
        <v>5</v>
      </c>
      <c r="P21" s="5">
        <f t="shared" ca="1" si="6"/>
        <v>50700.93560332746</v>
      </c>
      <c r="Q21" s="5" cm="1">
        <f t="array" aca="1" ref="Q21" ca="1">INDEX($D$2:$D$129, RANDBETWEEN(1,128))</f>
        <v>2</v>
      </c>
      <c r="R21" s="5" cm="1">
        <f t="array" aca="1" ref="R21" ca="1">INDEX($F$2:$F$129, RANDBETWEEN(1,129))</f>
        <v>0.83</v>
      </c>
      <c r="S21" s="5"/>
      <c r="T21" s="5"/>
      <c r="U21" s="5"/>
      <c r="W21" s="30" t="s">
        <v>32</v>
      </c>
      <c r="X21" s="19">
        <f>AVERAGE(D:D)</f>
        <v>11.283464566929133</v>
      </c>
    </row>
    <row r="22" spans="1:24" x14ac:dyDescent="0.35">
      <c r="A22" s="5" t="s">
        <v>8</v>
      </c>
      <c r="B22" s="5">
        <v>539933</v>
      </c>
      <c r="C22" s="5">
        <v>10133</v>
      </c>
      <c r="D22" s="5">
        <v>10</v>
      </c>
      <c r="E22" s="6">
        <v>40535.474999999999</v>
      </c>
      <c r="F22" s="8">
        <v>0.85</v>
      </c>
      <c r="G22" s="5">
        <v>15235</v>
      </c>
      <c r="H22" s="5">
        <f t="shared" si="0"/>
        <v>0.19148936170212766</v>
      </c>
      <c r="I22" s="5">
        <f t="shared" si="1"/>
        <v>-0.11656475127389719</v>
      </c>
      <c r="J22" s="5" t="str">
        <f t="shared" si="2"/>
        <v>LOW</v>
      </c>
      <c r="K22" s="8">
        <f t="shared" si="3"/>
        <v>0.10989010989010987</v>
      </c>
      <c r="L22" s="8">
        <f t="shared" si="4"/>
        <v>-0.43118590185092137</v>
      </c>
      <c r="M22" s="5" t="str">
        <f t="shared" si="5"/>
        <v>LOW</v>
      </c>
      <c r="N22" s="5" cm="1">
        <f t="array" aca="1" ref="N22" ca="1">INDEX($N$2:$N$15,RANDBETWEEN(1, ROWS($N$2:$N$15)))</f>
        <v>9</v>
      </c>
      <c r="O22" s="5" cm="1">
        <f t="array" aca="1" ref="O22" ca="1">INDEX($O$2:$O$15,RANDBETWEEN(1, ROWS($O$2:$O$15)))</f>
        <v>5</v>
      </c>
      <c r="P22" s="5">
        <f t="shared" ca="1" si="6"/>
        <v>50488.423219068201</v>
      </c>
      <c r="Q22" s="5" cm="1">
        <f t="array" aca="1" ref="Q22" ca="1">INDEX($D$2:$D$129, RANDBETWEEN(1,128))</f>
        <v>1</v>
      </c>
      <c r="R22" s="5" cm="1">
        <f t="array" aca="1" ref="R22" ca="1">INDEX($F$2:$F$129, RANDBETWEEN(1,129))</f>
        <v>0.85</v>
      </c>
      <c r="S22" s="5"/>
      <c r="T22" s="5"/>
      <c r="U22" s="5"/>
      <c r="W22" s="30" t="s">
        <v>33</v>
      </c>
      <c r="X22" s="31">
        <f>AVERAGE(F:F)</f>
        <v>0.99212598425196663</v>
      </c>
    </row>
    <row r="23" spans="1:24" x14ac:dyDescent="0.35">
      <c r="A23" s="5" t="s">
        <v>8</v>
      </c>
      <c r="B23" s="5">
        <v>539958</v>
      </c>
      <c r="C23" s="5">
        <v>10133</v>
      </c>
      <c r="D23" s="5">
        <v>6</v>
      </c>
      <c r="E23" s="6">
        <v>40535.55972222222</v>
      </c>
      <c r="F23" s="8">
        <v>0.81</v>
      </c>
      <c r="G23" s="5" t="s">
        <v>1331</v>
      </c>
      <c r="H23" s="5">
        <f t="shared" si="0"/>
        <v>0.10638297872340426</v>
      </c>
      <c r="I23" s="5">
        <f t="shared" si="1"/>
        <v>-0.47984630739131928</v>
      </c>
      <c r="J23" s="5" t="str">
        <f t="shared" si="2"/>
        <v>LOW</v>
      </c>
      <c r="K23" s="8">
        <f t="shared" si="3"/>
        <v>6.5934065934066005E-2</v>
      </c>
      <c r="L23" s="8">
        <f t="shared" si="4"/>
        <v>-0.55253905317517094</v>
      </c>
      <c r="M23" s="5" t="str">
        <f t="shared" si="5"/>
        <v>LOW</v>
      </c>
      <c r="N23" s="5" cm="1">
        <f t="array" aca="1" ref="N23" ca="1">INDEX($N$2:$N$15,RANDBETWEEN(1, ROWS($N$2:$N$15)))</f>
        <v>4</v>
      </c>
      <c r="O23" s="5" cm="1">
        <f t="array" aca="1" ref="O23" ca="1">INDEX($O$2:$O$15,RANDBETWEEN(1, ROWS($O$2:$O$15)))</f>
        <v>4</v>
      </c>
      <c r="P23" s="5">
        <f t="shared" ca="1" si="6"/>
        <v>53694.591786718767</v>
      </c>
      <c r="Q23" s="5" cm="1">
        <f t="array" aca="1" ref="Q23" ca="1">INDEX($D$2:$D$129, RANDBETWEEN(1,128))</f>
        <v>7</v>
      </c>
      <c r="R23" s="5" cm="1">
        <f t="array" aca="1" ref="R23" ca="1">INDEX($F$2:$F$129, RANDBETWEEN(1,129))</f>
        <v>1.66</v>
      </c>
      <c r="S23" s="5"/>
      <c r="T23" s="5"/>
      <c r="U23" s="5"/>
      <c r="W23" s="13"/>
      <c r="X23" s="5"/>
    </row>
    <row r="24" spans="1:24" x14ac:dyDescent="0.35">
      <c r="A24" s="5" t="s">
        <v>8</v>
      </c>
      <c r="B24" s="5">
        <v>540026</v>
      </c>
      <c r="C24" s="5">
        <v>10133</v>
      </c>
      <c r="D24" s="5">
        <v>1</v>
      </c>
      <c r="E24" s="6">
        <v>40547.559027777781</v>
      </c>
      <c r="F24" s="8">
        <v>0.81</v>
      </c>
      <c r="G24" s="5" t="s">
        <v>1331</v>
      </c>
      <c r="H24" s="5">
        <f t="shared" si="0"/>
        <v>0</v>
      </c>
      <c r="I24" s="5">
        <f t="shared" si="1"/>
        <v>-0.93394825253809688</v>
      </c>
      <c r="J24" s="5" t="str">
        <f t="shared" si="2"/>
        <v>LOW</v>
      </c>
      <c r="K24" s="8">
        <f t="shared" si="3"/>
        <v>6.5934065934066005E-2</v>
      </c>
      <c r="L24" s="8">
        <f t="shared" si="4"/>
        <v>-0.55253905317517094</v>
      </c>
      <c r="M24" s="5" t="str">
        <f t="shared" si="5"/>
        <v>LOW</v>
      </c>
      <c r="N24" s="5" cm="1">
        <f t="array" aca="1" ref="N24" ca="1">INDEX($N$2:$N$15,RANDBETWEEN(1, ROWS($N$2:$N$15)))</f>
        <v>4</v>
      </c>
      <c r="O24" s="5" cm="1">
        <f t="array" aca="1" ref="O24" ca="1">INDEX($O$2:$O$15,RANDBETWEEN(1, ROWS($O$2:$O$15)))</f>
        <v>7</v>
      </c>
      <c r="P24" s="5">
        <f t="shared" ca="1" si="6"/>
        <v>53701.631679503458</v>
      </c>
      <c r="Q24" s="5" cm="1">
        <f t="array" aca="1" ref="Q24" ca="1">INDEX($D$2:$D$129, RANDBETWEEN(1,128))</f>
        <v>4</v>
      </c>
      <c r="R24" s="5" cm="1">
        <f t="array" aca="1" ref="R24" ca="1">INDEX($F$2:$F$129, RANDBETWEEN(1,129))</f>
        <v>0.83</v>
      </c>
      <c r="S24" s="5"/>
      <c r="T24" s="5"/>
      <c r="U24" s="5"/>
      <c r="W24" s="13"/>
      <c r="X24" s="5"/>
    </row>
    <row r="25" spans="1:24" x14ac:dyDescent="0.35">
      <c r="A25" s="5" t="s">
        <v>8</v>
      </c>
      <c r="B25" s="5">
        <v>540154</v>
      </c>
      <c r="C25" s="5">
        <v>10133</v>
      </c>
      <c r="D25" s="5">
        <v>1</v>
      </c>
      <c r="E25" s="6">
        <v>40548.479166666664</v>
      </c>
      <c r="F25" s="8">
        <v>0.81</v>
      </c>
      <c r="G25" s="5" t="s">
        <v>1331</v>
      </c>
      <c r="H25" s="5">
        <f t="shared" si="0"/>
        <v>0</v>
      </c>
      <c r="I25" s="5">
        <f t="shared" si="1"/>
        <v>-0.93394825253809688</v>
      </c>
      <c r="J25" s="5" t="str">
        <f t="shared" si="2"/>
        <v>LOW</v>
      </c>
      <c r="K25" s="8">
        <f t="shared" si="3"/>
        <v>6.5934065934066005E-2</v>
      </c>
      <c r="L25" s="8">
        <f t="shared" si="4"/>
        <v>-0.55253905317517094</v>
      </c>
      <c r="M25" s="5" t="str">
        <f t="shared" si="5"/>
        <v>LOW</v>
      </c>
      <c r="N25" s="5" cm="1">
        <f t="array" aca="1" ref="N25" ca="1">INDEX($N$2:$N$15,RANDBETWEEN(1, ROWS($N$2:$N$15)))</f>
        <v>4</v>
      </c>
      <c r="O25" s="5" cm="1">
        <f t="array" aca="1" ref="O25" ca="1">INDEX($O$2:$O$15,RANDBETWEEN(1, ROWS($O$2:$O$15)))</f>
        <v>5</v>
      </c>
      <c r="P25" s="5">
        <f t="shared" ca="1" si="6"/>
        <v>53713.169873947903</v>
      </c>
      <c r="Q25" s="5" cm="1">
        <f t="array" aca="1" ref="Q25" ca="1">INDEX($D$2:$D$129, RANDBETWEEN(1,128))</f>
        <v>12</v>
      </c>
      <c r="R25" s="5" cm="1">
        <f t="array" aca="1" ref="R25" ca="1">INDEX($F$2:$F$129, RANDBETWEEN(1,129))</f>
        <v>0.85</v>
      </c>
      <c r="S25" s="5"/>
      <c r="T25" s="5"/>
      <c r="U25" s="5"/>
      <c r="W25" s="13"/>
      <c r="X25" s="5"/>
    </row>
    <row r="26" spans="1:24" x14ac:dyDescent="0.35">
      <c r="A26" s="5" t="s">
        <v>8</v>
      </c>
      <c r="B26" s="5">
        <v>540352</v>
      </c>
      <c r="C26" s="5">
        <v>10133</v>
      </c>
      <c r="D26" s="5">
        <v>1</v>
      </c>
      <c r="E26" s="6">
        <v>40549.602083333331</v>
      </c>
      <c r="F26" s="8">
        <v>0.81</v>
      </c>
      <c r="G26" s="5" t="s">
        <v>1331</v>
      </c>
      <c r="H26" s="5">
        <f t="shared" si="0"/>
        <v>0</v>
      </c>
      <c r="I26" s="5">
        <f t="shared" si="1"/>
        <v>-0.93394825253809688</v>
      </c>
      <c r="J26" s="5" t="str">
        <f t="shared" si="2"/>
        <v>LOW</v>
      </c>
      <c r="K26" s="8">
        <f t="shared" si="3"/>
        <v>6.5934065934066005E-2</v>
      </c>
      <c r="L26" s="8">
        <f t="shared" si="4"/>
        <v>-0.55253905317517094</v>
      </c>
      <c r="M26" s="5" t="str">
        <f t="shared" si="5"/>
        <v>LOW</v>
      </c>
      <c r="N26" s="5" cm="1">
        <f t="array" aca="1" ref="N26" ca="1">INDEX($N$2:$N$15,RANDBETWEEN(1, ROWS($N$2:$N$15)))</f>
        <v>11</v>
      </c>
      <c r="O26" s="5" cm="1">
        <f t="array" aca="1" ref="O26" ca="1">INDEX($O$2:$O$15,RANDBETWEEN(1, ROWS($O$2:$O$15)))</f>
        <v>5</v>
      </c>
      <c r="P26" s="5">
        <f t="shared" ca="1" si="6"/>
        <v>53731.908320917602</v>
      </c>
      <c r="Q26" s="5" cm="1">
        <f t="array" aca="1" ref="Q26" ca="1">INDEX($D$2:$D$129, RANDBETWEEN(1,128))</f>
        <v>5</v>
      </c>
      <c r="R26" s="5" cm="1">
        <f t="array" aca="1" ref="R26" ca="1">INDEX($F$2:$F$129, RANDBETWEEN(1,129))</f>
        <v>1.63</v>
      </c>
      <c r="S26" s="5"/>
      <c r="T26" s="5"/>
      <c r="U26" s="5"/>
      <c r="W26" s="30" t="s">
        <v>34</v>
      </c>
      <c r="X26" s="19">
        <f>AVERAGE(D:D)</f>
        <v>11.283464566929133</v>
      </c>
    </row>
    <row r="27" spans="1:24" x14ac:dyDescent="0.35">
      <c r="A27" s="5" t="s">
        <v>8</v>
      </c>
      <c r="B27" s="5">
        <v>540468</v>
      </c>
      <c r="C27" s="5">
        <v>10133</v>
      </c>
      <c r="D27" s="5">
        <v>5</v>
      </c>
      <c r="E27" s="10">
        <v>40550</v>
      </c>
      <c r="F27" s="8">
        <v>0.81</v>
      </c>
      <c r="G27" s="5" t="s">
        <v>1331</v>
      </c>
      <c r="H27" s="5">
        <f t="shared" si="0"/>
        <v>8.5106382978723402E-2</v>
      </c>
      <c r="I27" s="5">
        <f t="shared" si="1"/>
        <v>-0.5706666964206748</v>
      </c>
      <c r="J27" s="5" t="str">
        <f t="shared" si="2"/>
        <v>LOW</v>
      </c>
      <c r="K27" s="8">
        <f t="shared" si="3"/>
        <v>6.5934065934066005E-2</v>
      </c>
      <c r="L27" s="8">
        <f t="shared" si="4"/>
        <v>-0.55253905317517094</v>
      </c>
      <c r="M27" s="5" t="str">
        <f t="shared" si="5"/>
        <v>LOW</v>
      </c>
      <c r="N27" s="5" cm="1">
        <f t="array" aca="1" ref="N27" ca="1">INDEX($N$2:$N$15,RANDBETWEEN(1, ROWS($N$2:$N$15)))</f>
        <v>4</v>
      </c>
      <c r="O27" s="5" cm="1">
        <f t="array" aca="1" ref="O27" ca="1">INDEX($O$2:$O$15,RANDBETWEEN(1, ROWS($O$2:$O$15)))</f>
        <v>1</v>
      </c>
      <c r="P27" s="5">
        <f t="shared" ca="1" si="6"/>
        <v>53741.894348609036</v>
      </c>
      <c r="Q27" s="5" cm="1">
        <f t="array" aca="1" ref="Q27" ca="1">INDEX($D$2:$D$129, RANDBETWEEN(1,128))</f>
        <v>24</v>
      </c>
      <c r="R27" s="5" cm="1">
        <f t="array" aca="1" ref="R27" ca="1">INDEX($F$2:$F$129, RANDBETWEEN(1,129))</f>
        <v>1.63</v>
      </c>
      <c r="S27" s="5"/>
      <c r="T27" s="5"/>
      <c r="U27" s="5"/>
      <c r="W27" s="30" t="s">
        <v>35</v>
      </c>
      <c r="X27" s="32">
        <f>AVERAGE(F:F)</f>
        <v>0.99212598425196663</v>
      </c>
    </row>
    <row r="28" spans="1:24" x14ac:dyDescent="0.35">
      <c r="A28" s="5" t="s">
        <v>8</v>
      </c>
      <c r="B28" s="5">
        <v>540418</v>
      </c>
      <c r="C28" s="5">
        <v>10133</v>
      </c>
      <c r="D28" s="5">
        <v>3</v>
      </c>
      <c r="E28" s="6">
        <v>40550.461111111108</v>
      </c>
      <c r="F28" s="8">
        <v>0.81</v>
      </c>
      <c r="G28" s="5" t="s">
        <v>1331</v>
      </c>
      <c r="H28" s="5">
        <f t="shared" si="0"/>
        <v>4.2553191489361701E-2</v>
      </c>
      <c r="I28" s="5">
        <f t="shared" si="1"/>
        <v>-0.75230747447938584</v>
      </c>
      <c r="J28" s="5" t="str">
        <f t="shared" si="2"/>
        <v>LOW</v>
      </c>
      <c r="K28" s="8">
        <f t="shared" si="3"/>
        <v>6.5934065934066005E-2</v>
      </c>
      <c r="L28" s="8">
        <f t="shared" si="4"/>
        <v>-0.55253905317517094</v>
      </c>
      <c r="M28" s="5" t="str">
        <f t="shared" si="5"/>
        <v>LOW</v>
      </c>
      <c r="N28" s="5" cm="1">
        <f t="array" aca="1" ref="N28" ca="1">INDEX($N$2:$N$15,RANDBETWEEN(1, ROWS($N$2:$N$15)))</f>
        <v>12</v>
      </c>
      <c r="O28" s="5" cm="1">
        <f t="array" aca="1" ref="O28" ca="1">INDEX($O$2:$O$15,RANDBETWEEN(1, ROWS($O$2:$O$15)))</f>
        <v>5</v>
      </c>
      <c r="P28" s="5">
        <f t="shared" ca="1" si="6"/>
        <v>53738.279522894642</v>
      </c>
      <c r="Q28" s="5" cm="1">
        <f t="array" aca="1" ref="Q28" ca="1">INDEX($D$2:$D$129, RANDBETWEEN(1,128))</f>
        <v>1</v>
      </c>
      <c r="R28" s="5" cm="1">
        <f t="array" aca="1" ref="R28" ca="1">INDEX($F$2:$F$129, RANDBETWEEN(1,129))</f>
        <v>0.79</v>
      </c>
      <c r="S28" s="5"/>
      <c r="T28" s="5"/>
      <c r="U28" s="5"/>
      <c r="W28" s="13"/>
      <c r="X28" s="5"/>
    </row>
    <row r="29" spans="1:24" x14ac:dyDescent="0.35">
      <c r="A29" s="5" t="s">
        <v>8</v>
      </c>
      <c r="B29" s="5">
        <v>540551</v>
      </c>
      <c r="C29" s="5">
        <v>10133</v>
      </c>
      <c r="D29" s="5">
        <v>1</v>
      </c>
      <c r="E29" s="6">
        <v>40553.404861111114</v>
      </c>
      <c r="F29" s="8">
        <v>0.81</v>
      </c>
      <c r="G29" s="5" t="s">
        <v>1331</v>
      </c>
      <c r="H29" s="5">
        <f t="shared" si="0"/>
        <v>0</v>
      </c>
      <c r="I29" s="5">
        <f t="shared" si="1"/>
        <v>-0.93394825253809688</v>
      </c>
      <c r="J29" s="5" t="str">
        <f t="shared" si="2"/>
        <v>LOW</v>
      </c>
      <c r="K29" s="8">
        <f t="shared" si="3"/>
        <v>6.5934065934066005E-2</v>
      </c>
      <c r="L29" s="8">
        <f t="shared" si="4"/>
        <v>-0.55253905317517094</v>
      </c>
      <c r="M29" s="5" t="str">
        <f t="shared" si="5"/>
        <v>LOW</v>
      </c>
      <c r="N29" s="5" cm="1">
        <f t="array" aca="1" ref="N29" ca="1">INDEX($N$2:$N$15,RANDBETWEEN(1, ROWS($N$2:$N$15)))</f>
        <v>8</v>
      </c>
      <c r="O29" s="5" cm="1">
        <f t="array" aca="1" ref="O29" ca="1">INDEX($O$2:$O$15,RANDBETWEEN(1, ROWS($O$2:$O$15)))</f>
        <v>4</v>
      </c>
      <c r="P29" s="5">
        <f t="shared" ca="1" si="6"/>
        <v>53749.981300715583</v>
      </c>
      <c r="Q29" s="5" cm="1">
        <f t="array" aca="1" ref="Q29" ca="1">INDEX($D$2:$D$129, RANDBETWEEN(1,128))</f>
        <v>24</v>
      </c>
      <c r="R29" s="5" cm="1">
        <f t="array" aca="1" ref="R29" ca="1">INDEX($F$2:$F$129, RANDBETWEEN(1,129))</f>
        <v>0.85</v>
      </c>
      <c r="S29" s="5"/>
      <c r="T29" s="5"/>
      <c r="U29" s="5"/>
      <c r="W29" s="30" t="s">
        <v>36</v>
      </c>
      <c r="X29" s="19">
        <f>MIN(D:D)</f>
        <v>1</v>
      </c>
    </row>
    <row r="30" spans="1:24" x14ac:dyDescent="0.35">
      <c r="A30" s="5" t="s">
        <v>8</v>
      </c>
      <c r="B30" s="5">
        <v>540646</v>
      </c>
      <c r="C30" s="5">
        <v>10133</v>
      </c>
      <c r="D30" s="5">
        <v>6</v>
      </c>
      <c r="E30" s="6">
        <v>40553.605555555558</v>
      </c>
      <c r="F30" s="8">
        <v>0.81</v>
      </c>
      <c r="G30" s="5" t="s">
        <v>1331</v>
      </c>
      <c r="H30" s="5">
        <f t="shared" si="0"/>
        <v>0.10638297872340426</v>
      </c>
      <c r="I30" s="5">
        <f t="shared" si="1"/>
        <v>-0.47984630739131928</v>
      </c>
      <c r="J30" s="5" t="str">
        <f t="shared" si="2"/>
        <v>LOW</v>
      </c>
      <c r="K30" s="8">
        <f t="shared" si="3"/>
        <v>6.5934065934066005E-2</v>
      </c>
      <c r="L30" s="8">
        <f t="shared" si="4"/>
        <v>-0.55253905317517094</v>
      </c>
      <c r="M30" s="5" t="str">
        <f t="shared" si="5"/>
        <v>LOW</v>
      </c>
      <c r="N30" s="5" cm="1">
        <f t="array" aca="1" ref="N30" ca="1">INDEX($N$2:$N$15,RANDBETWEEN(1, ROWS($N$2:$N$15)))</f>
        <v>8</v>
      </c>
      <c r="O30" s="5" cm="1">
        <f t="array" aca="1" ref="O30" ca="1">INDEX($O$2:$O$15,RANDBETWEEN(1, ROWS($O$2:$O$15)))</f>
        <v>5</v>
      </c>
      <c r="P30" s="5">
        <f t="shared" ca="1" si="6"/>
        <v>53759.232317021793</v>
      </c>
      <c r="Q30" s="5" cm="1">
        <f t="array" aca="1" ref="Q30" ca="1">INDEX($D$2:$D$129, RANDBETWEEN(1,128))</f>
        <v>12</v>
      </c>
      <c r="R30" s="5" cm="1">
        <f t="array" aca="1" ref="R30" ca="1">INDEX($F$2:$F$129, RANDBETWEEN(1,129))</f>
        <v>0.75</v>
      </c>
      <c r="S30" s="5"/>
      <c r="T30" s="5"/>
      <c r="U30" s="5"/>
      <c r="W30" s="30" t="s">
        <v>37</v>
      </c>
      <c r="X30" s="19">
        <f>MAX(D:D)</f>
        <v>48</v>
      </c>
    </row>
    <row r="31" spans="1:24" x14ac:dyDescent="0.35">
      <c r="A31" s="5" t="s">
        <v>8</v>
      </c>
      <c r="B31" s="5">
        <v>540821</v>
      </c>
      <c r="C31" s="5">
        <v>10133</v>
      </c>
      <c r="D31" s="5">
        <v>3</v>
      </c>
      <c r="E31" s="6">
        <v>40554.552777777775</v>
      </c>
      <c r="F31" s="8">
        <v>0.81</v>
      </c>
      <c r="G31" s="5" t="s">
        <v>1331</v>
      </c>
      <c r="H31" s="5">
        <f t="shared" si="0"/>
        <v>4.2553191489361701E-2</v>
      </c>
      <c r="I31" s="5">
        <f t="shared" si="1"/>
        <v>-0.75230747447938584</v>
      </c>
      <c r="J31" s="5" t="str">
        <f t="shared" si="2"/>
        <v>LOW</v>
      </c>
      <c r="K31" s="8">
        <f t="shared" si="3"/>
        <v>6.5934065934066005E-2</v>
      </c>
      <c r="L31" s="8">
        <f t="shared" si="4"/>
        <v>-0.55253905317517094</v>
      </c>
      <c r="M31" s="5" t="str">
        <f t="shared" si="5"/>
        <v>LOW</v>
      </c>
      <c r="N31" s="5" cm="1">
        <f t="array" aca="1" ref="N31" ca="1">INDEX($N$2:$N$15,RANDBETWEEN(1, ROWS($N$2:$N$15)))</f>
        <v>4</v>
      </c>
      <c r="O31" s="5" cm="1">
        <f t="array" aca="1" ref="O31" ca="1">INDEX($O$2:$O$15,RANDBETWEEN(1, ROWS($O$2:$O$15)))</f>
        <v>5</v>
      </c>
      <c r="P31" s="5">
        <f t="shared" ca="1" si="6"/>
        <v>53774.560583500701</v>
      </c>
      <c r="Q31" s="5" cm="1">
        <f t="array" aca="1" ref="Q31" ca="1">INDEX($D$2:$D$129, RANDBETWEEN(1,128))</f>
        <v>24</v>
      </c>
      <c r="R31" s="5" cm="1">
        <f t="array" aca="1" ref="R31" ca="1">INDEX($F$2:$F$129, RANDBETWEEN(1,129))</f>
        <v>0.85</v>
      </c>
      <c r="S31" s="5"/>
      <c r="T31" s="5"/>
      <c r="U31" s="5"/>
      <c r="W31" s="13"/>
      <c r="X31" s="5"/>
    </row>
    <row r="32" spans="1:24" x14ac:dyDescent="0.35">
      <c r="A32" s="5" t="s">
        <v>8</v>
      </c>
      <c r="B32" s="5">
        <v>540848</v>
      </c>
      <c r="C32" s="5">
        <v>10133</v>
      </c>
      <c r="D32" s="5">
        <v>7</v>
      </c>
      <c r="E32" s="6">
        <v>40555.393055555556</v>
      </c>
      <c r="F32" s="8">
        <v>0.81</v>
      </c>
      <c r="G32" s="5" t="s">
        <v>1331</v>
      </c>
      <c r="H32" s="5">
        <f t="shared" si="0"/>
        <v>0.1276595744680851</v>
      </c>
      <c r="I32" s="5">
        <f t="shared" si="1"/>
        <v>-0.38902591836196376</v>
      </c>
      <c r="J32" s="5" t="str">
        <f t="shared" si="2"/>
        <v>LOW</v>
      </c>
      <c r="K32" s="8">
        <f t="shared" si="3"/>
        <v>6.5934065934066005E-2</v>
      </c>
      <c r="L32" s="8">
        <f t="shared" si="4"/>
        <v>-0.55253905317517094</v>
      </c>
      <c r="M32" s="5" t="str">
        <f t="shared" si="5"/>
        <v>LOW</v>
      </c>
      <c r="N32" s="5" cm="1">
        <f t="array" aca="1" ref="N32" ca="1">INDEX($N$2:$N$15,RANDBETWEEN(1, ROWS($N$2:$N$15)))</f>
        <v>9</v>
      </c>
      <c r="O32" s="5" cm="1">
        <f t="array" aca="1" ref="O32" ca="1">INDEX($O$2:$O$15,RANDBETWEEN(1, ROWS($O$2:$O$15)))</f>
        <v>7</v>
      </c>
      <c r="P32" s="5">
        <f t="shared" ca="1" si="6"/>
        <v>53778.132280384052</v>
      </c>
      <c r="Q32" s="5" cm="1">
        <f t="array" aca="1" ref="Q32" ca="1">INDEX($D$2:$D$129, RANDBETWEEN(1,128))</f>
        <v>1</v>
      </c>
      <c r="R32" s="5" cm="1">
        <f t="array" aca="1" ref="R32" ca="1">INDEX($F$2:$F$129, RANDBETWEEN(1,129))</f>
        <v>0.85</v>
      </c>
      <c r="S32" s="5"/>
      <c r="T32" s="5"/>
      <c r="U32" s="5"/>
      <c r="W32" s="13"/>
      <c r="X32" s="5"/>
    </row>
    <row r="33" spans="1:24" x14ac:dyDescent="0.35">
      <c r="A33" s="5" t="s">
        <v>8</v>
      </c>
      <c r="B33" s="5">
        <v>540977</v>
      </c>
      <c r="C33" s="5">
        <v>10133</v>
      </c>
      <c r="D33" s="5">
        <v>1</v>
      </c>
      <c r="E33" s="6">
        <v>40555.625694444447</v>
      </c>
      <c r="F33" s="8">
        <v>0.81</v>
      </c>
      <c r="G33" s="5" t="s">
        <v>1331</v>
      </c>
      <c r="H33" s="5">
        <f t="shared" si="0"/>
        <v>0</v>
      </c>
      <c r="I33" s="5">
        <f t="shared" si="1"/>
        <v>-0.93394825253809688</v>
      </c>
      <c r="J33" s="5" t="str">
        <f t="shared" si="2"/>
        <v>LOW</v>
      </c>
      <c r="K33" s="8">
        <f t="shared" si="3"/>
        <v>6.5934065934066005E-2</v>
      </c>
      <c r="L33" s="8">
        <f t="shared" si="4"/>
        <v>-0.55253905317517094</v>
      </c>
      <c r="M33" s="5" t="str">
        <f t="shared" si="5"/>
        <v>LOW</v>
      </c>
      <c r="N33" s="5" cm="1">
        <f t="array" aca="1" ref="N33" ca="1">INDEX($N$2:$N$15,RANDBETWEEN(1, ROWS($N$2:$N$15)))</f>
        <v>8</v>
      </c>
      <c r="O33" s="5" cm="1">
        <f t="array" aca="1" ref="O33" ca="1">INDEX($O$2:$O$15,RANDBETWEEN(1, ROWS($O$2:$O$15)))</f>
        <v>5</v>
      </c>
      <c r="P33" s="5">
        <f t="shared" ca="1" si="6"/>
        <v>53789.001376473156</v>
      </c>
      <c r="Q33" s="5" cm="1">
        <f t="array" aca="1" ref="Q33" ca="1">INDEX($D$2:$D$129, RANDBETWEEN(1,128))</f>
        <v>12</v>
      </c>
      <c r="R33" s="5" cm="1">
        <f t="array" aca="1" ref="R33" ca="1">INDEX($F$2:$F$129, RANDBETWEEN(1,129))</f>
        <v>0.83</v>
      </c>
      <c r="S33" s="5"/>
      <c r="T33" s="5"/>
      <c r="U33" s="5"/>
      <c r="W33" s="30" t="s">
        <v>38</v>
      </c>
      <c r="X33" s="32">
        <f>MIN(F:F)</f>
        <v>0.75</v>
      </c>
    </row>
    <row r="34" spans="1:24" x14ac:dyDescent="0.35">
      <c r="A34" s="5" t="s">
        <v>8</v>
      </c>
      <c r="B34" s="5">
        <v>541104</v>
      </c>
      <c r="C34" s="5">
        <v>10133</v>
      </c>
      <c r="D34" s="5">
        <v>4</v>
      </c>
      <c r="E34" s="6">
        <v>40556.603472222225</v>
      </c>
      <c r="F34" s="8">
        <v>0.79</v>
      </c>
      <c r="G34" s="5" t="s">
        <v>1331</v>
      </c>
      <c r="H34" s="5">
        <f t="shared" ref="H34:H65" si="7">(D34-1)/(48-1)</f>
        <v>6.3829787234042548E-2</v>
      </c>
      <c r="I34" s="5">
        <f t="shared" ref="I34:I65" si="8">(D34-$X$21)/$X$44</f>
        <v>-0.66148708545003032</v>
      </c>
      <c r="J34" s="5" t="str">
        <f t="shared" ref="J34:J65" si="9">IF(D34&gt;$X$6, "HIGH", "LOW")</f>
        <v>LOW</v>
      </c>
      <c r="K34" s="8">
        <f t="shared" ref="K34:K65" si="10">(F34-0.75)/(1.66-0.75)</f>
        <v>4.3956043956044001E-2</v>
      </c>
      <c r="L34" s="8">
        <f t="shared" ref="L34:L65" si="11">(F34-$X$22)/$X$45</f>
        <v>-0.61321562883729586</v>
      </c>
      <c r="M34" s="5" t="str">
        <f t="shared" ref="M34:M65" si="12">IF(F34&gt;$X$7, "HIGH", "LOW")</f>
        <v>LOW</v>
      </c>
      <c r="N34" s="5" cm="1">
        <f t="array" aca="1" ref="N34" ca="1">INDEX($N$2:$N$15,RANDBETWEEN(1, ROWS($N$2:$N$15)))</f>
        <v>9</v>
      </c>
      <c r="O34" s="5" cm="1">
        <f t="array" aca="1" ref="O34" ca="1">INDEX($O$2:$O$15,RANDBETWEEN(1, ROWS($O$2:$O$15)))</f>
        <v>4</v>
      </c>
      <c r="P34" s="5">
        <f t="shared" ref="P34:P65" ca="1" si="13">AVERAGE(B34:O34)</f>
        <v>53800.929686849013</v>
      </c>
      <c r="Q34" s="5" cm="1">
        <f t="array" aca="1" ref="Q34" ca="1">INDEX($D$2:$D$129, RANDBETWEEN(1,128))</f>
        <v>12</v>
      </c>
      <c r="R34" s="5" cm="1">
        <f t="array" aca="1" ref="R34" ca="1">INDEX($F$2:$F$129, RANDBETWEEN(1,129))</f>
        <v>0.75</v>
      </c>
      <c r="S34" s="5"/>
      <c r="T34" s="5"/>
      <c r="U34" s="5"/>
      <c r="W34" s="30" t="s">
        <v>39</v>
      </c>
      <c r="X34" s="33">
        <f>MAX(F:F)</f>
        <v>1.66</v>
      </c>
    </row>
    <row r="35" spans="1:24" x14ac:dyDescent="0.35">
      <c r="A35" s="5" t="s">
        <v>8</v>
      </c>
      <c r="B35" s="5">
        <v>541219</v>
      </c>
      <c r="C35" s="5">
        <v>10133</v>
      </c>
      <c r="D35" s="5">
        <v>22</v>
      </c>
      <c r="E35" s="6">
        <v>40557.587500000001</v>
      </c>
      <c r="F35" s="8">
        <v>0.79</v>
      </c>
      <c r="G35" s="5" t="s">
        <v>1331</v>
      </c>
      <c r="H35" s="5">
        <f t="shared" si="7"/>
        <v>0.44680851063829785</v>
      </c>
      <c r="I35" s="5">
        <f t="shared" si="8"/>
        <v>0.97327991707836903</v>
      </c>
      <c r="J35" s="5" t="str">
        <f t="shared" si="9"/>
        <v>HIGH</v>
      </c>
      <c r="K35" s="8">
        <f t="shared" si="10"/>
        <v>4.3956043956044001E-2</v>
      </c>
      <c r="L35" s="8">
        <f t="shared" si="11"/>
        <v>-0.61321562883729586</v>
      </c>
      <c r="M35" s="5" t="str">
        <f t="shared" si="12"/>
        <v>LOW</v>
      </c>
      <c r="N35" s="5" cm="1">
        <f t="array" aca="1" ref="N35" ca="1">INDEX($N$2:$N$15,RANDBETWEEN(1, ROWS($N$2:$N$15)))</f>
        <v>8</v>
      </c>
      <c r="O35" s="5" cm="1">
        <f t="array" aca="1" ref="O35" ca="1">INDEX($O$2:$O$15,RANDBETWEEN(1, ROWS($O$2:$O$15)))</f>
        <v>5</v>
      </c>
      <c r="P35" s="5">
        <f t="shared" ca="1" si="13"/>
        <v>53813.293484440263</v>
      </c>
      <c r="Q35" s="5" cm="1">
        <f t="array" aca="1" ref="Q35" ca="1">INDEX($D$2:$D$129, RANDBETWEEN(1,128))</f>
        <v>1</v>
      </c>
      <c r="R35" s="5" cm="1">
        <f t="array" aca="1" ref="R35" ca="1">INDEX($F$2:$F$129, RANDBETWEEN(1,129))</f>
        <v>1.63</v>
      </c>
      <c r="S35" s="5"/>
      <c r="T35" s="5"/>
      <c r="U35" s="5"/>
      <c r="W35" s="13"/>
      <c r="X35" s="5"/>
    </row>
    <row r="36" spans="1:24" x14ac:dyDescent="0.35">
      <c r="A36" s="5" t="s">
        <v>8</v>
      </c>
      <c r="B36" s="5">
        <v>541422</v>
      </c>
      <c r="C36" s="5">
        <v>10133</v>
      </c>
      <c r="D36" s="5">
        <v>12</v>
      </c>
      <c r="E36" s="6">
        <v>40560.741666666669</v>
      </c>
      <c r="F36" s="8">
        <v>0.79</v>
      </c>
      <c r="G36" s="5" t="s">
        <v>1331</v>
      </c>
      <c r="H36" s="5">
        <f t="shared" si="7"/>
        <v>0.23404255319148937</v>
      </c>
      <c r="I36" s="5">
        <f t="shared" si="8"/>
        <v>6.5076026784813848E-2</v>
      </c>
      <c r="J36" s="5" t="str">
        <f t="shared" si="9"/>
        <v>HIGH</v>
      </c>
      <c r="K36" s="8">
        <f t="shared" si="10"/>
        <v>4.3956043956044001E-2</v>
      </c>
      <c r="L36" s="8">
        <f t="shared" si="11"/>
        <v>-0.61321562883729586</v>
      </c>
      <c r="M36" s="5" t="str">
        <f t="shared" si="12"/>
        <v>LOW</v>
      </c>
      <c r="N36" s="5" cm="1">
        <f t="array" aca="1" ref="N36" ca="1">INDEX($N$2:$N$15,RANDBETWEEN(1, ROWS($N$2:$N$15)))</f>
        <v>12</v>
      </c>
      <c r="O36" s="5" cm="1">
        <f t="array" aca="1" ref="O36" ca="1">INDEX($O$2:$O$15,RANDBETWEEN(1, ROWS($O$2:$O$15)))</f>
        <v>1</v>
      </c>
      <c r="P36" s="5">
        <f t="shared" ca="1" si="13"/>
        <v>53831.023775060174</v>
      </c>
      <c r="Q36" s="5" cm="1">
        <f t="array" aca="1" ref="Q36" ca="1">INDEX($D$2:$D$129, RANDBETWEEN(1,128))</f>
        <v>12</v>
      </c>
      <c r="R36" s="5" cm="1">
        <f t="array" aca="1" ref="R36" ca="1">INDEX($F$2:$F$129, RANDBETWEEN(1,129))</f>
        <v>0.75</v>
      </c>
      <c r="S36" s="5"/>
      <c r="T36" s="5"/>
      <c r="U36" s="5"/>
      <c r="W36" s="13"/>
      <c r="X36" s="5"/>
    </row>
    <row r="37" spans="1:24" x14ac:dyDescent="0.35">
      <c r="A37" s="5" t="s">
        <v>8</v>
      </c>
      <c r="B37" s="5">
        <v>545060</v>
      </c>
      <c r="C37" s="5">
        <v>10080</v>
      </c>
      <c r="D37" s="5">
        <v>2</v>
      </c>
      <c r="E37" s="6">
        <v>40601.574305555558</v>
      </c>
      <c r="F37" s="8">
        <v>0.85</v>
      </c>
      <c r="G37" s="5">
        <v>15547</v>
      </c>
      <c r="H37" s="5">
        <f t="shared" si="7"/>
        <v>2.1276595744680851E-2</v>
      </c>
      <c r="I37" s="5">
        <f t="shared" si="8"/>
        <v>-0.84312786350874136</v>
      </c>
      <c r="J37" s="5" t="str">
        <f t="shared" si="9"/>
        <v>LOW</v>
      </c>
      <c r="K37" s="8">
        <f t="shared" si="10"/>
        <v>0.10989010989010987</v>
      </c>
      <c r="L37" s="8">
        <f t="shared" si="11"/>
        <v>-0.43118590185092137</v>
      </c>
      <c r="M37" s="5" t="str">
        <f t="shared" si="12"/>
        <v>LOW</v>
      </c>
      <c r="N37" s="5">
        <v>4</v>
      </c>
      <c r="O37" s="5">
        <v>3</v>
      </c>
      <c r="P37" s="5">
        <f t="shared" si="13"/>
        <v>50941.440096541315</v>
      </c>
      <c r="Q37" s="5" cm="1">
        <f t="array" aca="1" ref="Q37" ca="1">INDEX($D$2:$D$129, RANDBETWEEN(1,128))</f>
        <v>2</v>
      </c>
      <c r="R37" s="5" cm="1">
        <f t="array" aca="1" ref="R37" ca="1">INDEX($F$2:$F$129, RANDBETWEEN(1,129))</f>
        <v>1.63</v>
      </c>
      <c r="S37" s="5"/>
      <c r="T37" s="5"/>
      <c r="U37" s="5"/>
      <c r="W37" s="30" t="s">
        <v>40</v>
      </c>
      <c r="X37" s="19" t="s">
        <v>1339</v>
      </c>
    </row>
    <row r="38" spans="1:24" x14ac:dyDescent="0.35">
      <c r="A38" s="5" t="s">
        <v>8</v>
      </c>
      <c r="B38" s="5">
        <v>546429</v>
      </c>
      <c r="C38" s="5">
        <v>15036</v>
      </c>
      <c r="D38" s="5">
        <v>12</v>
      </c>
      <c r="E38" s="6">
        <v>40615.642361111109</v>
      </c>
      <c r="F38" s="8">
        <v>0.75</v>
      </c>
      <c r="G38" s="5">
        <v>17611</v>
      </c>
      <c r="H38" s="5">
        <f t="shared" si="7"/>
        <v>0.23404255319148937</v>
      </c>
      <c r="I38" s="5">
        <f t="shared" si="8"/>
        <v>6.5076026784813848E-2</v>
      </c>
      <c r="J38" s="5" t="str">
        <f t="shared" si="9"/>
        <v>HIGH</v>
      </c>
      <c r="K38" s="8">
        <f t="shared" si="10"/>
        <v>0</v>
      </c>
      <c r="L38" s="8">
        <f t="shared" si="11"/>
        <v>-0.73456878016154581</v>
      </c>
      <c r="M38" s="5" t="str">
        <f t="shared" si="12"/>
        <v>LOW</v>
      </c>
      <c r="N38" s="5" cm="1">
        <f t="array" aca="1" ref="N38" ca="1">INDEX($N$2:$N$15,RANDBETWEEN(1, ROWS($N$2:$N$15)))</f>
        <v>2</v>
      </c>
      <c r="O38" s="5" cm="1">
        <f t="array" aca="1" ref="O38" ca="1">INDEX($O$2:$O$15,RANDBETWEEN(1, ROWS($O$2:$O$15)))</f>
        <v>4</v>
      </c>
      <c r="P38" s="5">
        <f t="shared" ca="1" si="13"/>
        <v>51642.496409242587</v>
      </c>
      <c r="Q38" s="5" cm="1">
        <f t="array" aca="1" ref="Q38" ca="1">INDEX($D$2:$D$129, RANDBETWEEN(1,128))</f>
        <v>1</v>
      </c>
      <c r="R38" s="5" cm="1">
        <f t="array" aca="1" ref="R38" ca="1">INDEX($F$2:$F$129, RANDBETWEEN(1,129))</f>
        <v>0.83</v>
      </c>
      <c r="S38" s="5"/>
      <c r="T38" s="5"/>
      <c r="U38" s="5"/>
      <c r="W38" s="30" t="s">
        <v>41</v>
      </c>
      <c r="X38" s="19" t="s">
        <v>1340</v>
      </c>
    </row>
    <row r="39" spans="1:24" x14ac:dyDescent="0.35">
      <c r="A39" s="5" t="s">
        <v>18</v>
      </c>
      <c r="B39" s="5">
        <v>546530</v>
      </c>
      <c r="C39" s="5">
        <v>15036</v>
      </c>
      <c r="D39" s="5">
        <v>12</v>
      </c>
      <c r="E39" s="6">
        <v>40616.559027777781</v>
      </c>
      <c r="F39" s="8">
        <v>0.75</v>
      </c>
      <c r="G39" s="5">
        <v>17404</v>
      </c>
      <c r="H39" s="5">
        <f t="shared" si="7"/>
        <v>0.23404255319148937</v>
      </c>
      <c r="I39" s="5">
        <f t="shared" si="8"/>
        <v>6.5076026784813848E-2</v>
      </c>
      <c r="J39" s="5" t="str">
        <f t="shared" si="9"/>
        <v>HIGH</v>
      </c>
      <c r="K39" s="8">
        <f t="shared" si="10"/>
        <v>0</v>
      </c>
      <c r="L39" s="8">
        <f t="shared" si="11"/>
        <v>-0.73456878016154581</v>
      </c>
      <c r="M39" s="5" t="str">
        <f t="shared" si="12"/>
        <v>LOW</v>
      </c>
      <c r="N39" s="5" cm="1">
        <f t="array" aca="1" ref="N39" ca="1">INDEX($N$2:$N$15,RANDBETWEEN(1, ROWS($N$2:$N$15)))</f>
        <v>4</v>
      </c>
      <c r="O39" s="5" cm="1">
        <f t="array" aca="1" ref="O39" ca="1">INDEX($O$2:$O$15,RANDBETWEEN(1, ROWS($O$2:$O$15)))</f>
        <v>3</v>
      </c>
      <c r="P39" s="5">
        <f t="shared" ca="1" si="13"/>
        <v>51633.82279813147</v>
      </c>
      <c r="Q39" s="5" cm="1">
        <f t="array" aca="1" ref="Q39" ca="1">INDEX($D$2:$D$129, RANDBETWEEN(1,128))</f>
        <v>10</v>
      </c>
      <c r="R39" s="5" cm="1">
        <f t="array" aca="1" ref="R39" ca="1">INDEX($F$2:$F$129, RANDBETWEEN(1,129))</f>
        <v>0.83</v>
      </c>
      <c r="S39" s="5"/>
      <c r="T39" s="5"/>
      <c r="U39" s="5"/>
      <c r="W39" s="13"/>
      <c r="X39" s="5"/>
    </row>
    <row r="40" spans="1:24" x14ac:dyDescent="0.35">
      <c r="A40" s="5" t="s">
        <v>8</v>
      </c>
      <c r="B40" s="5">
        <v>546731</v>
      </c>
      <c r="C40" s="5">
        <v>15036</v>
      </c>
      <c r="D40" s="5">
        <v>12</v>
      </c>
      <c r="E40" s="6">
        <v>40618.48541666667</v>
      </c>
      <c r="F40" s="8">
        <v>0.75</v>
      </c>
      <c r="G40" s="5">
        <v>13089</v>
      </c>
      <c r="H40" s="5">
        <f t="shared" si="7"/>
        <v>0.23404255319148937</v>
      </c>
      <c r="I40" s="5">
        <f t="shared" si="8"/>
        <v>6.5076026784813848E-2</v>
      </c>
      <c r="J40" s="5" t="str">
        <f t="shared" si="9"/>
        <v>HIGH</v>
      </c>
      <c r="K40" s="8">
        <f t="shared" si="10"/>
        <v>0</v>
      </c>
      <c r="L40" s="8">
        <f t="shared" si="11"/>
        <v>-0.73456878016154581</v>
      </c>
      <c r="M40" s="5" t="str">
        <f t="shared" si="12"/>
        <v>LOW</v>
      </c>
      <c r="N40" s="5" cm="1">
        <f t="array" aca="1" ref="N40" ca="1">INDEX($N$2:$N$15,RANDBETWEEN(1, ROWS($N$2:$N$15)))</f>
        <v>9</v>
      </c>
      <c r="O40" s="5" cm="1">
        <f t="array" aca="1" ref="O40" ca="1">INDEX($O$2:$O$15,RANDBETWEEN(1, ROWS($O$2:$O$15)))</f>
        <v>4</v>
      </c>
      <c r="P40" s="5">
        <f t="shared" ca="1" si="13"/>
        <v>51291.649997205554</v>
      </c>
      <c r="Q40" s="5" cm="1">
        <f t="array" aca="1" ref="Q40" ca="1">INDEX($D$2:$D$129, RANDBETWEEN(1,128))</f>
        <v>20</v>
      </c>
      <c r="R40" s="5" t="e" cm="1">
        <f t="array" aca="1" ref="R40" ca="1">INDEX($F$2:$F$129, RANDBETWEEN(1,129))</f>
        <v>#REF!</v>
      </c>
      <c r="S40" s="5"/>
      <c r="T40" s="5"/>
      <c r="U40" s="5"/>
      <c r="W40" s="30" t="s">
        <v>42</v>
      </c>
      <c r="X40" s="19" t="s">
        <v>1341</v>
      </c>
    </row>
    <row r="41" spans="1:24" x14ac:dyDescent="0.35">
      <c r="A41" s="5" t="s">
        <v>8</v>
      </c>
      <c r="B41" s="5">
        <v>546731</v>
      </c>
      <c r="C41" s="5">
        <v>15036</v>
      </c>
      <c r="D41" s="5">
        <v>24</v>
      </c>
      <c r="E41" s="6">
        <v>40618.48541666667</v>
      </c>
      <c r="F41" s="8">
        <v>0.75</v>
      </c>
      <c r="G41" s="5">
        <v>13089</v>
      </c>
      <c r="H41" s="5">
        <f t="shared" si="7"/>
        <v>0.48936170212765956</v>
      </c>
      <c r="I41" s="5">
        <f t="shared" si="8"/>
        <v>1.1549206951370801</v>
      </c>
      <c r="J41" s="5" t="str">
        <f t="shared" si="9"/>
        <v>HIGH</v>
      </c>
      <c r="K41" s="8">
        <f t="shared" si="10"/>
        <v>0</v>
      </c>
      <c r="L41" s="8">
        <f t="shared" si="11"/>
        <v>-0.73456878016154581</v>
      </c>
      <c r="M41" s="5" t="str">
        <f t="shared" si="12"/>
        <v>LOW</v>
      </c>
      <c r="N41" s="5" cm="1">
        <f t="array" aca="1" ref="N41" ca="1">INDEX($N$2:$N$15,RANDBETWEEN(1, ROWS($N$2:$N$15)))</f>
        <v>9</v>
      </c>
      <c r="O41" s="5" cm="1">
        <f t="array" aca="1" ref="O41" ca="1">INDEX($O$2:$O$15,RANDBETWEEN(1, ROWS($O$2:$O$15)))</f>
        <v>7</v>
      </c>
      <c r="P41" s="5">
        <f t="shared" ca="1" si="13"/>
        <v>51293.012094190315</v>
      </c>
      <c r="Q41" s="5" cm="1">
        <f t="array" aca="1" ref="Q41" ca="1">INDEX($D$2:$D$129, RANDBETWEEN(1,128))</f>
        <v>1</v>
      </c>
      <c r="R41" s="5" cm="1">
        <f t="array" aca="1" ref="R41" ca="1">INDEX($F$2:$F$129, RANDBETWEEN(1,129))</f>
        <v>0.83</v>
      </c>
      <c r="S41" s="5"/>
      <c r="T41" s="5"/>
      <c r="U41" s="5"/>
      <c r="W41" s="30" t="s">
        <v>43</v>
      </c>
      <c r="X41" s="19" t="s">
        <v>1342</v>
      </c>
    </row>
    <row r="42" spans="1:24" x14ac:dyDescent="0.35">
      <c r="A42" s="5" t="s">
        <v>8</v>
      </c>
      <c r="B42" s="5">
        <v>546774</v>
      </c>
      <c r="C42" s="5">
        <v>15036</v>
      </c>
      <c r="D42" s="5">
        <v>12</v>
      </c>
      <c r="E42" s="6">
        <v>40618.65625</v>
      </c>
      <c r="F42" s="8">
        <v>0.75</v>
      </c>
      <c r="G42" s="5">
        <v>14505</v>
      </c>
      <c r="H42" s="5">
        <f t="shared" si="7"/>
        <v>0.23404255319148937</v>
      </c>
      <c r="I42" s="5">
        <f t="shared" si="8"/>
        <v>6.5076026784813848E-2</v>
      </c>
      <c r="J42" s="5" t="str">
        <f t="shared" si="9"/>
        <v>HIGH</v>
      </c>
      <c r="K42" s="8">
        <f t="shared" si="10"/>
        <v>0</v>
      </c>
      <c r="L42" s="8">
        <f t="shared" si="11"/>
        <v>-0.73456878016154581</v>
      </c>
      <c r="M42" s="5" t="str">
        <f t="shared" si="12"/>
        <v>LOW</v>
      </c>
      <c r="N42" s="5" cm="1">
        <f t="array" aca="1" ref="N42" ca="1">INDEX($N$2:$N$15,RANDBETWEEN(1, ROWS($N$2:$N$15)))</f>
        <v>9</v>
      </c>
      <c r="O42" s="5" cm="1">
        <f t="array" aca="1" ref="O42" ca="1">INDEX($O$2:$O$15,RANDBETWEEN(1, ROWS($O$2:$O$15)))</f>
        <v>1</v>
      </c>
      <c r="P42" s="5">
        <f t="shared" ca="1" si="13"/>
        <v>51412.997566649989</v>
      </c>
      <c r="Q42" s="5" cm="1">
        <f t="array" aca="1" ref="Q42" ca="1">INDEX($D$2:$D$129, RANDBETWEEN(1,128))</f>
        <v>6</v>
      </c>
      <c r="R42" s="5" cm="1">
        <f t="array" aca="1" ref="R42" ca="1">INDEX($F$2:$F$129, RANDBETWEEN(1,129))</f>
        <v>0.85</v>
      </c>
      <c r="S42" s="5"/>
      <c r="T42" s="5"/>
      <c r="U42" s="5"/>
      <c r="W42" s="13"/>
      <c r="X42" s="5"/>
    </row>
    <row r="43" spans="1:24" x14ac:dyDescent="0.35">
      <c r="A43" s="5" t="s">
        <v>8</v>
      </c>
      <c r="B43" s="5">
        <v>546884</v>
      </c>
      <c r="C43" s="5">
        <v>15036</v>
      </c>
      <c r="D43" s="5">
        <v>1</v>
      </c>
      <c r="E43" s="6">
        <v>40619.755555555559</v>
      </c>
      <c r="F43" s="8">
        <v>1.63</v>
      </c>
      <c r="G43" s="5" t="s">
        <v>1331</v>
      </c>
      <c r="H43" s="5">
        <f t="shared" si="7"/>
        <v>0</v>
      </c>
      <c r="I43" s="5">
        <f t="shared" si="8"/>
        <v>-0.93394825253809688</v>
      </c>
      <c r="J43" s="5" t="str">
        <f t="shared" si="9"/>
        <v>LOW</v>
      </c>
      <c r="K43" s="8">
        <f t="shared" si="10"/>
        <v>0.96703296703296704</v>
      </c>
      <c r="L43" s="8">
        <f t="shared" si="11"/>
        <v>1.9352005489719497</v>
      </c>
      <c r="M43" s="5" t="str">
        <f t="shared" si="12"/>
        <v>HIGH</v>
      </c>
      <c r="N43" s="5" cm="1">
        <f t="array" aca="1" ref="N43" ca="1">INDEX($N$2:$N$15,RANDBETWEEN(1, ROWS($N$2:$N$15)))</f>
        <v>12</v>
      </c>
      <c r="O43" s="5" cm="1">
        <f t="array" aca="1" ref="O43" ca="1">INDEX($O$2:$O$15,RANDBETWEEN(1, ROWS($O$2:$O$15)))</f>
        <v>4</v>
      </c>
      <c r="P43" s="5">
        <f t="shared" ca="1" si="13"/>
        <v>54778.213985529001</v>
      </c>
      <c r="Q43" s="5" cm="1">
        <f t="array" aca="1" ref="Q43" ca="1">INDEX($D$2:$D$129, RANDBETWEEN(1,128))</f>
        <v>20</v>
      </c>
      <c r="R43" s="5" cm="1">
        <f t="array" aca="1" ref="R43" ca="1">INDEX($F$2:$F$129, RANDBETWEEN(1,129))</f>
        <v>0.99</v>
      </c>
      <c r="S43" s="5"/>
      <c r="T43" s="5"/>
      <c r="U43" s="5"/>
      <c r="W43" s="13"/>
      <c r="X43" s="5"/>
    </row>
    <row r="44" spans="1:24" x14ac:dyDescent="0.35">
      <c r="A44" s="5" t="s">
        <v>8</v>
      </c>
      <c r="B44" s="5">
        <v>546891</v>
      </c>
      <c r="C44" s="5">
        <v>15036</v>
      </c>
      <c r="D44" s="5">
        <v>12</v>
      </c>
      <c r="E44" s="6">
        <v>40619.762499999997</v>
      </c>
      <c r="F44" s="8">
        <v>1.63</v>
      </c>
      <c r="G44" s="5" t="s">
        <v>1331</v>
      </c>
      <c r="H44" s="5">
        <f t="shared" si="7"/>
        <v>0.23404255319148937</v>
      </c>
      <c r="I44" s="5">
        <f t="shared" si="8"/>
        <v>6.5076026784813848E-2</v>
      </c>
      <c r="J44" s="5" t="str">
        <f t="shared" si="9"/>
        <v>HIGH</v>
      </c>
      <c r="K44" s="8">
        <f t="shared" si="10"/>
        <v>0.96703296703296704</v>
      </c>
      <c r="L44" s="8">
        <f t="shared" si="11"/>
        <v>1.9352005489719497</v>
      </c>
      <c r="M44" s="5" t="str">
        <f t="shared" si="12"/>
        <v>HIGH</v>
      </c>
      <c r="N44" s="5" cm="1">
        <f t="array" aca="1" ref="N44" ca="1">INDEX($N$2:$N$15,RANDBETWEEN(1, ROWS($N$2:$N$15)))</f>
        <v>11</v>
      </c>
      <c r="O44" s="5" cm="1">
        <f t="array" aca="1" ref="O44" ca="1">INDEX($O$2:$O$15,RANDBETWEEN(1, ROWS($O$2:$O$15)))</f>
        <v>7</v>
      </c>
      <c r="P44" s="5">
        <f t="shared" ca="1" si="13"/>
        <v>54780.144895645091</v>
      </c>
      <c r="Q44" s="5" cm="1">
        <f t="array" aca="1" ref="Q44" ca="1">INDEX($D$2:$D$129, RANDBETWEEN(1,128))</f>
        <v>3</v>
      </c>
      <c r="R44" s="5" cm="1">
        <f t="array" aca="1" ref="R44" ca="1">INDEX($F$2:$F$129, RANDBETWEEN(1,129))</f>
        <v>0.83</v>
      </c>
      <c r="S44" s="5"/>
      <c r="T44" s="5"/>
      <c r="U44" s="5"/>
      <c r="W44" s="30" t="s">
        <v>44</v>
      </c>
      <c r="X44" s="19">
        <f>_xlfn.STDEV.S(D:D)</f>
        <v>11.010743410015277</v>
      </c>
    </row>
    <row r="45" spans="1:24" x14ac:dyDescent="0.35">
      <c r="A45" s="5" t="s">
        <v>8</v>
      </c>
      <c r="B45" s="5">
        <v>546892</v>
      </c>
      <c r="C45" s="5">
        <v>15036</v>
      </c>
      <c r="D45" s="5">
        <v>4</v>
      </c>
      <c r="E45" s="6">
        <v>40619.763888888891</v>
      </c>
      <c r="F45" s="8">
        <v>1.63</v>
      </c>
      <c r="G45" s="5" t="s">
        <v>1331</v>
      </c>
      <c r="H45" s="5">
        <f t="shared" si="7"/>
        <v>6.3829787234042548E-2</v>
      </c>
      <c r="I45" s="5">
        <f t="shared" si="8"/>
        <v>-0.66148708545003032</v>
      </c>
      <c r="J45" s="5" t="str">
        <f t="shared" si="9"/>
        <v>LOW</v>
      </c>
      <c r="K45" s="8">
        <f t="shared" si="10"/>
        <v>0.96703296703296704</v>
      </c>
      <c r="L45" s="8">
        <f t="shared" si="11"/>
        <v>1.9352005489719497</v>
      </c>
      <c r="M45" s="5" t="str">
        <f t="shared" si="12"/>
        <v>HIGH</v>
      </c>
      <c r="N45" s="5" cm="1">
        <f t="array" aca="1" ref="N45" ca="1">INDEX($N$2:$N$15,RANDBETWEEN(1, ROWS($N$2:$N$15)))</f>
        <v>11</v>
      </c>
      <c r="O45" s="5" cm="1">
        <f t="array" aca="1" ref="O45" ca="1">INDEX($O$2:$O$15,RANDBETWEEN(1, ROWS($O$2:$O$15)))</f>
        <v>4</v>
      </c>
      <c r="P45" s="5">
        <f t="shared" ca="1" si="13"/>
        <v>54779.154405918787</v>
      </c>
      <c r="Q45" s="5" cm="1">
        <f t="array" aca="1" ref="Q45" ca="1">INDEX($D$2:$D$129, RANDBETWEEN(1,128))</f>
        <v>2</v>
      </c>
      <c r="R45" s="5" cm="1">
        <f t="array" aca="1" ref="R45" ca="1">INDEX($F$2:$F$129, RANDBETWEEN(1,129))</f>
        <v>0.85</v>
      </c>
      <c r="S45" s="5"/>
      <c r="T45" s="5"/>
      <c r="U45" s="5"/>
      <c r="W45" s="30" t="s">
        <v>45</v>
      </c>
      <c r="X45" s="19">
        <f>_xlfn.STDEV.S(F:F)</f>
        <v>0.32961649173099689</v>
      </c>
    </row>
    <row r="46" spans="1:24" x14ac:dyDescent="0.35">
      <c r="A46" s="5" t="s">
        <v>8</v>
      </c>
      <c r="B46" s="5">
        <v>546896</v>
      </c>
      <c r="C46" s="5">
        <v>15036</v>
      </c>
      <c r="D46" s="5">
        <v>17</v>
      </c>
      <c r="E46" s="6">
        <v>40619.76666666667</v>
      </c>
      <c r="F46" s="12">
        <v>0.99</v>
      </c>
      <c r="G46" s="5" t="s">
        <v>1331</v>
      </c>
      <c r="H46" s="5">
        <f t="shared" si="7"/>
        <v>0.34042553191489361</v>
      </c>
      <c r="I46" s="5">
        <f t="shared" si="8"/>
        <v>0.51917797193159143</v>
      </c>
      <c r="J46" s="5" t="str">
        <f t="shared" si="9"/>
        <v>HIGH</v>
      </c>
      <c r="K46" s="8">
        <f t="shared" si="10"/>
        <v>0.26373626373626374</v>
      </c>
      <c r="L46" s="8">
        <f t="shared" si="11"/>
        <v>-6.4498722160469908E-3</v>
      </c>
      <c r="M46" s="5" t="str">
        <f t="shared" si="12"/>
        <v>LOW</v>
      </c>
      <c r="N46" s="5" cm="1">
        <f t="array" aca="1" ref="N46" ca="1">INDEX($N$2:$N$15,RANDBETWEEN(1, ROWS($N$2:$N$15)))</f>
        <v>2</v>
      </c>
      <c r="O46" s="5" cm="1">
        <f t="array" aca="1" ref="O46" ca="1">INDEX($O$2:$O$15,RANDBETWEEN(1, ROWS($O$2:$O$15)))</f>
        <v>4</v>
      </c>
      <c r="P46" s="5">
        <f t="shared" ca="1" si="13"/>
        <v>54779.715777869285</v>
      </c>
      <c r="Q46" s="5" cm="1">
        <f t="array" aca="1" ref="Q46" ca="1">INDEX($D$2:$D$129, RANDBETWEEN(1,128))</f>
        <v>1</v>
      </c>
      <c r="R46" s="5" cm="1">
        <f t="array" aca="1" ref="R46" ca="1">INDEX($F$2:$F$129, RANDBETWEEN(1,129))</f>
        <v>0.85</v>
      </c>
      <c r="S46" s="5"/>
      <c r="T46" s="5"/>
      <c r="U46" s="5"/>
      <c r="W46" s="13"/>
      <c r="X46" s="5"/>
    </row>
    <row r="47" spans="1:24" x14ac:dyDescent="0.35">
      <c r="A47" s="5" t="s">
        <v>8</v>
      </c>
      <c r="B47" s="5">
        <v>547000</v>
      </c>
      <c r="C47" s="5">
        <v>15036</v>
      </c>
      <c r="D47" s="5">
        <v>12</v>
      </c>
      <c r="E47" s="6">
        <v>40620.57708333333</v>
      </c>
      <c r="F47" s="8">
        <v>0.75</v>
      </c>
      <c r="G47" s="5">
        <v>14282</v>
      </c>
      <c r="H47" s="5">
        <f t="shared" si="7"/>
        <v>0.23404255319148937</v>
      </c>
      <c r="I47" s="5">
        <f t="shared" si="8"/>
        <v>6.5076026784813848E-2</v>
      </c>
      <c r="J47" s="5" t="str">
        <f t="shared" si="9"/>
        <v>HIGH</v>
      </c>
      <c r="K47" s="8">
        <f t="shared" si="10"/>
        <v>0</v>
      </c>
      <c r="L47" s="8">
        <f t="shared" si="11"/>
        <v>-0.73456878016154581</v>
      </c>
      <c r="M47" s="5" t="str">
        <f t="shared" si="12"/>
        <v>LOW</v>
      </c>
      <c r="N47" s="5" cm="1">
        <f t="array" aca="1" ref="N47" ca="1">INDEX($N$2:$N$15,RANDBETWEEN(1, ROWS($N$2:$N$15)))</f>
        <v>4</v>
      </c>
      <c r="O47" s="5" cm="1">
        <f t="array" aca="1" ref="O47" ca="1">INDEX($O$2:$O$15,RANDBETWEEN(1, ROWS($O$2:$O$15)))</f>
        <v>4</v>
      </c>
      <c r="P47" s="5">
        <f t="shared" ca="1" si="13"/>
        <v>51413.240969427767</v>
      </c>
      <c r="Q47" s="5" cm="1">
        <f t="array" aca="1" ref="Q47" ca="1">INDEX($D$2:$D$129, RANDBETWEEN(1,128))</f>
        <v>12</v>
      </c>
      <c r="R47" s="5" cm="1">
        <f t="array" aca="1" ref="R47" ca="1">INDEX($F$2:$F$129, RANDBETWEEN(1,129))</f>
        <v>0.83</v>
      </c>
      <c r="S47" s="5"/>
      <c r="T47" s="5"/>
      <c r="U47" s="5"/>
      <c r="W47" s="30" t="s">
        <v>46</v>
      </c>
      <c r="X47" s="19">
        <f>($D$2-$X$21)/$X$44</f>
        <v>3.3346100318416125</v>
      </c>
    </row>
    <row r="48" spans="1:24" x14ac:dyDescent="0.35">
      <c r="A48" s="5" t="s">
        <v>8</v>
      </c>
      <c r="B48" s="5">
        <v>547062</v>
      </c>
      <c r="C48" s="5">
        <v>15036</v>
      </c>
      <c r="D48" s="5">
        <v>12</v>
      </c>
      <c r="E48" s="6">
        <v>40622.561111111114</v>
      </c>
      <c r="F48" s="8">
        <v>0.75</v>
      </c>
      <c r="G48" s="5">
        <v>16728</v>
      </c>
      <c r="H48" s="5">
        <f t="shared" si="7"/>
        <v>0.23404255319148937</v>
      </c>
      <c r="I48" s="5">
        <f t="shared" si="8"/>
        <v>6.5076026784813848E-2</v>
      </c>
      <c r="J48" s="5" t="str">
        <f t="shared" si="9"/>
        <v>HIGH</v>
      </c>
      <c r="K48" s="8">
        <f t="shared" si="10"/>
        <v>0</v>
      </c>
      <c r="L48" s="8">
        <f t="shared" si="11"/>
        <v>-0.73456878016154581</v>
      </c>
      <c r="M48" s="5" t="str">
        <f t="shared" si="12"/>
        <v>LOW</v>
      </c>
      <c r="N48" s="5" cm="1">
        <f t="array" aca="1" ref="N48" ca="1">INDEX($N$2:$N$15,RANDBETWEEN(1, ROWS($N$2:$N$15)))</f>
        <v>4</v>
      </c>
      <c r="O48" s="5" cm="1">
        <f t="array" aca="1" ref="O48" ca="1">INDEX($O$2:$O$15,RANDBETWEEN(1, ROWS($O$2:$O$15)))</f>
        <v>5</v>
      </c>
      <c r="P48" s="5">
        <f t="shared" ca="1" si="13"/>
        <v>51622.48963840925</v>
      </c>
      <c r="Q48" s="5" cm="1">
        <f t="array" aca="1" ref="Q48" ca="1">INDEX($D$2:$D$129, RANDBETWEEN(1,128))</f>
        <v>2</v>
      </c>
      <c r="R48" s="5" cm="1">
        <f t="array" aca="1" ref="R48" ca="1">INDEX($F$2:$F$129, RANDBETWEEN(1,129))</f>
        <v>0.81</v>
      </c>
      <c r="S48" s="5"/>
      <c r="T48" s="5"/>
      <c r="U48" s="5"/>
      <c r="W48" s="30" t="s">
        <v>47</v>
      </c>
      <c r="X48" s="31">
        <f>($F$2-$X$22)/$X$45</f>
        <v>-0.43118590185092137</v>
      </c>
    </row>
    <row r="49" spans="1:21" x14ac:dyDescent="0.35">
      <c r="A49" s="5" t="s">
        <v>8</v>
      </c>
      <c r="B49" s="5">
        <v>547078</v>
      </c>
      <c r="C49" s="5">
        <v>15036</v>
      </c>
      <c r="D49" s="5">
        <v>24</v>
      </c>
      <c r="E49" s="6">
        <v>40622.611805555556</v>
      </c>
      <c r="F49" s="8">
        <v>0.75</v>
      </c>
      <c r="G49" s="5">
        <v>14408</v>
      </c>
      <c r="H49" s="5">
        <f t="shared" si="7"/>
        <v>0.48936170212765956</v>
      </c>
      <c r="I49" s="5">
        <f t="shared" si="8"/>
        <v>1.1549206951370801</v>
      </c>
      <c r="J49" s="5" t="str">
        <f t="shared" si="9"/>
        <v>HIGH</v>
      </c>
      <c r="K49" s="8">
        <f t="shared" si="10"/>
        <v>0</v>
      </c>
      <c r="L49" s="8">
        <f t="shared" si="11"/>
        <v>-0.73456878016154581</v>
      </c>
      <c r="M49" s="5" t="str">
        <f t="shared" si="12"/>
        <v>LOW</v>
      </c>
      <c r="N49" s="5" cm="1">
        <f t="array" aca="1" ref="N49" ca="1">INDEX($N$2:$N$15,RANDBETWEEN(1, ROWS($N$2:$N$15)))</f>
        <v>9</v>
      </c>
      <c r="O49" s="5" cm="1">
        <f t="array" aca="1" ref="O49" ca="1">INDEX($O$2:$O$15,RANDBETWEEN(1, ROWS($O$2:$O$15)))</f>
        <v>7</v>
      </c>
      <c r="P49" s="5">
        <f t="shared" ca="1" si="13"/>
        <v>51432.189293264382</v>
      </c>
      <c r="Q49" s="5" cm="1">
        <f t="array" aca="1" ref="Q49" ca="1">INDEX($D$2:$D$129, RANDBETWEEN(1,128))</f>
        <v>12</v>
      </c>
      <c r="R49" s="5" cm="1">
        <f t="array" aca="1" ref="R49" ca="1">INDEX($F$2:$F$129, RANDBETWEEN(1,129))</f>
        <v>0.85</v>
      </c>
      <c r="S49" s="5"/>
      <c r="T49" s="5"/>
      <c r="U49" s="5"/>
    </row>
    <row r="50" spans="1:21" x14ac:dyDescent="0.35">
      <c r="A50" s="5" t="s">
        <v>8</v>
      </c>
      <c r="B50" s="5">
        <v>547200</v>
      </c>
      <c r="C50" s="5">
        <v>15036</v>
      </c>
      <c r="D50" s="5">
        <v>24</v>
      </c>
      <c r="E50" s="6">
        <v>40623.542361111111</v>
      </c>
      <c r="F50" s="8">
        <v>0.75</v>
      </c>
      <c r="G50" s="5">
        <v>16036</v>
      </c>
      <c r="H50" s="5">
        <f t="shared" si="7"/>
        <v>0.48936170212765956</v>
      </c>
      <c r="I50" s="5">
        <f t="shared" si="8"/>
        <v>1.1549206951370801</v>
      </c>
      <c r="J50" s="5" t="str">
        <f t="shared" si="9"/>
        <v>HIGH</v>
      </c>
      <c r="K50" s="8">
        <f t="shared" si="10"/>
        <v>0</v>
      </c>
      <c r="L50" s="8">
        <f t="shared" si="11"/>
        <v>-0.73456878016154581</v>
      </c>
      <c r="M50" s="5" t="str">
        <f t="shared" si="12"/>
        <v>LOW</v>
      </c>
      <c r="N50" s="5" cm="1">
        <f t="array" aca="1" ref="N50" ca="1">INDEX($N$2:$N$15,RANDBETWEEN(1, ROWS($N$2:$N$15)))</f>
        <v>8</v>
      </c>
      <c r="O50" s="5" cm="1">
        <f t="array" aca="1" ref="O50" ca="1">INDEX($O$2:$O$15,RANDBETWEEN(1, ROWS($O$2:$O$15)))</f>
        <v>1</v>
      </c>
      <c r="P50" s="5">
        <f t="shared" ca="1" si="13"/>
        <v>51577.516839560682</v>
      </c>
      <c r="Q50" s="5" cm="1">
        <f t="array" aca="1" ref="Q50" ca="1">INDEX($D$2:$D$129, RANDBETWEEN(1,128))</f>
        <v>10</v>
      </c>
      <c r="R50" s="5" cm="1">
        <f t="array" aca="1" ref="R50" ca="1">INDEX($F$2:$F$129, RANDBETWEEN(1,129))</f>
        <v>0.85</v>
      </c>
      <c r="S50" s="5"/>
      <c r="T50" s="5"/>
      <c r="U50" s="5"/>
    </row>
    <row r="51" spans="1:21" x14ac:dyDescent="0.35">
      <c r="A51" s="5" t="s">
        <v>8</v>
      </c>
      <c r="B51" s="5">
        <v>547248</v>
      </c>
      <c r="C51" s="5">
        <v>15036</v>
      </c>
      <c r="D51" s="5">
        <v>11</v>
      </c>
      <c r="E51" s="6">
        <v>40624.390972222223</v>
      </c>
      <c r="F51" s="8">
        <v>1.63</v>
      </c>
      <c r="G51" s="5" t="s">
        <v>1331</v>
      </c>
      <c r="H51" s="5">
        <f t="shared" si="7"/>
        <v>0.21276595744680851</v>
      </c>
      <c r="I51" s="5">
        <f t="shared" si="8"/>
        <v>-2.5744362244541675E-2</v>
      </c>
      <c r="J51" s="5" t="str">
        <f t="shared" si="9"/>
        <v>LOW</v>
      </c>
      <c r="K51" s="8">
        <f t="shared" si="10"/>
        <v>0.96703296703296704</v>
      </c>
      <c r="L51" s="8">
        <f t="shared" si="11"/>
        <v>1.9352005489719497</v>
      </c>
      <c r="M51" s="5" t="str">
        <f t="shared" si="12"/>
        <v>HIGH</v>
      </c>
      <c r="N51" s="5" cm="1">
        <f t="array" aca="1" ref="N51" ca="1">INDEX($N$2:$N$15,RANDBETWEEN(1, ROWS($N$2:$N$15)))</f>
        <v>2</v>
      </c>
      <c r="O51" s="5" cm="1">
        <f t="array" aca="1" ref="O51" ca="1">INDEX($O$2:$O$15,RANDBETWEEN(1, ROWS($O$2:$O$15)))</f>
        <v>1</v>
      </c>
      <c r="P51" s="5">
        <f t="shared" ca="1" si="13"/>
        <v>54811.555475212124</v>
      </c>
      <c r="Q51" s="5" cm="1">
        <f t="array" aca="1" ref="Q51" ca="1">INDEX($D$2:$D$129, RANDBETWEEN(1,128))</f>
        <v>5</v>
      </c>
      <c r="R51" s="5" cm="1">
        <f t="array" aca="1" ref="R51" ca="1">INDEX($F$2:$F$129, RANDBETWEEN(1,129))</f>
        <v>1.63</v>
      </c>
      <c r="S51" s="5"/>
      <c r="T51" s="5"/>
      <c r="U51" s="5"/>
    </row>
    <row r="52" spans="1:21" x14ac:dyDescent="0.35">
      <c r="A52" s="5" t="s">
        <v>8</v>
      </c>
      <c r="B52" s="5">
        <v>547249</v>
      </c>
      <c r="C52" s="5">
        <v>15036</v>
      </c>
      <c r="D52" s="5">
        <v>12</v>
      </c>
      <c r="E52" s="6">
        <v>40624.393750000003</v>
      </c>
      <c r="F52" s="8">
        <v>1.63</v>
      </c>
      <c r="G52" s="5" t="s">
        <v>1331</v>
      </c>
      <c r="H52" s="5">
        <f t="shared" si="7"/>
        <v>0.23404255319148937</v>
      </c>
      <c r="I52" s="5">
        <f t="shared" si="8"/>
        <v>6.5076026784813848E-2</v>
      </c>
      <c r="J52" s="5" t="str">
        <f t="shared" si="9"/>
        <v>HIGH</v>
      </c>
      <c r="K52" s="8">
        <f t="shared" si="10"/>
        <v>0.96703296703296704</v>
      </c>
      <c r="L52" s="8">
        <f t="shared" si="11"/>
        <v>1.9352005489719497</v>
      </c>
      <c r="M52" s="5" t="str">
        <f t="shared" si="12"/>
        <v>HIGH</v>
      </c>
      <c r="N52" s="5" cm="1">
        <f t="array" aca="1" ref="N52" ca="1">INDEX($N$2:$N$15,RANDBETWEEN(1, ROWS($N$2:$N$15)))</f>
        <v>11</v>
      </c>
      <c r="O52" s="5" cm="1">
        <f t="array" aca="1" ref="O52" ca="1">INDEX($O$2:$O$15,RANDBETWEEN(1, ROWS($O$2:$O$15)))</f>
        <v>7</v>
      </c>
      <c r="P52" s="5">
        <f t="shared" ca="1" si="13"/>
        <v>54813.111372917825</v>
      </c>
      <c r="Q52" s="5" cm="1">
        <f t="array" aca="1" ref="Q52" ca="1">INDEX($D$2:$D$129, RANDBETWEEN(1,128))</f>
        <v>12</v>
      </c>
      <c r="R52" s="5" cm="1">
        <f t="array" aca="1" ref="R52" ca="1">INDEX($F$2:$F$129, RANDBETWEEN(1,129))</f>
        <v>0.81</v>
      </c>
      <c r="S52" s="5"/>
      <c r="T52" s="5"/>
      <c r="U52" s="5"/>
    </row>
    <row r="53" spans="1:21" x14ac:dyDescent="0.35">
      <c r="A53" s="5" t="s">
        <v>8</v>
      </c>
      <c r="B53" s="5">
        <v>547385</v>
      </c>
      <c r="C53" s="5">
        <v>15036</v>
      </c>
      <c r="D53" s="5">
        <v>22</v>
      </c>
      <c r="E53" s="6">
        <v>40624.658333333333</v>
      </c>
      <c r="F53" s="8">
        <v>1.63</v>
      </c>
      <c r="G53" s="5" t="s">
        <v>1331</v>
      </c>
      <c r="H53" s="5">
        <f t="shared" si="7"/>
        <v>0.44680851063829785</v>
      </c>
      <c r="I53" s="5">
        <f t="shared" si="8"/>
        <v>0.97327991707836903</v>
      </c>
      <c r="J53" s="5" t="str">
        <f t="shared" si="9"/>
        <v>HIGH</v>
      </c>
      <c r="K53" s="8">
        <f t="shared" si="10"/>
        <v>0.96703296703296704</v>
      </c>
      <c r="L53" s="8">
        <f t="shared" si="11"/>
        <v>1.9352005489719497</v>
      </c>
      <c r="M53" s="5" t="str">
        <f t="shared" si="12"/>
        <v>HIGH</v>
      </c>
      <c r="N53" s="5" cm="1">
        <f t="array" aca="1" ref="N53" ca="1">INDEX($N$2:$N$15,RANDBETWEEN(1, ROWS($N$2:$N$15)))</f>
        <v>12</v>
      </c>
      <c r="O53" s="5" cm="1">
        <f t="array" aca="1" ref="O53" ca="1">INDEX($O$2:$O$15,RANDBETWEEN(1, ROWS($O$2:$O$15)))</f>
        <v>1</v>
      </c>
      <c r="P53" s="5">
        <f t="shared" ca="1" si="13"/>
        <v>54826.055514116095</v>
      </c>
      <c r="Q53" s="5" cm="1">
        <f t="array" aca="1" ref="Q53" ca="1">INDEX($D$2:$D$129, RANDBETWEEN(1,128))</f>
        <v>1</v>
      </c>
      <c r="R53" s="5" cm="1">
        <f t="array" aca="1" ref="R53" ca="1">INDEX($F$2:$F$129, RANDBETWEEN(1,129))</f>
        <v>0.85</v>
      </c>
      <c r="S53" s="5"/>
      <c r="T53" s="5"/>
      <c r="U53" s="5"/>
    </row>
    <row r="54" spans="1:21" x14ac:dyDescent="0.35">
      <c r="A54" s="5" t="s">
        <v>8</v>
      </c>
      <c r="B54" s="5">
        <v>547386</v>
      </c>
      <c r="C54" s="5">
        <v>15036</v>
      </c>
      <c r="D54" s="5">
        <v>6</v>
      </c>
      <c r="E54" s="6">
        <v>40624.661111111112</v>
      </c>
      <c r="F54" s="8">
        <v>1.63</v>
      </c>
      <c r="G54" s="5" t="s">
        <v>1331</v>
      </c>
      <c r="H54" s="5">
        <f t="shared" si="7"/>
        <v>0.10638297872340426</v>
      </c>
      <c r="I54" s="5">
        <f t="shared" si="8"/>
        <v>-0.47984630739131928</v>
      </c>
      <c r="J54" s="5" t="str">
        <f t="shared" si="9"/>
        <v>LOW</v>
      </c>
      <c r="K54" s="8">
        <f t="shared" si="10"/>
        <v>0.96703296703296704</v>
      </c>
      <c r="L54" s="8">
        <f t="shared" si="11"/>
        <v>1.9352005489719497</v>
      </c>
      <c r="M54" s="5" t="str">
        <f t="shared" si="12"/>
        <v>HIGH</v>
      </c>
      <c r="N54" s="5" cm="1">
        <f t="array" aca="1" ref="N54" ca="1">INDEX($N$2:$N$15,RANDBETWEEN(1, ROWS($N$2:$N$15)))</f>
        <v>8</v>
      </c>
      <c r="O54" s="5" cm="1">
        <f t="array" aca="1" ref="O54" ca="1">INDEX($O$2:$O$15,RANDBETWEEN(1, ROWS($O$2:$O$15)))</f>
        <v>3</v>
      </c>
      <c r="P54" s="5">
        <f t="shared" ca="1" si="13"/>
        <v>54824.347261936215</v>
      </c>
      <c r="Q54" s="5" cm="1">
        <f t="array" aca="1" ref="Q54" ca="1">INDEX($D$2:$D$129, RANDBETWEEN(1,128))</f>
        <v>1</v>
      </c>
      <c r="R54" s="5" cm="1">
        <f t="array" aca="1" ref="R54" ca="1">INDEX($F$2:$F$129, RANDBETWEEN(1,129))</f>
        <v>1.63</v>
      </c>
      <c r="S54" s="5"/>
      <c r="T54" s="5"/>
      <c r="U54" s="5"/>
    </row>
    <row r="55" spans="1:21" x14ac:dyDescent="0.35">
      <c r="A55" s="5" t="s">
        <v>8</v>
      </c>
      <c r="B55" s="5">
        <v>547862</v>
      </c>
      <c r="C55" s="5" t="s">
        <v>1331</v>
      </c>
      <c r="D55" s="5">
        <v>12</v>
      </c>
      <c r="E55" s="6">
        <v>40629.537499999999</v>
      </c>
      <c r="F55" s="8">
        <v>0.75</v>
      </c>
      <c r="G55" s="5">
        <v>12841</v>
      </c>
      <c r="H55" s="5">
        <f t="shared" si="7"/>
        <v>0.23404255319148937</v>
      </c>
      <c r="I55" s="5">
        <f t="shared" si="8"/>
        <v>6.5076026784813848E-2</v>
      </c>
      <c r="J55" s="5" t="str">
        <f t="shared" si="9"/>
        <v>HIGH</v>
      </c>
      <c r="K55" s="8">
        <f t="shared" si="10"/>
        <v>0</v>
      </c>
      <c r="L55" s="8">
        <f t="shared" si="11"/>
        <v>-0.73456878016154581</v>
      </c>
      <c r="M55" s="5" t="str">
        <f t="shared" si="12"/>
        <v>LOW</v>
      </c>
      <c r="N55" s="5" cm="1">
        <f t="array" aca="1" ref="N55" ca="1">INDEX($N$2:$N$15,RANDBETWEEN(1, ROWS($N$2:$N$15)))</f>
        <v>9</v>
      </c>
      <c r="O55" s="5" cm="1">
        <f t="array" aca="1" ref="O55" ca="1">INDEX($O$2:$O$15,RANDBETWEEN(1, ROWS($O$2:$O$15)))</f>
        <v>1</v>
      </c>
      <c r="P55" s="5">
        <f t="shared" ca="1" si="13"/>
        <v>54668.622913618172</v>
      </c>
      <c r="Q55" s="5" cm="1">
        <f t="array" aca="1" ref="Q55" ca="1">INDEX($D$2:$D$129, RANDBETWEEN(1,128))</f>
        <v>4</v>
      </c>
      <c r="R55" s="5" cm="1">
        <f t="array" aca="1" ref="R55" ca="1">INDEX($F$2:$F$129, RANDBETWEEN(1,129))</f>
        <v>1.63</v>
      </c>
      <c r="S55" s="5"/>
      <c r="T55" s="5"/>
      <c r="U55" s="5"/>
    </row>
    <row r="56" spans="1:21" x14ac:dyDescent="0.35">
      <c r="A56" s="5" t="s">
        <v>8</v>
      </c>
      <c r="B56" s="5">
        <v>547879</v>
      </c>
      <c r="C56" s="5">
        <v>15036</v>
      </c>
      <c r="D56" s="5">
        <v>12</v>
      </c>
      <c r="E56" s="6">
        <v>40629.668749999997</v>
      </c>
      <c r="F56" s="8">
        <v>0.75</v>
      </c>
      <c r="G56" s="5">
        <v>12877</v>
      </c>
      <c r="H56" s="5">
        <f t="shared" si="7"/>
        <v>0.23404255319148937</v>
      </c>
      <c r="I56" s="5">
        <f t="shared" si="8"/>
        <v>6.5076026784813848E-2</v>
      </c>
      <c r="J56" s="5" t="str">
        <f t="shared" si="9"/>
        <v>HIGH</v>
      </c>
      <c r="K56" s="8">
        <f t="shared" si="10"/>
        <v>0</v>
      </c>
      <c r="L56" s="8">
        <f t="shared" si="11"/>
        <v>-0.73456878016154581</v>
      </c>
      <c r="M56" s="5" t="str">
        <f t="shared" si="12"/>
        <v>LOW</v>
      </c>
      <c r="N56" s="5" cm="1">
        <f t="array" aca="1" ref="N56" ca="1">INDEX($N$2:$N$15,RANDBETWEEN(1, ROWS($N$2:$N$15)))</f>
        <v>8</v>
      </c>
      <c r="O56" s="5" cm="1">
        <f t="array" aca="1" ref="O56" ca="1">INDEX($O$2:$O$15,RANDBETWEEN(1, ROWS($O$2:$O$15)))</f>
        <v>1</v>
      </c>
      <c r="P56" s="5">
        <f t="shared" ca="1" si="13"/>
        <v>51370.248608316651</v>
      </c>
      <c r="Q56" s="5" cm="1">
        <f t="array" aca="1" ref="Q56" ca="1">INDEX($D$2:$D$129, RANDBETWEEN(1,128))</f>
        <v>2</v>
      </c>
      <c r="R56" s="5" cm="1">
        <f t="array" aca="1" ref="R56" ca="1">INDEX($F$2:$F$129, RANDBETWEEN(1,129))</f>
        <v>0.81</v>
      </c>
      <c r="S56" s="5"/>
      <c r="T56" s="5"/>
      <c r="U56" s="5"/>
    </row>
    <row r="57" spans="1:21" x14ac:dyDescent="0.35">
      <c r="A57" s="5" t="s">
        <v>21</v>
      </c>
      <c r="B57" s="5">
        <v>547925</v>
      </c>
      <c r="C57" s="5">
        <v>15036</v>
      </c>
      <c r="D57" s="5">
        <v>24</v>
      </c>
      <c r="E57" s="6">
        <v>40630.581250000003</v>
      </c>
      <c r="F57" s="8">
        <v>0.75</v>
      </c>
      <c r="G57" s="5">
        <v>12481</v>
      </c>
      <c r="H57" s="5">
        <f t="shared" si="7"/>
        <v>0.48936170212765956</v>
      </c>
      <c r="I57" s="5">
        <f t="shared" si="8"/>
        <v>1.1549206951370801</v>
      </c>
      <c r="J57" s="5" t="str">
        <f t="shared" si="9"/>
        <v>HIGH</v>
      </c>
      <c r="K57" s="8">
        <f t="shared" si="10"/>
        <v>0</v>
      </c>
      <c r="L57" s="8">
        <f t="shared" si="11"/>
        <v>-0.73456878016154581</v>
      </c>
      <c r="M57" s="5" t="str">
        <f t="shared" si="12"/>
        <v>LOW</v>
      </c>
      <c r="N57" s="5" cm="1">
        <f t="array" aca="1" ref="N57" ca="1">INDEX($N$2:$N$15,RANDBETWEEN(1, ROWS($N$2:$N$15)))</f>
        <v>12</v>
      </c>
      <c r="O57" s="5" cm="1">
        <f t="array" aca="1" ref="O57" ca="1">INDEX($O$2:$O$15,RANDBETWEEN(1, ROWS($O$2:$O$15)))</f>
        <v>1</v>
      </c>
      <c r="P57" s="5">
        <f t="shared" ca="1" si="13"/>
        <v>51342.603413634759</v>
      </c>
      <c r="Q57" s="5" cm="1">
        <f t="array" aca="1" ref="Q57" ca="1">INDEX($D$2:$D$129, RANDBETWEEN(1,128))</f>
        <v>6</v>
      </c>
      <c r="R57" s="5" cm="1">
        <f t="array" aca="1" ref="R57" ca="1">INDEX($F$2:$F$129, RANDBETWEEN(1,129))</f>
        <v>1.66</v>
      </c>
      <c r="S57" s="5"/>
      <c r="T57" s="5"/>
      <c r="U57" s="5"/>
    </row>
    <row r="58" spans="1:21" x14ac:dyDescent="0.35">
      <c r="A58" s="5" t="s">
        <v>8</v>
      </c>
      <c r="B58" s="5">
        <v>547967</v>
      </c>
      <c r="C58" s="5">
        <v>15036</v>
      </c>
      <c r="D58" s="5">
        <v>4</v>
      </c>
      <c r="E58" s="6">
        <v>40630.65902777778</v>
      </c>
      <c r="F58" s="8">
        <v>1.63</v>
      </c>
      <c r="G58" s="5" t="s">
        <v>1331</v>
      </c>
      <c r="H58" s="5">
        <f t="shared" si="7"/>
        <v>6.3829787234042548E-2</v>
      </c>
      <c r="I58" s="5">
        <f t="shared" si="8"/>
        <v>-0.66148708545003032</v>
      </c>
      <c r="J58" s="5" t="str">
        <f t="shared" si="9"/>
        <v>LOW</v>
      </c>
      <c r="K58" s="8">
        <f t="shared" si="10"/>
        <v>0.96703296703296704</v>
      </c>
      <c r="L58" s="8">
        <f t="shared" si="11"/>
        <v>1.9352005489719497</v>
      </c>
      <c r="M58" s="5" t="str">
        <f t="shared" si="12"/>
        <v>HIGH</v>
      </c>
      <c r="N58" s="5" cm="1">
        <f t="array" aca="1" ref="N58" ca="1">INDEX($N$2:$N$15,RANDBETWEEN(1, ROWS($N$2:$N$15)))</f>
        <v>12</v>
      </c>
      <c r="O58" s="5" cm="1">
        <f t="array" aca="1" ref="O58" ca="1">INDEX($O$2:$O$15,RANDBETWEEN(1, ROWS($O$2:$O$15)))</f>
        <v>4</v>
      </c>
      <c r="P58" s="5">
        <f t="shared" ca="1" si="13"/>
        <v>54877.96305490868</v>
      </c>
      <c r="Q58" s="5" cm="1">
        <f t="array" aca="1" ref="Q58" ca="1">INDEX($D$2:$D$129, RANDBETWEEN(1,128))</f>
        <v>12</v>
      </c>
      <c r="R58" s="5" cm="1">
        <f t="array" aca="1" ref="R58" ca="1">INDEX($F$2:$F$129, RANDBETWEEN(1,129))</f>
        <v>0.85</v>
      </c>
      <c r="S58" s="5"/>
      <c r="T58" s="5"/>
      <c r="U58" s="5"/>
    </row>
    <row r="59" spans="1:21" x14ac:dyDescent="0.35">
      <c r="A59" s="5" t="s">
        <v>8</v>
      </c>
      <c r="B59" s="5">
        <v>548310</v>
      </c>
      <c r="C59" s="5">
        <v>15036</v>
      </c>
      <c r="D59" s="5">
        <v>12</v>
      </c>
      <c r="E59" s="6">
        <v>40632.50277777778</v>
      </c>
      <c r="F59" s="8">
        <v>0.83</v>
      </c>
      <c r="G59" s="5" t="s">
        <v>1331</v>
      </c>
      <c r="H59" s="5">
        <f t="shared" si="7"/>
        <v>0.23404255319148937</v>
      </c>
      <c r="I59" s="5">
        <f t="shared" si="8"/>
        <v>6.5076026784813848E-2</v>
      </c>
      <c r="J59" s="5" t="str">
        <f t="shared" si="9"/>
        <v>HIGH</v>
      </c>
      <c r="K59" s="8">
        <f t="shared" si="10"/>
        <v>8.7912087912087877E-2</v>
      </c>
      <c r="L59" s="8">
        <f t="shared" si="11"/>
        <v>-0.49186247751304629</v>
      </c>
      <c r="M59" s="5" t="str">
        <f t="shared" si="12"/>
        <v>LOW</v>
      </c>
      <c r="N59" s="5" cm="1">
        <f t="array" aca="1" ref="N59" ca="1">INDEX($N$2:$N$15,RANDBETWEEN(1, ROWS($N$2:$N$15)))</f>
        <v>4</v>
      </c>
      <c r="O59" s="5" cm="1">
        <f t="array" aca="1" ref="O59" ca="1">INDEX($O$2:$O$15,RANDBETWEEN(1, ROWS($O$2:$O$15)))</f>
        <v>5</v>
      </c>
      <c r="P59" s="5">
        <f t="shared" ca="1" si="13"/>
        <v>54909.111631451648</v>
      </c>
      <c r="Q59" s="5" cm="1">
        <f t="array" aca="1" ref="Q59" ca="1">INDEX($D$2:$D$129, RANDBETWEEN(1,128))</f>
        <v>36</v>
      </c>
      <c r="R59" s="5" cm="1">
        <f t="array" aca="1" ref="R59" ca="1">INDEX($F$2:$F$129, RANDBETWEEN(1,129))</f>
        <v>0.83</v>
      </c>
      <c r="S59" s="5"/>
      <c r="T59" s="5"/>
      <c r="U59" s="5"/>
    </row>
    <row r="60" spans="1:21" x14ac:dyDescent="0.35">
      <c r="A60" s="5" t="s">
        <v>8</v>
      </c>
      <c r="B60" s="5">
        <v>548522</v>
      </c>
      <c r="C60" s="5">
        <v>15036</v>
      </c>
      <c r="D60" s="5">
        <v>1</v>
      </c>
      <c r="E60" s="6">
        <v>40633.696527777778</v>
      </c>
      <c r="F60" s="8">
        <v>1.63</v>
      </c>
      <c r="G60" s="5" t="s">
        <v>1331</v>
      </c>
      <c r="H60" s="5">
        <f t="shared" si="7"/>
        <v>0</v>
      </c>
      <c r="I60" s="5">
        <f t="shared" si="8"/>
        <v>-0.93394825253809688</v>
      </c>
      <c r="J60" s="5" t="str">
        <f t="shared" si="9"/>
        <v>LOW</v>
      </c>
      <c r="K60" s="8">
        <f t="shared" si="10"/>
        <v>0.96703296703296704</v>
      </c>
      <c r="L60" s="8">
        <f t="shared" si="11"/>
        <v>1.9352005489719497</v>
      </c>
      <c r="M60" s="5" t="str">
        <f t="shared" si="12"/>
        <v>HIGH</v>
      </c>
      <c r="N60" s="5" cm="1">
        <f t="array" aca="1" ref="N60" ca="1">INDEX($N$2:$N$15,RANDBETWEEN(1, ROWS($N$2:$N$15)))</f>
        <v>8</v>
      </c>
      <c r="O60" s="5" cm="1">
        <f t="array" aca="1" ref="O60" ca="1">INDEX($O$2:$O$15,RANDBETWEEN(1, ROWS($O$2:$O$15)))</f>
        <v>5</v>
      </c>
      <c r="P60" s="5">
        <f t="shared" ca="1" si="13"/>
        <v>54928.117710276478</v>
      </c>
      <c r="Q60" s="5" cm="1">
        <f t="array" aca="1" ref="Q60" ca="1">INDEX($D$2:$D$129, RANDBETWEEN(1,128))</f>
        <v>3</v>
      </c>
      <c r="R60" s="5" cm="1">
        <f t="array" aca="1" ref="R60" ca="1">INDEX($F$2:$F$129, RANDBETWEEN(1,129))</f>
        <v>1.63</v>
      </c>
      <c r="S60" s="5"/>
      <c r="T60" s="5"/>
      <c r="U60" s="5"/>
    </row>
    <row r="61" spans="1:21" x14ac:dyDescent="0.35">
      <c r="A61" s="5" t="s">
        <v>8</v>
      </c>
      <c r="B61" s="5">
        <v>548617</v>
      </c>
      <c r="C61" s="5">
        <v>15036</v>
      </c>
      <c r="D61" s="5">
        <v>12</v>
      </c>
      <c r="E61" s="6">
        <v>40634.493055555555</v>
      </c>
      <c r="F61" s="8">
        <v>0.83</v>
      </c>
      <c r="G61" s="5">
        <v>16592</v>
      </c>
      <c r="H61" s="5">
        <f t="shared" si="7"/>
        <v>0.23404255319148937</v>
      </c>
      <c r="I61" s="5">
        <f t="shared" si="8"/>
        <v>6.5076026784813848E-2</v>
      </c>
      <c r="J61" s="5" t="str">
        <f t="shared" si="9"/>
        <v>HIGH</v>
      </c>
      <c r="K61" s="8">
        <f t="shared" si="10"/>
        <v>8.7912087912087877E-2</v>
      </c>
      <c r="L61" s="8">
        <f t="shared" si="11"/>
        <v>-0.49186247751304629</v>
      </c>
      <c r="M61" s="5" t="str">
        <f t="shared" si="12"/>
        <v>LOW</v>
      </c>
      <c r="N61" s="5" cm="1">
        <f t="array" aca="1" ref="N61" ca="1">INDEX($N$2:$N$15,RANDBETWEEN(1, ROWS($N$2:$N$15)))</f>
        <v>11</v>
      </c>
      <c r="O61" s="5" cm="1">
        <f t="array" aca="1" ref="O61" ca="1">INDEX($O$2:$O$15,RANDBETWEEN(1, ROWS($O$2:$O$15)))</f>
        <v>1</v>
      </c>
      <c r="P61" s="5">
        <f t="shared" ca="1" si="13"/>
        <v>51742.018185312161</v>
      </c>
      <c r="Q61" s="5" cm="1">
        <f t="array" aca="1" ref="Q61" ca="1">INDEX($D$2:$D$129, RANDBETWEEN(1,128))</f>
        <v>12</v>
      </c>
      <c r="R61" s="5" cm="1">
        <f t="array" aca="1" ref="R61" ca="1">INDEX($F$2:$F$129, RANDBETWEEN(1,129))</f>
        <v>1.63</v>
      </c>
      <c r="S61" s="5"/>
      <c r="T61" s="5"/>
      <c r="U61" s="5"/>
    </row>
    <row r="62" spans="1:21" x14ac:dyDescent="0.35">
      <c r="A62" s="5" t="s">
        <v>8</v>
      </c>
      <c r="B62" s="5">
        <v>548893</v>
      </c>
      <c r="C62" s="5">
        <v>15036</v>
      </c>
      <c r="D62" s="5">
        <v>6</v>
      </c>
      <c r="E62" s="6">
        <v>40637.662499999999</v>
      </c>
      <c r="F62" s="8">
        <v>1.63</v>
      </c>
      <c r="G62" s="5" t="s">
        <v>1331</v>
      </c>
      <c r="H62" s="5">
        <f t="shared" si="7"/>
        <v>0.10638297872340426</v>
      </c>
      <c r="I62" s="5">
        <f t="shared" si="8"/>
        <v>-0.47984630739131928</v>
      </c>
      <c r="J62" s="5" t="str">
        <f t="shared" si="9"/>
        <v>LOW</v>
      </c>
      <c r="K62" s="8">
        <f t="shared" si="10"/>
        <v>0.96703296703296704</v>
      </c>
      <c r="L62" s="8">
        <f t="shared" si="11"/>
        <v>1.9352005489719497</v>
      </c>
      <c r="M62" s="5" t="str">
        <f t="shared" si="12"/>
        <v>HIGH</v>
      </c>
      <c r="N62" s="5" cm="1">
        <f t="array" aca="1" ref="N62" ca="1">INDEX($N$2:$N$15,RANDBETWEEN(1, ROWS($N$2:$N$15)))</f>
        <v>8</v>
      </c>
      <c r="O62" s="5" cm="1">
        <f t="array" aca="1" ref="O62" ca="1">INDEX($O$2:$O$15,RANDBETWEEN(1, ROWS($O$2:$O$15)))</f>
        <v>5</v>
      </c>
      <c r="P62" s="5">
        <f t="shared" ca="1" si="13"/>
        <v>54962.711024562479</v>
      </c>
      <c r="Q62" s="5" cm="1">
        <f t="array" aca="1" ref="Q62" ca="1">INDEX($D$2:$D$129, RANDBETWEEN(1,128))</f>
        <v>1</v>
      </c>
      <c r="R62" s="5" cm="1">
        <f t="array" aca="1" ref="R62" ca="1">INDEX($F$2:$F$129, RANDBETWEEN(1,129))</f>
        <v>0.83</v>
      </c>
      <c r="S62" s="5"/>
      <c r="T62" s="5"/>
      <c r="U62" s="5"/>
    </row>
    <row r="63" spans="1:21" x14ac:dyDescent="0.35">
      <c r="A63" s="5" t="s">
        <v>8</v>
      </c>
      <c r="B63" s="5">
        <v>549259</v>
      </c>
      <c r="C63" s="5">
        <v>15036</v>
      </c>
      <c r="D63" s="5">
        <v>48</v>
      </c>
      <c r="E63" s="6">
        <v>40640.522916666669</v>
      </c>
      <c r="F63" s="8">
        <v>0.75</v>
      </c>
      <c r="G63" s="5">
        <v>13712</v>
      </c>
      <c r="H63" s="5">
        <f t="shared" si="7"/>
        <v>1</v>
      </c>
      <c r="I63" s="5">
        <f t="shared" si="8"/>
        <v>3.3346100318416125</v>
      </c>
      <c r="J63" s="5" t="str">
        <f t="shared" si="9"/>
        <v>HIGH</v>
      </c>
      <c r="K63" s="8">
        <f t="shared" si="10"/>
        <v>0</v>
      </c>
      <c r="L63" s="8">
        <f t="shared" si="11"/>
        <v>-0.73456878016154581</v>
      </c>
      <c r="M63" s="5" t="str">
        <f t="shared" si="12"/>
        <v>LOW</v>
      </c>
      <c r="N63" s="5" cm="1">
        <f t="array" aca="1" ref="N63" ca="1">INDEX($N$2:$N$15,RANDBETWEEN(1, ROWS($N$2:$N$15)))</f>
        <v>9</v>
      </c>
      <c r="O63" s="5" cm="1">
        <f t="array" aca="1" ref="O63" ca="1">INDEX($O$2:$O$15,RANDBETWEEN(1, ROWS($O$2:$O$15)))</f>
        <v>5</v>
      </c>
      <c r="P63" s="5">
        <f t="shared" ca="1" si="13"/>
        <v>51559.489413159863</v>
      </c>
      <c r="Q63" s="5" cm="1">
        <f t="array" aca="1" ref="Q63" ca="1">INDEX($D$2:$D$129, RANDBETWEEN(1,128))</f>
        <v>12</v>
      </c>
      <c r="R63" s="5" t="e" cm="1">
        <f t="array" aca="1" ref="R63" ca="1">INDEX($F$2:$F$129, RANDBETWEEN(1,129))</f>
        <v>#REF!</v>
      </c>
      <c r="S63" s="5"/>
      <c r="T63" s="5"/>
      <c r="U63" s="5"/>
    </row>
    <row r="64" spans="1:21" x14ac:dyDescent="0.35">
      <c r="A64" s="5" t="s">
        <v>21</v>
      </c>
      <c r="B64" s="5">
        <v>549316</v>
      </c>
      <c r="C64" s="5">
        <v>15036</v>
      </c>
      <c r="D64" s="5">
        <v>36</v>
      </c>
      <c r="E64" s="6">
        <v>40641.412499999999</v>
      </c>
      <c r="F64" s="8">
        <v>0.75</v>
      </c>
      <c r="G64" s="5">
        <v>12705</v>
      </c>
      <c r="H64" s="5">
        <f t="shared" si="7"/>
        <v>0.74468085106382975</v>
      </c>
      <c r="I64" s="5">
        <f t="shared" si="8"/>
        <v>2.2447653634893463</v>
      </c>
      <c r="J64" s="5" t="str">
        <f t="shared" si="9"/>
        <v>HIGH</v>
      </c>
      <c r="K64" s="8">
        <f t="shared" si="10"/>
        <v>0</v>
      </c>
      <c r="L64" s="8">
        <f t="shared" si="11"/>
        <v>-0.73456878016154581</v>
      </c>
      <c r="M64" s="5" t="str">
        <f t="shared" si="12"/>
        <v>LOW</v>
      </c>
      <c r="N64" s="5" cm="1">
        <f t="array" aca="1" ref="N64" ca="1">INDEX($N$2:$N$15,RANDBETWEEN(1, ROWS($N$2:$N$15)))</f>
        <v>9</v>
      </c>
      <c r="O64" s="5" cm="1">
        <f t="array" aca="1" ref="O64" ca="1">INDEX($O$2:$O$15,RANDBETWEEN(1, ROWS($O$2:$O$15)))</f>
        <v>7</v>
      </c>
      <c r="P64" s="5">
        <f t="shared" ca="1" si="13"/>
        <v>51479.451448119537</v>
      </c>
      <c r="Q64" s="5" cm="1">
        <f t="array" aca="1" ref="Q64" ca="1">INDEX($D$2:$D$129, RANDBETWEEN(1,128))</f>
        <v>20</v>
      </c>
      <c r="R64" s="5" cm="1">
        <f t="array" aca="1" ref="R64" ca="1">INDEX($F$2:$F$129, RANDBETWEEN(1,129))</f>
        <v>1.63</v>
      </c>
      <c r="S64" s="5"/>
      <c r="T64" s="5"/>
      <c r="U64" s="5"/>
    </row>
    <row r="65" spans="1:21" x14ac:dyDescent="0.35">
      <c r="A65" s="5" t="s">
        <v>8</v>
      </c>
      <c r="B65" s="5">
        <v>549431</v>
      </c>
      <c r="C65" s="5">
        <v>15036</v>
      </c>
      <c r="D65" s="5">
        <v>36</v>
      </c>
      <c r="E65" s="6">
        <v>40641.511805555558</v>
      </c>
      <c r="F65" s="8">
        <v>0.83</v>
      </c>
      <c r="G65" s="5">
        <v>15874</v>
      </c>
      <c r="H65" s="5">
        <f t="shared" si="7"/>
        <v>0.74468085106382975</v>
      </c>
      <c r="I65" s="5">
        <f t="shared" si="8"/>
        <v>2.2447653634893463</v>
      </c>
      <c r="J65" s="5" t="str">
        <f t="shared" si="9"/>
        <v>HIGH</v>
      </c>
      <c r="K65" s="8">
        <f t="shared" si="10"/>
        <v>8.7912087912087877E-2</v>
      </c>
      <c r="L65" s="8">
        <f t="shared" si="11"/>
        <v>-0.49186247751304629</v>
      </c>
      <c r="M65" s="5" t="str">
        <f t="shared" si="12"/>
        <v>LOW</v>
      </c>
      <c r="N65" s="5" cm="1">
        <f t="array" aca="1" ref="N65" ca="1">INDEX($N$2:$N$15,RANDBETWEEN(1, ROWS($N$2:$N$15)))</f>
        <v>4</v>
      </c>
      <c r="O65" s="5" cm="1">
        <f t="array" aca="1" ref="O65" ca="1">INDEX($O$2:$O$15,RANDBETWEEN(1, ROWS($O$2:$O$15)))</f>
        <v>5</v>
      </c>
      <c r="P65" s="5">
        <f t="shared" ca="1" si="13"/>
        <v>51752.577275115043</v>
      </c>
      <c r="Q65" s="5" cm="1">
        <f t="array" aca="1" ref="Q65" ca="1">INDEX($D$2:$D$129, RANDBETWEEN(1,128))</f>
        <v>17</v>
      </c>
      <c r="R65" s="5" cm="1">
        <f t="array" aca="1" ref="R65" ca="1">INDEX($F$2:$F$129, RANDBETWEEN(1,129))</f>
        <v>0.75</v>
      </c>
      <c r="S65" s="5"/>
      <c r="T65" s="5"/>
      <c r="U65" s="5"/>
    </row>
    <row r="66" spans="1:21" x14ac:dyDescent="0.35">
      <c r="A66" s="5" t="s">
        <v>8</v>
      </c>
      <c r="B66" s="5">
        <v>549524</v>
      </c>
      <c r="C66" s="5">
        <v>15036</v>
      </c>
      <c r="D66" s="5">
        <v>1</v>
      </c>
      <c r="E66" s="6">
        <v>40641.65347222222</v>
      </c>
      <c r="F66" s="8">
        <v>1.63</v>
      </c>
      <c r="G66" s="5" t="s">
        <v>1331</v>
      </c>
      <c r="H66" s="5">
        <f t="shared" ref="H66:H97" si="14">(D66-1)/(48-1)</f>
        <v>0</v>
      </c>
      <c r="I66" s="5">
        <f t="shared" ref="I66:I97" si="15">(D66-$X$21)/$X$44</f>
        <v>-0.93394825253809688</v>
      </c>
      <c r="J66" s="5" t="str">
        <f t="shared" ref="J66:J97" si="16">IF(D66&gt;$X$6, "HIGH", "LOW")</f>
        <v>LOW</v>
      </c>
      <c r="K66" s="8">
        <f t="shared" ref="K66:K97" si="17">(F66-0.75)/(1.66-0.75)</f>
        <v>0.96703296703296704</v>
      </c>
      <c r="L66" s="8">
        <f t="shared" ref="L66:L97" si="18">(F66-$X$22)/$X$45</f>
        <v>1.9352005489719497</v>
      </c>
      <c r="M66" s="5" t="str">
        <f t="shared" ref="M66:M97" si="19">IF(F66&gt;$X$7, "HIGH", "LOW")</f>
        <v>HIGH</v>
      </c>
      <c r="N66" s="5" cm="1">
        <f t="array" aca="1" ref="N66" ca="1">INDEX($N$2:$N$15,RANDBETWEEN(1, ROWS($N$2:$N$15)))</f>
        <v>11</v>
      </c>
      <c r="O66" s="5" cm="1">
        <f t="array" aca="1" ref="O66" ca="1">INDEX($O$2:$O$15,RANDBETWEEN(1, ROWS($O$2:$O$15)))</f>
        <v>1</v>
      </c>
      <c r="P66" s="5">
        <f t="shared" ref="P66:P97" ca="1" si="20">AVERAGE(B66:O66)</f>
        <v>55019.841068862333</v>
      </c>
      <c r="Q66" s="5" cm="1">
        <f t="array" aca="1" ref="Q66" ca="1">INDEX($D$2:$D$129, RANDBETWEEN(1,128))</f>
        <v>1</v>
      </c>
      <c r="R66" s="5" cm="1">
        <f t="array" aca="1" ref="R66" ca="1">INDEX($F$2:$F$129, RANDBETWEEN(1,129))</f>
        <v>0.81</v>
      </c>
      <c r="S66" s="5"/>
      <c r="T66" s="5"/>
      <c r="U66" s="5"/>
    </row>
    <row r="67" spans="1:21" x14ac:dyDescent="0.35">
      <c r="A67" s="5" t="s">
        <v>8</v>
      </c>
      <c r="B67" s="5">
        <v>549525</v>
      </c>
      <c r="C67" s="5">
        <v>15036</v>
      </c>
      <c r="D67" s="5">
        <v>17</v>
      </c>
      <c r="E67" s="6">
        <v>40641.655555555553</v>
      </c>
      <c r="F67" s="8">
        <v>1.63</v>
      </c>
      <c r="G67" s="5" t="s">
        <v>1331</v>
      </c>
      <c r="H67" s="5">
        <f t="shared" si="14"/>
        <v>0.34042553191489361</v>
      </c>
      <c r="I67" s="5">
        <f t="shared" si="15"/>
        <v>0.51917797193159143</v>
      </c>
      <c r="J67" s="5" t="str">
        <f t="shared" si="16"/>
        <v>HIGH</v>
      </c>
      <c r="K67" s="8">
        <f t="shared" si="17"/>
        <v>0.96703296703296704</v>
      </c>
      <c r="L67" s="8">
        <f t="shared" si="18"/>
        <v>1.9352005489719497</v>
      </c>
      <c r="M67" s="5" t="str">
        <f t="shared" si="19"/>
        <v>HIGH</v>
      </c>
      <c r="N67" s="5" cm="1">
        <f t="array" aca="1" ref="N67" ca="1">INDEX($N$2:$N$15,RANDBETWEEN(1, ROWS($N$2:$N$15)))</f>
        <v>2</v>
      </c>
      <c r="O67" s="5" cm="1">
        <f t="array" aca="1" ref="O67" ca="1">INDEX($O$2:$O$15,RANDBETWEEN(1, ROWS($O$2:$O$15)))</f>
        <v>5</v>
      </c>
      <c r="P67" s="5">
        <f t="shared" ca="1" si="20"/>
        <v>55021.09521750686</v>
      </c>
      <c r="Q67" s="5" cm="1">
        <f t="array" aca="1" ref="Q67" ca="1">INDEX($D$2:$D$129, RANDBETWEEN(1,128))</f>
        <v>20</v>
      </c>
      <c r="R67" s="5" cm="1">
        <f t="array" aca="1" ref="R67" ca="1">INDEX($F$2:$F$129, RANDBETWEEN(1,129))</f>
        <v>0.81</v>
      </c>
      <c r="S67" s="5"/>
      <c r="T67" s="5"/>
      <c r="U67" s="5"/>
    </row>
    <row r="68" spans="1:21" x14ac:dyDescent="0.35">
      <c r="A68" s="5" t="s">
        <v>8</v>
      </c>
      <c r="B68" s="5">
        <v>549538</v>
      </c>
      <c r="C68" s="5">
        <v>15036</v>
      </c>
      <c r="D68" s="5">
        <v>3</v>
      </c>
      <c r="E68" s="6">
        <v>40641.725694444445</v>
      </c>
      <c r="F68" s="8">
        <v>0.83</v>
      </c>
      <c r="G68" s="5">
        <v>17961</v>
      </c>
      <c r="H68" s="5">
        <f t="shared" si="14"/>
        <v>4.2553191489361701E-2</v>
      </c>
      <c r="I68" s="5">
        <f t="shared" si="15"/>
        <v>-0.75230747447938584</v>
      </c>
      <c r="J68" s="5" t="str">
        <f t="shared" si="16"/>
        <v>LOW</v>
      </c>
      <c r="K68" s="8">
        <f t="shared" si="17"/>
        <v>8.7912087912087877E-2</v>
      </c>
      <c r="L68" s="8">
        <f t="shared" si="18"/>
        <v>-0.49186247751304629</v>
      </c>
      <c r="M68" s="5" t="str">
        <f t="shared" si="19"/>
        <v>LOW</v>
      </c>
      <c r="N68" s="5" cm="1">
        <f t="array" aca="1" ref="N68" ca="1">INDEX($N$2:$N$15,RANDBETWEEN(1, ROWS($N$2:$N$15)))</f>
        <v>12</v>
      </c>
      <c r="O68" s="5" cm="1">
        <f t="array" aca="1" ref="O68" ca="1">INDEX($O$2:$O$15,RANDBETWEEN(1, ROWS($O$2:$O$15)))</f>
        <v>4</v>
      </c>
      <c r="P68" s="5">
        <f t="shared" ca="1" si="20"/>
        <v>51932.953499147661</v>
      </c>
      <c r="Q68" s="5" cm="1">
        <f t="array" aca="1" ref="Q68" ca="1">INDEX($D$2:$D$129, RANDBETWEEN(1,128))</f>
        <v>12</v>
      </c>
      <c r="R68" s="5" cm="1">
        <f t="array" aca="1" ref="R68" ca="1">INDEX($F$2:$F$129, RANDBETWEEN(1,129))</f>
        <v>0.85</v>
      </c>
      <c r="S68" s="5"/>
      <c r="T68" s="5"/>
      <c r="U68" s="5"/>
    </row>
    <row r="69" spans="1:21" x14ac:dyDescent="0.35">
      <c r="A69" s="5" t="s">
        <v>8</v>
      </c>
      <c r="B69" s="5">
        <v>549711</v>
      </c>
      <c r="C69" s="5">
        <v>15036</v>
      </c>
      <c r="D69" s="5">
        <v>12</v>
      </c>
      <c r="E69" s="6">
        <v>40644.588194444441</v>
      </c>
      <c r="F69" s="8">
        <v>0.83</v>
      </c>
      <c r="G69" s="5">
        <v>13654</v>
      </c>
      <c r="H69" s="5">
        <f t="shared" si="14"/>
        <v>0.23404255319148937</v>
      </c>
      <c r="I69" s="5">
        <f t="shared" si="15"/>
        <v>6.5076026784813848E-2</v>
      </c>
      <c r="J69" s="5" t="str">
        <f t="shared" si="16"/>
        <v>HIGH</v>
      </c>
      <c r="K69" s="8">
        <f t="shared" si="17"/>
        <v>8.7912087912087877E-2</v>
      </c>
      <c r="L69" s="8">
        <f t="shared" si="18"/>
        <v>-0.49186247751304629</v>
      </c>
      <c r="M69" s="5" t="str">
        <f t="shared" si="19"/>
        <v>LOW</v>
      </c>
      <c r="N69" s="5" cm="1">
        <f t="array" aca="1" ref="N69" ca="1">INDEX($N$2:$N$15,RANDBETWEEN(1, ROWS($N$2:$N$15)))</f>
        <v>11</v>
      </c>
      <c r="O69" s="5" cm="1">
        <f t="array" aca="1" ref="O69" ca="1">INDEX($O$2:$O$15,RANDBETWEEN(1, ROWS($O$2:$O$15)))</f>
        <v>4</v>
      </c>
      <c r="P69" s="5">
        <f t="shared" ca="1" si="20"/>
        <v>51589.442780219571</v>
      </c>
      <c r="Q69" s="5" cm="1">
        <f t="array" aca="1" ref="Q69" ca="1">INDEX($D$2:$D$129, RANDBETWEEN(1,128))</f>
        <v>48</v>
      </c>
      <c r="R69" s="5" cm="1">
        <f t="array" aca="1" ref="R69" ca="1">INDEX($F$2:$F$129, RANDBETWEEN(1,129))</f>
        <v>1.63</v>
      </c>
      <c r="S69" s="5"/>
      <c r="T69" s="5"/>
      <c r="U69" s="5"/>
    </row>
    <row r="70" spans="1:21" x14ac:dyDescent="0.35">
      <c r="A70" s="5" t="s">
        <v>8</v>
      </c>
      <c r="B70" s="5">
        <v>549743</v>
      </c>
      <c r="C70" s="5">
        <v>15036</v>
      </c>
      <c r="D70" s="5">
        <v>12</v>
      </c>
      <c r="E70" s="6">
        <v>40645.420138888891</v>
      </c>
      <c r="F70" s="8">
        <v>0.83</v>
      </c>
      <c r="G70" s="5">
        <v>16186</v>
      </c>
      <c r="H70" s="5">
        <f t="shared" si="14"/>
        <v>0.23404255319148937</v>
      </c>
      <c r="I70" s="5">
        <f t="shared" si="15"/>
        <v>6.5076026784813848E-2</v>
      </c>
      <c r="J70" s="5" t="str">
        <f t="shared" si="16"/>
        <v>HIGH</v>
      </c>
      <c r="K70" s="8">
        <f t="shared" si="17"/>
        <v>8.7912087912087877E-2</v>
      </c>
      <c r="L70" s="8">
        <f t="shared" si="18"/>
        <v>-0.49186247751304629</v>
      </c>
      <c r="M70" s="5" t="str">
        <f t="shared" si="19"/>
        <v>LOW</v>
      </c>
      <c r="N70" s="5" cm="1">
        <f t="array" aca="1" ref="N70" ca="1">INDEX($N$2:$N$15,RANDBETWEEN(1, ROWS($N$2:$N$15)))</f>
        <v>12</v>
      </c>
      <c r="O70" s="5" cm="1">
        <f t="array" aca="1" ref="O70" ca="1">INDEX($O$2:$O$15,RANDBETWEEN(1, ROWS($O$2:$O$15)))</f>
        <v>1</v>
      </c>
      <c r="P70" s="5">
        <f t="shared" ca="1" si="20"/>
        <v>51803.012108923278</v>
      </c>
      <c r="Q70" s="5" cm="1">
        <f t="array" aca="1" ref="Q70" ca="1">INDEX($D$2:$D$129, RANDBETWEEN(1,128))</f>
        <v>22</v>
      </c>
      <c r="R70" s="5" cm="1">
        <f t="array" aca="1" ref="R70" ca="1">INDEX($F$2:$F$129, RANDBETWEEN(1,129))</f>
        <v>1.63</v>
      </c>
      <c r="S70" s="5"/>
      <c r="T70" s="5"/>
      <c r="U70" s="5"/>
    </row>
    <row r="71" spans="1:21" x14ac:dyDescent="0.35">
      <c r="A71" s="5" t="s">
        <v>8</v>
      </c>
      <c r="B71" s="5">
        <v>549964</v>
      </c>
      <c r="C71" s="5">
        <v>15036</v>
      </c>
      <c r="D71" s="5">
        <v>12</v>
      </c>
      <c r="E71" s="6">
        <v>40646.591666666667</v>
      </c>
      <c r="F71" s="8">
        <v>0.83</v>
      </c>
      <c r="G71" s="5">
        <v>13122</v>
      </c>
      <c r="H71" s="5">
        <f t="shared" si="14"/>
        <v>0.23404255319148937</v>
      </c>
      <c r="I71" s="5">
        <f t="shared" si="15"/>
        <v>6.5076026784813848E-2</v>
      </c>
      <c r="J71" s="5" t="str">
        <f t="shared" si="16"/>
        <v>HIGH</v>
      </c>
      <c r="K71" s="8">
        <f t="shared" si="17"/>
        <v>8.7912087912087877E-2</v>
      </c>
      <c r="L71" s="8">
        <f t="shared" si="18"/>
        <v>-0.49186247751304629</v>
      </c>
      <c r="M71" s="5" t="str">
        <f t="shared" si="19"/>
        <v>LOW</v>
      </c>
      <c r="N71" s="5" cm="1">
        <f t="array" aca="1" ref="N71" ca="1">INDEX($N$2:$N$15,RANDBETWEEN(1, ROWS($N$2:$N$15)))</f>
        <v>12</v>
      </c>
      <c r="O71" s="5" cm="1">
        <f t="array" aca="1" ref="O71" ca="1">INDEX($O$2:$O$15,RANDBETWEEN(1, ROWS($O$2:$O$15)))</f>
        <v>5</v>
      </c>
      <c r="P71" s="5">
        <f t="shared" ca="1" si="20"/>
        <v>51566.526402904761</v>
      </c>
      <c r="Q71" s="5" cm="1">
        <f t="array" aca="1" ref="Q71" ca="1">INDEX($D$2:$D$129, RANDBETWEEN(1,128))</f>
        <v>12</v>
      </c>
      <c r="R71" s="5" cm="1">
        <f t="array" aca="1" ref="R71" ca="1">INDEX($F$2:$F$129, RANDBETWEEN(1,129))</f>
        <v>0.83</v>
      </c>
      <c r="S71" s="5"/>
      <c r="T71" s="5"/>
      <c r="U71" s="5"/>
    </row>
    <row r="72" spans="1:21" x14ac:dyDescent="0.35">
      <c r="A72" s="5" t="s">
        <v>8</v>
      </c>
      <c r="B72" s="5">
        <v>549975</v>
      </c>
      <c r="C72" s="5">
        <v>15036</v>
      </c>
      <c r="D72" s="5">
        <v>12</v>
      </c>
      <c r="E72" s="6">
        <v>40646.609722222223</v>
      </c>
      <c r="F72" s="8">
        <v>0.83</v>
      </c>
      <c r="G72" s="5">
        <v>16175</v>
      </c>
      <c r="H72" s="5">
        <f t="shared" si="14"/>
        <v>0.23404255319148937</v>
      </c>
      <c r="I72" s="5">
        <f t="shared" si="15"/>
        <v>6.5076026784813848E-2</v>
      </c>
      <c r="J72" s="5" t="str">
        <f t="shared" si="16"/>
        <v>HIGH</v>
      </c>
      <c r="K72" s="8">
        <f t="shared" si="17"/>
        <v>8.7912087912087877E-2</v>
      </c>
      <c r="L72" s="8">
        <f t="shared" si="18"/>
        <v>-0.49186247751304629</v>
      </c>
      <c r="M72" s="5" t="str">
        <f t="shared" si="19"/>
        <v>LOW</v>
      </c>
      <c r="N72" s="5" cm="1">
        <f t="array" aca="1" ref="N72" ca="1">INDEX($N$2:$N$15,RANDBETWEEN(1, ROWS($N$2:$N$15)))</f>
        <v>8</v>
      </c>
      <c r="O72" s="5" cm="1">
        <f t="array" aca="1" ref="O72" ca="1">INDEX($O$2:$O$15,RANDBETWEEN(1, ROWS($O$2:$O$15)))</f>
        <v>1</v>
      </c>
      <c r="P72" s="5">
        <f t="shared" ca="1" si="20"/>
        <v>51821.19457420105</v>
      </c>
      <c r="Q72" s="5" cm="1">
        <f t="array" aca="1" ref="Q72" ca="1">INDEX($D$2:$D$129, RANDBETWEEN(1,128))</f>
        <v>6</v>
      </c>
      <c r="R72" s="5" cm="1">
        <f t="array" aca="1" ref="R72" ca="1">INDEX($F$2:$F$129, RANDBETWEEN(1,129))</f>
        <v>0.83</v>
      </c>
      <c r="S72" s="5"/>
      <c r="T72" s="5"/>
      <c r="U72" s="5"/>
    </row>
    <row r="73" spans="1:21" x14ac:dyDescent="0.35">
      <c r="A73" s="5" t="s">
        <v>8</v>
      </c>
      <c r="B73" s="5">
        <v>550138</v>
      </c>
      <c r="C73" s="5">
        <v>15036</v>
      </c>
      <c r="D73" s="5">
        <v>24</v>
      </c>
      <c r="E73" s="6">
        <v>40647.584722222222</v>
      </c>
      <c r="F73" s="8">
        <v>0.83</v>
      </c>
      <c r="G73" s="5">
        <v>12841</v>
      </c>
      <c r="H73" s="5">
        <f t="shared" si="14"/>
        <v>0.48936170212765956</v>
      </c>
      <c r="I73" s="5">
        <f t="shared" si="15"/>
        <v>1.1549206951370801</v>
      </c>
      <c r="J73" s="5" t="str">
        <f t="shared" si="16"/>
        <v>HIGH</v>
      </c>
      <c r="K73" s="8">
        <f t="shared" si="17"/>
        <v>8.7912087912087877E-2</v>
      </c>
      <c r="L73" s="8">
        <f t="shared" si="18"/>
        <v>-0.49186247751304629</v>
      </c>
      <c r="M73" s="5" t="str">
        <f t="shared" si="19"/>
        <v>LOW</v>
      </c>
      <c r="N73" s="5" cm="1">
        <f t="array" aca="1" ref="N73" ca="1">INDEX($N$2:$N$15,RANDBETWEEN(1, ROWS($N$2:$N$15)))</f>
        <v>8</v>
      </c>
      <c r="O73" s="5" cm="1">
        <f t="array" aca="1" ref="O73" ca="1">INDEX($O$2:$O$15,RANDBETWEEN(1, ROWS($O$2:$O$15)))</f>
        <v>5</v>
      </c>
      <c r="P73" s="5">
        <f t="shared" ca="1" si="20"/>
        <v>51558.471254519151</v>
      </c>
      <c r="Q73" s="5" cm="1">
        <f t="array" aca="1" ref="Q73" ca="1">INDEX($D$2:$D$129, RANDBETWEEN(1,128))</f>
        <v>4</v>
      </c>
      <c r="R73" s="5" cm="1">
        <f t="array" aca="1" ref="R73" ca="1">INDEX($F$2:$F$129, RANDBETWEEN(1,129))</f>
        <v>0.75</v>
      </c>
      <c r="S73" s="5"/>
      <c r="T73" s="5"/>
      <c r="U73" s="5"/>
    </row>
    <row r="74" spans="1:21" x14ac:dyDescent="0.35">
      <c r="A74" s="5" t="s">
        <v>1331</v>
      </c>
      <c r="B74" s="5">
        <v>550218</v>
      </c>
      <c r="C74" s="5">
        <v>15036</v>
      </c>
      <c r="D74" s="5">
        <v>12</v>
      </c>
      <c r="E74" s="6">
        <v>40648.46875</v>
      </c>
      <c r="F74" s="8">
        <v>0.83</v>
      </c>
      <c r="G74" s="5">
        <v>14408</v>
      </c>
      <c r="H74" s="5">
        <f t="shared" si="14"/>
        <v>0.23404255319148937</v>
      </c>
      <c r="I74" s="5">
        <f t="shared" si="15"/>
        <v>6.5076026784813848E-2</v>
      </c>
      <c r="J74" s="5" t="str">
        <f t="shared" si="16"/>
        <v>HIGH</v>
      </c>
      <c r="K74" s="8">
        <f t="shared" si="17"/>
        <v>8.7912087912087877E-2</v>
      </c>
      <c r="L74" s="8">
        <f t="shared" si="18"/>
        <v>-0.49186247751304629</v>
      </c>
      <c r="M74" s="5" t="str">
        <f t="shared" si="19"/>
        <v>LOW</v>
      </c>
      <c r="N74" s="5" cm="1">
        <f t="array" aca="1" ref="N74" ca="1">INDEX($N$2:$N$15,RANDBETWEEN(1, ROWS($N$2:$N$15)))</f>
        <v>12</v>
      </c>
      <c r="O74" s="5" cm="1">
        <f t="array" aca="1" ref="O74" ca="1">INDEX($O$2:$O$15,RANDBETWEEN(1, ROWS($O$2:$O$15)))</f>
        <v>4</v>
      </c>
      <c r="P74" s="5">
        <f t="shared" ca="1" si="20"/>
        <v>51694.932826515869</v>
      </c>
      <c r="Q74" s="5" cm="1">
        <f t="array" aca="1" ref="Q74" ca="1">INDEX($D$2:$D$129, RANDBETWEEN(1,128))</f>
        <v>3</v>
      </c>
      <c r="R74" s="5" cm="1">
        <f t="array" aca="1" ref="R74" ca="1">INDEX($F$2:$F$129, RANDBETWEEN(1,129))</f>
        <v>0.83</v>
      </c>
      <c r="S74" s="5"/>
      <c r="T74" s="5"/>
      <c r="U74" s="5"/>
    </row>
    <row r="75" spans="1:21" x14ac:dyDescent="0.35">
      <c r="A75" s="5" t="s">
        <v>1331</v>
      </c>
      <c r="B75" s="5">
        <v>550315</v>
      </c>
      <c r="C75" s="5">
        <v>15036</v>
      </c>
      <c r="D75" s="5">
        <v>24</v>
      </c>
      <c r="E75" s="6">
        <v>40650.488888888889</v>
      </c>
      <c r="F75" s="8">
        <v>0.83</v>
      </c>
      <c r="G75" s="5">
        <v>17990</v>
      </c>
      <c r="H75" s="5">
        <f t="shared" si="14"/>
        <v>0.48936170212765956</v>
      </c>
      <c r="I75" s="5">
        <f t="shared" si="15"/>
        <v>1.1549206951370801</v>
      </c>
      <c r="J75" s="5" t="str">
        <f t="shared" si="16"/>
        <v>HIGH</v>
      </c>
      <c r="K75" s="8">
        <f t="shared" si="17"/>
        <v>8.7912087912087877E-2</v>
      </c>
      <c r="L75" s="8">
        <f t="shared" si="18"/>
        <v>-0.49186247751304629</v>
      </c>
      <c r="M75" s="5" t="str">
        <f t="shared" si="19"/>
        <v>LOW</v>
      </c>
      <c r="N75" s="5" cm="1">
        <f t="array" aca="1" ref="N75" ca="1">INDEX($N$2:$N$15,RANDBETWEEN(1, ROWS($N$2:$N$15)))</f>
        <v>9</v>
      </c>
      <c r="O75" s="5" cm="1">
        <f t="array" aca="1" ref="O75" ca="1">INDEX($O$2:$O$15,RANDBETWEEN(1, ROWS($O$2:$O$15)))</f>
        <v>5</v>
      </c>
      <c r="P75" s="5">
        <f t="shared" ca="1" si="20"/>
        <v>52002.629935074707</v>
      </c>
      <c r="Q75" s="5" cm="1">
        <f t="array" aca="1" ref="Q75" ca="1">INDEX($D$2:$D$129, RANDBETWEEN(1,128))</f>
        <v>2</v>
      </c>
      <c r="R75" s="5" cm="1">
        <f t="array" aca="1" ref="R75" ca="1">INDEX($F$2:$F$129, RANDBETWEEN(1,129))</f>
        <v>1.63</v>
      </c>
      <c r="S75" s="5"/>
      <c r="T75" s="5"/>
      <c r="U75" s="5"/>
    </row>
    <row r="76" spans="1:21" x14ac:dyDescent="0.35">
      <c r="A76" s="5" t="s">
        <v>8</v>
      </c>
      <c r="B76" s="5">
        <v>550323</v>
      </c>
      <c r="C76" s="5">
        <v>15036</v>
      </c>
      <c r="D76" s="5">
        <v>48</v>
      </c>
      <c r="E76" s="6">
        <v>40650.539583333331</v>
      </c>
      <c r="F76" s="8">
        <v>0.83</v>
      </c>
      <c r="G76" s="5">
        <v>13692</v>
      </c>
      <c r="H76" s="5">
        <f t="shared" si="14"/>
        <v>1</v>
      </c>
      <c r="I76" s="5">
        <f t="shared" si="15"/>
        <v>3.3346100318416125</v>
      </c>
      <c r="J76" s="5" t="str">
        <f t="shared" si="16"/>
        <v>HIGH</v>
      </c>
      <c r="K76" s="8">
        <f t="shared" si="17"/>
        <v>8.7912087912087877E-2</v>
      </c>
      <c r="L76" s="8">
        <f t="shared" si="18"/>
        <v>-0.49186247751304629</v>
      </c>
      <c r="M76" s="5" t="str">
        <f t="shared" si="19"/>
        <v>LOW</v>
      </c>
      <c r="N76" s="5" cm="1">
        <f t="array" aca="1" ref="N76" ca="1">INDEX($N$2:$N$15,RANDBETWEEN(1, ROWS($N$2:$N$15)))</f>
        <v>11</v>
      </c>
      <c r="O76" s="5" cm="1">
        <f t="array" aca="1" ref="O76" ca="1">INDEX($O$2:$O$15,RANDBETWEEN(1, ROWS($O$2:$O$15)))</f>
        <v>7</v>
      </c>
      <c r="P76" s="5">
        <f t="shared" ca="1" si="20"/>
        <v>51647.691686914623</v>
      </c>
      <c r="Q76" s="5" cm="1">
        <f t="array" aca="1" ref="Q76" ca="1">INDEX($D$2:$D$129, RANDBETWEEN(1,128))</f>
        <v>1</v>
      </c>
      <c r="R76" s="5" cm="1">
        <f t="array" aca="1" ref="R76" ca="1">INDEX($F$2:$F$129, RANDBETWEEN(1,129))</f>
        <v>1.63</v>
      </c>
      <c r="S76" s="5"/>
      <c r="T76" s="5"/>
      <c r="U76" s="5"/>
    </row>
    <row r="77" spans="1:21" x14ac:dyDescent="0.35">
      <c r="A77" s="5" t="s">
        <v>8</v>
      </c>
      <c r="B77" s="5">
        <v>550336</v>
      </c>
      <c r="C77" s="5">
        <v>15036</v>
      </c>
      <c r="D77" s="5">
        <v>48</v>
      </c>
      <c r="E77" s="6">
        <v>40650.621527777781</v>
      </c>
      <c r="F77" s="8">
        <v>0.83</v>
      </c>
      <c r="G77" s="5">
        <v>13089</v>
      </c>
      <c r="H77" s="5">
        <f t="shared" si="14"/>
        <v>1</v>
      </c>
      <c r="I77" s="5">
        <f t="shared" si="15"/>
        <v>3.3346100318416125</v>
      </c>
      <c r="J77" s="5" t="str">
        <f t="shared" si="16"/>
        <v>HIGH</v>
      </c>
      <c r="K77" s="8">
        <f t="shared" si="17"/>
        <v>8.7912087912087877E-2</v>
      </c>
      <c r="L77" s="8">
        <f t="shared" si="18"/>
        <v>-0.49186247751304629</v>
      </c>
      <c r="M77" s="5" t="str">
        <f t="shared" si="19"/>
        <v>LOW</v>
      </c>
      <c r="N77" s="5" cm="1">
        <f t="array" aca="1" ref="N77" ca="1">INDEX($N$2:$N$15,RANDBETWEEN(1, ROWS($N$2:$N$15)))</f>
        <v>12</v>
      </c>
      <c r="O77" s="5" cm="1">
        <f t="array" aca="1" ref="O77" ca="1">INDEX($O$2:$O$15,RANDBETWEEN(1, ROWS($O$2:$O$15)))</f>
        <v>1</v>
      </c>
      <c r="P77" s="5">
        <f t="shared" ca="1" si="20"/>
        <v>51598.115182284993</v>
      </c>
      <c r="Q77" s="5" cm="1">
        <f t="array" aca="1" ref="Q77" ca="1">INDEX($D$2:$D$129, RANDBETWEEN(1,128))</f>
        <v>1</v>
      </c>
      <c r="R77" s="5" cm="1">
        <f t="array" aca="1" ref="R77" ca="1">INDEX($F$2:$F$129, RANDBETWEEN(1,129))</f>
        <v>0.85</v>
      </c>
      <c r="S77" s="5"/>
      <c r="T77" s="5"/>
      <c r="U77" s="5"/>
    </row>
    <row r="78" spans="1:21" x14ac:dyDescent="0.35">
      <c r="A78" s="5" t="s">
        <v>8</v>
      </c>
      <c r="B78" s="5">
        <v>550452</v>
      </c>
      <c r="C78" s="5">
        <v>10002</v>
      </c>
      <c r="D78" s="5">
        <v>1</v>
      </c>
      <c r="E78" s="6">
        <v>40651.538888888892</v>
      </c>
      <c r="F78" s="8">
        <v>0.85</v>
      </c>
      <c r="G78" s="5">
        <v>14525</v>
      </c>
      <c r="H78" s="5">
        <f t="shared" si="14"/>
        <v>0</v>
      </c>
      <c r="I78" s="5">
        <f t="shared" si="15"/>
        <v>-0.93394825253809688</v>
      </c>
      <c r="J78" s="5" t="str">
        <f t="shared" si="16"/>
        <v>LOW</v>
      </c>
      <c r="K78" s="8">
        <f t="shared" si="17"/>
        <v>0.10989010989010987</v>
      </c>
      <c r="L78" s="8">
        <f t="shared" si="18"/>
        <v>-0.43118590185092137</v>
      </c>
      <c r="M78" s="5" t="str">
        <f t="shared" si="19"/>
        <v>LOW</v>
      </c>
      <c r="N78" s="5">
        <v>9</v>
      </c>
      <c r="O78" s="5">
        <v>1</v>
      </c>
      <c r="P78" s="5">
        <f t="shared" si="20"/>
        <v>51303.427803737024</v>
      </c>
      <c r="Q78" s="5" cm="1">
        <f t="array" aca="1" ref="Q78" ca="1">INDEX($D$2:$D$129, RANDBETWEEN(1,128))</f>
        <v>12</v>
      </c>
      <c r="R78" s="5" cm="1">
        <f t="array" aca="1" ref="R78" ca="1">INDEX($F$2:$F$129, RANDBETWEEN(1,129))</f>
        <v>0.85</v>
      </c>
      <c r="S78" s="5"/>
      <c r="T78" s="5"/>
      <c r="U78" s="5"/>
    </row>
    <row r="79" spans="1:21" x14ac:dyDescent="0.35">
      <c r="A79" s="5" t="s">
        <v>8</v>
      </c>
      <c r="B79" s="5">
        <v>550458</v>
      </c>
      <c r="C79" s="5">
        <v>15036</v>
      </c>
      <c r="D79" s="5">
        <v>2</v>
      </c>
      <c r="E79" s="6">
        <v>40651.550694444442</v>
      </c>
      <c r="F79" s="8">
        <v>1.63</v>
      </c>
      <c r="G79" s="5" t="s">
        <v>1331</v>
      </c>
      <c r="H79" s="5">
        <f t="shared" si="14"/>
        <v>2.1276595744680851E-2</v>
      </c>
      <c r="I79" s="5">
        <f t="shared" si="15"/>
        <v>-0.84312786350874136</v>
      </c>
      <c r="J79" s="5" t="str">
        <f t="shared" si="16"/>
        <v>LOW</v>
      </c>
      <c r="K79" s="8">
        <f t="shared" si="17"/>
        <v>0.96703296703296704</v>
      </c>
      <c r="L79" s="8">
        <f t="shared" si="18"/>
        <v>1.9352005489719497</v>
      </c>
      <c r="M79" s="5" t="str">
        <f t="shared" si="19"/>
        <v>HIGH</v>
      </c>
      <c r="N79" s="5" cm="1">
        <f t="array" aca="1" ref="N79" ca="1">INDEX($N$2:$N$15,RANDBETWEEN(1, ROWS($N$2:$N$15)))</f>
        <v>8</v>
      </c>
      <c r="O79" s="5" cm="1">
        <f t="array" aca="1" ref="O79" ca="1">INDEX($O$2:$O$15,RANDBETWEEN(1, ROWS($O$2:$O$15)))</f>
        <v>3</v>
      </c>
      <c r="P79" s="5">
        <f t="shared" ca="1" si="20"/>
        <v>55105.660097881155</v>
      </c>
      <c r="Q79" s="5" cm="1">
        <f t="array" aca="1" ref="Q79" ca="1">INDEX($D$2:$D$129, RANDBETWEEN(1,128))</f>
        <v>12</v>
      </c>
      <c r="R79" s="5" cm="1">
        <f t="array" aca="1" ref="R79" ca="1">INDEX($F$2:$F$129, RANDBETWEEN(1,129))</f>
        <v>0.85</v>
      </c>
      <c r="S79" s="5"/>
      <c r="T79" s="5"/>
      <c r="U79" s="5"/>
    </row>
    <row r="80" spans="1:21" x14ac:dyDescent="0.35">
      <c r="A80" s="5" t="s">
        <v>8</v>
      </c>
      <c r="B80" s="5">
        <v>550468</v>
      </c>
      <c r="C80" s="5">
        <v>15036</v>
      </c>
      <c r="D80" s="5">
        <v>12</v>
      </c>
      <c r="E80" s="6">
        <v>40651.571527777778</v>
      </c>
      <c r="F80" s="8">
        <v>0.83</v>
      </c>
      <c r="G80" s="5">
        <v>16700</v>
      </c>
      <c r="H80" s="5">
        <f t="shared" si="14"/>
        <v>0.23404255319148937</v>
      </c>
      <c r="I80" s="5">
        <f t="shared" si="15"/>
        <v>6.5076026784813848E-2</v>
      </c>
      <c r="J80" s="5" t="str">
        <f t="shared" si="16"/>
        <v>HIGH</v>
      </c>
      <c r="K80" s="8">
        <f t="shared" si="17"/>
        <v>8.7912087912087877E-2</v>
      </c>
      <c r="L80" s="8">
        <f t="shared" si="18"/>
        <v>-0.49186247751304629</v>
      </c>
      <c r="M80" s="5" t="str">
        <f t="shared" si="19"/>
        <v>LOW</v>
      </c>
      <c r="N80" s="5" cm="1">
        <f t="array" aca="1" ref="N80" ca="1">INDEX($N$2:$N$15,RANDBETWEEN(1, ROWS($N$2:$N$15)))</f>
        <v>4</v>
      </c>
      <c r="O80" s="5" cm="1">
        <f t="array" aca="1" ref="O80" ca="1">INDEX($O$2:$O$15,RANDBETWEEN(1, ROWS($O$2:$O$15)))</f>
        <v>5</v>
      </c>
      <c r="P80" s="5">
        <f t="shared" ca="1" si="20"/>
        <v>51906.441391330685</v>
      </c>
      <c r="Q80" s="5" cm="1">
        <f t="array" aca="1" ref="Q80" ca="1">INDEX($D$2:$D$129, RANDBETWEEN(1,128))</f>
        <v>6</v>
      </c>
      <c r="R80" s="5" cm="1">
        <f t="array" aca="1" ref="R80" ca="1">INDEX($F$2:$F$129, RANDBETWEEN(1,129))</f>
        <v>0.83</v>
      </c>
      <c r="S80" s="5"/>
      <c r="T80" s="5"/>
      <c r="U80" s="5"/>
    </row>
    <row r="81" spans="1:21" x14ac:dyDescent="0.35">
      <c r="A81" s="5" t="s">
        <v>8</v>
      </c>
      <c r="B81" s="5">
        <v>550470</v>
      </c>
      <c r="C81" s="5">
        <v>15036</v>
      </c>
      <c r="D81" s="5">
        <v>4</v>
      </c>
      <c r="E81" s="6">
        <v>40651.575694444444</v>
      </c>
      <c r="F81" s="8">
        <v>1.63</v>
      </c>
      <c r="G81" s="5" t="s">
        <v>1331</v>
      </c>
      <c r="H81" s="5">
        <f t="shared" si="14"/>
        <v>6.3829787234042548E-2</v>
      </c>
      <c r="I81" s="5">
        <f t="shared" si="15"/>
        <v>-0.66148708545003032</v>
      </c>
      <c r="J81" s="5" t="str">
        <f t="shared" si="16"/>
        <v>LOW</v>
      </c>
      <c r="K81" s="8">
        <f t="shared" si="17"/>
        <v>0.96703296703296704</v>
      </c>
      <c r="L81" s="8">
        <f t="shared" si="18"/>
        <v>1.9352005489719497</v>
      </c>
      <c r="M81" s="5" t="str">
        <f t="shared" si="19"/>
        <v>HIGH</v>
      </c>
      <c r="N81" s="5" cm="1">
        <f t="array" aca="1" ref="N81" ca="1">INDEX($N$2:$N$15,RANDBETWEEN(1, ROWS($N$2:$N$15)))</f>
        <v>12</v>
      </c>
      <c r="O81" s="5" cm="1">
        <f t="array" aca="1" ref="O81" ca="1">INDEX($O$2:$O$15,RANDBETWEEN(1, ROWS($O$2:$O$15)))</f>
        <v>7</v>
      </c>
      <c r="P81" s="5">
        <f t="shared" ca="1" si="20"/>
        <v>55107.68275187839</v>
      </c>
      <c r="Q81" s="5" cm="1">
        <f t="array" aca="1" ref="Q81" ca="1">INDEX($D$2:$D$129, RANDBETWEEN(1,128))</f>
        <v>12</v>
      </c>
      <c r="R81" s="5" cm="1">
        <f t="array" aca="1" ref="R81" ca="1">INDEX($F$2:$F$129, RANDBETWEEN(1,129))</f>
        <v>0.83</v>
      </c>
      <c r="S81" s="5"/>
      <c r="T81" s="5"/>
      <c r="U81" s="5"/>
    </row>
    <row r="82" spans="1:21" x14ac:dyDescent="0.35">
      <c r="A82" s="5" t="s">
        <v>8</v>
      </c>
      <c r="B82" s="5">
        <v>550471</v>
      </c>
      <c r="C82" s="5">
        <v>15036</v>
      </c>
      <c r="D82" s="5">
        <v>3</v>
      </c>
      <c r="E82" s="6">
        <v>40651.577777777777</v>
      </c>
      <c r="F82" s="8">
        <v>1.63</v>
      </c>
      <c r="G82" s="5" t="s">
        <v>1331</v>
      </c>
      <c r="H82" s="5">
        <f t="shared" si="14"/>
        <v>4.2553191489361701E-2</v>
      </c>
      <c r="I82" s="5">
        <f t="shared" si="15"/>
        <v>-0.75230747447938584</v>
      </c>
      <c r="J82" s="5" t="str">
        <f t="shared" si="16"/>
        <v>LOW</v>
      </c>
      <c r="K82" s="8">
        <f t="shared" si="17"/>
        <v>0.96703296703296704</v>
      </c>
      <c r="L82" s="8">
        <f t="shared" si="18"/>
        <v>1.9352005489719497</v>
      </c>
      <c r="M82" s="5" t="str">
        <f t="shared" si="19"/>
        <v>HIGH</v>
      </c>
      <c r="N82" s="5" cm="1">
        <f t="array" aca="1" ref="N82" ca="1">INDEX($N$2:$N$15,RANDBETWEEN(1, ROWS($N$2:$N$15)))</f>
        <v>12</v>
      </c>
      <c r="O82" s="5" cm="1">
        <f t="array" aca="1" ref="O82" ca="1">INDEX($O$2:$O$15,RANDBETWEEN(1, ROWS($O$2:$O$15)))</f>
        <v>4</v>
      </c>
      <c r="P82" s="5">
        <f t="shared" ca="1" si="20"/>
        <v>55107.400023364622</v>
      </c>
      <c r="Q82" s="5" cm="1">
        <f t="array" aca="1" ref="Q82" ca="1">INDEX($D$2:$D$129, RANDBETWEEN(1,128))</f>
        <v>1</v>
      </c>
      <c r="R82" s="5" cm="1">
        <f t="array" aca="1" ref="R82" ca="1">INDEX($F$2:$F$129, RANDBETWEEN(1,129))</f>
        <v>0.83</v>
      </c>
      <c r="S82" s="5"/>
      <c r="T82" s="5"/>
      <c r="U82" s="5"/>
    </row>
    <row r="83" spans="1:21" x14ac:dyDescent="0.35">
      <c r="A83" s="5" t="s">
        <v>8</v>
      </c>
      <c r="B83" s="5">
        <v>550474</v>
      </c>
      <c r="C83" s="5">
        <v>15036</v>
      </c>
      <c r="D83" s="5">
        <v>2</v>
      </c>
      <c r="E83" s="6">
        <v>40651.581944444442</v>
      </c>
      <c r="F83" s="8">
        <v>1.63</v>
      </c>
      <c r="G83" s="5" t="s">
        <v>1331</v>
      </c>
      <c r="H83" s="5">
        <f t="shared" si="14"/>
        <v>2.1276595744680851E-2</v>
      </c>
      <c r="I83" s="5">
        <f t="shared" si="15"/>
        <v>-0.84312786350874136</v>
      </c>
      <c r="J83" s="5" t="str">
        <f t="shared" si="16"/>
        <v>LOW</v>
      </c>
      <c r="K83" s="8">
        <f t="shared" si="17"/>
        <v>0.96703296703296704</v>
      </c>
      <c r="L83" s="8">
        <f t="shared" si="18"/>
        <v>1.9352005489719497</v>
      </c>
      <c r="M83" s="5" t="str">
        <f t="shared" si="19"/>
        <v>HIGH</v>
      </c>
      <c r="N83" s="5" cm="1">
        <f t="array" aca="1" ref="N83" ca="1">INDEX($N$2:$N$15,RANDBETWEEN(1, ROWS($N$2:$N$15)))</f>
        <v>12</v>
      </c>
      <c r="O83" s="5" cm="1">
        <f t="array" aca="1" ref="O83" ca="1">INDEX($O$2:$O$15,RANDBETWEEN(1, ROWS($O$2:$O$15)))</f>
        <v>4</v>
      </c>
      <c r="P83" s="5">
        <f t="shared" ca="1" si="20"/>
        <v>55107.572029699339</v>
      </c>
      <c r="Q83" s="5" cm="1">
        <f t="array" aca="1" ref="Q83" ca="1">INDEX($D$2:$D$129, RANDBETWEEN(1,128))</f>
        <v>6</v>
      </c>
      <c r="R83" s="5" cm="1">
        <f t="array" aca="1" ref="R83" ca="1">INDEX($F$2:$F$129, RANDBETWEEN(1,129))</f>
        <v>0.85</v>
      </c>
      <c r="S83" s="5"/>
      <c r="T83" s="5"/>
      <c r="U83" s="5"/>
    </row>
    <row r="84" spans="1:21" x14ac:dyDescent="0.35">
      <c r="A84" s="5" t="s">
        <v>8</v>
      </c>
      <c r="B84" s="5">
        <v>550479</v>
      </c>
      <c r="C84" s="5">
        <v>15036</v>
      </c>
      <c r="D84" s="5">
        <v>24</v>
      </c>
      <c r="E84" s="6">
        <v>40651.584027777775</v>
      </c>
      <c r="F84" s="8">
        <v>0.83</v>
      </c>
      <c r="G84" s="5">
        <v>15625</v>
      </c>
      <c r="H84" s="5">
        <f t="shared" si="14"/>
        <v>0.48936170212765956</v>
      </c>
      <c r="I84" s="5">
        <f t="shared" si="15"/>
        <v>1.1549206951370801</v>
      </c>
      <c r="J84" s="5" t="str">
        <f t="shared" si="16"/>
        <v>HIGH</v>
      </c>
      <c r="K84" s="8">
        <f t="shared" si="17"/>
        <v>8.7912087912087877E-2</v>
      </c>
      <c r="L84" s="8">
        <f t="shared" si="18"/>
        <v>-0.49186247751304629</v>
      </c>
      <c r="M84" s="5" t="str">
        <f t="shared" si="19"/>
        <v>LOW</v>
      </c>
      <c r="N84" s="5" cm="1">
        <f t="array" aca="1" ref="N84" ca="1">INDEX($N$2:$N$15,RANDBETWEEN(1, ROWS($N$2:$N$15)))</f>
        <v>4</v>
      </c>
      <c r="O84" s="5" cm="1">
        <f t="array" aca="1" ref="O84" ca="1">INDEX($O$2:$O$15,RANDBETWEEN(1, ROWS($O$2:$O$15)))</f>
        <v>1</v>
      </c>
      <c r="P84" s="5">
        <f t="shared" ca="1" si="20"/>
        <v>51818.554529982117</v>
      </c>
      <c r="Q84" s="5" cm="1">
        <f t="array" aca="1" ref="Q84" ca="1">INDEX($D$2:$D$129, RANDBETWEEN(1,128))</f>
        <v>12</v>
      </c>
      <c r="R84" s="5" cm="1">
        <f t="array" aca="1" ref="R84" ca="1">INDEX($F$2:$F$129, RANDBETWEEN(1,129))</f>
        <v>0.79</v>
      </c>
      <c r="S84" s="5"/>
      <c r="T84" s="5"/>
      <c r="U84" s="5"/>
    </row>
    <row r="85" spans="1:21" x14ac:dyDescent="0.35">
      <c r="A85" s="5" t="s">
        <v>8</v>
      </c>
      <c r="B85" s="5">
        <v>550517</v>
      </c>
      <c r="C85" s="5">
        <v>15036</v>
      </c>
      <c r="D85" s="5">
        <v>24</v>
      </c>
      <c r="E85" s="6">
        <v>40652.345138888886</v>
      </c>
      <c r="F85" s="8">
        <v>0.83</v>
      </c>
      <c r="G85" s="5">
        <v>14352</v>
      </c>
      <c r="H85" s="5">
        <f t="shared" si="14"/>
        <v>0.48936170212765956</v>
      </c>
      <c r="I85" s="5">
        <f t="shared" si="15"/>
        <v>1.1549206951370801</v>
      </c>
      <c r="J85" s="5" t="str">
        <f t="shared" si="16"/>
        <v>HIGH</v>
      </c>
      <c r="K85" s="8">
        <f t="shared" si="17"/>
        <v>8.7912087912087877E-2</v>
      </c>
      <c r="L85" s="8">
        <f t="shared" si="18"/>
        <v>-0.49186247751304629</v>
      </c>
      <c r="M85" s="5" t="str">
        <f t="shared" si="19"/>
        <v>LOW</v>
      </c>
      <c r="N85" s="5" cm="1">
        <f t="array" aca="1" ref="N85" ca="1">INDEX($N$2:$N$15,RANDBETWEEN(1, ROWS($N$2:$N$15)))</f>
        <v>8</v>
      </c>
      <c r="O85" s="5" cm="1">
        <f t="array" aca="1" ref="O85" ca="1">INDEX($O$2:$O$15,RANDBETWEEN(1, ROWS($O$2:$O$15)))</f>
        <v>5</v>
      </c>
      <c r="P85" s="5">
        <f t="shared" ca="1" si="20"/>
        <v>51716.367955908041</v>
      </c>
      <c r="Q85" s="5" cm="1">
        <f t="array" aca="1" ref="Q85" ca="1">INDEX($D$2:$D$129, RANDBETWEEN(1,128))</f>
        <v>17</v>
      </c>
      <c r="R85" s="5" cm="1">
        <f t="array" aca="1" ref="R85" ca="1">INDEX($F$2:$F$129, RANDBETWEEN(1,129))</f>
        <v>1.63</v>
      </c>
      <c r="S85" s="5"/>
      <c r="T85" s="5"/>
      <c r="U85" s="5"/>
    </row>
    <row r="86" spans="1:21" x14ac:dyDescent="0.35">
      <c r="A86" s="5" t="s">
        <v>8</v>
      </c>
      <c r="B86" s="5">
        <v>550519</v>
      </c>
      <c r="C86" s="5">
        <v>15036</v>
      </c>
      <c r="D86" s="5">
        <v>24</v>
      </c>
      <c r="E86" s="6">
        <v>40652.396527777775</v>
      </c>
      <c r="F86" s="8">
        <v>0.83</v>
      </c>
      <c r="G86" s="5">
        <v>13141</v>
      </c>
      <c r="H86" s="5">
        <f t="shared" si="14"/>
        <v>0.48936170212765956</v>
      </c>
      <c r="I86" s="5">
        <f t="shared" si="15"/>
        <v>1.1549206951370801</v>
      </c>
      <c r="J86" s="5" t="str">
        <f t="shared" si="16"/>
        <v>HIGH</v>
      </c>
      <c r="K86" s="8">
        <f t="shared" si="17"/>
        <v>8.7912087912087877E-2</v>
      </c>
      <c r="L86" s="8">
        <f t="shared" si="18"/>
        <v>-0.49186247751304629</v>
      </c>
      <c r="M86" s="5" t="str">
        <f t="shared" si="19"/>
        <v>LOW</v>
      </c>
      <c r="N86" s="5" cm="1">
        <f t="array" aca="1" ref="N86" ca="1">INDEX($N$2:$N$15,RANDBETWEEN(1, ROWS($N$2:$N$15)))</f>
        <v>9</v>
      </c>
      <c r="O86" s="5" cm="1">
        <f t="array" aca="1" ref="O86" ca="1">INDEX($O$2:$O$15,RANDBETWEEN(1, ROWS($O$2:$O$15)))</f>
        <v>7</v>
      </c>
      <c r="P86" s="5">
        <f t="shared" ca="1" si="20"/>
        <v>51615.872238315445</v>
      </c>
      <c r="Q86" s="5" cm="1">
        <f t="array" aca="1" ref="Q86" ca="1">INDEX($D$2:$D$129, RANDBETWEEN(1,128))</f>
        <v>1</v>
      </c>
      <c r="R86" s="5" cm="1">
        <f t="array" aca="1" ref="R86" ca="1">INDEX($F$2:$F$129, RANDBETWEEN(1,129))</f>
        <v>0.83</v>
      </c>
      <c r="S86" s="5"/>
      <c r="T86" s="5"/>
      <c r="U86" s="5"/>
    </row>
    <row r="87" spans="1:21" x14ac:dyDescent="0.35">
      <c r="A87" s="5" t="s">
        <v>8</v>
      </c>
      <c r="B87" s="5">
        <v>550521</v>
      </c>
      <c r="C87" s="5">
        <v>15036</v>
      </c>
      <c r="D87" s="5">
        <v>24</v>
      </c>
      <c r="E87" s="6">
        <v>40652.40902777778</v>
      </c>
      <c r="F87" s="8">
        <v>0.83</v>
      </c>
      <c r="G87" s="5">
        <v>13647</v>
      </c>
      <c r="H87" s="5">
        <f t="shared" si="14"/>
        <v>0.48936170212765956</v>
      </c>
      <c r="I87" s="5">
        <f t="shared" si="15"/>
        <v>1.1549206951370801</v>
      </c>
      <c r="J87" s="5" t="str">
        <f t="shared" si="16"/>
        <v>HIGH</v>
      </c>
      <c r="K87" s="8">
        <f t="shared" si="17"/>
        <v>8.7912087912087877E-2</v>
      </c>
      <c r="L87" s="8">
        <f t="shared" si="18"/>
        <v>-0.49186247751304629</v>
      </c>
      <c r="M87" s="5" t="str">
        <f t="shared" si="19"/>
        <v>LOW</v>
      </c>
      <c r="N87" s="5" cm="1">
        <f t="array" aca="1" ref="N87" ca="1">INDEX($N$2:$N$15,RANDBETWEEN(1, ROWS($N$2:$N$15)))</f>
        <v>4</v>
      </c>
      <c r="O87" s="5" cm="1">
        <f t="array" aca="1" ref="O87" ca="1">INDEX($O$2:$O$15,RANDBETWEEN(1, ROWS($O$2:$O$15)))</f>
        <v>5</v>
      </c>
      <c r="P87" s="5">
        <f t="shared" ca="1" si="20"/>
        <v>51657.623279982108</v>
      </c>
      <c r="Q87" s="5" cm="1">
        <f t="array" aca="1" ref="Q87" ca="1">INDEX($D$2:$D$129, RANDBETWEEN(1,128))</f>
        <v>2</v>
      </c>
      <c r="R87" s="5" cm="1">
        <f t="array" aca="1" ref="R87" ca="1">INDEX($F$2:$F$129, RANDBETWEEN(1,129))</f>
        <v>0.85</v>
      </c>
      <c r="S87" s="5"/>
      <c r="T87" s="5"/>
      <c r="U87" s="5"/>
    </row>
    <row r="88" spans="1:21" x14ac:dyDescent="0.35">
      <c r="A88" s="5" t="s">
        <v>8</v>
      </c>
      <c r="B88" s="5">
        <v>550542</v>
      </c>
      <c r="C88" s="5">
        <v>15036</v>
      </c>
      <c r="D88" s="5">
        <v>5</v>
      </c>
      <c r="E88" s="6">
        <v>40652.484027777777</v>
      </c>
      <c r="F88" s="8">
        <v>1.63</v>
      </c>
      <c r="G88" s="5" t="s">
        <v>1331</v>
      </c>
      <c r="H88" s="5">
        <f t="shared" si="14"/>
        <v>8.5106382978723402E-2</v>
      </c>
      <c r="I88" s="5">
        <f t="shared" si="15"/>
        <v>-0.5706666964206748</v>
      </c>
      <c r="J88" s="5" t="str">
        <f t="shared" si="16"/>
        <v>LOW</v>
      </c>
      <c r="K88" s="8">
        <f t="shared" si="17"/>
        <v>0.96703296703296704</v>
      </c>
      <c r="L88" s="8">
        <f t="shared" si="18"/>
        <v>1.9352005489719497</v>
      </c>
      <c r="M88" s="5" t="str">
        <f t="shared" si="19"/>
        <v>HIGH</v>
      </c>
      <c r="N88" s="5" cm="1">
        <f t="array" aca="1" ref="N88" ca="1">INDEX($N$2:$N$15,RANDBETWEEN(1, ROWS($N$2:$N$15)))</f>
        <v>8</v>
      </c>
      <c r="O88" s="5" cm="1">
        <f t="array" aca="1" ref="O88" ca="1">INDEX($O$2:$O$15,RANDBETWEEN(1, ROWS($O$2:$O$15)))</f>
        <v>5</v>
      </c>
      <c r="P88" s="5">
        <f t="shared" ca="1" si="20"/>
        <v>55113.866427361849</v>
      </c>
      <c r="Q88" s="5" cm="1">
        <f t="array" aca="1" ref="Q88" ca="1">INDEX($D$2:$D$129, RANDBETWEEN(1,128))</f>
        <v>48</v>
      </c>
      <c r="R88" s="5" cm="1">
        <f t="array" aca="1" ref="R88" ca="1">INDEX($F$2:$F$129, RANDBETWEEN(1,129))</f>
        <v>0.85</v>
      </c>
      <c r="S88" s="5"/>
      <c r="T88" s="5"/>
      <c r="U88" s="5"/>
    </row>
    <row r="89" spans="1:21" x14ac:dyDescent="0.35">
      <c r="A89" s="5" t="s">
        <v>8</v>
      </c>
      <c r="B89" s="5">
        <v>550636</v>
      </c>
      <c r="C89" s="5">
        <v>15036</v>
      </c>
      <c r="D89" s="5">
        <v>1</v>
      </c>
      <c r="E89" s="6">
        <v>40652.650694444441</v>
      </c>
      <c r="F89" s="8">
        <v>1.63</v>
      </c>
      <c r="G89" s="5" t="s">
        <v>1331</v>
      </c>
      <c r="H89" s="5">
        <f t="shared" si="14"/>
        <v>0</v>
      </c>
      <c r="I89" s="5">
        <f t="shared" si="15"/>
        <v>-0.93394825253809688</v>
      </c>
      <c r="J89" s="5" t="str">
        <f t="shared" si="16"/>
        <v>LOW</v>
      </c>
      <c r="K89" s="8">
        <f t="shared" si="17"/>
        <v>0.96703296703296704</v>
      </c>
      <c r="L89" s="8">
        <f t="shared" si="18"/>
        <v>1.9352005489719497</v>
      </c>
      <c r="M89" s="5" t="str">
        <f t="shared" si="19"/>
        <v>HIGH</v>
      </c>
      <c r="N89" s="5" cm="1">
        <f t="array" aca="1" ref="N89" ca="1">INDEX($N$2:$N$15,RANDBETWEEN(1, ROWS($N$2:$N$15)))</f>
        <v>12</v>
      </c>
      <c r="O89" s="5" cm="1">
        <f t="array" aca="1" ref="O89" ca="1">INDEX($O$2:$O$15,RANDBETWEEN(1, ROWS($O$2:$O$15)))</f>
        <v>3</v>
      </c>
      <c r="P89" s="5">
        <f t="shared" ca="1" si="20"/>
        <v>55122.204452700709</v>
      </c>
      <c r="Q89" s="5" cm="1">
        <f t="array" aca="1" ref="Q89" ca="1">INDEX($D$2:$D$129, RANDBETWEEN(1,128))</f>
        <v>1</v>
      </c>
      <c r="R89" s="5" cm="1">
        <f t="array" aca="1" ref="R89" ca="1">INDEX($F$2:$F$129, RANDBETWEEN(1,129))</f>
        <v>0.83</v>
      </c>
      <c r="S89" s="5"/>
      <c r="T89" s="5"/>
      <c r="U89" s="5"/>
    </row>
    <row r="90" spans="1:21" x14ac:dyDescent="0.35">
      <c r="A90" s="5" t="s">
        <v>8</v>
      </c>
      <c r="B90" s="5">
        <v>550659</v>
      </c>
      <c r="C90" s="5">
        <v>15036</v>
      </c>
      <c r="D90" s="5">
        <v>12</v>
      </c>
      <c r="E90" s="6">
        <v>40653.376388888886</v>
      </c>
      <c r="F90" s="8">
        <v>0.83</v>
      </c>
      <c r="G90" s="5">
        <v>17730</v>
      </c>
      <c r="H90" s="5">
        <f t="shared" si="14"/>
        <v>0.23404255319148937</v>
      </c>
      <c r="I90" s="5">
        <f t="shared" si="15"/>
        <v>6.5076026784813848E-2</v>
      </c>
      <c r="J90" s="5" t="str">
        <f t="shared" si="16"/>
        <v>HIGH</v>
      </c>
      <c r="K90" s="8">
        <f t="shared" si="17"/>
        <v>8.7912087912087877E-2</v>
      </c>
      <c r="L90" s="8">
        <f t="shared" si="18"/>
        <v>-0.49186247751304629</v>
      </c>
      <c r="M90" s="5" t="str">
        <f t="shared" si="19"/>
        <v>LOW</v>
      </c>
      <c r="N90" s="5" cm="1">
        <f t="array" aca="1" ref="N90" ca="1">INDEX($N$2:$N$15,RANDBETWEEN(1, ROWS($N$2:$N$15)))</f>
        <v>4</v>
      </c>
      <c r="O90" s="5" cm="1">
        <f t="array" aca="1" ref="O90" ca="1">INDEX($O$2:$O$15,RANDBETWEEN(1, ROWS($O$2:$O$15)))</f>
        <v>3</v>
      </c>
      <c r="P90" s="5">
        <f t="shared" ca="1" si="20"/>
        <v>52008.175129756615</v>
      </c>
      <c r="Q90" s="5" cm="1">
        <f t="array" aca="1" ref="Q90" ca="1">INDEX($D$2:$D$129, RANDBETWEEN(1,128))</f>
        <v>6</v>
      </c>
      <c r="R90" s="5" cm="1">
        <f t="array" aca="1" ref="R90" ca="1">INDEX($F$2:$F$129, RANDBETWEEN(1,129))</f>
        <v>0.85</v>
      </c>
      <c r="S90" s="5"/>
      <c r="T90" s="5"/>
      <c r="U90" s="5"/>
    </row>
    <row r="91" spans="1:21" x14ac:dyDescent="0.35">
      <c r="A91" s="5" t="s">
        <v>8</v>
      </c>
      <c r="B91" s="5">
        <v>550775</v>
      </c>
      <c r="C91" s="5">
        <v>15036</v>
      </c>
      <c r="D91" s="5">
        <v>12</v>
      </c>
      <c r="E91" s="6">
        <v>40653.554166666669</v>
      </c>
      <c r="F91" s="8">
        <v>0.83</v>
      </c>
      <c r="G91" s="5">
        <v>15805</v>
      </c>
      <c r="H91" s="5">
        <f t="shared" si="14"/>
        <v>0.23404255319148937</v>
      </c>
      <c r="I91" s="5">
        <f t="shared" si="15"/>
        <v>6.5076026784813848E-2</v>
      </c>
      <c r="J91" s="5" t="str">
        <f t="shared" si="16"/>
        <v>HIGH</v>
      </c>
      <c r="K91" s="8">
        <f t="shared" si="17"/>
        <v>8.7912087912087877E-2</v>
      </c>
      <c r="L91" s="8">
        <f t="shared" si="18"/>
        <v>-0.49186247751304629</v>
      </c>
      <c r="M91" s="5" t="str">
        <f t="shared" si="19"/>
        <v>LOW</v>
      </c>
      <c r="N91" s="5" cm="1">
        <f t="array" aca="1" ref="N91" ca="1">INDEX($N$2:$N$15,RANDBETWEEN(1, ROWS($N$2:$N$15)))</f>
        <v>12</v>
      </c>
      <c r="O91" s="5" cm="1">
        <f t="array" aca="1" ref="O91" ca="1">INDEX($O$2:$O$15,RANDBETWEEN(1, ROWS($O$2:$O$15)))</f>
        <v>4</v>
      </c>
      <c r="P91" s="5">
        <f t="shared" ca="1" si="20"/>
        <v>51858.18994457143</v>
      </c>
      <c r="Q91" s="5" cm="1">
        <f t="array" aca="1" ref="Q91" ca="1">INDEX($D$2:$D$129, RANDBETWEEN(1,128))</f>
        <v>48</v>
      </c>
      <c r="R91" s="5" cm="1">
        <f t="array" aca="1" ref="R91" ca="1">INDEX($F$2:$F$129, RANDBETWEEN(1,129))</f>
        <v>0.85</v>
      </c>
      <c r="S91" s="5"/>
      <c r="T91" s="5"/>
      <c r="U91" s="5"/>
    </row>
    <row r="92" spans="1:21" x14ac:dyDescent="0.35">
      <c r="A92" s="5" t="s">
        <v>8</v>
      </c>
      <c r="B92" s="5">
        <v>550785</v>
      </c>
      <c r="C92" s="5">
        <v>15036</v>
      </c>
      <c r="D92" s="5">
        <v>12</v>
      </c>
      <c r="E92" s="6">
        <v>40653.584722222222</v>
      </c>
      <c r="F92" s="8">
        <v>0.83</v>
      </c>
      <c r="G92" s="5">
        <v>15517</v>
      </c>
      <c r="H92" s="5">
        <f t="shared" si="14"/>
        <v>0.23404255319148937</v>
      </c>
      <c r="I92" s="5">
        <f t="shared" si="15"/>
        <v>6.5076026784813848E-2</v>
      </c>
      <c r="J92" s="5" t="str">
        <f t="shared" si="16"/>
        <v>HIGH</v>
      </c>
      <c r="K92" s="8">
        <f t="shared" si="17"/>
        <v>8.7912087912087877E-2</v>
      </c>
      <c r="L92" s="8">
        <f t="shared" si="18"/>
        <v>-0.49186247751304629</v>
      </c>
      <c r="M92" s="5" t="str">
        <f t="shared" si="19"/>
        <v>LOW</v>
      </c>
      <c r="N92" s="5" cm="1">
        <f t="array" aca="1" ref="N92" ca="1">INDEX($N$2:$N$15,RANDBETWEEN(1, ROWS($N$2:$N$15)))</f>
        <v>12</v>
      </c>
      <c r="O92" s="5" cm="1">
        <f t="array" aca="1" ref="O92" ca="1">INDEX($O$2:$O$15,RANDBETWEEN(1, ROWS($O$2:$O$15)))</f>
        <v>1</v>
      </c>
      <c r="P92" s="5">
        <f t="shared" ca="1" si="20"/>
        <v>51834.775824201053</v>
      </c>
      <c r="Q92" s="5" cm="1">
        <f t="array" aca="1" ref="Q92" ca="1">INDEX($D$2:$D$129, RANDBETWEEN(1,128))</f>
        <v>1</v>
      </c>
      <c r="R92" s="5" cm="1">
        <f t="array" aca="1" ref="R92" ca="1">INDEX($F$2:$F$129, RANDBETWEEN(1,129))</f>
        <v>0.83</v>
      </c>
      <c r="S92" s="5"/>
      <c r="T92" s="5"/>
      <c r="U92" s="5"/>
    </row>
    <row r="93" spans="1:21" x14ac:dyDescent="0.35">
      <c r="A93" s="5" t="s">
        <v>8</v>
      </c>
      <c r="B93" s="5">
        <v>550802</v>
      </c>
      <c r="C93" s="5">
        <v>15036</v>
      </c>
      <c r="D93" s="5">
        <v>12</v>
      </c>
      <c r="E93" s="6">
        <v>40653.63958333333</v>
      </c>
      <c r="F93" s="8">
        <v>0.83</v>
      </c>
      <c r="G93" s="5">
        <v>17120</v>
      </c>
      <c r="H93" s="5">
        <f t="shared" si="14"/>
        <v>0.23404255319148937</v>
      </c>
      <c r="I93" s="5">
        <f t="shared" si="15"/>
        <v>6.5076026784813848E-2</v>
      </c>
      <c r="J93" s="5" t="str">
        <f t="shared" si="16"/>
        <v>HIGH</v>
      </c>
      <c r="K93" s="8">
        <f t="shared" si="17"/>
        <v>8.7912087912087877E-2</v>
      </c>
      <c r="L93" s="8">
        <f t="shared" si="18"/>
        <v>-0.49186247751304629</v>
      </c>
      <c r="M93" s="5" t="str">
        <f t="shared" si="19"/>
        <v>LOW</v>
      </c>
      <c r="N93" s="5" cm="1">
        <f t="array" aca="1" ref="N93" ca="1">INDEX($N$2:$N$15,RANDBETWEEN(1, ROWS($N$2:$N$15)))</f>
        <v>2</v>
      </c>
      <c r="O93" s="5" cm="1">
        <f t="array" aca="1" ref="O93" ca="1">INDEX($O$2:$O$15,RANDBETWEEN(1, ROWS($O$2:$O$15)))</f>
        <v>4</v>
      </c>
      <c r="P93" s="5">
        <f t="shared" ca="1" si="20"/>
        <v>51969.197062626976</v>
      </c>
      <c r="Q93" s="5" cm="1">
        <f t="array" aca="1" ref="Q93" ca="1">INDEX($D$2:$D$129, RANDBETWEEN(1,128))</f>
        <v>3</v>
      </c>
      <c r="R93" s="5" cm="1">
        <f t="array" aca="1" ref="R93" ca="1">INDEX($F$2:$F$129, RANDBETWEEN(1,129))</f>
        <v>0.83</v>
      </c>
      <c r="S93" s="5"/>
      <c r="T93" s="5"/>
      <c r="U93" s="5"/>
    </row>
    <row r="94" spans="1:21" x14ac:dyDescent="0.35">
      <c r="A94" s="5" t="s">
        <v>8</v>
      </c>
      <c r="B94" s="5">
        <v>550972</v>
      </c>
      <c r="C94" s="5">
        <v>15036</v>
      </c>
      <c r="D94" s="5">
        <v>1</v>
      </c>
      <c r="E94" s="6">
        <v>40654.711805555555</v>
      </c>
      <c r="F94" s="8">
        <v>0.83</v>
      </c>
      <c r="G94" s="5">
        <v>14031</v>
      </c>
      <c r="H94" s="5">
        <f t="shared" si="14"/>
        <v>0</v>
      </c>
      <c r="I94" s="5">
        <f t="shared" si="15"/>
        <v>-0.93394825253809688</v>
      </c>
      <c r="J94" s="5" t="str">
        <f t="shared" si="16"/>
        <v>LOW</v>
      </c>
      <c r="K94" s="8">
        <f t="shared" si="17"/>
        <v>8.7912087912087877E-2</v>
      </c>
      <c r="L94" s="8">
        <f t="shared" si="18"/>
        <v>-0.49186247751304629</v>
      </c>
      <c r="M94" s="5" t="str">
        <f t="shared" si="19"/>
        <v>LOW</v>
      </c>
      <c r="N94" s="5" cm="1">
        <f t="array" aca="1" ref="N94" ca="1">INDEX($N$2:$N$15,RANDBETWEEN(1, ROWS($N$2:$N$15)))</f>
        <v>9</v>
      </c>
      <c r="O94" s="5" cm="1">
        <f t="array" aca="1" ref="O94" ca="1">INDEX($O$2:$O$15,RANDBETWEEN(1, ROWS($O$2:$O$15)))</f>
        <v>5</v>
      </c>
      <c r="P94" s="5">
        <f t="shared" ca="1" si="20"/>
        <v>51725.683658909438</v>
      </c>
      <c r="Q94" s="5" cm="1">
        <f t="array" aca="1" ref="Q94" ca="1">INDEX($D$2:$D$129, RANDBETWEEN(1,128))</f>
        <v>36</v>
      </c>
      <c r="R94" s="5" cm="1">
        <f t="array" aca="1" ref="R94" ca="1">INDEX($F$2:$F$129, RANDBETWEEN(1,129))</f>
        <v>0.83</v>
      </c>
      <c r="S94" s="5"/>
      <c r="T94" s="5"/>
      <c r="U94" s="5"/>
    </row>
    <row r="95" spans="1:21" x14ac:dyDescent="0.35">
      <c r="A95" s="5" t="s">
        <v>8</v>
      </c>
      <c r="B95" s="5">
        <v>551174</v>
      </c>
      <c r="C95" s="5">
        <v>15036</v>
      </c>
      <c r="D95" s="5">
        <v>15</v>
      </c>
      <c r="E95" s="6">
        <v>40659.709722222222</v>
      </c>
      <c r="F95" s="8">
        <v>0.83</v>
      </c>
      <c r="G95" s="5" t="s">
        <v>1331</v>
      </c>
      <c r="H95" s="5">
        <f t="shared" si="14"/>
        <v>0.2978723404255319</v>
      </c>
      <c r="I95" s="5">
        <f t="shared" si="15"/>
        <v>0.33753719387288039</v>
      </c>
      <c r="J95" s="5" t="str">
        <f t="shared" si="16"/>
        <v>HIGH</v>
      </c>
      <c r="K95" s="8">
        <f t="shared" si="17"/>
        <v>8.7912087912087877E-2</v>
      </c>
      <c r="L95" s="8">
        <f t="shared" si="18"/>
        <v>-0.49186247751304629</v>
      </c>
      <c r="M95" s="5" t="str">
        <f t="shared" si="19"/>
        <v>LOW</v>
      </c>
      <c r="N95" s="5" cm="1">
        <f t="array" aca="1" ref="N95" ca="1">INDEX($N$2:$N$15,RANDBETWEEN(1, ROWS($N$2:$N$15)))</f>
        <v>12</v>
      </c>
      <c r="O95" s="5" cm="1">
        <f t="array" aca="1" ref="O95" ca="1">INDEX($O$2:$O$15,RANDBETWEEN(1, ROWS($O$2:$O$15)))</f>
        <v>5</v>
      </c>
      <c r="P95" s="5">
        <f t="shared" ca="1" si="20"/>
        <v>55172.979198306079</v>
      </c>
      <c r="Q95" s="5" cm="1">
        <f t="array" aca="1" ref="Q95" ca="1">INDEX($D$2:$D$129, RANDBETWEEN(1,128))</f>
        <v>1</v>
      </c>
      <c r="R95" s="5" cm="1">
        <f t="array" aca="1" ref="R95" ca="1">INDEX($F$2:$F$129, RANDBETWEEN(1,129))</f>
        <v>0.85</v>
      </c>
      <c r="S95" s="5"/>
      <c r="T95" s="5"/>
      <c r="U95" s="5"/>
    </row>
    <row r="96" spans="1:21" x14ac:dyDescent="0.35">
      <c r="A96" s="5" t="s">
        <v>8</v>
      </c>
      <c r="B96" s="5">
        <v>551182</v>
      </c>
      <c r="C96" s="5">
        <v>15036</v>
      </c>
      <c r="D96" s="5">
        <v>24</v>
      </c>
      <c r="E96" s="6">
        <v>40660.363194444442</v>
      </c>
      <c r="F96" s="8">
        <v>0.83</v>
      </c>
      <c r="G96" s="5">
        <v>14282</v>
      </c>
      <c r="H96" s="5">
        <f t="shared" si="14"/>
        <v>0.48936170212765956</v>
      </c>
      <c r="I96" s="5">
        <f t="shared" si="15"/>
        <v>1.1549206951370801</v>
      </c>
      <c r="J96" s="5" t="str">
        <f t="shared" si="16"/>
        <v>HIGH</v>
      </c>
      <c r="K96" s="8">
        <f t="shared" si="17"/>
        <v>8.7912087912087877E-2</v>
      </c>
      <c r="L96" s="8">
        <f t="shared" si="18"/>
        <v>-0.49186247751304629</v>
      </c>
      <c r="M96" s="5" t="str">
        <f t="shared" si="19"/>
        <v>LOW</v>
      </c>
      <c r="N96" s="5" cm="1">
        <f t="array" aca="1" ref="N96" ca="1">INDEX($N$2:$N$15,RANDBETWEEN(1, ROWS($N$2:$N$15)))</f>
        <v>12</v>
      </c>
      <c r="O96" s="5" cm="1">
        <f t="array" aca="1" ref="O96" ca="1">INDEX($O$2:$O$15,RANDBETWEEN(1, ROWS($O$2:$O$15)))</f>
        <v>1</v>
      </c>
      <c r="P96" s="5">
        <f t="shared" ca="1" si="20"/>
        <v>51766.619460537673</v>
      </c>
      <c r="Q96" s="5" cm="1">
        <f t="array" aca="1" ref="Q96" ca="1">INDEX($D$2:$D$129, RANDBETWEEN(1,128))</f>
        <v>36</v>
      </c>
      <c r="R96" s="5" cm="1">
        <f t="array" aca="1" ref="R96" ca="1">INDEX($F$2:$F$129, RANDBETWEEN(1,129))</f>
        <v>0.85</v>
      </c>
      <c r="S96" s="5"/>
      <c r="T96" s="5"/>
      <c r="U96" s="5"/>
    </row>
    <row r="97" spans="1:21" x14ac:dyDescent="0.35">
      <c r="A97" s="5" t="s">
        <v>8</v>
      </c>
      <c r="B97" s="5">
        <v>551391</v>
      </c>
      <c r="C97" s="5">
        <v>10125</v>
      </c>
      <c r="D97" s="5">
        <v>1</v>
      </c>
      <c r="E97" s="6">
        <v>40661.504166666666</v>
      </c>
      <c r="F97" s="8">
        <v>0.85</v>
      </c>
      <c r="G97" s="5">
        <v>15514</v>
      </c>
      <c r="H97" s="5">
        <f t="shared" si="14"/>
        <v>0</v>
      </c>
      <c r="I97" s="5">
        <f t="shared" si="15"/>
        <v>-0.93394825253809688</v>
      </c>
      <c r="J97" s="5" t="str">
        <f t="shared" si="16"/>
        <v>LOW</v>
      </c>
      <c r="K97" s="8">
        <f t="shared" si="17"/>
        <v>0.10989010989010987</v>
      </c>
      <c r="L97" s="8">
        <f t="shared" si="18"/>
        <v>-0.43118590185092137</v>
      </c>
      <c r="M97" s="5" t="str">
        <f t="shared" si="19"/>
        <v>LOW</v>
      </c>
      <c r="N97" s="5">
        <v>10</v>
      </c>
      <c r="O97" s="5">
        <v>8</v>
      </c>
      <c r="P97" s="5">
        <f t="shared" si="20"/>
        <v>51475.84157688517</v>
      </c>
      <c r="Q97" s="5" cm="1">
        <f t="array" aca="1" ref="Q97" ca="1">INDEX($D$2:$D$129, RANDBETWEEN(1,128))</f>
        <v>20</v>
      </c>
      <c r="R97" s="5" cm="1">
        <f t="array" aca="1" ref="R97" ca="1">INDEX($F$2:$F$129, RANDBETWEEN(1,129))</f>
        <v>0.85</v>
      </c>
      <c r="S97" s="5"/>
      <c r="T97" s="5"/>
      <c r="U97" s="5"/>
    </row>
    <row r="98" spans="1:21" x14ac:dyDescent="0.35">
      <c r="A98" s="5" t="s">
        <v>8</v>
      </c>
      <c r="B98" s="5">
        <v>551616</v>
      </c>
      <c r="C98" s="5">
        <v>10125</v>
      </c>
      <c r="D98" s="5">
        <v>1</v>
      </c>
      <c r="E98" s="6">
        <v>40666.486111111109</v>
      </c>
      <c r="F98" s="8">
        <v>0.85</v>
      </c>
      <c r="G98" s="5">
        <v>15048</v>
      </c>
      <c r="H98" s="5">
        <f t="shared" ref="H98:H128" si="21">(D98-1)/(48-1)</f>
        <v>0</v>
      </c>
      <c r="I98" s="5">
        <f t="shared" ref="I98:I128" si="22">(D98-$X$21)/$X$44</f>
        <v>-0.93394825253809688</v>
      </c>
      <c r="J98" s="5" t="str">
        <f t="shared" ref="J98:J128" si="23">IF(D98&gt;$X$6, "HIGH", "LOW")</f>
        <v>LOW</v>
      </c>
      <c r="K98" s="8">
        <f t="shared" ref="K98:K128" si="24">(F98-0.75)/(1.66-0.75)</f>
        <v>0.10989010989010987</v>
      </c>
      <c r="L98" s="8">
        <f t="shared" ref="L98:L128" si="25">(F98-$X$22)/$X$45</f>
        <v>-0.43118590185092137</v>
      </c>
      <c r="M98" s="5" t="str">
        <f t="shared" ref="M98:M128" si="26">IF(F98&gt;$X$7, "HIGH", "LOW")</f>
        <v>LOW</v>
      </c>
      <c r="N98" s="5">
        <v>13</v>
      </c>
      <c r="O98" s="5">
        <v>2</v>
      </c>
      <c r="P98" s="5">
        <f t="shared" ref="P98:P128" si="27">AVERAGE(B98:O98)</f>
        <v>51455.923405588874</v>
      </c>
      <c r="Q98" s="5" cm="1">
        <f t="array" aca="1" ref="Q98" ca="1">INDEX($D$2:$D$129, RANDBETWEEN(1,128))</f>
        <v>1</v>
      </c>
      <c r="R98" s="5" cm="1">
        <f t="array" aca="1" ref="R98" ca="1">INDEX($F$2:$F$129, RANDBETWEEN(1,129))</f>
        <v>1.63</v>
      </c>
      <c r="S98" s="5"/>
      <c r="T98" s="5"/>
      <c r="U98" s="5"/>
    </row>
    <row r="99" spans="1:21" x14ac:dyDescent="0.35">
      <c r="A99" s="5" t="s">
        <v>8</v>
      </c>
      <c r="B99" s="5">
        <v>552269</v>
      </c>
      <c r="C99" s="5">
        <v>10125</v>
      </c>
      <c r="D99" s="5">
        <v>1</v>
      </c>
      <c r="E99" s="6">
        <v>40671.494444444441</v>
      </c>
      <c r="F99" s="8">
        <v>0.85</v>
      </c>
      <c r="G99" s="5">
        <v>16121</v>
      </c>
      <c r="H99" s="5">
        <f t="shared" si="21"/>
        <v>0</v>
      </c>
      <c r="I99" s="5">
        <f t="shared" si="22"/>
        <v>-0.93394825253809688</v>
      </c>
      <c r="J99" s="5" t="str">
        <f t="shared" si="23"/>
        <v>LOW</v>
      </c>
      <c r="K99" s="8">
        <f t="shared" si="24"/>
        <v>0.10989010989010987</v>
      </c>
      <c r="L99" s="8">
        <f t="shared" si="25"/>
        <v>-0.43118590185092137</v>
      </c>
      <c r="M99" s="5" t="str">
        <f t="shared" si="26"/>
        <v>LOW</v>
      </c>
      <c r="N99" s="5" cm="1">
        <f t="array" aca="1" ref="N99" ca="1">INDEX($N$2:$N$15,RANDBETWEEN(1, ROWS($N$2:$N$15)))</f>
        <v>12</v>
      </c>
      <c r="O99" s="5" cm="1">
        <f t="array" aca="1" ref="O99" ca="1">INDEX($O$2:$O$15,RANDBETWEEN(1, ROWS($O$2:$O$15)))</f>
        <v>7</v>
      </c>
      <c r="P99" s="5">
        <f t="shared" ca="1" si="27"/>
        <v>51600.507433366649</v>
      </c>
      <c r="Q99" s="5" cm="1">
        <f t="array" aca="1" ref="Q99" ca="1">INDEX($D$2:$D$129, RANDBETWEEN(1,128))</f>
        <v>1</v>
      </c>
      <c r="R99" s="5" cm="1">
        <f t="array" aca="1" ref="R99" ca="1">INDEX($F$2:$F$129, RANDBETWEEN(1,129))</f>
        <v>0.75</v>
      </c>
      <c r="S99" s="5"/>
      <c r="T99" s="5"/>
      <c r="U99" s="5"/>
    </row>
    <row r="100" spans="1:21" x14ac:dyDescent="0.35">
      <c r="A100" s="5" t="s">
        <v>8</v>
      </c>
      <c r="B100" s="5">
        <v>552310</v>
      </c>
      <c r="C100" s="5">
        <v>10125</v>
      </c>
      <c r="D100" s="5">
        <v>3</v>
      </c>
      <c r="E100" s="6">
        <v>40671.640277777777</v>
      </c>
      <c r="F100" s="8">
        <v>0.85</v>
      </c>
      <c r="G100" s="5">
        <v>17323</v>
      </c>
      <c r="H100" s="5">
        <f t="shared" si="21"/>
        <v>4.2553191489361701E-2</v>
      </c>
      <c r="I100" s="5">
        <f t="shared" si="22"/>
        <v>-0.75230747447938584</v>
      </c>
      <c r="J100" s="5" t="str">
        <f t="shared" si="23"/>
        <v>LOW</v>
      </c>
      <c r="K100" s="8">
        <f t="shared" si="24"/>
        <v>0.10989010989010987</v>
      </c>
      <c r="L100" s="8">
        <f t="shared" si="25"/>
        <v>-0.43118590185092137</v>
      </c>
      <c r="M100" s="5" t="str">
        <f t="shared" si="26"/>
        <v>LOW</v>
      </c>
      <c r="N100" s="5" cm="1">
        <f t="array" aca="1" ref="N100" ca="1">INDEX($N$2:$N$15,RANDBETWEEN(1, ROWS($N$2:$N$15)))</f>
        <v>11</v>
      </c>
      <c r="O100" s="5" cm="1">
        <f t="array" aca="1" ref="O100" ca="1">INDEX($O$2:$O$15,RANDBETWEEN(1, ROWS($O$2:$O$15)))</f>
        <v>5</v>
      </c>
      <c r="P100" s="5">
        <f t="shared" ca="1" si="27"/>
        <v>51704.038268975237</v>
      </c>
      <c r="Q100" s="5" cm="1">
        <f t="array" aca="1" ref="Q100" ca="1">INDEX($D$2:$D$129, RANDBETWEEN(1,128))</f>
        <v>3</v>
      </c>
      <c r="R100" s="5" cm="1">
        <f t="array" aca="1" ref="R100" ca="1">INDEX($F$2:$F$129, RANDBETWEEN(1,129))</f>
        <v>0.85</v>
      </c>
      <c r="S100" s="5"/>
      <c r="T100" s="5"/>
      <c r="U100" s="5"/>
    </row>
    <row r="101" spans="1:21" x14ac:dyDescent="0.35">
      <c r="A101" s="5" t="s">
        <v>8</v>
      </c>
      <c r="B101" s="5">
        <v>553385</v>
      </c>
      <c r="C101" s="5">
        <v>10125</v>
      </c>
      <c r="D101" s="5">
        <v>1</v>
      </c>
      <c r="E101" s="6">
        <v>40679.661805555559</v>
      </c>
      <c r="F101" s="8">
        <v>0.85</v>
      </c>
      <c r="G101" s="5">
        <v>16710</v>
      </c>
      <c r="H101" s="5">
        <f t="shared" si="21"/>
        <v>0</v>
      </c>
      <c r="I101" s="5">
        <f t="shared" si="22"/>
        <v>-0.93394825253809688</v>
      </c>
      <c r="J101" s="5" t="str">
        <f t="shared" si="23"/>
        <v>LOW</v>
      </c>
      <c r="K101" s="8">
        <f t="shared" si="24"/>
        <v>0.10989010989010987</v>
      </c>
      <c r="L101" s="8">
        <f t="shared" si="25"/>
        <v>-0.43118590185092137</v>
      </c>
      <c r="M101" s="5" t="str">
        <f t="shared" si="26"/>
        <v>LOW</v>
      </c>
      <c r="N101" s="5" cm="1">
        <f t="array" aca="1" ref="N101" ca="1">INDEX($N$2:$N$15,RANDBETWEEN(1, ROWS($N$2:$N$15)))</f>
        <v>8</v>
      </c>
      <c r="O101" s="5" cm="1">
        <f t="array" aca="1" ref="O101" ca="1">INDEX($O$2:$O$15,RANDBETWEEN(1, ROWS($O$2:$O$15)))</f>
        <v>4</v>
      </c>
      <c r="P101" s="5">
        <f t="shared" ca="1" si="27"/>
        <v>51742.68804679258</v>
      </c>
      <c r="Q101" s="5" cm="1">
        <f t="array" aca="1" ref="Q101" ca="1">INDEX($D$2:$D$129, RANDBETWEEN(1,128))</f>
        <v>20</v>
      </c>
      <c r="R101" s="5" cm="1">
        <f t="array" aca="1" ref="R101" ca="1">INDEX($F$2:$F$129, RANDBETWEEN(1,129))</f>
        <v>0.75</v>
      </c>
      <c r="S101" s="5"/>
      <c r="T101" s="5"/>
      <c r="U101" s="5"/>
    </row>
    <row r="102" spans="1:21" x14ac:dyDescent="0.35">
      <c r="A102" s="5" t="s">
        <v>8</v>
      </c>
      <c r="B102" s="5">
        <v>554117</v>
      </c>
      <c r="C102" s="5">
        <v>10125</v>
      </c>
      <c r="D102" s="5">
        <v>1</v>
      </c>
      <c r="E102" s="6">
        <v>40685.633333333331</v>
      </c>
      <c r="F102" s="8">
        <v>0.85</v>
      </c>
      <c r="G102" s="5">
        <v>13758</v>
      </c>
      <c r="H102" s="5">
        <f t="shared" si="21"/>
        <v>0</v>
      </c>
      <c r="I102" s="5">
        <f t="shared" si="22"/>
        <v>-0.93394825253809688</v>
      </c>
      <c r="J102" s="5" t="str">
        <f t="shared" si="23"/>
        <v>LOW</v>
      </c>
      <c r="K102" s="8">
        <f t="shared" si="24"/>
        <v>0.10989010989010987</v>
      </c>
      <c r="L102" s="8">
        <f t="shared" si="25"/>
        <v>-0.43118590185092137</v>
      </c>
      <c r="M102" s="5" t="str">
        <f t="shared" si="26"/>
        <v>LOW</v>
      </c>
      <c r="N102" s="5" cm="1">
        <f t="array" aca="1" ref="N102" ca="1">INDEX($N$2:$N$15,RANDBETWEEN(1, ROWS($N$2:$N$15)))</f>
        <v>9</v>
      </c>
      <c r="O102" s="5" cm="1">
        <f t="array" aca="1" ref="O102" ca="1">INDEX($O$2:$O$15,RANDBETWEEN(1, ROWS($O$2:$O$15)))</f>
        <v>3</v>
      </c>
      <c r="P102" s="5">
        <f t="shared" ca="1" si="27"/>
        <v>51558.185674107393</v>
      </c>
      <c r="Q102" s="5" cm="1">
        <f t="array" aca="1" ref="Q102" ca="1">INDEX($D$2:$D$129, RANDBETWEEN(1,128))</f>
        <v>20</v>
      </c>
      <c r="R102" s="5" cm="1">
        <f t="array" aca="1" ref="R102" ca="1">INDEX($F$2:$F$129, RANDBETWEEN(1,129))</f>
        <v>0.83</v>
      </c>
      <c r="S102" s="5"/>
      <c r="T102" s="5"/>
      <c r="U102" s="5"/>
    </row>
    <row r="103" spans="1:21" x14ac:dyDescent="0.35">
      <c r="A103" s="5" t="s">
        <v>8</v>
      </c>
      <c r="B103" s="5">
        <v>555579</v>
      </c>
      <c r="C103" s="5">
        <v>10125</v>
      </c>
      <c r="D103" s="5">
        <v>1</v>
      </c>
      <c r="E103" s="6">
        <v>40699.668055555558</v>
      </c>
      <c r="F103" s="8">
        <v>0.85</v>
      </c>
      <c r="G103" s="5">
        <v>13983</v>
      </c>
      <c r="H103" s="5">
        <f t="shared" si="21"/>
        <v>0</v>
      </c>
      <c r="I103" s="5">
        <f t="shared" si="22"/>
        <v>-0.93394825253809688</v>
      </c>
      <c r="J103" s="5" t="str">
        <f t="shared" si="23"/>
        <v>LOW</v>
      </c>
      <c r="K103" s="8">
        <f t="shared" si="24"/>
        <v>0.10989010989010987</v>
      </c>
      <c r="L103" s="8">
        <f t="shared" si="25"/>
        <v>-0.43118590185092137</v>
      </c>
      <c r="M103" s="5" t="str">
        <f t="shared" si="26"/>
        <v>LOW</v>
      </c>
      <c r="N103" s="5" cm="1">
        <f t="array" aca="1" ref="N103" ca="1">INDEX($N$2:$N$15,RANDBETWEEN(1, ROWS($N$2:$N$15)))</f>
        <v>8</v>
      </c>
      <c r="O103" s="5" cm="1">
        <f t="array" aca="1" ref="O103" ca="1">INDEX($O$2:$O$15,RANDBETWEEN(1, ROWS($O$2:$O$15)))</f>
        <v>5</v>
      </c>
      <c r="P103" s="5">
        <f t="shared" ca="1" si="27"/>
        <v>51700.021900959247</v>
      </c>
      <c r="Q103" s="5" cm="1">
        <f t="array" aca="1" ref="Q103" ca="1">INDEX($D$2:$D$129, RANDBETWEEN(1,128))</f>
        <v>1</v>
      </c>
      <c r="R103" s="5" cm="1">
        <f t="array" aca="1" ref="R103" ca="1">INDEX($F$2:$F$129, RANDBETWEEN(1,129))</f>
        <v>0</v>
      </c>
      <c r="S103" s="5"/>
      <c r="T103" s="5"/>
      <c r="U103" s="5"/>
    </row>
    <row r="104" spans="1:21" x14ac:dyDescent="0.35">
      <c r="A104" s="5" t="s">
        <v>8</v>
      </c>
      <c r="B104" s="5">
        <v>556222</v>
      </c>
      <c r="C104" s="5">
        <v>10125</v>
      </c>
      <c r="D104" s="5">
        <v>12</v>
      </c>
      <c r="E104" s="6">
        <v>40703.599305555559</v>
      </c>
      <c r="F104" s="8">
        <v>0.85</v>
      </c>
      <c r="G104" s="5">
        <v>17522</v>
      </c>
      <c r="H104" s="5">
        <f t="shared" si="21"/>
        <v>0.23404255319148937</v>
      </c>
      <c r="I104" s="5">
        <f t="shared" si="22"/>
        <v>6.5076026784813848E-2</v>
      </c>
      <c r="J104" s="5" t="str">
        <f t="shared" si="23"/>
        <v>HIGH</v>
      </c>
      <c r="K104" s="8">
        <f t="shared" si="24"/>
        <v>0.10989010989010987</v>
      </c>
      <c r="L104" s="8">
        <f t="shared" si="25"/>
        <v>-0.43118590185092137</v>
      </c>
      <c r="M104" s="5" t="str">
        <f t="shared" si="26"/>
        <v>LOW</v>
      </c>
      <c r="N104" s="5" cm="1">
        <f t="array" aca="1" ref="N104" ca="1">INDEX($N$2:$N$15,RANDBETWEEN(1, ROWS($N$2:$N$15)))</f>
        <v>2</v>
      </c>
      <c r="O104" s="5" cm="1">
        <f t="array" aca="1" ref="O104" ca="1">INDEX($O$2:$O$15,RANDBETWEEN(1, ROWS($O$2:$O$15)))</f>
        <v>1</v>
      </c>
      <c r="P104" s="5">
        <f t="shared" ca="1" si="27"/>
        <v>52049.035594028632</v>
      </c>
      <c r="Q104" s="5" cm="1">
        <f t="array" aca="1" ref="Q104" ca="1">INDEX($D$2:$D$129, RANDBETWEEN(1,128))</f>
        <v>5</v>
      </c>
      <c r="R104" s="5" cm="1">
        <f t="array" aca="1" ref="R104" ca="1">INDEX($F$2:$F$129, RANDBETWEEN(1,129))</f>
        <v>0.75</v>
      </c>
      <c r="S104" s="5"/>
      <c r="T104" s="5"/>
      <c r="U104" s="5"/>
    </row>
    <row r="105" spans="1:21" x14ac:dyDescent="0.35">
      <c r="A105" s="5" t="s">
        <v>8</v>
      </c>
      <c r="B105" s="5">
        <v>557938</v>
      </c>
      <c r="C105" s="5">
        <v>10125</v>
      </c>
      <c r="D105" s="5">
        <v>2</v>
      </c>
      <c r="E105" s="6">
        <v>40717.649305555555</v>
      </c>
      <c r="F105" s="8">
        <v>1.63</v>
      </c>
      <c r="G105" s="5" t="s">
        <v>1331</v>
      </c>
      <c r="H105" s="5">
        <f t="shared" si="21"/>
        <v>2.1276595744680851E-2</v>
      </c>
      <c r="I105" s="5">
        <f t="shared" si="22"/>
        <v>-0.84312786350874136</v>
      </c>
      <c r="J105" s="5" t="str">
        <f t="shared" si="23"/>
        <v>LOW</v>
      </c>
      <c r="K105" s="8">
        <f t="shared" si="24"/>
        <v>0.96703296703296704</v>
      </c>
      <c r="L105" s="8">
        <f t="shared" si="25"/>
        <v>1.9352005489719497</v>
      </c>
      <c r="M105" s="5" t="str">
        <f t="shared" si="26"/>
        <v>HIGH</v>
      </c>
      <c r="N105" s="5" cm="1">
        <f t="array" aca="1" ref="N105" ca="1">INDEX($N$2:$N$15,RANDBETWEEN(1, ROWS($N$2:$N$15)))</f>
        <v>8</v>
      </c>
      <c r="O105" s="5" cm="1">
        <f t="array" aca="1" ref="O105" ca="1">INDEX($O$2:$O$15,RANDBETWEEN(1, ROWS($O$2:$O$15)))</f>
        <v>5</v>
      </c>
      <c r="P105" s="5">
        <f t="shared" ca="1" si="27"/>
        <v>55345.396335254889</v>
      </c>
      <c r="Q105" s="5" cm="1">
        <f t="array" aca="1" ref="Q105" ca="1">INDEX($D$2:$D$129, RANDBETWEEN(1,128))</f>
        <v>12</v>
      </c>
      <c r="R105" s="5" cm="1">
        <f t="array" aca="1" ref="R105" ca="1">INDEX($F$2:$F$129, RANDBETWEEN(1,129))</f>
        <v>0.83</v>
      </c>
      <c r="S105" s="5"/>
      <c r="T105" s="5"/>
      <c r="U105" s="5"/>
    </row>
    <row r="106" spans="1:21" x14ac:dyDescent="0.35">
      <c r="A106" s="5" t="s">
        <v>8</v>
      </c>
      <c r="B106" s="5">
        <v>558700</v>
      </c>
      <c r="C106" s="5">
        <v>10125</v>
      </c>
      <c r="D106" s="5">
        <v>1</v>
      </c>
      <c r="E106" s="6">
        <v>40725.522916666669</v>
      </c>
      <c r="F106" s="8">
        <v>0.85</v>
      </c>
      <c r="G106" s="5">
        <v>17920</v>
      </c>
      <c r="H106" s="5">
        <f t="shared" si="21"/>
        <v>0</v>
      </c>
      <c r="I106" s="5">
        <f t="shared" si="22"/>
        <v>-0.93394825253809688</v>
      </c>
      <c r="J106" s="5" t="str">
        <f t="shared" si="23"/>
        <v>LOW</v>
      </c>
      <c r="K106" s="8">
        <f t="shared" si="24"/>
        <v>0.10989010989010987</v>
      </c>
      <c r="L106" s="8">
        <f t="shared" si="25"/>
        <v>-0.43118590185092137</v>
      </c>
      <c r="M106" s="5" t="str">
        <f t="shared" si="26"/>
        <v>LOW</v>
      </c>
      <c r="N106" s="5" cm="1">
        <f t="array" aca="1" ref="N106" ca="1">INDEX($N$2:$N$15,RANDBETWEEN(1, ROWS($N$2:$N$15)))</f>
        <v>12</v>
      </c>
      <c r="O106" s="5" cm="1">
        <f t="array" aca="1" ref="O106" ca="1">INDEX($O$2:$O$15,RANDBETWEEN(1, ROWS($O$2:$O$15)))</f>
        <v>5</v>
      </c>
      <c r="P106" s="5">
        <f t="shared" ca="1" si="27"/>
        <v>52290.676472718507</v>
      </c>
      <c r="Q106" s="5" cm="1">
        <f t="array" aca="1" ref="Q106" ca="1">INDEX($D$2:$D$129, RANDBETWEEN(1,128))</f>
        <v>24</v>
      </c>
      <c r="R106" s="5" cm="1">
        <f t="array" aca="1" ref="R106" ca="1">INDEX($F$2:$F$129, RANDBETWEEN(1,129))</f>
        <v>0.85</v>
      </c>
      <c r="S106" s="5"/>
      <c r="T106" s="5"/>
      <c r="U106" s="5"/>
    </row>
    <row r="107" spans="1:21" x14ac:dyDescent="0.35">
      <c r="A107" s="5" t="s">
        <v>8</v>
      </c>
      <c r="B107" s="5">
        <v>558700</v>
      </c>
      <c r="C107" s="5">
        <v>10125</v>
      </c>
      <c r="D107" s="5">
        <v>3</v>
      </c>
      <c r="E107" s="6">
        <v>40725.522916666669</v>
      </c>
      <c r="F107" s="8">
        <v>0.85</v>
      </c>
      <c r="G107" s="5">
        <v>17920</v>
      </c>
      <c r="H107" s="5">
        <f t="shared" si="21"/>
        <v>4.2553191489361701E-2</v>
      </c>
      <c r="I107" s="5">
        <f t="shared" si="22"/>
        <v>-0.75230747447938584</v>
      </c>
      <c r="J107" s="5" t="str">
        <f t="shared" si="23"/>
        <v>LOW</v>
      </c>
      <c r="K107" s="8">
        <f t="shared" si="24"/>
        <v>0.10989010989010987</v>
      </c>
      <c r="L107" s="8">
        <f t="shared" si="25"/>
        <v>-0.43118590185092137</v>
      </c>
      <c r="M107" s="5" t="str">
        <f t="shared" si="26"/>
        <v>LOW</v>
      </c>
      <c r="N107" s="5" cm="1">
        <f t="array" aca="1" ref="N107" ca="1">INDEX($N$2:$N$15,RANDBETWEEN(1, ROWS($N$2:$N$15)))</f>
        <v>2</v>
      </c>
      <c r="O107" s="5" cm="1">
        <f t="array" aca="1" ref="O107" ca="1">INDEX($O$2:$O$15,RANDBETWEEN(1, ROWS($O$2:$O$15)))</f>
        <v>7</v>
      </c>
      <c r="P107" s="5">
        <f t="shared" ca="1" si="27"/>
        <v>52290.195155549307</v>
      </c>
      <c r="Q107" s="5" cm="1">
        <f t="array" aca="1" ref="Q107" ca="1">INDEX($D$2:$D$129, RANDBETWEEN(1,128))</f>
        <v>4</v>
      </c>
      <c r="R107" s="5" cm="1">
        <f t="array" aca="1" ref="R107" ca="1">INDEX($F$2:$F$129, RANDBETWEEN(1,129))</f>
        <v>0.85</v>
      </c>
      <c r="S107" s="5"/>
      <c r="T107" s="5"/>
      <c r="U107" s="5"/>
    </row>
    <row r="108" spans="1:21" x14ac:dyDescent="0.35">
      <c r="A108" s="5" t="s">
        <v>8</v>
      </c>
      <c r="B108" s="5">
        <v>558860</v>
      </c>
      <c r="C108" s="5">
        <v>10125</v>
      </c>
      <c r="D108" s="5">
        <v>1</v>
      </c>
      <c r="E108" s="6">
        <v>40728.512499999997</v>
      </c>
      <c r="F108" s="8">
        <v>0.85</v>
      </c>
      <c r="G108" s="5">
        <v>17975</v>
      </c>
      <c r="H108" s="5">
        <f t="shared" si="21"/>
        <v>0</v>
      </c>
      <c r="I108" s="5">
        <f t="shared" si="22"/>
        <v>-0.93394825253809688</v>
      </c>
      <c r="J108" s="5" t="str">
        <f t="shared" si="23"/>
        <v>LOW</v>
      </c>
      <c r="K108" s="8">
        <f t="shared" si="24"/>
        <v>0.10989010989010987</v>
      </c>
      <c r="L108" s="8">
        <f t="shared" si="25"/>
        <v>-0.43118590185092137</v>
      </c>
      <c r="M108" s="5" t="str">
        <f t="shared" si="26"/>
        <v>LOW</v>
      </c>
      <c r="N108" s="5" cm="1">
        <f t="array" aca="1" ref="N108" ca="1">INDEX($N$2:$N$15,RANDBETWEEN(1, ROWS($N$2:$N$15)))</f>
        <v>4</v>
      </c>
      <c r="O108" s="5" cm="1">
        <f t="array" aca="1" ref="O108" ca="1">INDEX($O$2:$O$15,RANDBETWEEN(1, ROWS($O$2:$O$15)))</f>
        <v>5</v>
      </c>
      <c r="P108" s="5">
        <f t="shared" ca="1" si="27"/>
        <v>52308.175604662945</v>
      </c>
      <c r="Q108" s="5" cm="1">
        <f t="array" aca="1" ref="Q108" ca="1">INDEX($D$2:$D$129, RANDBETWEEN(1,128))</f>
        <v>10</v>
      </c>
      <c r="R108" s="5" cm="1">
        <f t="array" aca="1" ref="R108" ca="1">INDEX($F$2:$F$129, RANDBETWEEN(1,129))</f>
        <v>0.83</v>
      </c>
      <c r="S108" s="5"/>
      <c r="T108" s="5"/>
      <c r="U108" s="5"/>
    </row>
    <row r="109" spans="1:21" x14ac:dyDescent="0.35">
      <c r="A109" s="5" t="s">
        <v>8</v>
      </c>
      <c r="B109" s="5">
        <v>558868</v>
      </c>
      <c r="C109" s="5">
        <v>10125</v>
      </c>
      <c r="D109" s="5">
        <v>20</v>
      </c>
      <c r="E109" s="6">
        <v>40728.532638888886</v>
      </c>
      <c r="F109" s="8">
        <v>0.85</v>
      </c>
      <c r="G109" s="5">
        <v>13266</v>
      </c>
      <c r="H109" s="5">
        <f t="shared" si="21"/>
        <v>0.40425531914893614</v>
      </c>
      <c r="I109" s="5">
        <f t="shared" si="22"/>
        <v>0.79163913901965799</v>
      </c>
      <c r="J109" s="5" t="str">
        <f t="shared" si="23"/>
        <v>HIGH</v>
      </c>
      <c r="K109" s="8">
        <f t="shared" si="24"/>
        <v>0.10989010989010987</v>
      </c>
      <c r="L109" s="8">
        <f t="shared" si="25"/>
        <v>-0.43118590185092137</v>
      </c>
      <c r="M109" s="5" t="str">
        <f t="shared" si="26"/>
        <v>LOW</v>
      </c>
      <c r="N109" s="5" cm="1">
        <f t="array" aca="1" ref="N109" ca="1">INDEX($N$2:$N$15,RANDBETWEEN(1, ROWS($N$2:$N$15)))</f>
        <v>9</v>
      </c>
      <c r="O109" s="5" cm="1">
        <f t="array" aca="1" ref="O109" ca="1">INDEX($O$2:$O$15,RANDBETWEEN(1, ROWS($O$2:$O$15)))</f>
        <v>4</v>
      </c>
      <c r="P109" s="5">
        <f t="shared" ca="1" si="27"/>
        <v>51918.521436462928</v>
      </c>
      <c r="Q109" s="5" cm="1">
        <f t="array" aca="1" ref="Q109" ca="1">INDEX($D$2:$D$129, RANDBETWEEN(1,128))</f>
        <v>2</v>
      </c>
      <c r="R109" s="5" cm="1">
        <f t="array" aca="1" ref="R109" ca="1">INDEX($F$2:$F$129, RANDBETWEEN(1,129))</f>
        <v>0.81</v>
      </c>
      <c r="S109" s="5"/>
      <c r="T109" s="5"/>
      <c r="U109" s="5"/>
    </row>
    <row r="110" spans="1:21" x14ac:dyDescent="0.35">
      <c r="A110" s="5" t="s">
        <v>8</v>
      </c>
      <c r="B110" s="5">
        <v>559337</v>
      </c>
      <c r="C110" s="5">
        <v>10125</v>
      </c>
      <c r="D110" s="5">
        <v>1</v>
      </c>
      <c r="E110" s="6">
        <v>40731.685416666667</v>
      </c>
      <c r="F110" s="8">
        <v>1.63</v>
      </c>
      <c r="G110" s="5" t="s">
        <v>1331</v>
      </c>
      <c r="H110" s="5">
        <f t="shared" si="21"/>
        <v>0</v>
      </c>
      <c r="I110" s="5">
        <f t="shared" si="22"/>
        <v>-0.93394825253809688</v>
      </c>
      <c r="J110" s="5" t="str">
        <f t="shared" si="23"/>
        <v>LOW</v>
      </c>
      <c r="K110" s="8">
        <f t="shared" si="24"/>
        <v>0.96703296703296704</v>
      </c>
      <c r="L110" s="8">
        <f t="shared" si="25"/>
        <v>1.9352005489719497</v>
      </c>
      <c r="M110" s="5" t="str">
        <f t="shared" si="26"/>
        <v>HIGH</v>
      </c>
      <c r="N110" s="5" cm="1">
        <f t="array" aca="1" ref="N110" ca="1">INDEX($N$2:$N$15,RANDBETWEEN(1, ROWS($N$2:$N$15)))</f>
        <v>12</v>
      </c>
      <c r="O110" s="5" cm="1">
        <f t="array" aca="1" ref="O110" ca="1">INDEX($O$2:$O$15,RANDBETWEEN(1, ROWS($O$2:$O$15)))</f>
        <v>5</v>
      </c>
      <c r="P110" s="5">
        <f t="shared" ca="1" si="27"/>
        <v>55474.116700175458</v>
      </c>
      <c r="Q110" s="5" cm="1">
        <f t="array" aca="1" ref="Q110" ca="1">INDEX($D$2:$D$129, RANDBETWEEN(1,128))</f>
        <v>24</v>
      </c>
      <c r="R110" s="5" cm="1">
        <f t="array" aca="1" ref="R110" ca="1">INDEX($F$2:$F$129, RANDBETWEEN(1,129))</f>
        <v>0.85</v>
      </c>
      <c r="S110" s="5"/>
      <c r="T110" s="5"/>
      <c r="U110" s="5"/>
    </row>
    <row r="111" spans="1:21" x14ac:dyDescent="0.35">
      <c r="A111" s="5" t="s">
        <v>8</v>
      </c>
      <c r="B111" s="5">
        <v>559536</v>
      </c>
      <c r="C111" s="5">
        <v>10125</v>
      </c>
      <c r="D111" s="5">
        <v>5</v>
      </c>
      <c r="E111" s="6">
        <v>40734.511805555558</v>
      </c>
      <c r="F111" s="8">
        <v>0.85</v>
      </c>
      <c r="G111" s="5">
        <v>16283</v>
      </c>
      <c r="H111" s="5">
        <f t="shared" si="21"/>
        <v>8.5106382978723402E-2</v>
      </c>
      <c r="I111" s="5">
        <f t="shared" si="22"/>
        <v>-0.5706666964206748</v>
      </c>
      <c r="J111" s="5" t="str">
        <f t="shared" si="23"/>
        <v>LOW</v>
      </c>
      <c r="K111" s="8">
        <f t="shared" si="24"/>
        <v>0.10989010989010987</v>
      </c>
      <c r="L111" s="8">
        <f t="shared" si="25"/>
        <v>-0.43118590185092137</v>
      </c>
      <c r="M111" s="5" t="str">
        <f t="shared" si="26"/>
        <v>LOW</v>
      </c>
      <c r="N111" s="5" cm="1">
        <f t="array" aca="1" ref="N111" ca="1">INDEX($N$2:$N$15,RANDBETWEEN(1, ROWS($N$2:$N$15)))</f>
        <v>12</v>
      </c>
      <c r="O111" s="5" cm="1">
        <f t="array" aca="1" ref="O111" ca="1">INDEX($O$2:$O$15,RANDBETWEEN(1, ROWS($O$2:$O$15)))</f>
        <v>7</v>
      </c>
      <c r="P111" s="5">
        <f t="shared" ca="1" si="27"/>
        <v>52225.212912454175</v>
      </c>
      <c r="Q111" s="5" cm="1">
        <f t="array" aca="1" ref="Q111" ca="1">INDEX($D$2:$D$129, RANDBETWEEN(1,128))</f>
        <v>4</v>
      </c>
      <c r="R111" s="5" cm="1">
        <f t="array" aca="1" ref="R111" ca="1">INDEX($F$2:$F$129, RANDBETWEEN(1,129))</f>
        <v>0.85</v>
      </c>
      <c r="S111" s="5"/>
      <c r="T111" s="5"/>
      <c r="U111" s="5"/>
    </row>
    <row r="112" spans="1:21" x14ac:dyDescent="0.35">
      <c r="A112" s="5" t="s">
        <v>8</v>
      </c>
      <c r="B112" s="5">
        <v>559979</v>
      </c>
      <c r="C112" s="5">
        <v>10125</v>
      </c>
      <c r="D112" s="5">
        <v>20</v>
      </c>
      <c r="E112" s="6">
        <v>40738.472222222219</v>
      </c>
      <c r="F112" s="8">
        <v>0.85</v>
      </c>
      <c r="G112" s="5">
        <v>14862</v>
      </c>
      <c r="H112" s="5">
        <f t="shared" si="21"/>
        <v>0.40425531914893614</v>
      </c>
      <c r="I112" s="5">
        <f t="shared" si="22"/>
        <v>0.79163913901965799</v>
      </c>
      <c r="J112" s="5" t="str">
        <f t="shared" si="23"/>
        <v>HIGH</v>
      </c>
      <c r="K112" s="8">
        <f t="shared" si="24"/>
        <v>0.10989010989010987</v>
      </c>
      <c r="L112" s="8">
        <f t="shared" si="25"/>
        <v>-0.43118590185092137</v>
      </c>
      <c r="M112" s="5" t="str">
        <f t="shared" si="26"/>
        <v>LOW</v>
      </c>
      <c r="N112" s="5" cm="1">
        <f t="array" aca="1" ref="N112" ca="1">INDEX($N$2:$N$15,RANDBETWEEN(1, ROWS($N$2:$N$15)))</f>
        <v>4</v>
      </c>
      <c r="O112" s="5" cm="1">
        <f t="array" aca="1" ref="O112" ca="1">INDEX($O$2:$O$15,RANDBETWEEN(1, ROWS($O$2:$O$15)))</f>
        <v>5</v>
      </c>
      <c r="P112" s="5">
        <f t="shared" ca="1" si="27"/>
        <v>52144.599735074036</v>
      </c>
      <c r="Q112" s="5" cm="1">
        <f t="array" aca="1" ref="Q112" ca="1">INDEX($D$2:$D$129, RANDBETWEEN(1,128))</f>
        <v>1</v>
      </c>
      <c r="R112" s="5" cm="1">
        <f t="array" aca="1" ref="R112" ca="1">INDEX($F$2:$F$129, RANDBETWEEN(1,129))</f>
        <v>0.83</v>
      </c>
      <c r="S112" s="5"/>
      <c r="T112" s="5"/>
      <c r="U112" s="5"/>
    </row>
    <row r="113" spans="1:21" x14ac:dyDescent="0.35">
      <c r="A113" s="5" t="s">
        <v>8</v>
      </c>
      <c r="B113" s="5">
        <v>559984</v>
      </c>
      <c r="C113" s="5">
        <v>10125</v>
      </c>
      <c r="D113" s="5">
        <v>5</v>
      </c>
      <c r="E113" s="6">
        <v>40738.489583333336</v>
      </c>
      <c r="F113" s="8">
        <v>0.85</v>
      </c>
      <c r="G113" s="5">
        <v>16657</v>
      </c>
      <c r="H113" s="5">
        <f t="shared" si="21"/>
        <v>8.5106382978723402E-2</v>
      </c>
      <c r="I113" s="5">
        <f t="shared" si="22"/>
        <v>-0.5706666964206748</v>
      </c>
      <c r="J113" s="5" t="str">
        <f t="shared" si="23"/>
        <v>LOW</v>
      </c>
      <c r="K113" s="8">
        <f t="shared" si="24"/>
        <v>0.10989010989010987</v>
      </c>
      <c r="L113" s="8">
        <f t="shared" si="25"/>
        <v>-0.43118590185092137</v>
      </c>
      <c r="M113" s="5" t="str">
        <f t="shared" si="26"/>
        <v>LOW</v>
      </c>
      <c r="N113" s="5" cm="1">
        <f t="array" aca="1" ref="N113" ca="1">INDEX($N$2:$N$15,RANDBETWEEN(1, ROWS($N$2:$N$15)))</f>
        <v>8</v>
      </c>
      <c r="O113" s="5" cm="1">
        <f t="array" aca="1" ref="O113" ca="1">INDEX($O$2:$O$15,RANDBETWEEN(1, ROWS($O$2:$O$15)))</f>
        <v>7</v>
      </c>
      <c r="P113" s="5">
        <f t="shared" ca="1" si="27"/>
        <v>52293.711060602327</v>
      </c>
      <c r="Q113" s="5" cm="1">
        <f t="array" aca="1" ref="Q113" ca="1">INDEX($D$2:$D$129, RANDBETWEEN(1,128))</f>
        <v>12</v>
      </c>
      <c r="R113" s="5" cm="1">
        <f t="array" aca="1" ref="R113" ca="1">INDEX($F$2:$F$129, RANDBETWEEN(1,129))</f>
        <v>0.85</v>
      </c>
      <c r="S113" s="5"/>
      <c r="T113" s="5"/>
      <c r="U113" s="5"/>
    </row>
    <row r="114" spans="1:21" x14ac:dyDescent="0.35">
      <c r="A114" s="5" t="s">
        <v>8</v>
      </c>
      <c r="B114" s="5">
        <v>560366</v>
      </c>
      <c r="C114" s="5">
        <v>10125</v>
      </c>
      <c r="D114" s="5">
        <v>20</v>
      </c>
      <c r="E114" s="6">
        <v>40742.513194444444</v>
      </c>
      <c r="F114" s="8">
        <v>0.85</v>
      </c>
      <c r="G114" s="5">
        <v>16859</v>
      </c>
      <c r="H114" s="5">
        <f t="shared" si="21"/>
        <v>0.40425531914893614</v>
      </c>
      <c r="I114" s="5">
        <f t="shared" si="22"/>
        <v>0.79163913901965799</v>
      </c>
      <c r="J114" s="5" t="str">
        <f t="shared" si="23"/>
        <v>HIGH</v>
      </c>
      <c r="K114" s="8">
        <f t="shared" si="24"/>
        <v>0.10989010989010987</v>
      </c>
      <c r="L114" s="8">
        <f t="shared" si="25"/>
        <v>-0.43118590185092137</v>
      </c>
      <c r="M114" s="5" t="str">
        <f t="shared" si="26"/>
        <v>LOW</v>
      </c>
      <c r="N114" s="5" cm="1">
        <f t="array" aca="1" ref="N114" ca="1">INDEX($N$2:$N$15,RANDBETWEEN(1, ROWS($N$2:$N$15)))</f>
        <v>11</v>
      </c>
      <c r="O114" s="5" cm="1">
        <f t="array" aca="1" ref="O114" ca="1">INDEX($O$2:$O$15,RANDBETWEEN(1, ROWS($O$2:$O$15)))</f>
        <v>4</v>
      </c>
      <c r="P114" s="5">
        <f t="shared" ca="1" si="27"/>
        <v>52344.103149425886</v>
      </c>
      <c r="Q114" s="5" cm="1">
        <f t="array" aca="1" ref="Q114" ca="1">INDEX($D$2:$D$129, RANDBETWEEN(1,128))</f>
        <v>3</v>
      </c>
      <c r="R114" s="5" cm="1">
        <f t="array" aca="1" ref="R114" ca="1">INDEX($F$2:$F$129, RANDBETWEEN(1,129))</f>
        <v>0.83</v>
      </c>
      <c r="S114" s="5"/>
      <c r="T114" s="5"/>
      <c r="U114" s="5"/>
    </row>
    <row r="115" spans="1:21" x14ac:dyDescent="0.35">
      <c r="A115" s="5" t="s">
        <v>8</v>
      </c>
      <c r="B115" s="5">
        <v>563034</v>
      </c>
      <c r="C115" s="5">
        <v>10125</v>
      </c>
      <c r="D115" s="5">
        <v>40</v>
      </c>
      <c r="E115" s="6">
        <v>40766.620138888888</v>
      </c>
      <c r="F115" s="8">
        <v>0.85</v>
      </c>
      <c r="G115" s="5">
        <v>17644</v>
      </c>
      <c r="H115" s="5">
        <f t="shared" si="21"/>
        <v>0.82978723404255317</v>
      </c>
      <c r="I115" s="5">
        <f t="shared" si="22"/>
        <v>2.6080469196067684</v>
      </c>
      <c r="J115" s="5" t="str">
        <f t="shared" si="23"/>
        <v>HIGH</v>
      </c>
      <c r="K115" s="8">
        <f t="shared" si="24"/>
        <v>0.10989010989010987</v>
      </c>
      <c r="L115" s="8">
        <f t="shared" si="25"/>
        <v>-0.43118590185092137</v>
      </c>
      <c r="M115" s="5" t="str">
        <f t="shared" si="26"/>
        <v>LOW</v>
      </c>
      <c r="N115" s="5" cm="1">
        <f t="array" aca="1" ref="N115" ca="1">INDEX($N$2:$N$15,RANDBETWEEN(1, ROWS($N$2:$N$15)))</f>
        <v>9</v>
      </c>
      <c r="O115" s="5" cm="1">
        <f t="array" aca="1" ref="O115" ca="1">INDEX($O$2:$O$15,RANDBETWEEN(1, ROWS($O$2:$O$15)))</f>
        <v>4</v>
      </c>
      <c r="P115" s="5">
        <f t="shared" ca="1" si="27"/>
        <v>52635.548889770878</v>
      </c>
      <c r="Q115" s="5" cm="1">
        <f t="array" aca="1" ref="Q115" ca="1">INDEX($D$2:$D$129, RANDBETWEEN(1,128))</f>
        <v>1</v>
      </c>
      <c r="R115" s="5" cm="1">
        <f t="array" aca="1" ref="R115" ca="1">INDEX($F$2:$F$129, RANDBETWEEN(1,129))</f>
        <v>0.75</v>
      </c>
      <c r="S115" s="5"/>
      <c r="T115" s="5"/>
      <c r="U115" s="5"/>
    </row>
    <row r="116" spans="1:21" x14ac:dyDescent="0.35">
      <c r="A116" s="5" t="s">
        <v>8</v>
      </c>
      <c r="B116" s="5">
        <v>563744</v>
      </c>
      <c r="C116" s="5">
        <v>10125</v>
      </c>
      <c r="D116" s="5">
        <v>20</v>
      </c>
      <c r="E116" s="6">
        <v>40774.399305555555</v>
      </c>
      <c r="F116" s="8">
        <v>0.85</v>
      </c>
      <c r="G116" s="5">
        <v>13266</v>
      </c>
      <c r="H116" s="5">
        <f t="shared" si="21"/>
        <v>0.40425531914893614</v>
      </c>
      <c r="I116" s="5">
        <f t="shared" si="22"/>
        <v>0.79163913901965799</v>
      </c>
      <c r="J116" s="5" t="str">
        <f t="shared" si="23"/>
        <v>HIGH</v>
      </c>
      <c r="K116" s="8">
        <f t="shared" si="24"/>
        <v>0.10989010989010987</v>
      </c>
      <c r="L116" s="8">
        <f t="shared" si="25"/>
        <v>-0.43118590185092137</v>
      </c>
      <c r="M116" s="5" t="str">
        <f t="shared" si="26"/>
        <v>LOW</v>
      </c>
      <c r="N116" s="5" cm="1">
        <f t="array" aca="1" ref="N116" ca="1">INDEX($N$2:$N$15,RANDBETWEEN(1, ROWS($N$2:$N$15)))</f>
        <v>8</v>
      </c>
      <c r="O116" s="5" cm="1">
        <f t="array" aca="1" ref="O116" ca="1">INDEX($O$2:$O$15,RANDBETWEEN(1, ROWS($O$2:$O$15)))</f>
        <v>1</v>
      </c>
      <c r="P116" s="5">
        <f t="shared" ca="1" si="27"/>
        <v>52328.343658685139</v>
      </c>
      <c r="Q116" s="5" cm="1">
        <f t="array" aca="1" ref="Q116" ca="1">INDEX($D$2:$D$129, RANDBETWEEN(1,128))</f>
        <v>1</v>
      </c>
      <c r="R116" s="5" cm="1">
        <f t="array" aca="1" ref="R116" ca="1">INDEX($F$2:$F$129, RANDBETWEEN(1,129))</f>
        <v>0.85</v>
      </c>
      <c r="S116" s="5"/>
      <c r="T116" s="5"/>
      <c r="U116" s="5"/>
    </row>
    <row r="117" spans="1:21" x14ac:dyDescent="0.35">
      <c r="A117" s="5" t="s">
        <v>8</v>
      </c>
      <c r="B117" s="5">
        <v>564300</v>
      </c>
      <c r="C117" s="5">
        <v>10125</v>
      </c>
      <c r="D117" s="5">
        <v>5</v>
      </c>
      <c r="E117" s="6">
        <v>40779.479861111111</v>
      </c>
      <c r="F117" s="8">
        <v>0.85</v>
      </c>
      <c r="G117" s="5">
        <v>16723</v>
      </c>
      <c r="H117" s="5">
        <f t="shared" si="21"/>
        <v>8.5106382978723402E-2</v>
      </c>
      <c r="I117" s="5">
        <f t="shared" si="22"/>
        <v>-0.5706666964206748</v>
      </c>
      <c r="J117" s="5" t="str">
        <f t="shared" si="23"/>
        <v>LOW</v>
      </c>
      <c r="K117" s="8">
        <f t="shared" si="24"/>
        <v>0.10989010989010987</v>
      </c>
      <c r="L117" s="8">
        <f t="shared" si="25"/>
        <v>-0.43118590185092137</v>
      </c>
      <c r="M117" s="5" t="str">
        <f t="shared" si="26"/>
        <v>LOW</v>
      </c>
      <c r="N117" s="5" cm="1">
        <f t="array" aca="1" ref="N117" ca="1">INDEX($N$2:$N$15,RANDBETWEEN(1, ROWS($N$2:$N$15)))</f>
        <v>12</v>
      </c>
      <c r="O117" s="5" cm="1">
        <f t="array" aca="1" ref="O117" ca="1">INDEX($O$2:$O$15,RANDBETWEEN(1, ROWS($O$2:$O$15)))</f>
        <v>4</v>
      </c>
      <c r="P117" s="5">
        <f t="shared" ca="1" si="27"/>
        <v>52662.376917083806</v>
      </c>
      <c r="Q117" s="5" cm="1">
        <f t="array" aca="1" ref="Q117" ca="1">INDEX($D$2:$D$129, RANDBETWEEN(1,128))</f>
        <v>1</v>
      </c>
      <c r="R117" s="5" cm="1">
        <f t="array" aca="1" ref="R117" ca="1">INDEX($F$2:$F$129, RANDBETWEEN(1,129))</f>
        <v>1.63</v>
      </c>
      <c r="S117" s="5"/>
      <c r="T117" s="5"/>
      <c r="U117" s="5"/>
    </row>
    <row r="118" spans="1:21" x14ac:dyDescent="0.35">
      <c r="A118" s="5" t="s">
        <v>21</v>
      </c>
      <c r="B118" s="5">
        <v>564337</v>
      </c>
      <c r="C118" s="5">
        <v>10125</v>
      </c>
      <c r="D118" s="5">
        <v>20</v>
      </c>
      <c r="E118" s="6">
        <v>40779.611111111109</v>
      </c>
      <c r="F118" s="8">
        <v>0.85</v>
      </c>
      <c r="G118" s="5">
        <v>12649</v>
      </c>
      <c r="H118" s="5">
        <f t="shared" si="21"/>
        <v>0.40425531914893614</v>
      </c>
      <c r="I118" s="5">
        <f t="shared" si="22"/>
        <v>0.79163913901965799</v>
      </c>
      <c r="J118" s="5" t="str">
        <f t="shared" si="23"/>
        <v>HIGH</v>
      </c>
      <c r="K118" s="8">
        <f t="shared" si="24"/>
        <v>0.10989010989010987</v>
      </c>
      <c r="L118" s="8">
        <f t="shared" si="25"/>
        <v>-0.43118590185092137</v>
      </c>
      <c r="M118" s="5" t="str">
        <f t="shared" si="26"/>
        <v>LOW</v>
      </c>
      <c r="N118" s="5" cm="1">
        <f t="array" aca="1" ref="N118" ca="1">INDEX($N$2:$N$15,RANDBETWEEN(1, ROWS($N$2:$N$15)))</f>
        <v>12</v>
      </c>
      <c r="O118" s="5" cm="1">
        <f t="array" aca="1" ref="O118" ca="1">INDEX($O$2:$O$15,RANDBETWEEN(1, ROWS($O$2:$O$15)))</f>
        <v>1</v>
      </c>
      <c r="P118" s="5">
        <f t="shared" ca="1" si="27"/>
        <v>52327.111309148109</v>
      </c>
      <c r="Q118" s="5" cm="1">
        <f t="array" aca="1" ref="Q118" ca="1">INDEX($D$2:$D$129, RANDBETWEEN(1,128))</f>
        <v>24</v>
      </c>
      <c r="R118" s="5" cm="1">
        <f t="array" aca="1" ref="R118" ca="1">INDEX($F$2:$F$129, RANDBETWEEN(1,129))</f>
        <v>0.85</v>
      </c>
      <c r="S118" s="5"/>
      <c r="T118" s="5"/>
      <c r="U118" s="5"/>
    </row>
    <row r="119" spans="1:21" x14ac:dyDescent="0.35">
      <c r="A119" s="5" t="s">
        <v>8</v>
      </c>
      <c r="B119" s="5">
        <v>565585</v>
      </c>
      <c r="C119" s="5">
        <v>10125</v>
      </c>
      <c r="D119" s="5">
        <v>20</v>
      </c>
      <c r="E119" s="6">
        <v>40791.556944444441</v>
      </c>
      <c r="F119" s="8">
        <v>0.85</v>
      </c>
      <c r="G119" s="5">
        <v>16172</v>
      </c>
      <c r="H119" s="5">
        <f t="shared" si="21"/>
        <v>0.40425531914893614</v>
      </c>
      <c r="I119" s="5">
        <f t="shared" si="22"/>
        <v>0.79163913901965799</v>
      </c>
      <c r="J119" s="5" t="str">
        <f t="shared" si="23"/>
        <v>HIGH</v>
      </c>
      <c r="K119" s="8">
        <f t="shared" si="24"/>
        <v>0.10989010989010987</v>
      </c>
      <c r="L119" s="8">
        <f t="shared" si="25"/>
        <v>-0.43118590185092137</v>
      </c>
      <c r="M119" s="5" t="str">
        <f t="shared" si="26"/>
        <v>LOW</v>
      </c>
      <c r="N119" s="5" cm="1">
        <f t="array" aca="1" ref="N119" ca="1">INDEX($N$2:$N$15,RANDBETWEEN(1, ROWS($N$2:$N$15)))</f>
        <v>9</v>
      </c>
      <c r="O119" s="5" cm="1">
        <f t="array" aca="1" ref="O119" ca="1">INDEX($O$2:$O$15,RANDBETWEEN(1, ROWS($O$2:$O$15)))</f>
        <v>3</v>
      </c>
      <c r="P119" s="5">
        <f t="shared" ca="1" si="27"/>
        <v>52725.60679525922</v>
      </c>
      <c r="Q119" s="5" cm="1">
        <f t="array" aca="1" ref="Q119" ca="1">INDEX($D$2:$D$129, RANDBETWEEN(1,128))</f>
        <v>1</v>
      </c>
      <c r="R119" s="5" cm="1">
        <f t="array" aca="1" ref="R119" ca="1">INDEX($F$2:$F$129, RANDBETWEEN(1,129))</f>
        <v>0.81</v>
      </c>
      <c r="S119" s="5"/>
      <c r="T119" s="5"/>
      <c r="U119" s="5"/>
    </row>
    <row r="120" spans="1:21" x14ac:dyDescent="0.35">
      <c r="A120" s="5" t="s">
        <v>8</v>
      </c>
      <c r="B120" s="5">
        <v>568568</v>
      </c>
      <c r="C120" s="5">
        <v>10125</v>
      </c>
      <c r="D120" s="5">
        <v>20</v>
      </c>
      <c r="E120" s="6">
        <v>40814.366666666669</v>
      </c>
      <c r="F120" s="8">
        <v>0.85</v>
      </c>
      <c r="G120" s="5">
        <v>14412</v>
      </c>
      <c r="H120" s="5">
        <f t="shared" si="21"/>
        <v>0.40425531914893614</v>
      </c>
      <c r="I120" s="5">
        <f t="shared" si="22"/>
        <v>0.79163913901965799</v>
      </c>
      <c r="J120" s="5" t="str">
        <f t="shared" si="23"/>
        <v>HIGH</v>
      </c>
      <c r="K120" s="8">
        <f t="shared" si="24"/>
        <v>0.10989010989010987</v>
      </c>
      <c r="L120" s="8">
        <f t="shared" si="25"/>
        <v>-0.43118590185092137</v>
      </c>
      <c r="M120" s="5" t="str">
        <f t="shared" si="26"/>
        <v>LOW</v>
      </c>
      <c r="N120" s="5" cm="1">
        <f t="array" aca="1" ref="N120" ca="1">INDEX($N$2:$N$15,RANDBETWEEN(1, ROWS($N$2:$N$15)))</f>
        <v>8</v>
      </c>
      <c r="O120" s="5" cm="1">
        <f t="array" aca="1" ref="O120" ca="1">INDEX($O$2:$O$15,RANDBETWEEN(1, ROWS($O$2:$O$15)))</f>
        <v>1</v>
      </c>
      <c r="P120" s="5">
        <f t="shared" ca="1" si="27"/>
        <v>52829.174272111071</v>
      </c>
      <c r="Q120" s="5" cm="1">
        <f t="array" aca="1" ref="Q120" ca="1">INDEX($D$2:$D$129, RANDBETWEEN(1,128))</f>
        <v>1</v>
      </c>
      <c r="R120" s="5" cm="1">
        <f t="array" aca="1" ref="R120" ca="1">INDEX($F$2:$F$129, RANDBETWEEN(1,129))</f>
        <v>0.85</v>
      </c>
      <c r="S120" s="5"/>
      <c r="T120" s="5"/>
      <c r="U120" s="5"/>
    </row>
    <row r="121" spans="1:21" x14ac:dyDescent="0.35">
      <c r="A121" s="5" t="s">
        <v>16</v>
      </c>
      <c r="B121" s="5">
        <v>568650</v>
      </c>
      <c r="C121" s="5">
        <v>10125</v>
      </c>
      <c r="D121" s="5">
        <v>20</v>
      </c>
      <c r="E121" s="6">
        <v>40814.49722222222</v>
      </c>
      <c r="F121" s="8">
        <v>0.85</v>
      </c>
      <c r="G121" s="5">
        <v>13505</v>
      </c>
      <c r="H121" s="5">
        <f t="shared" si="21"/>
        <v>0.40425531914893614</v>
      </c>
      <c r="I121" s="5">
        <f t="shared" si="22"/>
        <v>0.79163913901965799</v>
      </c>
      <c r="J121" s="5" t="str">
        <f t="shared" si="23"/>
        <v>HIGH</v>
      </c>
      <c r="K121" s="8">
        <f t="shared" si="24"/>
        <v>0.10989010989010987</v>
      </c>
      <c r="L121" s="8">
        <f t="shared" si="25"/>
        <v>-0.43118590185092137</v>
      </c>
      <c r="M121" s="5" t="str">
        <f t="shared" si="26"/>
        <v>LOW</v>
      </c>
      <c r="N121" s="5" cm="1">
        <f t="array" aca="1" ref="N121" ca="1">INDEX($N$2:$N$15,RANDBETWEEN(1, ROWS($N$2:$N$15)))</f>
        <v>11</v>
      </c>
      <c r="O121" s="5" cm="1">
        <f t="array" aca="1" ref="O121" ca="1">INDEX($O$2:$O$15,RANDBETWEEN(1, ROWS($O$2:$O$15)))</f>
        <v>4</v>
      </c>
      <c r="P121" s="5">
        <f t="shared" ca="1" si="27"/>
        <v>52760.935151740705</v>
      </c>
      <c r="Q121" s="5" cm="1">
        <f t="array" aca="1" ref="Q121" ca="1">INDEX($D$2:$D$129, RANDBETWEEN(1,128))</f>
        <v>1</v>
      </c>
      <c r="R121" s="5" cm="1">
        <f t="array" aca="1" ref="R121" ca="1">INDEX($F$2:$F$129, RANDBETWEEN(1,129))</f>
        <v>0.85</v>
      </c>
      <c r="S121" s="5"/>
      <c r="T121" s="5"/>
      <c r="U121" s="5"/>
    </row>
    <row r="122" spans="1:21" x14ac:dyDescent="0.35">
      <c r="A122" s="5" t="s">
        <v>8</v>
      </c>
      <c r="B122" s="5">
        <v>569223</v>
      </c>
      <c r="C122" s="5">
        <v>10125</v>
      </c>
      <c r="D122" s="5">
        <v>7</v>
      </c>
      <c r="E122" s="6">
        <v>40818.575694444444</v>
      </c>
      <c r="F122" s="8">
        <v>0.85</v>
      </c>
      <c r="G122" s="5">
        <v>16283</v>
      </c>
      <c r="H122" s="5">
        <f t="shared" si="21"/>
        <v>0.1276595744680851</v>
      </c>
      <c r="I122" s="5">
        <f t="shared" si="22"/>
        <v>-0.38902591836196376</v>
      </c>
      <c r="J122" s="5" t="str">
        <f t="shared" si="23"/>
        <v>LOW</v>
      </c>
      <c r="K122" s="8">
        <f t="shared" si="24"/>
        <v>0.10989010989010987</v>
      </c>
      <c r="L122" s="8">
        <f t="shared" si="25"/>
        <v>-0.43118590185092137</v>
      </c>
      <c r="M122" s="5" t="str">
        <f t="shared" si="26"/>
        <v>LOW</v>
      </c>
      <c r="N122" s="5" cm="1">
        <f t="array" aca="1" ref="N122" ca="1">INDEX($N$2:$N$15,RANDBETWEEN(1, ROWS($N$2:$N$15)))</f>
        <v>9</v>
      </c>
      <c r="O122" s="5" cm="1">
        <f t="array" aca="1" ref="O122" ca="1">INDEX($O$2:$O$15,RANDBETWEEN(1, ROWS($O$2:$O$15)))</f>
        <v>1</v>
      </c>
      <c r="P122" s="5">
        <f t="shared" ca="1" si="27"/>
        <v>53038.903586025721</v>
      </c>
      <c r="Q122" s="5" cm="1">
        <f t="array" aca="1" ref="Q122" ca="1">INDEX($D$2:$D$129, RANDBETWEEN(1,128))</f>
        <v>12</v>
      </c>
      <c r="R122" s="5" cm="1">
        <f t="array" aca="1" ref="R122" ca="1">INDEX($F$2:$F$129, RANDBETWEEN(1,129))</f>
        <v>0.85</v>
      </c>
      <c r="S122" s="5"/>
      <c r="T122" s="5"/>
      <c r="U122" s="5"/>
    </row>
    <row r="123" spans="1:21" x14ac:dyDescent="0.35">
      <c r="A123" s="5" t="s">
        <v>8</v>
      </c>
      <c r="B123" s="5">
        <v>569897</v>
      </c>
      <c r="C123" s="5">
        <v>10125</v>
      </c>
      <c r="D123" s="5">
        <v>3</v>
      </c>
      <c r="E123" s="6">
        <v>40822.667361111111</v>
      </c>
      <c r="F123" s="8">
        <v>0.85</v>
      </c>
      <c r="G123" s="5">
        <v>17813</v>
      </c>
      <c r="H123" s="5">
        <f t="shared" si="21"/>
        <v>4.2553191489361701E-2</v>
      </c>
      <c r="I123" s="5">
        <f t="shared" si="22"/>
        <v>-0.75230747447938584</v>
      </c>
      <c r="J123" s="5" t="str">
        <f t="shared" si="23"/>
        <v>LOW</v>
      </c>
      <c r="K123" s="8">
        <f t="shared" si="24"/>
        <v>0.10989010989010987</v>
      </c>
      <c r="L123" s="8">
        <f t="shared" si="25"/>
        <v>-0.43118590185092137</v>
      </c>
      <c r="M123" s="5" t="str">
        <f t="shared" si="26"/>
        <v>LOW</v>
      </c>
      <c r="N123" s="5" cm="1">
        <f t="array" aca="1" ref="N123" ca="1">INDEX($N$2:$N$15,RANDBETWEEN(1, ROWS($N$2:$N$15)))</f>
        <v>11</v>
      </c>
      <c r="O123" s="5" cm="1">
        <f t="array" aca="1" ref="O123" ca="1">INDEX($O$2:$O$15,RANDBETWEEN(1, ROWS($O$2:$O$15)))</f>
        <v>5</v>
      </c>
      <c r="P123" s="5">
        <f t="shared" ca="1" si="27"/>
        <v>53223.040525919678</v>
      </c>
      <c r="Q123" s="5" cm="1">
        <f t="array" aca="1" ref="Q123" ca="1">INDEX($D$2:$D$129, RANDBETWEEN(1,128))</f>
        <v>5</v>
      </c>
      <c r="R123" s="5" cm="1">
        <f t="array" aca="1" ref="R123" ca="1">INDEX($F$2:$F$129, RANDBETWEEN(1,129))</f>
        <v>0.79</v>
      </c>
      <c r="S123" s="5"/>
      <c r="T123" s="5"/>
      <c r="U123" s="5"/>
    </row>
    <row r="124" spans="1:21" x14ac:dyDescent="0.35">
      <c r="A124" s="5" t="s">
        <v>8</v>
      </c>
      <c r="B124" s="5">
        <v>570187</v>
      </c>
      <c r="C124" s="5">
        <v>10125</v>
      </c>
      <c r="D124" s="5">
        <v>1</v>
      </c>
      <c r="E124" s="6">
        <v>40823.631249999999</v>
      </c>
      <c r="F124" s="8">
        <v>1.63</v>
      </c>
      <c r="G124" s="5" t="s">
        <v>1331</v>
      </c>
      <c r="H124" s="5">
        <f t="shared" si="21"/>
        <v>0</v>
      </c>
      <c r="I124" s="5">
        <f t="shared" si="22"/>
        <v>-0.93394825253809688</v>
      </c>
      <c r="J124" s="5" t="str">
        <f t="shared" si="23"/>
        <v>LOW</v>
      </c>
      <c r="K124" s="8">
        <f t="shared" si="24"/>
        <v>0.96703296703296704</v>
      </c>
      <c r="L124" s="8">
        <f t="shared" si="25"/>
        <v>1.9352005489719497</v>
      </c>
      <c r="M124" s="5" t="str">
        <f t="shared" si="26"/>
        <v>HIGH</v>
      </c>
      <c r="N124" s="5" cm="1">
        <f t="array" aca="1" ref="N124" ca="1">INDEX($N$2:$N$15,RANDBETWEEN(1, ROWS($N$2:$N$15)))</f>
        <v>12</v>
      </c>
      <c r="O124" s="5" cm="1">
        <f t="array" aca="1" ref="O124" ca="1">INDEX($O$2:$O$15,RANDBETWEEN(1, ROWS($O$2:$O$15)))</f>
        <v>5</v>
      </c>
      <c r="P124" s="5">
        <f t="shared" ca="1" si="27"/>
        <v>56468.839048660309</v>
      </c>
      <c r="Q124" s="5" cm="1">
        <f t="array" aca="1" ref="Q124" ca="1">INDEX($D$2:$D$129, RANDBETWEEN(1,128))</f>
        <v>2</v>
      </c>
      <c r="R124" s="5" cm="1">
        <f t="array" aca="1" ref="R124" ca="1">INDEX($F$2:$F$129, RANDBETWEEN(1,129))</f>
        <v>0.85</v>
      </c>
      <c r="S124" s="5"/>
      <c r="T124" s="5"/>
      <c r="U124" s="5"/>
    </row>
    <row r="125" spans="1:21" x14ac:dyDescent="0.35">
      <c r="A125" s="5" t="s">
        <v>21</v>
      </c>
      <c r="B125" s="5">
        <v>571328</v>
      </c>
      <c r="C125" s="5">
        <v>10125</v>
      </c>
      <c r="D125" s="5">
        <v>20</v>
      </c>
      <c r="E125" s="6">
        <v>40833.477083333331</v>
      </c>
      <c r="F125" s="8">
        <v>0.85</v>
      </c>
      <c r="G125" s="5">
        <v>12473</v>
      </c>
      <c r="H125" s="5">
        <f t="shared" si="21"/>
        <v>0.40425531914893614</v>
      </c>
      <c r="I125" s="5">
        <f t="shared" si="22"/>
        <v>0.79163913901965799</v>
      </c>
      <c r="J125" s="5" t="str">
        <f t="shared" si="23"/>
        <v>HIGH</v>
      </c>
      <c r="K125" s="8">
        <f t="shared" si="24"/>
        <v>0.10989010989010987</v>
      </c>
      <c r="L125" s="8">
        <f t="shared" si="25"/>
        <v>-0.43118590185092137</v>
      </c>
      <c r="M125" s="5" t="str">
        <f t="shared" si="26"/>
        <v>LOW</v>
      </c>
      <c r="N125" s="5" cm="1">
        <f t="array" aca="1" ref="N125" ca="1">INDEX($N$2:$N$15,RANDBETWEEN(1, ROWS($N$2:$N$15)))</f>
        <v>12</v>
      </c>
      <c r="O125" s="5" cm="1">
        <f t="array" aca="1" ref="O125" ca="1">INDEX($O$2:$O$15,RANDBETWEEN(1, ROWS($O$2:$O$15)))</f>
        <v>5</v>
      </c>
      <c r="P125" s="5">
        <f t="shared" ca="1" si="27"/>
        <v>52899.850140166622</v>
      </c>
      <c r="Q125" s="5" cm="1">
        <f t="array" aca="1" ref="Q125" ca="1">INDEX($D$2:$D$129, RANDBETWEEN(1,128))</f>
        <v>5</v>
      </c>
      <c r="R125" s="5" cm="1">
        <f t="array" aca="1" ref="R125" ca="1">INDEX($F$2:$F$129, RANDBETWEEN(1,129))</f>
        <v>1.63</v>
      </c>
      <c r="S125" s="5"/>
      <c r="T125" s="5"/>
      <c r="U125" s="5"/>
    </row>
    <row r="126" spans="1:21" x14ac:dyDescent="0.35">
      <c r="A126" s="5" t="s">
        <v>8</v>
      </c>
      <c r="B126" s="5">
        <v>572558</v>
      </c>
      <c r="C126" s="5">
        <v>10125</v>
      </c>
      <c r="D126" s="5">
        <v>20</v>
      </c>
      <c r="E126" s="6">
        <v>40841.351388888892</v>
      </c>
      <c r="F126" s="8">
        <v>0.85</v>
      </c>
      <c r="G126" s="5">
        <v>14286</v>
      </c>
      <c r="H126" s="5">
        <f t="shared" si="21"/>
        <v>0.40425531914893614</v>
      </c>
      <c r="I126" s="5">
        <f t="shared" si="22"/>
        <v>0.79163913901965799</v>
      </c>
      <c r="J126" s="5" t="str">
        <f t="shared" si="23"/>
        <v>HIGH</v>
      </c>
      <c r="K126" s="8">
        <f t="shared" si="24"/>
        <v>0.10989010989010987</v>
      </c>
      <c r="L126" s="8">
        <f t="shared" si="25"/>
        <v>-0.43118590185092137</v>
      </c>
      <c r="M126" s="5" t="str">
        <f t="shared" si="26"/>
        <v>LOW</v>
      </c>
      <c r="N126" s="5" cm="1">
        <f t="array" aca="1" ref="N126" ca="1">INDEX($N$2:$N$15,RANDBETWEEN(1, ROWS($N$2:$N$15)))</f>
        <v>4</v>
      </c>
      <c r="O126" s="5" cm="1">
        <f t="array" aca="1" ref="O126" ca="1">INDEX($O$2:$O$15,RANDBETWEEN(1, ROWS($O$2:$O$15)))</f>
        <v>3</v>
      </c>
      <c r="P126" s="5">
        <f t="shared" ca="1" si="27"/>
        <v>53153.25633229626</v>
      </c>
      <c r="Q126" s="5" cm="1">
        <f t="array" aca="1" ref="Q126" ca="1">INDEX($D$2:$D$129, RANDBETWEEN(1,128))</f>
        <v>12</v>
      </c>
      <c r="R126" s="5" cm="1">
        <f t="array" aca="1" ref="R126" ca="1">INDEX($F$2:$F$129, RANDBETWEEN(1,129))</f>
        <v>0.85</v>
      </c>
      <c r="S126" s="5"/>
      <c r="T126" s="5"/>
      <c r="U126" s="5"/>
    </row>
    <row r="127" spans="1:21" x14ac:dyDescent="0.35">
      <c r="A127" s="5" t="s">
        <v>8</v>
      </c>
      <c r="B127" s="5">
        <v>574530</v>
      </c>
      <c r="C127" s="5">
        <v>10125</v>
      </c>
      <c r="D127" s="5">
        <v>2</v>
      </c>
      <c r="E127" s="6">
        <v>40851.588194444441</v>
      </c>
      <c r="F127" s="8">
        <v>0.85</v>
      </c>
      <c r="G127" s="5">
        <v>16887</v>
      </c>
      <c r="H127" s="5">
        <f t="shared" si="21"/>
        <v>2.1276595744680851E-2</v>
      </c>
      <c r="I127" s="5">
        <f t="shared" si="22"/>
        <v>-0.84312786350874136</v>
      </c>
      <c r="J127" s="5" t="str">
        <f t="shared" si="23"/>
        <v>LOW</v>
      </c>
      <c r="K127" s="8">
        <f t="shared" si="24"/>
        <v>0.10989010989010987</v>
      </c>
      <c r="L127" s="8">
        <f t="shared" si="25"/>
        <v>-0.43118590185092137</v>
      </c>
      <c r="M127" s="5" t="str">
        <f t="shared" si="26"/>
        <v>LOW</v>
      </c>
      <c r="N127" s="5" cm="1">
        <f t="array" aca="1" ref="N127" ca="1">INDEX($N$2:$N$15,RANDBETWEEN(1, ROWS($N$2:$N$15)))</f>
        <v>8</v>
      </c>
      <c r="O127" s="5" cm="1">
        <f t="array" aca="1" ref="O127" ca="1">INDEX($O$2:$O$15,RANDBETWEEN(1, ROWS($O$2:$O$15)))</f>
        <v>1</v>
      </c>
      <c r="P127" s="5">
        <f t="shared" ca="1" si="27"/>
        <v>53533.691253948724</v>
      </c>
      <c r="Q127" s="5" cm="1">
        <f t="array" aca="1" ref="Q127" ca="1">INDEX($D$2:$D$129, RANDBETWEEN(1,128))</f>
        <v>20</v>
      </c>
      <c r="R127" s="5" cm="1">
        <f t="array" aca="1" ref="R127" ca="1">INDEX($F$2:$F$129, RANDBETWEEN(1,129))</f>
        <v>0.81</v>
      </c>
      <c r="S127" s="5"/>
      <c r="T127" s="5"/>
      <c r="U127" s="5"/>
    </row>
    <row r="128" spans="1:21" x14ac:dyDescent="0.35">
      <c r="A128" s="5" t="s">
        <v>21</v>
      </c>
      <c r="B128" s="5">
        <v>581494</v>
      </c>
      <c r="C128" s="5">
        <v>10125</v>
      </c>
      <c r="D128" s="5">
        <v>20</v>
      </c>
      <c r="E128" s="6">
        <v>40886.425694444442</v>
      </c>
      <c r="F128" s="8">
        <v>0.85</v>
      </c>
      <c r="G128" s="5">
        <v>12518</v>
      </c>
      <c r="H128" s="5">
        <f t="shared" si="21"/>
        <v>0.40425531914893614</v>
      </c>
      <c r="I128" s="5">
        <f t="shared" si="22"/>
        <v>0.79163913901965799</v>
      </c>
      <c r="J128" s="5" t="str">
        <f t="shared" si="23"/>
        <v>HIGH</v>
      </c>
      <c r="K128" s="8">
        <f t="shared" si="24"/>
        <v>0.10989010989010987</v>
      </c>
      <c r="L128" s="8">
        <f t="shared" si="25"/>
        <v>-0.43118590185092137</v>
      </c>
      <c r="M128" s="5" t="str">
        <f t="shared" si="26"/>
        <v>LOW</v>
      </c>
      <c r="N128" s="5" cm="1">
        <f t="array" aca="1" ref="N128" ca="1">INDEX($N$2:$N$15,RANDBETWEEN(1, ROWS($N$2:$N$15)))</f>
        <v>8</v>
      </c>
      <c r="O128" s="5" cm="1">
        <f t="array" aca="1" ref="O128" ca="1">INDEX($O$2:$O$15,RANDBETWEEN(1, ROWS($O$2:$O$15)))</f>
        <v>7</v>
      </c>
      <c r="P128" s="5">
        <f t="shared" ca="1" si="27"/>
        <v>53755.012524425889</v>
      </c>
      <c r="Q128" s="5" cm="1">
        <f t="array" aca="1" ref="Q128" ca="1">INDEX($D$2:$D$129, RANDBETWEEN(1,128))</f>
        <v>5</v>
      </c>
      <c r="R128" s="5" cm="1">
        <f t="array" aca="1" ref="R128" ca="1">INDEX($F$2:$F$129, RANDBETWEEN(1,129))</f>
        <v>0.83</v>
      </c>
      <c r="S128" s="5"/>
      <c r="T128" s="5"/>
      <c r="U128" s="5"/>
    </row>
    <row r="133" spans="2:5" customFormat="1" x14ac:dyDescent="0.35">
      <c r="B133" s="5"/>
      <c r="C133" s="5"/>
      <c r="D133" s="5"/>
      <c r="E133" s="5"/>
    </row>
    <row r="134" spans="2:5" customFormat="1" x14ac:dyDescent="0.35">
      <c r="B134" s="5"/>
      <c r="C134" s="5"/>
      <c r="D134" s="5"/>
      <c r="E134" s="5"/>
    </row>
    <row r="135" spans="2:5" customFormat="1" x14ac:dyDescent="0.35">
      <c r="B135" s="5"/>
      <c r="C135" s="5"/>
      <c r="D135" s="5"/>
      <c r="E135" s="5"/>
    </row>
    <row r="136" spans="2:5" customFormat="1" x14ac:dyDescent="0.35">
      <c r="B136" s="5"/>
      <c r="C136" s="5"/>
      <c r="D136" s="5"/>
      <c r="E136" s="5"/>
    </row>
    <row r="137" spans="2:5" customFormat="1" x14ac:dyDescent="0.35">
      <c r="B137" s="5"/>
      <c r="C137" s="5"/>
      <c r="D137" s="5"/>
      <c r="E137" s="5"/>
    </row>
    <row r="138" spans="2:5" customFormat="1" x14ac:dyDescent="0.35">
      <c r="B138" s="5"/>
      <c r="C138" s="5"/>
      <c r="D138" s="5"/>
      <c r="E138" s="5"/>
    </row>
  </sheetData>
  <conditionalFormatting sqref="D1:D1048576">
    <cfRule type="colorScale" priority="4">
      <colorScale>
        <cfvo type="num" val="-28.5"/>
        <cfvo type="num" val="55.5"/>
        <color theme="8" tint="0.79998168889431442"/>
        <color theme="8" tint="-0.249977111117893"/>
      </colorScale>
    </cfRule>
  </conditionalFormatting>
  <conditionalFormatting sqref="D2:D128">
    <cfRule type="colorScale" priority="5">
      <colorScale>
        <cfvo type="min"/>
        <cfvo type="max"/>
        <color theme="8" tint="0.79998168889431442"/>
        <color theme="8" tint="-0.249977111117893"/>
      </colorScale>
    </cfRule>
    <cfRule type="colorScale" priority="6">
      <colorScale>
        <cfvo type="num" val="0"/>
        <cfvo type="num" val="100"/>
        <color theme="8" tint="0.79998168889431442"/>
        <color theme="8" tint="-0.249977111117893"/>
      </colorScale>
    </cfRule>
  </conditionalFormatting>
  <conditionalFormatting sqref="D3">
    <cfRule type="duplicateValues" dxfId="3" priority="1"/>
  </conditionalFormatting>
  <conditionalFormatting sqref="F1:F1048576">
    <cfRule type="colorScale" priority="2">
      <colorScale>
        <cfvo type="num" val="0.48"/>
        <cfvo type="num" val="1.57"/>
        <color theme="8" tint="0.79998168889431442"/>
        <color theme="8" tint="-0.249977111117893"/>
      </colorScale>
    </cfRule>
  </conditionalFormatting>
  <conditionalFormatting sqref="F139:F1048576 F1:F132">
    <cfRule type="colorScale" priority="3">
      <colorScale>
        <cfvo type="min"/>
        <cfvo type="max"/>
        <color theme="8" tint="0.79998168889431442"/>
        <color theme="8" tint="-0.249977111117893"/>
      </colorScale>
    </cfRule>
  </conditionalFormatting>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EA6E0-85F6-4761-BFC0-582D24164CE1}">
  <dimension ref="A1:W138"/>
  <sheetViews>
    <sheetView topLeftCell="L1" zoomScale="73" workbookViewId="0">
      <selection activeCell="R97" sqref="R97"/>
    </sheetView>
  </sheetViews>
  <sheetFormatPr defaultRowHeight="14.5" x14ac:dyDescent="0.35"/>
  <cols>
    <col min="1" max="1" width="13.54296875" style="5" bestFit="1" customWidth="1"/>
    <col min="2" max="2" width="14.08984375" style="5" customWidth="1"/>
    <col min="3" max="3" width="13.453125" style="5" customWidth="1"/>
    <col min="4" max="4" width="16.08984375" style="5" customWidth="1"/>
    <col min="5" max="5" width="22.453125" style="5" bestFit="1" customWidth="1"/>
    <col min="6" max="6" width="13.6328125" style="8" bestFit="1" customWidth="1"/>
    <col min="7" max="7" width="12.90625" style="5" customWidth="1"/>
    <col min="8" max="12" width="13.54296875" style="5" customWidth="1"/>
    <col min="13" max="16" width="12.08984375" customWidth="1"/>
    <col min="17" max="17" width="12.26953125" bestFit="1" customWidth="1"/>
    <col min="18" max="18" width="24.81640625" bestFit="1" customWidth="1"/>
    <col min="19" max="19" width="18.08984375" bestFit="1" customWidth="1"/>
    <col min="20" max="20" width="11.81640625" customWidth="1"/>
    <col min="22" max="22" width="13.7265625" bestFit="1" customWidth="1"/>
    <col min="23" max="23" width="18.26953125" bestFit="1" customWidth="1"/>
    <col min="24" max="24" width="17.90625" bestFit="1" customWidth="1"/>
  </cols>
  <sheetData>
    <row r="1" spans="1:23" s="7" customFormat="1" x14ac:dyDescent="0.35">
      <c r="A1" s="7" t="s">
        <v>6</v>
      </c>
      <c r="B1" s="7" t="s">
        <v>0</v>
      </c>
      <c r="C1" s="7" t="s">
        <v>1</v>
      </c>
      <c r="D1" s="7" t="s">
        <v>2</v>
      </c>
      <c r="E1" s="7" t="s">
        <v>3</v>
      </c>
      <c r="F1" s="8" t="s">
        <v>4</v>
      </c>
      <c r="G1" s="7" t="s">
        <v>5</v>
      </c>
      <c r="H1" s="7" t="s">
        <v>48</v>
      </c>
      <c r="I1" s="7" t="s">
        <v>49</v>
      </c>
      <c r="J1" s="7" t="s">
        <v>50</v>
      </c>
      <c r="K1" s="7" t="s">
        <v>51</v>
      </c>
      <c r="L1" s="7" t="s">
        <v>52</v>
      </c>
      <c r="M1" s="7" t="s">
        <v>53</v>
      </c>
      <c r="N1" s="7" t="s">
        <v>93</v>
      </c>
      <c r="O1" s="7" t="s">
        <v>950</v>
      </c>
    </row>
    <row r="2" spans="1:23" x14ac:dyDescent="0.35">
      <c r="A2" s="5" t="s">
        <v>8</v>
      </c>
      <c r="B2" s="5">
        <v>536876</v>
      </c>
      <c r="C2" s="5">
        <v>10133</v>
      </c>
      <c r="D2" s="5">
        <v>1</v>
      </c>
      <c r="E2" s="6">
        <v>40515.48333333333</v>
      </c>
      <c r="F2" s="8">
        <v>1.66</v>
      </c>
      <c r="G2" s="5" t="s">
        <v>1331</v>
      </c>
      <c r="H2" s="5">
        <f t="shared" ref="H2:H33" si="0">(D2-1)/(48-1)</f>
        <v>0</v>
      </c>
      <c r="I2" s="5">
        <f t="shared" ref="I2:I33" si="1">(D2-$S$21)/$S$44</f>
        <v>-0.93394825253809688</v>
      </c>
      <c r="J2" s="5" t="str">
        <f t="shared" ref="J2:J33" si="2">IF(D2&gt;$S$6, "HIGH", "LOW")</f>
        <v>LOW</v>
      </c>
      <c r="K2" s="8">
        <f t="shared" ref="K2:K33" si="3">(F2-0.75)/(1.66-0.75)</f>
        <v>1</v>
      </c>
      <c r="L2" s="8">
        <f t="shared" ref="L2:L33" si="4">(F2-$S$22)/$S$45</f>
        <v>2.0262154124651568</v>
      </c>
      <c r="M2" s="5" t="str">
        <f t="shared" ref="M2:M33" si="5">IF(F2&gt;$S$7, "HIGH", "LOW")</f>
        <v>HIGH</v>
      </c>
      <c r="N2" s="5" cm="1">
        <f t="array" aca="1" ref="N2" ca="1">INDEX($N$2:$N$15,RANDBETWEEN(1, ROWS($N$2:$N$15)))</f>
        <v>9</v>
      </c>
      <c r="O2" s="5" cm="1">
        <f t="array" aca="1" ref="O2" ca="1">INDEX($O$2:$O$15,RANDBETWEEN(1, ROWS($O$2:$O$15)))</f>
        <v>5</v>
      </c>
      <c r="P2" s="5"/>
    </row>
    <row r="3" spans="1:23" ht="15" thickBot="1" x14ac:dyDescent="0.4">
      <c r="A3" s="5" t="s">
        <v>8</v>
      </c>
      <c r="B3" s="5">
        <v>537240</v>
      </c>
      <c r="C3" s="5">
        <v>10002</v>
      </c>
      <c r="D3" s="5">
        <v>1</v>
      </c>
      <c r="E3" s="6">
        <v>40518.422222222223</v>
      </c>
      <c r="F3" s="8">
        <v>1.66</v>
      </c>
      <c r="G3" s="5" t="s">
        <v>1331</v>
      </c>
      <c r="H3" s="5">
        <f t="shared" si="0"/>
        <v>0</v>
      </c>
      <c r="I3" s="5">
        <f t="shared" si="1"/>
        <v>-0.93394825253809688</v>
      </c>
      <c r="J3" s="5" t="str">
        <f t="shared" si="2"/>
        <v>LOW</v>
      </c>
      <c r="K3" s="8">
        <f t="shared" si="3"/>
        <v>1</v>
      </c>
      <c r="L3" s="8">
        <f t="shared" si="4"/>
        <v>2.0262154124651568</v>
      </c>
      <c r="M3" s="5" t="str">
        <f t="shared" si="5"/>
        <v>HIGH</v>
      </c>
      <c r="N3" s="5">
        <v>12</v>
      </c>
      <c r="O3" s="5">
        <v>7</v>
      </c>
      <c r="P3" s="5"/>
    </row>
    <row r="4" spans="1:23" x14ac:dyDescent="0.35">
      <c r="A4" s="5" t="s">
        <v>8</v>
      </c>
      <c r="B4" s="5">
        <v>546884</v>
      </c>
      <c r="C4" s="5">
        <v>15036</v>
      </c>
      <c r="D4" s="5">
        <v>1</v>
      </c>
      <c r="E4" s="6">
        <v>40619.755555555559</v>
      </c>
      <c r="F4" s="8">
        <v>1.63</v>
      </c>
      <c r="G4" s="5" t="s">
        <v>1331</v>
      </c>
      <c r="H4" s="5">
        <f t="shared" si="0"/>
        <v>0</v>
      </c>
      <c r="I4" s="5">
        <f t="shared" si="1"/>
        <v>-0.93394825253809688</v>
      </c>
      <c r="J4" s="5" t="str">
        <f t="shared" si="2"/>
        <v>LOW</v>
      </c>
      <c r="K4" s="8">
        <f t="shared" si="3"/>
        <v>0.96703296703296704</v>
      </c>
      <c r="L4" s="8">
        <f t="shared" si="4"/>
        <v>1.9352005489719684</v>
      </c>
      <c r="M4" s="5" t="str">
        <f t="shared" si="5"/>
        <v>HIGH</v>
      </c>
      <c r="N4" s="5" cm="1">
        <f t="array" aca="1" ref="N4" ca="1">INDEX($N$2:$N$15,RANDBETWEEN(1, ROWS($N$2:$N$15)))</f>
        <v>9</v>
      </c>
      <c r="O4" s="5" cm="1">
        <f t="array" aca="1" ref="O4" ca="1">INDEX($O$2:$O$15,RANDBETWEEN(1, ROWS($O$2:$O$15)))</f>
        <v>1</v>
      </c>
      <c r="P4" s="5"/>
      <c r="R4" s="7"/>
      <c r="V4" s="28" t="s">
        <v>1357</v>
      </c>
      <c r="W4" s="28" t="s">
        <v>1359</v>
      </c>
    </row>
    <row r="5" spans="1:23" x14ac:dyDescent="0.35">
      <c r="A5" s="5" t="s">
        <v>8</v>
      </c>
      <c r="B5" s="5">
        <v>548522</v>
      </c>
      <c r="C5" s="5">
        <v>15036</v>
      </c>
      <c r="D5" s="5">
        <v>1</v>
      </c>
      <c r="E5" s="6">
        <v>40633.696527777778</v>
      </c>
      <c r="F5" s="8">
        <v>1.63</v>
      </c>
      <c r="G5" s="5" t="s">
        <v>1331</v>
      </c>
      <c r="H5" s="5">
        <f t="shared" si="0"/>
        <v>0</v>
      </c>
      <c r="I5" s="5">
        <f t="shared" si="1"/>
        <v>-0.93394825253809688</v>
      </c>
      <c r="J5" s="5" t="str">
        <f t="shared" si="2"/>
        <v>LOW</v>
      </c>
      <c r="K5" s="8">
        <f t="shared" si="3"/>
        <v>0.96703296703296704</v>
      </c>
      <c r="L5" s="8">
        <f t="shared" si="4"/>
        <v>1.9352005489719684</v>
      </c>
      <c r="M5" s="5" t="str">
        <f t="shared" si="5"/>
        <v>HIGH</v>
      </c>
      <c r="N5" s="5" cm="1">
        <f t="array" aca="1" ref="N5" ca="1">INDEX($N$2:$N$15,RANDBETWEEN(1, ROWS($N$2:$N$15)))</f>
        <v>9</v>
      </c>
      <c r="O5" s="5" cm="1">
        <f t="array" aca="1" ref="O5" ca="1">INDEX($O$2:$O$15,RANDBETWEEN(1, ROWS($O$2:$O$15)))</f>
        <v>8</v>
      </c>
      <c r="P5" s="5"/>
      <c r="Q5" s="7"/>
      <c r="S5" s="7"/>
      <c r="T5" s="7"/>
      <c r="U5" s="7"/>
      <c r="V5">
        <v>1</v>
      </c>
      <c r="W5">
        <v>27</v>
      </c>
    </row>
    <row r="6" spans="1:23" x14ac:dyDescent="0.35">
      <c r="A6" s="5" t="s">
        <v>8</v>
      </c>
      <c r="B6" s="5">
        <v>549524</v>
      </c>
      <c r="C6" s="5">
        <v>15036</v>
      </c>
      <c r="D6" s="5">
        <v>1</v>
      </c>
      <c r="E6" s="6">
        <v>40641.65347222222</v>
      </c>
      <c r="F6" s="8">
        <v>1.63</v>
      </c>
      <c r="G6" s="5" t="s">
        <v>1331</v>
      </c>
      <c r="H6" s="5">
        <f t="shared" si="0"/>
        <v>0</v>
      </c>
      <c r="I6" s="5">
        <f t="shared" si="1"/>
        <v>-0.93394825253809688</v>
      </c>
      <c r="J6" s="5" t="str">
        <f t="shared" si="2"/>
        <v>LOW</v>
      </c>
      <c r="K6" s="8">
        <f t="shared" si="3"/>
        <v>0.96703296703296704</v>
      </c>
      <c r="L6" s="8">
        <f t="shared" si="4"/>
        <v>1.9352005489719684</v>
      </c>
      <c r="M6" s="5" t="str">
        <f t="shared" si="5"/>
        <v>HIGH</v>
      </c>
      <c r="N6" s="5" cm="1">
        <f t="array" aca="1" ref="N6" ca="1">INDEX($N$2:$N$15,RANDBETWEEN(1, ROWS($N$2:$N$15)))</f>
        <v>12</v>
      </c>
      <c r="O6" s="5" cm="1">
        <f t="array" aca="1" ref="O6" ca="1">INDEX($O$2:$O$15,RANDBETWEEN(1, ROWS($O$2:$O$15)))</f>
        <v>1</v>
      </c>
      <c r="P6" s="5"/>
      <c r="R6" s="20" t="s">
        <v>26</v>
      </c>
      <c r="S6" s="20">
        <f>AVERAGE(D:D)</f>
        <v>11.283464566929133</v>
      </c>
      <c r="V6">
        <v>5.2727272727272725</v>
      </c>
      <c r="W6">
        <v>27</v>
      </c>
    </row>
    <row r="7" spans="1:23" x14ac:dyDescent="0.35">
      <c r="A7" s="5" t="s">
        <v>8</v>
      </c>
      <c r="B7" s="5">
        <v>550636</v>
      </c>
      <c r="C7" s="5">
        <v>15036</v>
      </c>
      <c r="D7" s="5">
        <v>1</v>
      </c>
      <c r="E7" s="6">
        <v>40652.650694444441</v>
      </c>
      <c r="F7" s="8">
        <v>1.63</v>
      </c>
      <c r="G7" s="5" t="s">
        <v>1331</v>
      </c>
      <c r="H7" s="5">
        <f t="shared" si="0"/>
        <v>0</v>
      </c>
      <c r="I7" s="5">
        <f t="shared" si="1"/>
        <v>-0.93394825253809688</v>
      </c>
      <c r="J7" s="5" t="str">
        <f t="shared" si="2"/>
        <v>LOW</v>
      </c>
      <c r="K7" s="8">
        <f t="shared" si="3"/>
        <v>0.96703296703296704</v>
      </c>
      <c r="L7" s="8">
        <f t="shared" si="4"/>
        <v>1.9352005489719684</v>
      </c>
      <c r="M7" s="5" t="str">
        <f t="shared" si="5"/>
        <v>HIGH</v>
      </c>
      <c r="N7" s="5" cm="1">
        <f t="array" aca="1" ref="N7" ca="1">INDEX($N$2:$N$15,RANDBETWEEN(1, ROWS($N$2:$N$15)))</f>
        <v>4</v>
      </c>
      <c r="O7" s="5" cm="1">
        <f t="array" aca="1" ref="O7" ca="1">INDEX($O$2:$O$15,RANDBETWEEN(1, ROWS($O$2:$O$15)))</f>
        <v>5</v>
      </c>
      <c r="P7" s="5"/>
      <c r="R7" s="20" t="s">
        <v>27</v>
      </c>
      <c r="S7" s="21">
        <f>AVERAGE(F:F)</f>
        <v>0.99212598425196741</v>
      </c>
      <c r="V7">
        <v>9.545454545454545</v>
      </c>
      <c r="W7">
        <v>6</v>
      </c>
    </row>
    <row r="8" spans="1:23" x14ac:dyDescent="0.35">
      <c r="A8" s="5" t="s">
        <v>8</v>
      </c>
      <c r="B8" s="5">
        <v>559337</v>
      </c>
      <c r="C8" s="5">
        <v>10125</v>
      </c>
      <c r="D8" s="5">
        <v>1</v>
      </c>
      <c r="E8" s="6">
        <v>40731.685416666667</v>
      </c>
      <c r="F8" s="8">
        <v>1.63</v>
      </c>
      <c r="G8" s="5" t="s">
        <v>1331</v>
      </c>
      <c r="H8" s="5">
        <f t="shared" si="0"/>
        <v>0</v>
      </c>
      <c r="I8" s="5">
        <f t="shared" si="1"/>
        <v>-0.93394825253809688</v>
      </c>
      <c r="J8" s="5" t="str">
        <f t="shared" si="2"/>
        <v>LOW</v>
      </c>
      <c r="K8" s="8">
        <f t="shared" si="3"/>
        <v>0.96703296703296704</v>
      </c>
      <c r="L8" s="8">
        <f t="shared" si="4"/>
        <v>1.9352005489719684</v>
      </c>
      <c r="M8" s="5" t="str">
        <f t="shared" si="5"/>
        <v>HIGH</v>
      </c>
      <c r="N8" s="5" cm="1">
        <f t="array" aca="1" ref="N8" ca="1">INDEX($N$2:$N$15,RANDBETWEEN(1, ROWS($N$2:$N$15)))</f>
        <v>9</v>
      </c>
      <c r="O8" s="5" cm="1">
        <f t="array" aca="1" ref="O8" ca="1">INDEX($O$2:$O$15,RANDBETWEEN(1, ROWS($O$2:$O$15)))</f>
        <v>1</v>
      </c>
      <c r="P8" s="5"/>
      <c r="R8" s="20"/>
      <c r="S8" s="20"/>
      <c r="V8">
        <v>13.818181818181817</v>
      </c>
      <c r="W8">
        <v>32</v>
      </c>
    </row>
    <row r="9" spans="1:23" x14ac:dyDescent="0.35">
      <c r="A9" s="5" t="s">
        <v>8</v>
      </c>
      <c r="B9" s="5">
        <v>570187</v>
      </c>
      <c r="C9" s="5">
        <v>10125</v>
      </c>
      <c r="D9" s="5">
        <v>1</v>
      </c>
      <c r="E9" s="6">
        <v>40823.631249999999</v>
      </c>
      <c r="F9" s="8">
        <v>1.63</v>
      </c>
      <c r="G9" s="5" t="s">
        <v>1331</v>
      </c>
      <c r="H9" s="5">
        <f t="shared" si="0"/>
        <v>0</v>
      </c>
      <c r="I9" s="5">
        <f t="shared" si="1"/>
        <v>-0.93394825253809688</v>
      </c>
      <c r="J9" s="5" t="str">
        <f t="shared" si="2"/>
        <v>LOW</v>
      </c>
      <c r="K9" s="8">
        <f t="shared" si="3"/>
        <v>0.96703296703296704</v>
      </c>
      <c r="L9" s="8">
        <f t="shared" si="4"/>
        <v>1.9352005489719684</v>
      </c>
      <c r="M9" s="5" t="str">
        <f t="shared" si="5"/>
        <v>HIGH</v>
      </c>
      <c r="N9" s="5" cm="1">
        <f t="array" aca="1" ref="N9" ca="1">INDEX($N$2:$N$15,RANDBETWEEN(1, ROWS($N$2:$N$15)))</f>
        <v>4</v>
      </c>
      <c r="O9" s="5" cm="1">
        <f t="array" aca="1" ref="O9" ca="1">INDEX($O$2:$O$15,RANDBETWEEN(1, ROWS($O$2:$O$15)))</f>
        <v>5</v>
      </c>
      <c r="P9" s="5"/>
      <c r="R9" s="20"/>
      <c r="S9" s="20"/>
      <c r="V9">
        <v>18.09090909090909</v>
      </c>
      <c r="W9">
        <v>3</v>
      </c>
    </row>
    <row r="10" spans="1:23" x14ac:dyDescent="0.35">
      <c r="A10" s="5" t="s">
        <v>8</v>
      </c>
      <c r="B10" s="5">
        <v>536756</v>
      </c>
      <c r="C10" s="5">
        <v>10002</v>
      </c>
      <c r="D10" s="5">
        <v>1</v>
      </c>
      <c r="E10" s="6">
        <v>40514.599305555559</v>
      </c>
      <c r="F10" s="8">
        <v>0.85</v>
      </c>
      <c r="G10" s="5" t="s">
        <v>1331</v>
      </c>
      <c r="H10" s="5">
        <f t="shared" si="0"/>
        <v>0</v>
      </c>
      <c r="I10" s="5">
        <f t="shared" si="1"/>
        <v>-0.93394825253809688</v>
      </c>
      <c r="J10" s="5" t="str">
        <f t="shared" si="2"/>
        <v>LOW</v>
      </c>
      <c r="K10" s="8">
        <f t="shared" si="3"/>
        <v>0.10989010989010987</v>
      </c>
      <c r="L10" s="8">
        <f t="shared" si="4"/>
        <v>-0.43118590185092842</v>
      </c>
      <c r="M10" s="5" t="str">
        <f t="shared" si="5"/>
        <v>LOW</v>
      </c>
      <c r="N10" s="5">
        <v>9</v>
      </c>
      <c r="O10" s="5">
        <v>5</v>
      </c>
      <c r="P10" s="5"/>
      <c r="R10" s="20" t="s">
        <v>28</v>
      </c>
      <c r="S10" s="20">
        <f>MAX(D:D)</f>
        <v>48</v>
      </c>
      <c r="V10">
        <v>22.363636363636363</v>
      </c>
      <c r="W10">
        <v>13</v>
      </c>
    </row>
    <row r="11" spans="1:23" x14ac:dyDescent="0.35">
      <c r="A11" s="5" t="s">
        <v>8</v>
      </c>
      <c r="B11" s="5">
        <v>536863</v>
      </c>
      <c r="C11" s="5">
        <v>10002</v>
      </c>
      <c r="D11" s="5">
        <v>1</v>
      </c>
      <c r="E11" s="6">
        <v>40515.47152777778</v>
      </c>
      <c r="F11" s="8">
        <v>0.85</v>
      </c>
      <c r="G11" s="5">
        <v>17967</v>
      </c>
      <c r="H11" s="5">
        <f t="shared" si="0"/>
        <v>0</v>
      </c>
      <c r="I11" s="5">
        <f t="shared" si="1"/>
        <v>-0.93394825253809688</v>
      </c>
      <c r="J11" s="5" t="str">
        <f t="shared" si="2"/>
        <v>LOW</v>
      </c>
      <c r="K11" s="8">
        <f t="shared" si="3"/>
        <v>0.10989010989010987</v>
      </c>
      <c r="L11" s="8">
        <f t="shared" si="4"/>
        <v>-0.43118590185092842</v>
      </c>
      <c r="M11" s="5" t="str">
        <f t="shared" si="5"/>
        <v>LOW</v>
      </c>
      <c r="N11" s="5">
        <v>9</v>
      </c>
      <c r="O11" s="5">
        <v>1</v>
      </c>
      <c r="P11" s="5"/>
      <c r="R11" s="20" t="s">
        <v>29</v>
      </c>
      <c r="S11" s="20">
        <f>MIN(D:D)</f>
        <v>1</v>
      </c>
      <c r="V11">
        <v>26.636363636363633</v>
      </c>
      <c r="W11">
        <v>12</v>
      </c>
    </row>
    <row r="12" spans="1:23" x14ac:dyDescent="0.35">
      <c r="A12" s="5" t="s">
        <v>8</v>
      </c>
      <c r="B12" s="5">
        <v>537047</v>
      </c>
      <c r="C12" s="5">
        <v>10002</v>
      </c>
      <c r="D12" s="5">
        <v>1</v>
      </c>
      <c r="E12" s="6">
        <v>40517.459722222222</v>
      </c>
      <c r="F12" s="8">
        <v>0.85</v>
      </c>
      <c r="G12" s="5">
        <v>13069</v>
      </c>
      <c r="H12" s="5">
        <f t="shared" si="0"/>
        <v>0</v>
      </c>
      <c r="I12" s="5">
        <f t="shared" si="1"/>
        <v>-0.93394825253809688</v>
      </c>
      <c r="J12" s="5" t="str">
        <f t="shared" si="2"/>
        <v>LOW</v>
      </c>
      <c r="K12" s="8">
        <f t="shared" si="3"/>
        <v>0.10989010989010987</v>
      </c>
      <c r="L12" s="8">
        <f t="shared" si="4"/>
        <v>-0.43118590185092842</v>
      </c>
      <c r="M12" s="5" t="str">
        <f t="shared" si="5"/>
        <v>LOW</v>
      </c>
      <c r="N12" s="5">
        <v>4</v>
      </c>
      <c r="O12" s="5">
        <v>5</v>
      </c>
      <c r="P12" s="5"/>
      <c r="R12" s="20"/>
      <c r="S12" s="20"/>
      <c r="V12">
        <v>30.909090909090907</v>
      </c>
      <c r="W12">
        <v>0</v>
      </c>
    </row>
    <row r="13" spans="1:23" x14ac:dyDescent="0.35">
      <c r="A13" s="5" t="s">
        <v>8</v>
      </c>
      <c r="B13" s="5">
        <v>537126</v>
      </c>
      <c r="C13" s="5">
        <v>10133</v>
      </c>
      <c r="D13" s="5">
        <v>1</v>
      </c>
      <c r="E13" s="6">
        <v>40517.509027777778</v>
      </c>
      <c r="F13" s="8">
        <v>0.85</v>
      </c>
      <c r="G13" s="5">
        <v>18118</v>
      </c>
      <c r="H13" s="5">
        <f t="shared" si="0"/>
        <v>0</v>
      </c>
      <c r="I13" s="5">
        <f t="shared" si="1"/>
        <v>-0.93394825253809688</v>
      </c>
      <c r="J13" s="5" t="str">
        <f t="shared" si="2"/>
        <v>LOW</v>
      </c>
      <c r="K13" s="8">
        <f t="shared" si="3"/>
        <v>0.10989010989010987</v>
      </c>
      <c r="L13" s="8">
        <f t="shared" si="4"/>
        <v>-0.43118590185092842</v>
      </c>
      <c r="M13" s="5" t="str">
        <f t="shared" si="5"/>
        <v>LOW</v>
      </c>
      <c r="N13" s="5" cm="1">
        <f t="array" aca="1" ref="N13" ca="1">INDEX($N$2:$N$15,RANDBETWEEN(1, ROWS($N$2:$N$15)))</f>
        <v>9</v>
      </c>
      <c r="O13" s="5" cm="1">
        <f t="array" aca="1" ref="O13" ca="1">INDEX($O$2:$O$15,RANDBETWEEN(1, ROWS($O$2:$O$15)))</f>
        <v>1</v>
      </c>
      <c r="P13" s="5"/>
      <c r="R13" s="20" t="s">
        <v>30</v>
      </c>
      <c r="S13" s="20">
        <f>_xlfn.STDEV.S(D:D)</f>
        <v>11.010743410015277</v>
      </c>
      <c r="V13">
        <v>35.18181818181818</v>
      </c>
      <c r="W13">
        <v>0</v>
      </c>
    </row>
    <row r="14" spans="1:23" x14ac:dyDescent="0.35">
      <c r="A14" s="5" t="s">
        <v>8</v>
      </c>
      <c r="B14" s="5">
        <v>550452</v>
      </c>
      <c r="C14" s="5">
        <v>10002</v>
      </c>
      <c r="D14" s="5">
        <v>1</v>
      </c>
      <c r="E14" s="6">
        <v>40651.538888888892</v>
      </c>
      <c r="F14" s="8">
        <v>0.85</v>
      </c>
      <c r="G14" s="5">
        <v>14525</v>
      </c>
      <c r="H14" s="5">
        <f t="shared" si="0"/>
        <v>0</v>
      </c>
      <c r="I14" s="5">
        <f t="shared" si="1"/>
        <v>-0.93394825253809688</v>
      </c>
      <c r="J14" s="5" t="str">
        <f t="shared" si="2"/>
        <v>LOW</v>
      </c>
      <c r="K14" s="8">
        <f t="shared" si="3"/>
        <v>0.10989010989010987</v>
      </c>
      <c r="L14" s="8">
        <f t="shared" si="4"/>
        <v>-0.43118590185092842</v>
      </c>
      <c r="M14" s="5" t="str">
        <f t="shared" si="5"/>
        <v>LOW</v>
      </c>
      <c r="N14" s="5">
        <v>9</v>
      </c>
      <c r="O14" s="5">
        <v>1</v>
      </c>
      <c r="P14" s="5"/>
      <c r="R14" s="20" t="s">
        <v>31</v>
      </c>
      <c r="S14" s="20">
        <f>_xlfn.STDEV.S(F:F)</f>
        <v>0.32961649173099328</v>
      </c>
      <c r="V14">
        <v>39.454545454545453</v>
      </c>
      <c r="W14">
        <v>2</v>
      </c>
    </row>
    <row r="15" spans="1:23" x14ac:dyDescent="0.35">
      <c r="A15" s="5" t="s">
        <v>8</v>
      </c>
      <c r="B15" s="5">
        <v>551391</v>
      </c>
      <c r="C15" s="5">
        <v>10125</v>
      </c>
      <c r="D15" s="5">
        <v>1</v>
      </c>
      <c r="E15" s="6">
        <v>40661.504166666666</v>
      </c>
      <c r="F15" s="8">
        <v>0.85</v>
      </c>
      <c r="G15" s="5">
        <v>15514</v>
      </c>
      <c r="H15" s="5">
        <f t="shared" si="0"/>
        <v>0</v>
      </c>
      <c r="I15" s="5">
        <f t="shared" si="1"/>
        <v>-0.93394825253809688</v>
      </c>
      <c r="J15" s="5" t="str">
        <f t="shared" si="2"/>
        <v>LOW</v>
      </c>
      <c r="K15" s="8">
        <f t="shared" si="3"/>
        <v>0.10989010989010987</v>
      </c>
      <c r="L15" s="8">
        <f t="shared" si="4"/>
        <v>-0.43118590185092842</v>
      </c>
      <c r="M15" s="5" t="str">
        <f t="shared" si="5"/>
        <v>LOW</v>
      </c>
      <c r="N15" s="5">
        <v>10</v>
      </c>
      <c r="O15" s="5">
        <v>8</v>
      </c>
      <c r="P15" s="5"/>
      <c r="V15">
        <v>43.727272727272727</v>
      </c>
      <c r="W15">
        <v>1</v>
      </c>
    </row>
    <row r="16" spans="1:23" ht="15" thickBot="1" x14ac:dyDescent="0.4">
      <c r="A16" s="5" t="s">
        <v>8</v>
      </c>
      <c r="B16" s="5">
        <v>551616</v>
      </c>
      <c r="C16" s="5">
        <v>10125</v>
      </c>
      <c r="D16" s="5">
        <v>1</v>
      </c>
      <c r="E16" s="6">
        <v>40666.486111111109</v>
      </c>
      <c r="F16" s="8">
        <v>0.85</v>
      </c>
      <c r="G16" s="5">
        <v>15048</v>
      </c>
      <c r="H16" s="5">
        <f t="shared" si="0"/>
        <v>0</v>
      </c>
      <c r="I16" s="5">
        <f t="shared" si="1"/>
        <v>-0.93394825253809688</v>
      </c>
      <c r="J16" s="5" t="str">
        <f t="shared" si="2"/>
        <v>LOW</v>
      </c>
      <c r="K16" s="8">
        <f t="shared" si="3"/>
        <v>0.10989010989010987</v>
      </c>
      <c r="L16" s="8">
        <f t="shared" si="4"/>
        <v>-0.43118590185092842</v>
      </c>
      <c r="M16" s="5" t="str">
        <f t="shared" si="5"/>
        <v>LOW</v>
      </c>
      <c r="N16" s="5">
        <v>13</v>
      </c>
      <c r="O16" s="5">
        <v>2</v>
      </c>
      <c r="P16" s="5"/>
      <c r="V16" s="27" t="s">
        <v>1358</v>
      </c>
      <c r="W16" s="27">
        <v>4</v>
      </c>
    </row>
    <row r="17" spans="1:19" x14ac:dyDescent="0.35">
      <c r="A17" s="5" t="s">
        <v>8</v>
      </c>
      <c r="B17" s="5">
        <v>552269</v>
      </c>
      <c r="C17" s="5">
        <v>10125</v>
      </c>
      <c r="D17" s="5">
        <v>1</v>
      </c>
      <c r="E17" s="6">
        <v>40671.494444444441</v>
      </c>
      <c r="F17" s="8">
        <v>0.85</v>
      </c>
      <c r="G17" s="5">
        <v>16121</v>
      </c>
      <c r="H17" s="5">
        <f t="shared" si="0"/>
        <v>0</v>
      </c>
      <c r="I17" s="5">
        <f t="shared" si="1"/>
        <v>-0.93394825253809688</v>
      </c>
      <c r="J17" s="5" t="str">
        <f t="shared" si="2"/>
        <v>LOW</v>
      </c>
      <c r="K17" s="8">
        <f t="shared" si="3"/>
        <v>0.10989010989010987</v>
      </c>
      <c r="L17" s="8">
        <f t="shared" si="4"/>
        <v>-0.43118590185092842</v>
      </c>
      <c r="M17" s="5" t="str">
        <f t="shared" si="5"/>
        <v>LOW</v>
      </c>
      <c r="N17" s="5" cm="1">
        <f t="array" aca="1" ref="N17" ca="1">INDEX($N$2:$N$15,RANDBETWEEN(1, ROWS($N$2:$N$15)))</f>
        <v>4</v>
      </c>
      <c r="O17" s="5" cm="1">
        <f t="array" aca="1" ref="O17" ca="1">INDEX($O$2:$O$15,RANDBETWEEN(1, ROWS($O$2:$O$15)))</f>
        <v>1</v>
      </c>
      <c r="P17" s="5"/>
    </row>
    <row r="18" spans="1:19" x14ac:dyDescent="0.35">
      <c r="A18" s="5" t="s">
        <v>8</v>
      </c>
      <c r="B18" s="5">
        <v>553385</v>
      </c>
      <c r="C18" s="5">
        <v>10125</v>
      </c>
      <c r="D18" s="5">
        <v>1</v>
      </c>
      <c r="E18" s="6">
        <v>40679.661805555559</v>
      </c>
      <c r="F18" s="8">
        <v>0.85</v>
      </c>
      <c r="G18" s="5">
        <v>16710</v>
      </c>
      <c r="H18" s="5">
        <f t="shared" si="0"/>
        <v>0</v>
      </c>
      <c r="I18" s="5">
        <f t="shared" si="1"/>
        <v>-0.93394825253809688</v>
      </c>
      <c r="J18" s="5" t="str">
        <f t="shared" si="2"/>
        <v>LOW</v>
      </c>
      <c r="K18" s="8">
        <f t="shared" si="3"/>
        <v>0.10989010989010987</v>
      </c>
      <c r="L18" s="8">
        <f t="shared" si="4"/>
        <v>-0.43118590185092842</v>
      </c>
      <c r="M18" s="5" t="str">
        <f t="shared" si="5"/>
        <v>LOW</v>
      </c>
      <c r="N18" s="5" cm="1">
        <f t="array" aca="1" ref="N18" ca="1">INDEX($N$2:$N$15,RANDBETWEEN(1, ROWS($N$2:$N$15)))</f>
        <v>12</v>
      </c>
      <c r="O18" s="5" cm="1">
        <f t="array" aca="1" ref="O18" ca="1">INDEX($O$2:$O$15,RANDBETWEEN(1, ROWS($O$2:$O$15)))</f>
        <v>5</v>
      </c>
      <c r="P18" s="5"/>
    </row>
    <row r="19" spans="1:19" x14ac:dyDescent="0.35">
      <c r="A19" s="5" t="s">
        <v>8</v>
      </c>
      <c r="B19" s="5">
        <v>554117</v>
      </c>
      <c r="C19" s="5">
        <v>10125</v>
      </c>
      <c r="D19" s="5">
        <v>1</v>
      </c>
      <c r="E19" s="6">
        <v>40685.633333333331</v>
      </c>
      <c r="F19" s="8">
        <v>0.85</v>
      </c>
      <c r="G19" s="5">
        <v>13758</v>
      </c>
      <c r="H19" s="5">
        <f t="shared" si="0"/>
        <v>0</v>
      </c>
      <c r="I19" s="5">
        <f t="shared" si="1"/>
        <v>-0.93394825253809688</v>
      </c>
      <c r="J19" s="5" t="str">
        <f t="shared" si="2"/>
        <v>LOW</v>
      </c>
      <c r="K19" s="8">
        <f t="shared" si="3"/>
        <v>0.10989010989010987</v>
      </c>
      <c r="L19" s="8">
        <f t="shared" si="4"/>
        <v>-0.43118590185092842</v>
      </c>
      <c r="M19" s="5" t="str">
        <f t="shared" si="5"/>
        <v>LOW</v>
      </c>
      <c r="N19" s="5" cm="1">
        <f t="array" aca="1" ref="N19" ca="1">INDEX($N$2:$N$15,RANDBETWEEN(1, ROWS($N$2:$N$15)))</f>
        <v>12</v>
      </c>
      <c r="O19" s="5" cm="1">
        <f t="array" aca="1" ref="O19" ca="1">INDEX($O$2:$O$15,RANDBETWEEN(1, ROWS($O$2:$O$15)))</f>
        <v>8</v>
      </c>
      <c r="P19" s="5"/>
    </row>
    <row r="20" spans="1:19" x14ac:dyDescent="0.35">
      <c r="A20" s="5" t="s">
        <v>8</v>
      </c>
      <c r="B20" s="5">
        <v>555579</v>
      </c>
      <c r="C20" s="5">
        <v>10125</v>
      </c>
      <c r="D20" s="5">
        <v>1</v>
      </c>
      <c r="E20" s="6">
        <v>40699.668055555558</v>
      </c>
      <c r="F20" s="8">
        <v>0.85</v>
      </c>
      <c r="G20" s="5">
        <v>13983</v>
      </c>
      <c r="H20" s="5">
        <f t="shared" si="0"/>
        <v>0</v>
      </c>
      <c r="I20" s="5">
        <f t="shared" si="1"/>
        <v>-0.93394825253809688</v>
      </c>
      <c r="J20" s="5" t="str">
        <f t="shared" si="2"/>
        <v>LOW</v>
      </c>
      <c r="K20" s="8">
        <f t="shared" si="3"/>
        <v>0.10989010989010987</v>
      </c>
      <c r="L20" s="8">
        <f t="shared" si="4"/>
        <v>-0.43118590185092842</v>
      </c>
      <c r="M20" s="5" t="str">
        <f t="shared" si="5"/>
        <v>LOW</v>
      </c>
      <c r="N20" s="5" cm="1">
        <f t="array" aca="1" ref="N20" ca="1">INDEX($N$2:$N$15,RANDBETWEEN(1, ROWS($N$2:$N$15)))</f>
        <v>4</v>
      </c>
      <c r="O20" s="5" cm="1">
        <f t="array" aca="1" ref="O20" ca="1">INDEX($O$2:$O$15,RANDBETWEEN(1, ROWS($O$2:$O$15)))</f>
        <v>7</v>
      </c>
      <c r="P20" s="5"/>
    </row>
    <row r="21" spans="1:19" x14ac:dyDescent="0.35">
      <c r="A21" s="5" t="s">
        <v>8</v>
      </c>
      <c r="B21" s="5">
        <v>558700</v>
      </c>
      <c r="C21" s="5">
        <v>10125</v>
      </c>
      <c r="D21" s="5">
        <v>1</v>
      </c>
      <c r="E21" s="6">
        <v>40725.522916666669</v>
      </c>
      <c r="F21" s="8">
        <v>0.85</v>
      </c>
      <c r="G21" s="5">
        <v>17920</v>
      </c>
      <c r="H21" s="5">
        <f t="shared" si="0"/>
        <v>0</v>
      </c>
      <c r="I21" s="5">
        <f t="shared" si="1"/>
        <v>-0.93394825253809688</v>
      </c>
      <c r="J21" s="5" t="str">
        <f t="shared" si="2"/>
        <v>LOW</v>
      </c>
      <c r="K21" s="8">
        <f t="shared" si="3"/>
        <v>0.10989010989010987</v>
      </c>
      <c r="L21" s="8">
        <f t="shared" si="4"/>
        <v>-0.43118590185092842</v>
      </c>
      <c r="M21" s="5" t="str">
        <f t="shared" si="5"/>
        <v>LOW</v>
      </c>
      <c r="N21" s="5" cm="1">
        <f t="array" aca="1" ref="N21" ca="1">INDEX($N$2:$N$15,RANDBETWEEN(1, ROWS($N$2:$N$15)))</f>
        <v>9</v>
      </c>
      <c r="O21" s="5" cm="1">
        <f t="array" aca="1" ref="O21" ca="1">INDEX($O$2:$O$15,RANDBETWEEN(1, ROWS($O$2:$O$15)))</f>
        <v>5</v>
      </c>
      <c r="P21" s="5"/>
      <c r="R21" s="30" t="s">
        <v>32</v>
      </c>
      <c r="S21" s="19">
        <f>AVERAGE(D:D)</f>
        <v>11.283464566929133</v>
      </c>
    </row>
    <row r="22" spans="1:19" x14ac:dyDescent="0.35">
      <c r="A22" s="5" t="s">
        <v>8</v>
      </c>
      <c r="B22" s="5">
        <v>558860</v>
      </c>
      <c r="C22" s="5">
        <v>10125</v>
      </c>
      <c r="D22" s="5">
        <v>1</v>
      </c>
      <c r="E22" s="6">
        <v>40728.512499999997</v>
      </c>
      <c r="F22" s="8">
        <v>0.85</v>
      </c>
      <c r="G22" s="5">
        <v>17975</v>
      </c>
      <c r="H22" s="5">
        <f t="shared" si="0"/>
        <v>0</v>
      </c>
      <c r="I22" s="5">
        <f t="shared" si="1"/>
        <v>-0.93394825253809688</v>
      </c>
      <c r="J22" s="5" t="str">
        <f t="shared" si="2"/>
        <v>LOW</v>
      </c>
      <c r="K22" s="8">
        <f t="shared" si="3"/>
        <v>0.10989010989010987</v>
      </c>
      <c r="L22" s="8">
        <f t="shared" si="4"/>
        <v>-0.43118590185092842</v>
      </c>
      <c r="M22" s="5" t="str">
        <f t="shared" si="5"/>
        <v>LOW</v>
      </c>
      <c r="N22" s="5" cm="1">
        <f t="array" aca="1" ref="N22" ca="1">INDEX($N$2:$N$15,RANDBETWEEN(1, ROWS($N$2:$N$15)))</f>
        <v>4</v>
      </c>
      <c r="O22" s="5" cm="1">
        <f t="array" aca="1" ref="O22" ca="1">INDEX($O$2:$O$15,RANDBETWEEN(1, ROWS($O$2:$O$15)))</f>
        <v>1</v>
      </c>
      <c r="P22" s="5"/>
      <c r="R22" s="30" t="s">
        <v>33</v>
      </c>
      <c r="S22" s="31">
        <f>AVERAGE(F:F)</f>
        <v>0.99212598425196741</v>
      </c>
    </row>
    <row r="23" spans="1:19" x14ac:dyDescent="0.35">
      <c r="A23" s="5" t="s">
        <v>8</v>
      </c>
      <c r="B23" s="5">
        <v>550972</v>
      </c>
      <c r="C23" s="5">
        <v>15036</v>
      </c>
      <c r="D23" s="5">
        <v>1</v>
      </c>
      <c r="E23" s="6">
        <v>40654.711805555555</v>
      </c>
      <c r="F23" s="8">
        <v>0.83</v>
      </c>
      <c r="G23" s="5">
        <v>14031</v>
      </c>
      <c r="H23" s="5">
        <f t="shared" si="0"/>
        <v>0</v>
      </c>
      <c r="I23" s="5">
        <f t="shared" si="1"/>
        <v>-0.93394825253809688</v>
      </c>
      <c r="J23" s="5" t="str">
        <f t="shared" si="2"/>
        <v>LOW</v>
      </c>
      <c r="K23" s="8">
        <f t="shared" si="3"/>
        <v>8.7912087912087877E-2</v>
      </c>
      <c r="L23" s="8">
        <f t="shared" si="4"/>
        <v>-0.49186247751305406</v>
      </c>
      <c r="M23" s="5" t="str">
        <f t="shared" si="5"/>
        <v>LOW</v>
      </c>
      <c r="N23" s="5" cm="1">
        <f t="array" aca="1" ref="N23" ca="1">INDEX($N$2:$N$15,RANDBETWEEN(1, ROWS($N$2:$N$15)))</f>
        <v>9</v>
      </c>
      <c r="O23" s="5" cm="1">
        <f t="array" aca="1" ref="O23" ca="1">INDEX($O$2:$O$15,RANDBETWEEN(1, ROWS($O$2:$O$15)))</f>
        <v>1</v>
      </c>
      <c r="P23" s="5"/>
      <c r="R23" s="13"/>
      <c r="S23" s="5"/>
    </row>
    <row r="24" spans="1:19" x14ac:dyDescent="0.35">
      <c r="A24" s="5" t="s">
        <v>8</v>
      </c>
      <c r="B24" s="5">
        <v>540026</v>
      </c>
      <c r="C24" s="5">
        <v>10133</v>
      </c>
      <c r="D24" s="5">
        <v>1</v>
      </c>
      <c r="E24" s="6">
        <v>40547.559027777781</v>
      </c>
      <c r="F24" s="8">
        <v>0.81</v>
      </c>
      <c r="G24" s="5" t="s">
        <v>1331</v>
      </c>
      <c r="H24" s="5">
        <f t="shared" si="0"/>
        <v>0</v>
      </c>
      <c r="I24" s="5">
        <f t="shared" si="1"/>
        <v>-0.93394825253809688</v>
      </c>
      <c r="J24" s="5" t="str">
        <f t="shared" si="2"/>
        <v>LOW</v>
      </c>
      <c r="K24" s="8">
        <f t="shared" si="3"/>
        <v>6.5934065934066005E-2</v>
      </c>
      <c r="L24" s="8">
        <f t="shared" si="4"/>
        <v>-0.55253905317517937</v>
      </c>
      <c r="M24" s="5" t="str">
        <f t="shared" si="5"/>
        <v>LOW</v>
      </c>
      <c r="N24" s="5" cm="1">
        <f t="array" aca="1" ref="N24" ca="1">INDEX($N$2:$N$15,RANDBETWEEN(1, ROWS($N$2:$N$15)))</f>
        <v>9</v>
      </c>
      <c r="O24" s="5" cm="1">
        <f t="array" aca="1" ref="O24" ca="1">INDEX($O$2:$O$15,RANDBETWEEN(1, ROWS($O$2:$O$15)))</f>
        <v>5</v>
      </c>
      <c r="P24" s="5"/>
      <c r="R24" s="13"/>
      <c r="S24" s="5"/>
    </row>
    <row r="25" spans="1:19" x14ac:dyDescent="0.35">
      <c r="A25" s="5" t="s">
        <v>8</v>
      </c>
      <c r="B25" s="5">
        <v>540154</v>
      </c>
      <c r="C25" s="5">
        <v>10133</v>
      </c>
      <c r="D25" s="5">
        <v>1</v>
      </c>
      <c r="E25" s="6">
        <v>40548.479166666664</v>
      </c>
      <c r="F25" s="8">
        <v>0.81</v>
      </c>
      <c r="G25" s="5" t="s">
        <v>1331</v>
      </c>
      <c r="H25" s="5">
        <f t="shared" si="0"/>
        <v>0</v>
      </c>
      <c r="I25" s="5">
        <f t="shared" si="1"/>
        <v>-0.93394825253809688</v>
      </c>
      <c r="J25" s="5" t="str">
        <f t="shared" si="2"/>
        <v>LOW</v>
      </c>
      <c r="K25" s="8">
        <f t="shared" si="3"/>
        <v>6.5934065934066005E-2</v>
      </c>
      <c r="L25" s="8">
        <f t="shared" si="4"/>
        <v>-0.55253905317517937</v>
      </c>
      <c r="M25" s="5" t="str">
        <f t="shared" si="5"/>
        <v>LOW</v>
      </c>
      <c r="N25" s="5" cm="1">
        <f t="array" aca="1" ref="N25" ca="1">INDEX($N$2:$N$15,RANDBETWEEN(1, ROWS($N$2:$N$15)))</f>
        <v>4</v>
      </c>
      <c r="O25" s="5" cm="1">
        <f t="array" aca="1" ref="O25" ca="1">INDEX($O$2:$O$15,RANDBETWEEN(1, ROWS($O$2:$O$15)))</f>
        <v>5</v>
      </c>
      <c r="P25" s="5"/>
      <c r="R25" s="13"/>
      <c r="S25" s="5"/>
    </row>
    <row r="26" spans="1:19" x14ac:dyDescent="0.35">
      <c r="A26" s="5" t="s">
        <v>8</v>
      </c>
      <c r="B26" s="5">
        <v>540352</v>
      </c>
      <c r="C26" s="5">
        <v>10133</v>
      </c>
      <c r="D26" s="5">
        <v>1</v>
      </c>
      <c r="E26" s="6">
        <v>40549.602083333331</v>
      </c>
      <c r="F26" s="8">
        <v>0.81</v>
      </c>
      <c r="G26" s="5" t="s">
        <v>1331</v>
      </c>
      <c r="H26" s="5">
        <f t="shared" si="0"/>
        <v>0</v>
      </c>
      <c r="I26" s="5">
        <f t="shared" si="1"/>
        <v>-0.93394825253809688</v>
      </c>
      <c r="J26" s="5" t="str">
        <f t="shared" si="2"/>
        <v>LOW</v>
      </c>
      <c r="K26" s="8">
        <f t="shared" si="3"/>
        <v>6.5934065934066005E-2</v>
      </c>
      <c r="L26" s="8">
        <f t="shared" si="4"/>
        <v>-0.55253905317517937</v>
      </c>
      <c r="M26" s="5" t="str">
        <f t="shared" si="5"/>
        <v>LOW</v>
      </c>
      <c r="N26" s="5" cm="1">
        <f t="array" aca="1" ref="N26" ca="1">INDEX($N$2:$N$15,RANDBETWEEN(1, ROWS($N$2:$N$15)))</f>
        <v>4</v>
      </c>
      <c r="O26" s="5" cm="1">
        <f t="array" aca="1" ref="O26" ca="1">INDEX($O$2:$O$15,RANDBETWEEN(1, ROWS($O$2:$O$15)))</f>
        <v>1</v>
      </c>
      <c r="P26" s="5"/>
      <c r="R26" s="30" t="s">
        <v>34</v>
      </c>
      <c r="S26" s="19">
        <f>AVERAGE(D:D)</f>
        <v>11.283464566929133</v>
      </c>
    </row>
    <row r="27" spans="1:19" x14ac:dyDescent="0.35">
      <c r="A27" s="5" t="s">
        <v>8</v>
      </c>
      <c r="B27" s="5">
        <v>540551</v>
      </c>
      <c r="C27" s="5">
        <v>10133</v>
      </c>
      <c r="D27" s="5">
        <v>1</v>
      </c>
      <c r="E27" s="6">
        <v>40553.404861111114</v>
      </c>
      <c r="F27" s="8">
        <v>0.81</v>
      </c>
      <c r="G27" s="5" t="s">
        <v>1331</v>
      </c>
      <c r="H27" s="5">
        <f t="shared" si="0"/>
        <v>0</v>
      </c>
      <c r="I27" s="5">
        <f t="shared" si="1"/>
        <v>-0.93394825253809688</v>
      </c>
      <c r="J27" s="5" t="str">
        <f t="shared" si="2"/>
        <v>LOW</v>
      </c>
      <c r="K27" s="8">
        <f t="shared" si="3"/>
        <v>6.5934065934066005E-2</v>
      </c>
      <c r="L27" s="8">
        <f t="shared" si="4"/>
        <v>-0.55253905317517937</v>
      </c>
      <c r="M27" s="5" t="str">
        <f t="shared" si="5"/>
        <v>LOW</v>
      </c>
      <c r="N27" s="5" cm="1">
        <f t="array" aca="1" ref="N27" ca="1">INDEX($N$2:$N$15,RANDBETWEEN(1, ROWS($N$2:$N$15)))</f>
        <v>9</v>
      </c>
      <c r="O27" s="5" cm="1">
        <f t="array" aca="1" ref="O27" ca="1">INDEX($O$2:$O$15,RANDBETWEEN(1, ROWS($O$2:$O$15)))</f>
        <v>5</v>
      </c>
      <c r="P27" s="5"/>
      <c r="R27" s="30" t="s">
        <v>35</v>
      </c>
      <c r="S27" s="32">
        <f>AVERAGE(F:F)</f>
        <v>0.99212598425196741</v>
      </c>
    </row>
    <row r="28" spans="1:19" x14ac:dyDescent="0.35">
      <c r="A28" s="5" t="s">
        <v>8</v>
      </c>
      <c r="B28" s="5">
        <v>540977</v>
      </c>
      <c r="C28" s="5">
        <v>10133</v>
      </c>
      <c r="D28" s="5">
        <v>1</v>
      </c>
      <c r="E28" s="6">
        <v>40555.625694444447</v>
      </c>
      <c r="F28" s="8">
        <v>0.81</v>
      </c>
      <c r="G28" s="5" t="s">
        <v>1331</v>
      </c>
      <c r="H28" s="5">
        <f t="shared" si="0"/>
        <v>0</v>
      </c>
      <c r="I28" s="5">
        <f t="shared" si="1"/>
        <v>-0.93394825253809688</v>
      </c>
      <c r="J28" s="5" t="str">
        <f t="shared" si="2"/>
        <v>LOW</v>
      </c>
      <c r="K28" s="8">
        <f t="shared" si="3"/>
        <v>6.5934065934066005E-2</v>
      </c>
      <c r="L28" s="8">
        <f t="shared" si="4"/>
        <v>-0.55253905317517937</v>
      </c>
      <c r="M28" s="5" t="str">
        <f t="shared" si="5"/>
        <v>LOW</v>
      </c>
      <c r="N28" s="5" cm="1">
        <f t="array" aca="1" ref="N28" ca="1">INDEX($N$2:$N$15,RANDBETWEEN(1, ROWS($N$2:$N$15)))</f>
        <v>9</v>
      </c>
      <c r="O28" s="5" cm="1">
        <f t="array" aca="1" ref="O28" ca="1">INDEX($O$2:$O$15,RANDBETWEEN(1, ROWS($O$2:$O$15)))</f>
        <v>5</v>
      </c>
      <c r="P28" s="5"/>
      <c r="R28" s="13"/>
      <c r="S28" s="5"/>
    </row>
    <row r="29" spans="1:19" x14ac:dyDescent="0.35">
      <c r="A29" s="5" t="s">
        <v>8</v>
      </c>
      <c r="B29" s="5">
        <v>536876</v>
      </c>
      <c r="C29" s="5">
        <v>10002</v>
      </c>
      <c r="D29" s="5">
        <v>2</v>
      </c>
      <c r="E29" s="6">
        <v>40515.48333333333</v>
      </c>
      <c r="F29" s="8">
        <v>1.66</v>
      </c>
      <c r="G29" s="5" t="s">
        <v>1331</v>
      </c>
      <c r="H29" s="5">
        <f t="shared" si="0"/>
        <v>2.1276595744680851E-2</v>
      </c>
      <c r="I29" s="5">
        <f t="shared" si="1"/>
        <v>-0.84312786350874136</v>
      </c>
      <c r="J29" s="5" t="str">
        <f t="shared" si="2"/>
        <v>LOW</v>
      </c>
      <c r="K29" s="8">
        <f t="shared" si="3"/>
        <v>1</v>
      </c>
      <c r="L29" s="8">
        <f t="shared" si="4"/>
        <v>2.0262154124651568</v>
      </c>
      <c r="M29" s="5" t="str">
        <f t="shared" si="5"/>
        <v>HIGH</v>
      </c>
      <c r="N29" s="5">
        <v>8</v>
      </c>
      <c r="O29" s="5">
        <v>3</v>
      </c>
      <c r="P29" s="5"/>
      <c r="R29" s="30" t="s">
        <v>36</v>
      </c>
      <c r="S29" s="19">
        <f>MIN(D:D)</f>
        <v>1</v>
      </c>
    </row>
    <row r="30" spans="1:19" x14ac:dyDescent="0.35">
      <c r="A30" s="5" t="s">
        <v>8</v>
      </c>
      <c r="B30" s="5">
        <v>550458</v>
      </c>
      <c r="C30" s="5">
        <v>15036</v>
      </c>
      <c r="D30" s="5">
        <v>2</v>
      </c>
      <c r="E30" s="6">
        <v>40651.550694444442</v>
      </c>
      <c r="F30" s="8">
        <v>1.63</v>
      </c>
      <c r="G30" s="5" t="s">
        <v>1331</v>
      </c>
      <c r="H30" s="5">
        <f t="shared" si="0"/>
        <v>2.1276595744680851E-2</v>
      </c>
      <c r="I30" s="5">
        <f t="shared" si="1"/>
        <v>-0.84312786350874136</v>
      </c>
      <c r="J30" s="5" t="str">
        <f t="shared" si="2"/>
        <v>LOW</v>
      </c>
      <c r="K30" s="8">
        <f t="shared" si="3"/>
        <v>0.96703296703296704</v>
      </c>
      <c r="L30" s="8">
        <f t="shared" si="4"/>
        <v>1.9352005489719684</v>
      </c>
      <c r="M30" s="5" t="str">
        <f t="shared" si="5"/>
        <v>HIGH</v>
      </c>
      <c r="N30" s="5" cm="1">
        <f t="array" aca="1" ref="N30" ca="1">INDEX($N$2:$N$15,RANDBETWEEN(1, ROWS($N$2:$N$15)))</f>
        <v>4</v>
      </c>
      <c r="O30" s="5" cm="1">
        <f t="array" aca="1" ref="O30" ca="1">INDEX($O$2:$O$15,RANDBETWEEN(1, ROWS($O$2:$O$15)))</f>
        <v>1</v>
      </c>
      <c r="P30" s="5"/>
      <c r="R30" s="30" t="s">
        <v>37</v>
      </c>
      <c r="S30" s="19">
        <f>MAX(D:D)</f>
        <v>48</v>
      </c>
    </row>
    <row r="31" spans="1:19" x14ac:dyDescent="0.35">
      <c r="A31" s="5" t="s">
        <v>8</v>
      </c>
      <c r="B31" s="5">
        <v>550474</v>
      </c>
      <c r="C31" s="5">
        <v>15036</v>
      </c>
      <c r="D31" s="5">
        <v>2</v>
      </c>
      <c r="E31" s="6">
        <v>40651.581944444442</v>
      </c>
      <c r="F31" s="8">
        <v>1.63</v>
      </c>
      <c r="G31" s="5" t="s">
        <v>1331</v>
      </c>
      <c r="H31" s="5">
        <f t="shared" si="0"/>
        <v>2.1276595744680851E-2</v>
      </c>
      <c r="I31" s="5">
        <f t="shared" si="1"/>
        <v>-0.84312786350874136</v>
      </c>
      <c r="J31" s="5" t="str">
        <f t="shared" si="2"/>
        <v>LOW</v>
      </c>
      <c r="K31" s="8">
        <f t="shared" si="3"/>
        <v>0.96703296703296704</v>
      </c>
      <c r="L31" s="8">
        <f t="shared" si="4"/>
        <v>1.9352005489719684</v>
      </c>
      <c r="M31" s="5" t="str">
        <f t="shared" si="5"/>
        <v>HIGH</v>
      </c>
      <c r="N31" s="5" cm="1">
        <f t="array" aca="1" ref="N31" ca="1">INDEX($N$2:$N$15,RANDBETWEEN(1, ROWS($N$2:$N$15)))</f>
        <v>9</v>
      </c>
      <c r="O31" s="5" cm="1">
        <f t="array" aca="1" ref="O31" ca="1">INDEX($O$2:$O$15,RANDBETWEEN(1, ROWS($O$2:$O$15)))</f>
        <v>5</v>
      </c>
      <c r="P31" s="5"/>
      <c r="R31" s="13"/>
      <c r="S31" s="5"/>
    </row>
    <row r="32" spans="1:19" x14ac:dyDescent="0.35">
      <c r="A32" s="5" t="s">
        <v>8</v>
      </c>
      <c r="B32" s="5">
        <v>557938</v>
      </c>
      <c r="C32" s="5">
        <v>10125</v>
      </c>
      <c r="D32" s="5">
        <v>2</v>
      </c>
      <c r="E32" s="6">
        <v>40717.649305555555</v>
      </c>
      <c r="F32" s="8">
        <v>1.63</v>
      </c>
      <c r="G32" s="5" t="s">
        <v>1331</v>
      </c>
      <c r="H32" s="5">
        <f t="shared" si="0"/>
        <v>2.1276595744680851E-2</v>
      </c>
      <c r="I32" s="5">
        <f t="shared" si="1"/>
        <v>-0.84312786350874136</v>
      </c>
      <c r="J32" s="5" t="str">
        <f t="shared" si="2"/>
        <v>LOW</v>
      </c>
      <c r="K32" s="8">
        <f t="shared" si="3"/>
        <v>0.96703296703296704</v>
      </c>
      <c r="L32" s="8">
        <f t="shared" si="4"/>
        <v>1.9352005489719684</v>
      </c>
      <c r="M32" s="5" t="str">
        <f t="shared" si="5"/>
        <v>HIGH</v>
      </c>
      <c r="N32" s="5" cm="1">
        <f t="array" aca="1" ref="N32" ca="1">INDEX($N$2:$N$15,RANDBETWEEN(1, ROWS($N$2:$N$15)))</f>
        <v>4</v>
      </c>
      <c r="O32" s="5" cm="1">
        <f t="array" aca="1" ref="O32" ca="1">INDEX($O$2:$O$15,RANDBETWEEN(1, ROWS($O$2:$O$15)))</f>
        <v>1</v>
      </c>
      <c r="P32" s="5"/>
      <c r="R32" s="13"/>
      <c r="S32" s="5"/>
    </row>
    <row r="33" spans="1:23" x14ac:dyDescent="0.35">
      <c r="A33" s="5" t="s">
        <v>8</v>
      </c>
      <c r="B33" s="5">
        <v>537374</v>
      </c>
      <c r="C33" s="5">
        <v>10133</v>
      </c>
      <c r="D33" s="5">
        <v>2</v>
      </c>
      <c r="E33" s="6">
        <v>40518.538194444445</v>
      </c>
      <c r="F33" s="8">
        <v>0.85</v>
      </c>
      <c r="G33" s="5">
        <v>17259</v>
      </c>
      <c r="H33" s="5">
        <f t="shared" si="0"/>
        <v>2.1276595744680851E-2</v>
      </c>
      <c r="I33" s="5">
        <f t="shared" si="1"/>
        <v>-0.84312786350874136</v>
      </c>
      <c r="J33" s="5" t="str">
        <f t="shared" si="2"/>
        <v>LOW</v>
      </c>
      <c r="K33" s="8">
        <f t="shared" si="3"/>
        <v>0.10989010989010987</v>
      </c>
      <c r="L33" s="8">
        <f t="shared" si="4"/>
        <v>-0.43118590185092842</v>
      </c>
      <c r="M33" s="5" t="str">
        <f t="shared" si="5"/>
        <v>LOW</v>
      </c>
      <c r="N33" s="5" cm="1">
        <f t="array" aca="1" ref="N33" ca="1">INDEX($N$2:$N$15,RANDBETWEEN(1, ROWS($N$2:$N$15)))</f>
        <v>12</v>
      </c>
      <c r="O33" s="5" cm="1">
        <f t="array" aca="1" ref="O33" ca="1">INDEX($O$2:$O$15,RANDBETWEEN(1, ROWS($O$2:$O$15)))</f>
        <v>1</v>
      </c>
      <c r="P33" s="5"/>
      <c r="R33" s="30" t="s">
        <v>38</v>
      </c>
      <c r="S33" s="32">
        <f>MIN(F:F)</f>
        <v>0.75</v>
      </c>
    </row>
    <row r="34" spans="1:23" x14ac:dyDescent="0.35">
      <c r="A34" s="5" t="s">
        <v>8</v>
      </c>
      <c r="B34" s="5">
        <v>538064</v>
      </c>
      <c r="C34" s="5">
        <v>10133</v>
      </c>
      <c r="D34" s="5">
        <v>2</v>
      </c>
      <c r="E34" s="6">
        <v>40521.574305555558</v>
      </c>
      <c r="F34" s="8">
        <v>0.85</v>
      </c>
      <c r="G34" s="5">
        <v>15271</v>
      </c>
      <c r="H34" s="5">
        <f t="shared" ref="H34:H65" si="6">(D34-1)/(48-1)</f>
        <v>2.1276595744680851E-2</v>
      </c>
      <c r="I34" s="5">
        <f t="shared" ref="I34:I65" si="7">(D34-$S$21)/$S$44</f>
        <v>-0.84312786350874136</v>
      </c>
      <c r="J34" s="5" t="str">
        <f t="shared" ref="J34:J65" si="8">IF(D34&gt;$S$6, "HIGH", "LOW")</f>
        <v>LOW</v>
      </c>
      <c r="K34" s="8">
        <f t="shared" ref="K34:K65" si="9">(F34-0.75)/(1.66-0.75)</f>
        <v>0.10989010989010987</v>
      </c>
      <c r="L34" s="8">
        <f t="shared" ref="L34:L65" si="10">(F34-$S$22)/$S$45</f>
        <v>-0.43118590185092842</v>
      </c>
      <c r="M34" s="5" t="str">
        <f t="shared" ref="M34:M65" si="11">IF(F34&gt;$S$7, "HIGH", "LOW")</f>
        <v>LOW</v>
      </c>
      <c r="N34" s="5" cm="1">
        <f t="array" aca="1" ref="N34" ca="1">INDEX($N$2:$N$15,RANDBETWEEN(1, ROWS($N$2:$N$15)))</f>
        <v>10</v>
      </c>
      <c r="O34" s="5" cm="1">
        <f t="array" aca="1" ref="O34" ca="1">INDEX($O$2:$O$15,RANDBETWEEN(1, ROWS($O$2:$O$15)))</f>
        <v>1</v>
      </c>
      <c r="P34" s="5"/>
      <c r="R34" s="30" t="s">
        <v>39</v>
      </c>
      <c r="S34" s="33">
        <f>MAX(F:F)</f>
        <v>1.66</v>
      </c>
    </row>
    <row r="35" spans="1:23" x14ac:dyDescent="0.35">
      <c r="A35" s="5" t="s">
        <v>8</v>
      </c>
      <c r="B35" s="5">
        <v>545060</v>
      </c>
      <c r="C35" s="5">
        <v>10080</v>
      </c>
      <c r="D35" s="5">
        <v>2</v>
      </c>
      <c r="E35" s="6">
        <v>40601.574305555558</v>
      </c>
      <c r="F35" s="8">
        <v>0.85</v>
      </c>
      <c r="G35" s="5">
        <v>15547</v>
      </c>
      <c r="H35" s="5">
        <f t="shared" si="6"/>
        <v>2.1276595744680851E-2</v>
      </c>
      <c r="I35" s="5">
        <f t="shared" si="7"/>
        <v>-0.84312786350874136</v>
      </c>
      <c r="J35" s="5" t="str">
        <f t="shared" si="8"/>
        <v>LOW</v>
      </c>
      <c r="K35" s="8">
        <f t="shared" si="9"/>
        <v>0.10989010989010987</v>
      </c>
      <c r="L35" s="8">
        <f t="shared" si="10"/>
        <v>-0.43118590185092842</v>
      </c>
      <c r="M35" s="5" t="str">
        <f t="shared" si="11"/>
        <v>LOW</v>
      </c>
      <c r="N35" s="5">
        <v>4</v>
      </c>
      <c r="O35" s="5">
        <v>3</v>
      </c>
      <c r="P35" s="5"/>
      <c r="R35" s="13"/>
      <c r="S35" s="5"/>
    </row>
    <row r="36" spans="1:23" x14ac:dyDescent="0.35">
      <c r="A36" s="5" t="s">
        <v>8</v>
      </c>
      <c r="B36" s="5">
        <v>574530</v>
      </c>
      <c r="C36" s="5">
        <v>10125</v>
      </c>
      <c r="D36" s="5">
        <v>2</v>
      </c>
      <c r="E36" s="6">
        <v>40851.588194444441</v>
      </c>
      <c r="F36" s="8">
        <v>0.85</v>
      </c>
      <c r="G36" s="5">
        <v>16887</v>
      </c>
      <c r="H36" s="5">
        <f t="shared" si="6"/>
        <v>2.1276595744680851E-2</v>
      </c>
      <c r="I36" s="5">
        <f t="shared" si="7"/>
        <v>-0.84312786350874136</v>
      </c>
      <c r="J36" s="5" t="str">
        <f t="shared" si="8"/>
        <v>LOW</v>
      </c>
      <c r="K36" s="8">
        <f t="shared" si="9"/>
        <v>0.10989010989010987</v>
      </c>
      <c r="L36" s="8">
        <f t="shared" si="10"/>
        <v>-0.43118590185092842</v>
      </c>
      <c r="M36" s="5" t="str">
        <f t="shared" si="11"/>
        <v>LOW</v>
      </c>
      <c r="N36" s="5" cm="1">
        <f t="array" aca="1" ref="N36" ca="1">INDEX($N$2:$N$15,RANDBETWEEN(1, ROWS($N$2:$N$15)))</f>
        <v>9</v>
      </c>
      <c r="O36" s="5" cm="1">
        <f t="array" aca="1" ref="O36" ca="1">INDEX($O$2:$O$15,RANDBETWEEN(1, ROWS($O$2:$O$15)))</f>
        <v>5</v>
      </c>
      <c r="P36" s="5"/>
      <c r="R36" s="13"/>
      <c r="S36" s="5"/>
    </row>
    <row r="37" spans="1:23" x14ac:dyDescent="0.35">
      <c r="A37" s="5" t="s">
        <v>8</v>
      </c>
      <c r="B37" s="5">
        <v>550471</v>
      </c>
      <c r="C37" s="5">
        <v>15036</v>
      </c>
      <c r="D37" s="5">
        <v>3</v>
      </c>
      <c r="E37" s="6">
        <v>40651.577777777777</v>
      </c>
      <c r="F37" s="8">
        <v>1.63</v>
      </c>
      <c r="G37" s="5" t="s">
        <v>1331</v>
      </c>
      <c r="H37" s="5">
        <f t="shared" si="6"/>
        <v>4.2553191489361701E-2</v>
      </c>
      <c r="I37" s="5">
        <f t="shared" si="7"/>
        <v>-0.75230747447938584</v>
      </c>
      <c r="J37" s="5" t="str">
        <f t="shared" si="8"/>
        <v>LOW</v>
      </c>
      <c r="K37" s="8">
        <f t="shared" si="9"/>
        <v>0.96703296703296704</v>
      </c>
      <c r="L37" s="8">
        <f t="shared" si="10"/>
        <v>1.9352005489719684</v>
      </c>
      <c r="M37" s="5" t="str">
        <f t="shared" si="11"/>
        <v>HIGH</v>
      </c>
      <c r="N37" s="5" cm="1">
        <f t="array" aca="1" ref="N37" ca="1">INDEX($N$2:$N$15,RANDBETWEEN(1, ROWS($N$2:$N$15)))</f>
        <v>12</v>
      </c>
      <c r="O37" s="5" cm="1">
        <f t="array" aca="1" ref="O37" ca="1">INDEX($O$2:$O$15,RANDBETWEEN(1, ROWS($O$2:$O$15)))</f>
        <v>1</v>
      </c>
      <c r="P37" s="5"/>
      <c r="R37" s="30" t="s">
        <v>40</v>
      </c>
      <c r="S37" s="19" t="s">
        <v>1339</v>
      </c>
    </row>
    <row r="38" spans="1:23" x14ac:dyDescent="0.35">
      <c r="A38" s="5" t="s">
        <v>8</v>
      </c>
      <c r="B38" s="5">
        <v>537155</v>
      </c>
      <c r="C38" s="5">
        <v>10133</v>
      </c>
      <c r="D38" s="5">
        <v>3</v>
      </c>
      <c r="E38" s="6">
        <v>40517.545138888891</v>
      </c>
      <c r="F38" s="8">
        <v>0.85</v>
      </c>
      <c r="G38" s="5">
        <v>12748</v>
      </c>
      <c r="H38" s="5">
        <f t="shared" si="6"/>
        <v>4.2553191489361701E-2</v>
      </c>
      <c r="I38" s="5">
        <f t="shared" si="7"/>
        <v>-0.75230747447938584</v>
      </c>
      <c r="J38" s="5" t="str">
        <f t="shared" si="8"/>
        <v>LOW</v>
      </c>
      <c r="K38" s="8">
        <f t="shared" si="9"/>
        <v>0.10989010989010987</v>
      </c>
      <c r="L38" s="8">
        <f t="shared" si="10"/>
        <v>-0.43118590185092842</v>
      </c>
      <c r="M38" s="5" t="str">
        <f t="shared" si="11"/>
        <v>LOW</v>
      </c>
      <c r="N38" s="5" cm="1">
        <f t="array" aca="1" ref="N38" ca="1">INDEX($N$2:$N$15,RANDBETWEEN(1, ROWS($N$2:$N$15)))</f>
        <v>9</v>
      </c>
      <c r="O38" s="5" cm="1">
        <f t="array" aca="1" ref="O38" ca="1">INDEX($O$2:$O$15,RANDBETWEEN(1, ROWS($O$2:$O$15)))</f>
        <v>1</v>
      </c>
      <c r="P38" s="5"/>
      <c r="R38" s="30" t="s">
        <v>41</v>
      </c>
      <c r="S38" s="19" t="s">
        <v>1340</v>
      </c>
    </row>
    <row r="39" spans="1:23" x14ac:dyDescent="0.35">
      <c r="A39" s="5" t="s">
        <v>8</v>
      </c>
      <c r="B39" s="5">
        <v>552310</v>
      </c>
      <c r="C39" s="5">
        <v>10125</v>
      </c>
      <c r="D39" s="5">
        <v>3</v>
      </c>
      <c r="E39" s="6">
        <v>40671.640277777777</v>
      </c>
      <c r="F39" s="8">
        <v>0.85</v>
      </c>
      <c r="G39" s="5">
        <v>17323</v>
      </c>
      <c r="H39" s="5">
        <f t="shared" si="6"/>
        <v>4.2553191489361701E-2</v>
      </c>
      <c r="I39" s="5">
        <f t="shared" si="7"/>
        <v>-0.75230747447938584</v>
      </c>
      <c r="J39" s="5" t="str">
        <f t="shared" si="8"/>
        <v>LOW</v>
      </c>
      <c r="K39" s="8">
        <f t="shared" si="9"/>
        <v>0.10989010989010987</v>
      </c>
      <c r="L39" s="8">
        <f t="shared" si="10"/>
        <v>-0.43118590185092842</v>
      </c>
      <c r="M39" s="5" t="str">
        <f t="shared" si="11"/>
        <v>LOW</v>
      </c>
      <c r="N39" s="5" cm="1">
        <f t="array" aca="1" ref="N39" ca="1">INDEX($N$2:$N$15,RANDBETWEEN(1, ROWS($N$2:$N$15)))</f>
        <v>9</v>
      </c>
      <c r="O39" s="5" cm="1">
        <f t="array" aca="1" ref="O39" ca="1">INDEX($O$2:$O$15,RANDBETWEEN(1, ROWS($O$2:$O$15)))</f>
        <v>5</v>
      </c>
      <c r="P39" s="5"/>
      <c r="R39" s="13"/>
      <c r="S39" s="5"/>
    </row>
    <row r="40" spans="1:23" x14ac:dyDescent="0.35">
      <c r="A40" s="5" t="s">
        <v>8</v>
      </c>
      <c r="B40" s="5">
        <v>558700</v>
      </c>
      <c r="C40" s="5">
        <v>10125</v>
      </c>
      <c r="D40" s="5">
        <v>3</v>
      </c>
      <c r="E40" s="6">
        <v>40725.522916666669</v>
      </c>
      <c r="F40" s="8">
        <v>0.85</v>
      </c>
      <c r="G40" s="5">
        <v>17920</v>
      </c>
      <c r="H40" s="5">
        <f t="shared" si="6"/>
        <v>4.2553191489361701E-2</v>
      </c>
      <c r="I40" s="5">
        <f t="shared" si="7"/>
        <v>-0.75230747447938584</v>
      </c>
      <c r="J40" s="5" t="str">
        <f t="shared" si="8"/>
        <v>LOW</v>
      </c>
      <c r="K40" s="8">
        <f t="shared" si="9"/>
        <v>0.10989010989010987</v>
      </c>
      <c r="L40" s="8">
        <f t="shared" si="10"/>
        <v>-0.43118590185092842</v>
      </c>
      <c r="M40" s="5" t="str">
        <f t="shared" si="11"/>
        <v>LOW</v>
      </c>
      <c r="N40" s="5" cm="1">
        <f t="array" aca="1" ref="N40" ca="1">INDEX($N$2:$N$15,RANDBETWEEN(1, ROWS($N$2:$N$15)))</f>
        <v>4</v>
      </c>
      <c r="O40" s="5" cm="1">
        <f t="array" aca="1" ref="O40" ca="1">INDEX($O$2:$O$15,RANDBETWEEN(1, ROWS($O$2:$O$15)))</f>
        <v>1</v>
      </c>
      <c r="P40" s="5"/>
      <c r="R40" s="30" t="s">
        <v>42</v>
      </c>
      <c r="S40" s="19" t="s">
        <v>1341</v>
      </c>
    </row>
    <row r="41" spans="1:23" x14ac:dyDescent="0.35">
      <c r="A41" s="5" t="s">
        <v>8</v>
      </c>
      <c r="B41" s="5">
        <v>569897</v>
      </c>
      <c r="C41" s="5">
        <v>10125</v>
      </c>
      <c r="D41" s="5">
        <v>3</v>
      </c>
      <c r="E41" s="6">
        <v>40822.667361111111</v>
      </c>
      <c r="F41" s="8">
        <v>0.85</v>
      </c>
      <c r="G41" s="5">
        <v>17813</v>
      </c>
      <c r="H41" s="5">
        <f t="shared" si="6"/>
        <v>4.2553191489361701E-2</v>
      </c>
      <c r="I41" s="5">
        <f t="shared" si="7"/>
        <v>-0.75230747447938584</v>
      </c>
      <c r="J41" s="5" t="str">
        <f t="shared" si="8"/>
        <v>LOW</v>
      </c>
      <c r="K41" s="8">
        <f t="shared" si="9"/>
        <v>0.10989010989010987</v>
      </c>
      <c r="L41" s="8">
        <f t="shared" si="10"/>
        <v>-0.43118590185092842</v>
      </c>
      <c r="M41" s="5" t="str">
        <f t="shared" si="11"/>
        <v>LOW</v>
      </c>
      <c r="N41" s="5" cm="1">
        <f t="array" aca="1" ref="N41" ca="1">INDEX($N$2:$N$15,RANDBETWEEN(1, ROWS($N$2:$N$15)))</f>
        <v>9</v>
      </c>
      <c r="O41" s="5" cm="1">
        <f t="array" aca="1" ref="O41" ca="1">INDEX($O$2:$O$15,RANDBETWEEN(1, ROWS($O$2:$O$15)))</f>
        <v>5</v>
      </c>
      <c r="P41" s="5"/>
      <c r="R41" s="30" t="s">
        <v>43</v>
      </c>
      <c r="S41" s="19" t="s">
        <v>1342</v>
      </c>
    </row>
    <row r="42" spans="1:23" x14ac:dyDescent="0.35">
      <c r="A42" s="5" t="s">
        <v>8</v>
      </c>
      <c r="B42" s="5">
        <v>549538</v>
      </c>
      <c r="C42" s="5">
        <v>15036</v>
      </c>
      <c r="D42" s="5">
        <v>3</v>
      </c>
      <c r="E42" s="6">
        <v>40641.725694444445</v>
      </c>
      <c r="F42" s="8">
        <v>0.83</v>
      </c>
      <c r="G42" s="5">
        <v>17961</v>
      </c>
      <c r="H42" s="5">
        <f t="shared" si="6"/>
        <v>4.2553191489361701E-2</v>
      </c>
      <c r="I42" s="5">
        <f t="shared" si="7"/>
        <v>-0.75230747447938584</v>
      </c>
      <c r="J42" s="5" t="str">
        <f t="shared" si="8"/>
        <v>LOW</v>
      </c>
      <c r="K42" s="8">
        <f t="shared" si="9"/>
        <v>8.7912087912087877E-2</v>
      </c>
      <c r="L42" s="8">
        <f t="shared" si="10"/>
        <v>-0.49186247751305406</v>
      </c>
      <c r="M42" s="5" t="str">
        <f t="shared" si="11"/>
        <v>LOW</v>
      </c>
      <c r="N42" s="5" cm="1">
        <f t="array" aca="1" ref="N42" ca="1">INDEX($N$2:$N$15,RANDBETWEEN(1, ROWS($N$2:$N$15)))</f>
        <v>9</v>
      </c>
      <c r="O42" s="5" cm="1">
        <f t="array" aca="1" ref="O42" ca="1">INDEX($O$2:$O$15,RANDBETWEEN(1, ROWS($O$2:$O$15)))</f>
        <v>1</v>
      </c>
      <c r="P42" s="5"/>
      <c r="R42" s="13"/>
      <c r="S42" s="5"/>
    </row>
    <row r="43" spans="1:23" x14ac:dyDescent="0.35">
      <c r="A43" s="5" t="s">
        <v>8</v>
      </c>
      <c r="B43" s="5">
        <v>540418</v>
      </c>
      <c r="C43" s="5">
        <v>10133</v>
      </c>
      <c r="D43" s="5">
        <v>3</v>
      </c>
      <c r="E43" s="6">
        <v>40550.461111111108</v>
      </c>
      <c r="F43" s="8">
        <v>0.81</v>
      </c>
      <c r="G43" s="5" t="s">
        <v>1331</v>
      </c>
      <c r="H43" s="5">
        <f t="shared" si="6"/>
        <v>4.2553191489361701E-2</v>
      </c>
      <c r="I43" s="5">
        <f t="shared" si="7"/>
        <v>-0.75230747447938584</v>
      </c>
      <c r="J43" s="5" t="str">
        <f t="shared" si="8"/>
        <v>LOW</v>
      </c>
      <c r="K43" s="8">
        <f t="shared" si="9"/>
        <v>6.5934065934066005E-2</v>
      </c>
      <c r="L43" s="8">
        <f t="shared" si="10"/>
        <v>-0.55253905317517937</v>
      </c>
      <c r="M43" s="5" t="str">
        <f t="shared" si="11"/>
        <v>LOW</v>
      </c>
      <c r="N43" s="5" cm="1">
        <f t="array" aca="1" ref="N43" ca="1">INDEX($N$2:$N$15,RANDBETWEEN(1, ROWS($N$2:$N$15)))</f>
        <v>12</v>
      </c>
      <c r="O43" s="5" cm="1">
        <f t="array" aca="1" ref="O43" ca="1">INDEX($O$2:$O$15,RANDBETWEEN(1, ROWS($O$2:$O$15)))</f>
        <v>5</v>
      </c>
      <c r="P43" s="5"/>
      <c r="R43" s="13"/>
      <c r="S43" s="5"/>
    </row>
    <row r="44" spans="1:23" x14ac:dyDescent="0.35">
      <c r="A44" s="5" t="s">
        <v>8</v>
      </c>
      <c r="B44" s="5">
        <v>540821</v>
      </c>
      <c r="C44" s="5">
        <v>10133</v>
      </c>
      <c r="D44" s="5">
        <v>3</v>
      </c>
      <c r="E44" s="6">
        <v>40554.552777777775</v>
      </c>
      <c r="F44" s="8">
        <v>0.81</v>
      </c>
      <c r="G44" s="5" t="s">
        <v>1331</v>
      </c>
      <c r="H44" s="5">
        <f t="shared" si="6"/>
        <v>4.2553191489361701E-2</v>
      </c>
      <c r="I44" s="5">
        <f t="shared" si="7"/>
        <v>-0.75230747447938584</v>
      </c>
      <c r="J44" s="5" t="str">
        <f t="shared" si="8"/>
        <v>LOW</v>
      </c>
      <c r="K44" s="8">
        <f t="shared" si="9"/>
        <v>6.5934065934066005E-2</v>
      </c>
      <c r="L44" s="8">
        <f t="shared" si="10"/>
        <v>-0.55253905317517937</v>
      </c>
      <c r="M44" s="5" t="str">
        <f t="shared" si="11"/>
        <v>LOW</v>
      </c>
      <c r="N44" s="5" cm="1">
        <f t="array" aca="1" ref="N44" ca="1">INDEX($N$2:$N$15,RANDBETWEEN(1, ROWS($N$2:$N$15)))</f>
        <v>4</v>
      </c>
      <c r="O44" s="5" cm="1">
        <f t="array" aca="1" ref="O44" ca="1">INDEX($O$2:$O$15,RANDBETWEEN(1, ROWS($O$2:$O$15)))</f>
        <v>8</v>
      </c>
      <c r="P44" s="5"/>
      <c r="R44" s="30" t="s">
        <v>44</v>
      </c>
      <c r="S44" s="19">
        <f>_xlfn.STDEV.S(D:D)</f>
        <v>11.010743410015277</v>
      </c>
      <c r="V44" s="17" t="s">
        <v>71</v>
      </c>
      <c r="W44" t="s">
        <v>73</v>
      </c>
    </row>
    <row r="45" spans="1:23" x14ac:dyDescent="0.35">
      <c r="A45" s="5" t="s">
        <v>8</v>
      </c>
      <c r="B45" s="5">
        <v>546892</v>
      </c>
      <c r="C45" s="5">
        <v>15036</v>
      </c>
      <c r="D45" s="5">
        <v>4</v>
      </c>
      <c r="E45" s="6">
        <v>40619.763888888891</v>
      </c>
      <c r="F45" s="8">
        <v>1.63</v>
      </c>
      <c r="G45" s="5" t="s">
        <v>1331</v>
      </c>
      <c r="H45" s="5">
        <f t="shared" si="6"/>
        <v>6.3829787234042548E-2</v>
      </c>
      <c r="I45" s="5">
        <f t="shared" si="7"/>
        <v>-0.66148708545003032</v>
      </c>
      <c r="J45" s="5" t="str">
        <f t="shared" si="8"/>
        <v>LOW</v>
      </c>
      <c r="K45" s="8">
        <f t="shared" si="9"/>
        <v>0.96703296703296704</v>
      </c>
      <c r="L45" s="8">
        <f t="shared" si="10"/>
        <v>1.9352005489719684</v>
      </c>
      <c r="M45" s="5" t="str">
        <f t="shared" si="11"/>
        <v>HIGH</v>
      </c>
      <c r="N45" s="5" cm="1">
        <f t="array" aca="1" ref="N45" ca="1">INDEX($N$2:$N$15,RANDBETWEEN(1, ROWS($N$2:$N$15)))</f>
        <v>9</v>
      </c>
      <c r="O45" s="5" cm="1">
        <f t="array" aca="1" ref="O45" ca="1">INDEX($O$2:$O$15,RANDBETWEEN(1, ROWS($O$2:$O$15)))</f>
        <v>1</v>
      </c>
      <c r="P45" s="5"/>
      <c r="R45" s="30" t="s">
        <v>45</v>
      </c>
      <c r="S45" s="19">
        <f>_xlfn.STDEV.S(F:F)</f>
        <v>0.32961649173099328</v>
      </c>
      <c r="V45" s="7" t="s">
        <v>7</v>
      </c>
      <c r="W45">
        <v>48</v>
      </c>
    </row>
    <row r="46" spans="1:23" x14ac:dyDescent="0.35">
      <c r="A46" s="5" t="s">
        <v>8</v>
      </c>
      <c r="B46" s="5">
        <v>547967</v>
      </c>
      <c r="C46" s="5">
        <v>15036</v>
      </c>
      <c r="D46" s="5">
        <v>4</v>
      </c>
      <c r="E46" s="6">
        <v>40630.65902777778</v>
      </c>
      <c r="F46" s="8">
        <v>1.63</v>
      </c>
      <c r="G46" s="5" t="s">
        <v>1331</v>
      </c>
      <c r="H46" s="5">
        <f t="shared" si="6"/>
        <v>6.3829787234042548E-2</v>
      </c>
      <c r="I46" s="5">
        <f t="shared" si="7"/>
        <v>-0.66148708545003032</v>
      </c>
      <c r="J46" s="5" t="str">
        <f t="shared" si="8"/>
        <v>LOW</v>
      </c>
      <c r="K46" s="8">
        <f t="shared" si="9"/>
        <v>0.96703296703296704</v>
      </c>
      <c r="L46" s="8">
        <f t="shared" si="10"/>
        <v>1.9352005489719684</v>
      </c>
      <c r="M46" s="5" t="str">
        <f t="shared" si="11"/>
        <v>HIGH</v>
      </c>
      <c r="N46" s="5" cm="1">
        <f t="array" aca="1" ref="N46" ca="1">INDEX($N$2:$N$15,RANDBETWEEN(1, ROWS($N$2:$N$15)))</f>
        <v>4</v>
      </c>
      <c r="O46" s="5" cm="1">
        <f t="array" aca="1" ref="O46" ca="1">INDEX($O$2:$O$15,RANDBETWEEN(1, ROWS($O$2:$O$15)))</f>
        <v>5</v>
      </c>
      <c r="P46" s="5"/>
      <c r="R46" s="13"/>
      <c r="S46" s="5"/>
      <c r="V46" s="7" t="s">
        <v>21</v>
      </c>
      <c r="W46">
        <v>120</v>
      </c>
    </row>
    <row r="47" spans="1:23" x14ac:dyDescent="0.35">
      <c r="A47" s="5" t="s">
        <v>8</v>
      </c>
      <c r="B47" s="5">
        <v>550470</v>
      </c>
      <c r="C47" s="5">
        <v>15036</v>
      </c>
      <c r="D47" s="5">
        <v>4</v>
      </c>
      <c r="E47" s="6">
        <v>40651.575694444444</v>
      </c>
      <c r="F47" s="8">
        <v>1.63</v>
      </c>
      <c r="G47" s="5" t="s">
        <v>1331</v>
      </c>
      <c r="H47" s="5">
        <f t="shared" si="6"/>
        <v>6.3829787234042548E-2</v>
      </c>
      <c r="I47" s="5">
        <f t="shared" si="7"/>
        <v>-0.66148708545003032</v>
      </c>
      <c r="J47" s="5" t="str">
        <f t="shared" si="8"/>
        <v>LOW</v>
      </c>
      <c r="K47" s="8">
        <f t="shared" si="9"/>
        <v>0.96703296703296704</v>
      </c>
      <c r="L47" s="8">
        <f t="shared" si="10"/>
        <v>1.9352005489719684</v>
      </c>
      <c r="M47" s="5" t="str">
        <f t="shared" si="11"/>
        <v>HIGH</v>
      </c>
      <c r="N47" s="5" cm="1">
        <f t="array" aca="1" ref="N47" ca="1">INDEX($N$2:$N$15,RANDBETWEEN(1, ROWS($N$2:$N$15)))</f>
        <v>9</v>
      </c>
      <c r="O47" s="5" cm="1">
        <f t="array" aca="1" ref="O47" ca="1">INDEX($O$2:$O$15,RANDBETWEEN(1, ROWS($O$2:$O$15)))</f>
        <v>5</v>
      </c>
      <c r="P47" s="5"/>
      <c r="R47" s="30" t="s">
        <v>46</v>
      </c>
      <c r="S47" s="19">
        <f>($D$2-$S$21)/$S$44</f>
        <v>-0.93394825253809688</v>
      </c>
      <c r="V47" s="7" t="s">
        <v>1331</v>
      </c>
      <c r="W47">
        <v>46</v>
      </c>
    </row>
    <row r="48" spans="1:23" x14ac:dyDescent="0.35">
      <c r="A48" s="5" t="s">
        <v>8</v>
      </c>
      <c r="B48" s="5">
        <v>541104</v>
      </c>
      <c r="C48" s="5">
        <v>10133</v>
      </c>
      <c r="D48" s="5">
        <v>4</v>
      </c>
      <c r="E48" s="6">
        <v>40556.603472222225</v>
      </c>
      <c r="F48" s="8">
        <v>0.79</v>
      </c>
      <c r="G48" s="5" t="s">
        <v>1331</v>
      </c>
      <c r="H48" s="5">
        <f t="shared" si="6"/>
        <v>6.3829787234042548E-2</v>
      </c>
      <c r="I48" s="5">
        <f t="shared" si="7"/>
        <v>-0.66148708545003032</v>
      </c>
      <c r="J48" s="5" t="str">
        <f t="shared" si="8"/>
        <v>LOW</v>
      </c>
      <c r="K48" s="8">
        <f t="shared" si="9"/>
        <v>4.3956043956044001E-2</v>
      </c>
      <c r="L48" s="8">
        <f t="shared" si="10"/>
        <v>-0.61321562883730496</v>
      </c>
      <c r="M48" s="5" t="str">
        <f t="shared" si="11"/>
        <v>LOW</v>
      </c>
      <c r="N48" s="5" cm="1">
        <f t="array" aca="1" ref="N48" ca="1">INDEX($N$2:$N$15,RANDBETWEEN(1, ROWS($N$2:$N$15)))</f>
        <v>9</v>
      </c>
      <c r="O48" s="5" cm="1">
        <f t="array" aca="1" ref="O48" ca="1">INDEX($O$2:$O$15,RANDBETWEEN(1, ROWS($O$2:$O$15)))</f>
        <v>8</v>
      </c>
      <c r="P48" s="5"/>
      <c r="R48" s="30" t="s">
        <v>47</v>
      </c>
      <c r="S48" s="31">
        <f>($F$2-$S$22)/$S$45</f>
        <v>2.0262154124651568</v>
      </c>
      <c r="V48" s="7" t="s">
        <v>18</v>
      </c>
      <c r="W48">
        <v>12</v>
      </c>
    </row>
    <row r="49" spans="1:23" x14ac:dyDescent="0.35">
      <c r="A49" s="5" t="s">
        <v>8</v>
      </c>
      <c r="B49" s="5">
        <v>537638</v>
      </c>
      <c r="C49" s="5">
        <v>10002</v>
      </c>
      <c r="D49" s="5">
        <v>5</v>
      </c>
      <c r="E49" s="6">
        <v>40519.644444444442</v>
      </c>
      <c r="F49" s="8">
        <v>1.66</v>
      </c>
      <c r="G49" s="5" t="s">
        <v>1331</v>
      </c>
      <c r="H49" s="5">
        <f t="shared" si="6"/>
        <v>8.5106382978723402E-2</v>
      </c>
      <c r="I49" s="5">
        <f t="shared" si="7"/>
        <v>-0.5706666964206748</v>
      </c>
      <c r="J49" s="5" t="str">
        <f t="shared" si="8"/>
        <v>LOW</v>
      </c>
      <c r="K49" s="8">
        <f t="shared" si="9"/>
        <v>1</v>
      </c>
      <c r="L49" s="8">
        <f t="shared" si="10"/>
        <v>2.0262154124651568</v>
      </c>
      <c r="M49" s="5" t="str">
        <f t="shared" si="11"/>
        <v>HIGH</v>
      </c>
      <c r="N49" s="5">
        <v>3</v>
      </c>
      <c r="O49" s="5">
        <v>5</v>
      </c>
      <c r="P49" s="5"/>
      <c r="V49" s="7" t="s">
        <v>16</v>
      </c>
      <c r="W49">
        <v>20</v>
      </c>
    </row>
    <row r="50" spans="1:23" x14ac:dyDescent="0.35">
      <c r="A50" s="5" t="s">
        <v>8</v>
      </c>
      <c r="B50" s="5">
        <v>550542</v>
      </c>
      <c r="C50" s="5">
        <v>15036</v>
      </c>
      <c r="D50" s="5">
        <v>5</v>
      </c>
      <c r="E50" s="6">
        <v>40652.484027777777</v>
      </c>
      <c r="F50" s="8">
        <v>1.63</v>
      </c>
      <c r="G50" s="5" t="s">
        <v>1331</v>
      </c>
      <c r="H50" s="5">
        <f t="shared" si="6"/>
        <v>8.5106382978723402E-2</v>
      </c>
      <c r="I50" s="5">
        <f t="shared" si="7"/>
        <v>-0.5706666964206748</v>
      </c>
      <c r="J50" s="5" t="str">
        <f t="shared" si="8"/>
        <v>LOW</v>
      </c>
      <c r="K50" s="8">
        <f t="shared" si="9"/>
        <v>0.96703296703296704</v>
      </c>
      <c r="L50" s="8">
        <f t="shared" si="10"/>
        <v>1.9352005489719684</v>
      </c>
      <c r="M50" s="5" t="str">
        <f t="shared" si="11"/>
        <v>HIGH</v>
      </c>
      <c r="N50" s="5" cm="1">
        <f t="array" aca="1" ref="N50" ca="1">INDEX($N$2:$N$15,RANDBETWEEN(1, ROWS($N$2:$N$15)))</f>
        <v>10</v>
      </c>
      <c r="O50" s="5" cm="1">
        <f t="array" aca="1" ref="O50" ca="1">INDEX($O$2:$O$15,RANDBETWEEN(1, ROWS($O$2:$O$15)))</f>
        <v>7</v>
      </c>
      <c r="P50" s="5"/>
      <c r="V50" s="7" t="s">
        <v>8</v>
      </c>
      <c r="W50">
        <v>1187</v>
      </c>
    </row>
    <row r="51" spans="1:23" x14ac:dyDescent="0.35">
      <c r="A51" s="5" t="s">
        <v>8</v>
      </c>
      <c r="B51" s="5">
        <v>536446</v>
      </c>
      <c r="C51" s="5">
        <v>10133</v>
      </c>
      <c r="D51" s="5">
        <v>5</v>
      </c>
      <c r="E51" s="6">
        <v>40513.510416666664</v>
      </c>
      <c r="F51" s="8">
        <v>0.85</v>
      </c>
      <c r="G51" s="5">
        <v>15983</v>
      </c>
      <c r="H51" s="5">
        <f t="shared" si="6"/>
        <v>8.5106382978723402E-2</v>
      </c>
      <c r="I51" s="5">
        <f t="shared" si="7"/>
        <v>-0.5706666964206748</v>
      </c>
      <c r="J51" s="5" t="str">
        <f t="shared" si="8"/>
        <v>LOW</v>
      </c>
      <c r="K51" s="8">
        <f t="shared" si="9"/>
        <v>0.10989010989010987</v>
      </c>
      <c r="L51" s="8">
        <f t="shared" si="10"/>
        <v>-0.43118590185092842</v>
      </c>
      <c r="M51" s="5" t="str">
        <f t="shared" si="11"/>
        <v>LOW</v>
      </c>
      <c r="N51" s="5" cm="1">
        <f t="array" aca="1" ref="N51" ca="1">INDEX($N$2:$N$15,RANDBETWEEN(1, ROWS($N$2:$N$15)))</f>
        <v>12</v>
      </c>
      <c r="O51" s="5" cm="1">
        <f t="array" aca="1" ref="O51" ca="1">INDEX($O$2:$O$15,RANDBETWEEN(1, ROWS($O$2:$O$15)))</f>
        <v>1</v>
      </c>
      <c r="P51" s="5"/>
      <c r="V51" s="7" t="s">
        <v>1360</v>
      </c>
    </row>
    <row r="52" spans="1:23" x14ac:dyDescent="0.35">
      <c r="A52" s="5" t="s">
        <v>8</v>
      </c>
      <c r="B52" s="5">
        <v>559536</v>
      </c>
      <c r="C52" s="5">
        <v>10125</v>
      </c>
      <c r="D52" s="5">
        <v>5</v>
      </c>
      <c r="E52" s="6">
        <v>40734.511805555558</v>
      </c>
      <c r="F52" s="8">
        <v>0.85</v>
      </c>
      <c r="G52" s="5">
        <v>16283</v>
      </c>
      <c r="H52" s="5">
        <f t="shared" si="6"/>
        <v>8.5106382978723402E-2</v>
      </c>
      <c r="I52" s="5">
        <f t="shared" si="7"/>
        <v>-0.5706666964206748</v>
      </c>
      <c r="J52" s="5" t="str">
        <f t="shared" si="8"/>
        <v>LOW</v>
      </c>
      <c r="K52" s="8">
        <f t="shared" si="9"/>
        <v>0.10989010989010987</v>
      </c>
      <c r="L52" s="8">
        <f t="shared" si="10"/>
        <v>-0.43118590185092842</v>
      </c>
      <c r="M52" s="5" t="str">
        <f t="shared" si="11"/>
        <v>LOW</v>
      </c>
      <c r="N52" s="5" cm="1">
        <f t="array" aca="1" ref="N52" ca="1">INDEX($N$2:$N$15,RANDBETWEEN(1, ROWS($N$2:$N$15)))</f>
        <v>12</v>
      </c>
      <c r="O52" s="5" cm="1">
        <f t="array" aca="1" ref="O52" ca="1">INDEX($O$2:$O$15,RANDBETWEEN(1, ROWS($O$2:$O$15)))</f>
        <v>8</v>
      </c>
      <c r="P52" s="5"/>
      <c r="V52" s="7" t="s">
        <v>72</v>
      </c>
      <c r="W52">
        <v>1433</v>
      </c>
    </row>
    <row r="53" spans="1:23" x14ac:dyDescent="0.35">
      <c r="A53" s="5" t="s">
        <v>8</v>
      </c>
      <c r="B53" s="5">
        <v>559984</v>
      </c>
      <c r="C53" s="5">
        <v>10125</v>
      </c>
      <c r="D53" s="5">
        <v>5</v>
      </c>
      <c r="E53" s="6">
        <v>40738.489583333336</v>
      </c>
      <c r="F53" s="8">
        <v>0.85</v>
      </c>
      <c r="G53" s="5">
        <v>16657</v>
      </c>
      <c r="H53" s="5">
        <f t="shared" si="6"/>
        <v>8.5106382978723402E-2</v>
      </c>
      <c r="I53" s="5">
        <f t="shared" si="7"/>
        <v>-0.5706666964206748</v>
      </c>
      <c r="J53" s="5" t="str">
        <f t="shared" si="8"/>
        <v>LOW</v>
      </c>
      <c r="K53" s="8">
        <f t="shared" si="9"/>
        <v>0.10989010989010987</v>
      </c>
      <c r="L53" s="8">
        <f t="shared" si="10"/>
        <v>-0.43118590185092842</v>
      </c>
      <c r="M53" s="5" t="str">
        <f t="shared" si="11"/>
        <v>LOW</v>
      </c>
      <c r="N53" s="5" cm="1">
        <f t="array" aca="1" ref="N53" ca="1">INDEX($N$2:$N$15,RANDBETWEEN(1, ROWS($N$2:$N$15)))</f>
        <v>9</v>
      </c>
      <c r="O53" s="5" cm="1">
        <f t="array" aca="1" ref="O53" ca="1">INDEX($O$2:$O$15,RANDBETWEEN(1, ROWS($O$2:$O$15)))</f>
        <v>1</v>
      </c>
      <c r="P53" s="5"/>
    </row>
    <row r="54" spans="1:23" x14ac:dyDescent="0.35">
      <c r="A54" s="5" t="s">
        <v>8</v>
      </c>
      <c r="B54" s="5">
        <v>564300</v>
      </c>
      <c r="C54" s="5">
        <v>10125</v>
      </c>
      <c r="D54" s="5">
        <v>5</v>
      </c>
      <c r="E54" s="6">
        <v>40779.479861111111</v>
      </c>
      <c r="F54" s="8">
        <v>0.85</v>
      </c>
      <c r="G54" s="5">
        <v>16723</v>
      </c>
      <c r="H54" s="5">
        <f t="shared" si="6"/>
        <v>8.5106382978723402E-2</v>
      </c>
      <c r="I54" s="5">
        <f t="shared" si="7"/>
        <v>-0.5706666964206748</v>
      </c>
      <c r="J54" s="5" t="str">
        <f t="shared" si="8"/>
        <v>LOW</v>
      </c>
      <c r="K54" s="8">
        <f t="shared" si="9"/>
        <v>0.10989010989010987</v>
      </c>
      <c r="L54" s="8">
        <f t="shared" si="10"/>
        <v>-0.43118590185092842</v>
      </c>
      <c r="M54" s="5" t="str">
        <f t="shared" si="11"/>
        <v>LOW</v>
      </c>
      <c r="N54" s="5" cm="1">
        <f t="array" aca="1" ref="N54" ca="1">INDEX($N$2:$N$15,RANDBETWEEN(1, ROWS($N$2:$N$15)))</f>
        <v>12</v>
      </c>
      <c r="O54" s="5" cm="1">
        <f t="array" aca="1" ref="O54" ca="1">INDEX($O$2:$O$15,RANDBETWEEN(1, ROWS($O$2:$O$15)))</f>
        <v>1</v>
      </c>
      <c r="P54" s="5"/>
    </row>
    <row r="55" spans="1:23" x14ac:dyDescent="0.35">
      <c r="A55" s="5" t="s">
        <v>8</v>
      </c>
      <c r="B55" s="5">
        <v>540468</v>
      </c>
      <c r="C55" s="5">
        <v>10133</v>
      </c>
      <c r="D55" s="5">
        <v>5</v>
      </c>
      <c r="E55" s="10">
        <v>40550</v>
      </c>
      <c r="F55" s="8">
        <v>0.81</v>
      </c>
      <c r="G55" s="5" t="s">
        <v>1331</v>
      </c>
      <c r="H55" s="5">
        <f t="shared" si="6"/>
        <v>8.5106382978723402E-2</v>
      </c>
      <c r="I55" s="5">
        <f t="shared" si="7"/>
        <v>-0.5706666964206748</v>
      </c>
      <c r="J55" s="5" t="str">
        <f t="shared" si="8"/>
        <v>LOW</v>
      </c>
      <c r="K55" s="8">
        <f t="shared" si="9"/>
        <v>6.5934065934066005E-2</v>
      </c>
      <c r="L55" s="8">
        <f t="shared" si="10"/>
        <v>-0.55253905317517937</v>
      </c>
      <c r="M55" s="5" t="str">
        <f t="shared" si="11"/>
        <v>LOW</v>
      </c>
      <c r="N55" s="5" cm="1">
        <f t="array" aca="1" ref="N55" ca="1">INDEX($N$2:$N$15,RANDBETWEEN(1, ROWS($N$2:$N$15)))</f>
        <v>4</v>
      </c>
      <c r="O55" s="5" cm="1">
        <f t="array" aca="1" ref="O55" ca="1">INDEX($O$2:$O$15,RANDBETWEEN(1, ROWS($O$2:$O$15)))</f>
        <v>1</v>
      </c>
      <c r="P55" s="5"/>
    </row>
    <row r="56" spans="1:23" x14ac:dyDescent="0.35">
      <c r="A56" s="5" t="s">
        <v>8</v>
      </c>
      <c r="B56" s="5">
        <v>547386</v>
      </c>
      <c r="C56" s="5">
        <v>15036</v>
      </c>
      <c r="D56" s="5">
        <v>6</v>
      </c>
      <c r="E56" s="6">
        <v>40624.661111111112</v>
      </c>
      <c r="F56" s="8">
        <v>1.63</v>
      </c>
      <c r="G56" s="5" t="s">
        <v>1331</v>
      </c>
      <c r="H56" s="5">
        <f t="shared" si="6"/>
        <v>0.10638297872340426</v>
      </c>
      <c r="I56" s="5">
        <f t="shared" si="7"/>
        <v>-0.47984630739131928</v>
      </c>
      <c r="J56" s="5" t="str">
        <f t="shared" si="8"/>
        <v>LOW</v>
      </c>
      <c r="K56" s="8">
        <f t="shared" si="9"/>
        <v>0.96703296703296704</v>
      </c>
      <c r="L56" s="8">
        <f t="shared" si="10"/>
        <v>1.9352005489719684</v>
      </c>
      <c r="M56" s="5" t="str">
        <f t="shared" si="11"/>
        <v>HIGH</v>
      </c>
      <c r="N56" s="5" cm="1">
        <f t="array" aca="1" ref="N56" ca="1">INDEX($N$2:$N$15,RANDBETWEEN(1, ROWS($N$2:$N$15)))</f>
        <v>9</v>
      </c>
      <c r="O56" s="5" cm="1">
        <f t="array" aca="1" ref="O56" ca="1">INDEX($O$2:$O$15,RANDBETWEEN(1, ROWS($O$2:$O$15)))</f>
        <v>1</v>
      </c>
      <c r="P56" s="5"/>
    </row>
    <row r="57" spans="1:23" x14ac:dyDescent="0.35">
      <c r="A57" s="5" t="s">
        <v>8</v>
      </c>
      <c r="B57" s="5">
        <v>548893</v>
      </c>
      <c r="C57" s="5">
        <v>15036</v>
      </c>
      <c r="D57" s="5">
        <v>6</v>
      </c>
      <c r="E57" s="6">
        <v>40637.662499999999</v>
      </c>
      <c r="F57" s="8">
        <v>1.63</v>
      </c>
      <c r="G57" s="5" t="s">
        <v>1331</v>
      </c>
      <c r="H57" s="5">
        <f t="shared" si="6"/>
        <v>0.10638297872340426</v>
      </c>
      <c r="I57" s="5">
        <f t="shared" si="7"/>
        <v>-0.47984630739131928</v>
      </c>
      <c r="J57" s="5" t="str">
        <f t="shared" si="8"/>
        <v>LOW</v>
      </c>
      <c r="K57" s="8">
        <f t="shared" si="9"/>
        <v>0.96703296703296704</v>
      </c>
      <c r="L57" s="8">
        <f t="shared" si="10"/>
        <v>1.9352005489719684</v>
      </c>
      <c r="M57" s="5" t="str">
        <f t="shared" si="11"/>
        <v>HIGH</v>
      </c>
      <c r="N57" s="5" cm="1">
        <f t="array" aca="1" ref="N57" ca="1">INDEX($N$2:$N$15,RANDBETWEEN(1, ROWS($N$2:$N$15)))</f>
        <v>9</v>
      </c>
      <c r="O57" s="5" cm="1">
        <f t="array" aca="1" ref="O57" ca="1">INDEX($O$2:$O$15,RANDBETWEEN(1, ROWS($O$2:$O$15)))</f>
        <v>1</v>
      </c>
      <c r="P57" s="5"/>
    </row>
    <row r="58" spans="1:23" x14ac:dyDescent="0.35">
      <c r="A58" s="5" t="s">
        <v>8</v>
      </c>
      <c r="B58" s="5">
        <v>539958</v>
      </c>
      <c r="C58" s="5">
        <v>10133</v>
      </c>
      <c r="D58" s="5">
        <v>6</v>
      </c>
      <c r="E58" s="6">
        <v>40535.55972222222</v>
      </c>
      <c r="F58" s="8">
        <v>0.81</v>
      </c>
      <c r="G58" s="5" t="s">
        <v>1331</v>
      </c>
      <c r="H58" s="5">
        <f t="shared" si="6"/>
        <v>0.10638297872340426</v>
      </c>
      <c r="I58" s="5">
        <f t="shared" si="7"/>
        <v>-0.47984630739131928</v>
      </c>
      <c r="J58" s="5" t="str">
        <f t="shared" si="8"/>
        <v>LOW</v>
      </c>
      <c r="K58" s="8">
        <f t="shared" si="9"/>
        <v>6.5934065934066005E-2</v>
      </c>
      <c r="L58" s="8">
        <f t="shared" si="10"/>
        <v>-0.55253905317517937</v>
      </c>
      <c r="M58" s="5" t="str">
        <f t="shared" si="11"/>
        <v>LOW</v>
      </c>
      <c r="N58" s="5" cm="1">
        <f t="array" aca="1" ref="N58" ca="1">INDEX($N$2:$N$15,RANDBETWEEN(1, ROWS($N$2:$N$15)))</f>
        <v>9</v>
      </c>
      <c r="O58" s="5" cm="1">
        <f t="array" aca="1" ref="O58" ca="1">INDEX($O$2:$O$15,RANDBETWEEN(1, ROWS($O$2:$O$15)))</f>
        <v>7</v>
      </c>
      <c r="P58" s="5"/>
    </row>
    <row r="59" spans="1:23" x14ac:dyDescent="0.35">
      <c r="A59" s="5" t="s">
        <v>8</v>
      </c>
      <c r="B59" s="5">
        <v>540646</v>
      </c>
      <c r="C59" s="5">
        <v>10133</v>
      </c>
      <c r="D59" s="5">
        <v>6</v>
      </c>
      <c r="E59" s="6">
        <v>40553.605555555558</v>
      </c>
      <c r="F59" s="8">
        <v>0.81</v>
      </c>
      <c r="G59" s="5" t="s">
        <v>1331</v>
      </c>
      <c r="H59" s="5">
        <f t="shared" si="6"/>
        <v>0.10638297872340426</v>
      </c>
      <c r="I59" s="5">
        <f t="shared" si="7"/>
        <v>-0.47984630739131928</v>
      </c>
      <c r="J59" s="5" t="str">
        <f t="shared" si="8"/>
        <v>LOW</v>
      </c>
      <c r="K59" s="8">
        <f t="shared" si="9"/>
        <v>6.5934065934066005E-2</v>
      </c>
      <c r="L59" s="8">
        <f t="shared" si="10"/>
        <v>-0.55253905317517937</v>
      </c>
      <c r="M59" s="5" t="str">
        <f t="shared" si="11"/>
        <v>LOW</v>
      </c>
      <c r="N59" s="5" cm="1">
        <f t="array" aca="1" ref="N59" ca="1">INDEX($N$2:$N$15,RANDBETWEEN(1, ROWS($N$2:$N$15)))</f>
        <v>9</v>
      </c>
      <c r="O59" s="5" cm="1">
        <f t="array" aca="1" ref="O59" ca="1">INDEX($O$2:$O$15,RANDBETWEEN(1, ROWS($O$2:$O$15)))</f>
        <v>1</v>
      </c>
      <c r="P59" s="5"/>
    </row>
    <row r="60" spans="1:23" x14ac:dyDescent="0.35">
      <c r="A60" s="5" t="s">
        <v>8</v>
      </c>
      <c r="B60" s="5">
        <v>569223</v>
      </c>
      <c r="C60" s="5">
        <v>10125</v>
      </c>
      <c r="D60" s="5">
        <v>7</v>
      </c>
      <c r="E60" s="6">
        <v>40818.575694444444</v>
      </c>
      <c r="F60" s="8">
        <v>0.85</v>
      </c>
      <c r="G60" s="5">
        <v>16283</v>
      </c>
      <c r="H60" s="5">
        <f t="shared" si="6"/>
        <v>0.1276595744680851</v>
      </c>
      <c r="I60" s="5">
        <f t="shared" si="7"/>
        <v>-0.38902591836196376</v>
      </c>
      <c r="J60" s="5" t="str">
        <f t="shared" si="8"/>
        <v>LOW</v>
      </c>
      <c r="K60" s="8">
        <f t="shared" si="9"/>
        <v>0.10989010989010987</v>
      </c>
      <c r="L60" s="8">
        <f t="shared" si="10"/>
        <v>-0.43118590185092842</v>
      </c>
      <c r="M60" s="5" t="str">
        <f t="shared" si="11"/>
        <v>LOW</v>
      </c>
      <c r="N60" s="5" cm="1">
        <f t="array" aca="1" ref="N60" ca="1">INDEX($N$2:$N$15,RANDBETWEEN(1, ROWS($N$2:$N$15)))</f>
        <v>4</v>
      </c>
      <c r="O60" s="5" cm="1">
        <f t="array" aca="1" ref="O60" ca="1">INDEX($O$2:$O$15,RANDBETWEEN(1, ROWS($O$2:$O$15)))</f>
        <v>1</v>
      </c>
      <c r="P60" s="5"/>
    </row>
    <row r="61" spans="1:23" x14ac:dyDescent="0.35">
      <c r="A61" s="5" t="s">
        <v>8</v>
      </c>
      <c r="B61" s="5">
        <v>540848</v>
      </c>
      <c r="C61" s="5">
        <v>10133</v>
      </c>
      <c r="D61" s="5">
        <v>7</v>
      </c>
      <c r="E61" s="6">
        <v>40555.393055555556</v>
      </c>
      <c r="F61" s="8">
        <v>0.81</v>
      </c>
      <c r="G61" s="5" t="s">
        <v>1331</v>
      </c>
      <c r="H61" s="5">
        <f t="shared" si="6"/>
        <v>0.1276595744680851</v>
      </c>
      <c r="I61" s="5">
        <f t="shared" si="7"/>
        <v>-0.38902591836196376</v>
      </c>
      <c r="J61" s="5" t="str">
        <f t="shared" si="8"/>
        <v>LOW</v>
      </c>
      <c r="K61" s="8">
        <f t="shared" si="9"/>
        <v>6.5934065934066005E-2</v>
      </c>
      <c r="L61" s="8">
        <f t="shared" si="10"/>
        <v>-0.55253905317517937</v>
      </c>
      <c r="M61" s="5" t="str">
        <f t="shared" si="11"/>
        <v>LOW</v>
      </c>
      <c r="N61" s="5" cm="1">
        <f t="array" aca="1" ref="N61" ca="1">INDEX($N$2:$N$15,RANDBETWEEN(1, ROWS($N$2:$N$15)))</f>
        <v>12</v>
      </c>
      <c r="O61" s="5" cm="1">
        <f t="array" aca="1" ref="O61" ca="1">INDEX($O$2:$O$15,RANDBETWEEN(1, ROWS($O$2:$O$15)))</f>
        <v>5</v>
      </c>
      <c r="P61" s="5"/>
    </row>
    <row r="62" spans="1:23" x14ac:dyDescent="0.35">
      <c r="A62" s="5" t="s">
        <v>1331</v>
      </c>
      <c r="B62" s="5">
        <v>539222</v>
      </c>
      <c r="C62" s="5">
        <v>10133</v>
      </c>
      <c r="D62" s="5">
        <v>10</v>
      </c>
      <c r="E62" s="6">
        <v>40528.541666666664</v>
      </c>
      <c r="F62" s="8">
        <v>0.85</v>
      </c>
      <c r="G62" s="5">
        <v>14621</v>
      </c>
      <c r="H62" s="5">
        <f t="shared" si="6"/>
        <v>0.19148936170212766</v>
      </c>
      <c r="I62" s="5">
        <f t="shared" si="7"/>
        <v>-0.11656475127389719</v>
      </c>
      <c r="J62" s="5" t="str">
        <f t="shared" si="8"/>
        <v>LOW</v>
      </c>
      <c r="K62" s="8">
        <f t="shared" si="9"/>
        <v>0.10989010989010987</v>
      </c>
      <c r="L62" s="8">
        <f t="shared" si="10"/>
        <v>-0.43118590185092842</v>
      </c>
      <c r="M62" s="5" t="str">
        <f t="shared" si="11"/>
        <v>LOW</v>
      </c>
      <c r="N62" s="5" cm="1">
        <f t="array" aca="1" ref="N62" ca="1">INDEX($N$2:$N$15,RANDBETWEEN(1, ROWS($N$2:$N$15)))</f>
        <v>9</v>
      </c>
      <c r="O62" s="5" cm="1">
        <f t="array" aca="1" ref="O62" ca="1">INDEX($O$2:$O$15,RANDBETWEEN(1, ROWS($O$2:$O$15)))</f>
        <v>8</v>
      </c>
      <c r="P62" s="5"/>
      <c r="V62" s="17" t="s">
        <v>71</v>
      </c>
      <c r="W62" t="s">
        <v>1266</v>
      </c>
    </row>
    <row r="63" spans="1:23" x14ac:dyDescent="0.35">
      <c r="A63" s="5" t="s">
        <v>8</v>
      </c>
      <c r="B63" s="5">
        <v>537225</v>
      </c>
      <c r="C63" s="5">
        <v>10133</v>
      </c>
      <c r="D63" s="5">
        <v>10</v>
      </c>
      <c r="E63" s="10">
        <v>40517</v>
      </c>
      <c r="F63" s="8">
        <v>0.85</v>
      </c>
      <c r="G63" s="5">
        <v>12748</v>
      </c>
      <c r="H63" s="5">
        <f t="shared" si="6"/>
        <v>0.19148936170212766</v>
      </c>
      <c r="I63" s="5">
        <f t="shared" si="7"/>
        <v>-0.11656475127389719</v>
      </c>
      <c r="J63" s="5" t="str">
        <f t="shared" si="8"/>
        <v>LOW</v>
      </c>
      <c r="K63" s="8">
        <f t="shared" si="9"/>
        <v>0.10989010989010987</v>
      </c>
      <c r="L63" s="8">
        <f t="shared" si="10"/>
        <v>-0.43118590185092842</v>
      </c>
      <c r="M63" s="5" t="str">
        <f t="shared" si="11"/>
        <v>LOW</v>
      </c>
      <c r="N63" s="5" cm="1">
        <f t="array" aca="1" ref="N63" ca="1">INDEX($N$2:$N$15,RANDBETWEEN(1, ROWS($N$2:$N$15)))</f>
        <v>9</v>
      </c>
      <c r="O63" s="5" cm="1">
        <f t="array" aca="1" ref="O63" ca="1">INDEX($O$2:$O$15,RANDBETWEEN(1, ROWS($O$2:$O$15)))</f>
        <v>5</v>
      </c>
      <c r="P63" s="5"/>
      <c r="V63" s="7" t="s">
        <v>7</v>
      </c>
      <c r="W63">
        <v>12</v>
      </c>
    </row>
    <row r="64" spans="1:23" x14ac:dyDescent="0.35">
      <c r="A64" s="5" t="s">
        <v>8</v>
      </c>
      <c r="B64" s="5">
        <v>538070</v>
      </c>
      <c r="C64" s="5">
        <v>10133</v>
      </c>
      <c r="D64" s="5">
        <v>10</v>
      </c>
      <c r="E64" s="6">
        <v>40521.588888888888</v>
      </c>
      <c r="F64" s="8">
        <v>0.85</v>
      </c>
      <c r="G64" s="5">
        <v>16519</v>
      </c>
      <c r="H64" s="5">
        <f t="shared" si="6"/>
        <v>0.19148936170212766</v>
      </c>
      <c r="I64" s="5">
        <f t="shared" si="7"/>
        <v>-0.11656475127389719</v>
      </c>
      <c r="J64" s="5" t="str">
        <f t="shared" si="8"/>
        <v>LOW</v>
      </c>
      <c r="K64" s="8">
        <f t="shared" si="9"/>
        <v>0.10989010989010987</v>
      </c>
      <c r="L64" s="8">
        <f t="shared" si="10"/>
        <v>-0.43118590185092842</v>
      </c>
      <c r="M64" s="5" t="str">
        <f t="shared" si="11"/>
        <v>LOW</v>
      </c>
      <c r="N64" s="5" cm="1">
        <f t="array" aca="1" ref="N64" ca="1">INDEX($N$2:$N$15,RANDBETWEEN(1, ROWS($N$2:$N$15)))</f>
        <v>9</v>
      </c>
      <c r="O64" s="5" cm="1">
        <f t="array" aca="1" ref="O64" ca="1">INDEX($O$2:$O$15,RANDBETWEEN(1, ROWS($O$2:$O$15)))</f>
        <v>8</v>
      </c>
      <c r="P64" s="5"/>
      <c r="R64" s="17" t="s">
        <v>71</v>
      </c>
      <c r="S64" t="s">
        <v>1267</v>
      </c>
      <c r="V64" s="7" t="s">
        <v>21</v>
      </c>
      <c r="W64">
        <v>39</v>
      </c>
    </row>
    <row r="65" spans="1:23" x14ac:dyDescent="0.35">
      <c r="A65" s="5" t="s">
        <v>8</v>
      </c>
      <c r="B65" s="5">
        <v>539477</v>
      </c>
      <c r="C65" s="5">
        <v>10133</v>
      </c>
      <c r="D65" s="5">
        <v>10</v>
      </c>
      <c r="E65" s="6">
        <v>40531.623611111114</v>
      </c>
      <c r="F65" s="8">
        <v>0.85</v>
      </c>
      <c r="G65" s="5">
        <v>18245</v>
      </c>
      <c r="H65" s="5">
        <f t="shared" si="6"/>
        <v>0.19148936170212766</v>
      </c>
      <c r="I65" s="5">
        <f t="shared" si="7"/>
        <v>-0.11656475127389719</v>
      </c>
      <c r="J65" s="5" t="str">
        <f t="shared" si="8"/>
        <v>LOW</v>
      </c>
      <c r="K65" s="8">
        <f t="shared" si="9"/>
        <v>0.10989010989010987</v>
      </c>
      <c r="L65" s="8">
        <f t="shared" si="10"/>
        <v>-0.43118590185092842</v>
      </c>
      <c r="M65" s="5" t="str">
        <f t="shared" si="11"/>
        <v>LOW</v>
      </c>
      <c r="N65" s="5" cm="1">
        <f t="array" aca="1" ref="N65" ca="1">INDEX($N$2:$N$15,RANDBETWEEN(1, ROWS($N$2:$N$15)))</f>
        <v>9</v>
      </c>
      <c r="O65" s="5" cm="1">
        <f t="array" aca="1" ref="O65" ca="1">INDEX($O$2:$O$15,RANDBETWEEN(1, ROWS($O$2:$O$15)))</f>
        <v>1</v>
      </c>
      <c r="P65" s="5"/>
      <c r="R65" s="7">
        <v>2</v>
      </c>
      <c r="S65">
        <v>5</v>
      </c>
      <c r="V65" s="7" t="s">
        <v>1331</v>
      </c>
      <c r="W65">
        <v>26</v>
      </c>
    </row>
    <row r="66" spans="1:23" x14ac:dyDescent="0.35">
      <c r="A66" s="5" t="s">
        <v>8</v>
      </c>
      <c r="B66" s="5">
        <v>539933</v>
      </c>
      <c r="C66" s="5">
        <v>10133</v>
      </c>
      <c r="D66" s="5">
        <v>10</v>
      </c>
      <c r="E66" s="6">
        <v>40535.474999999999</v>
      </c>
      <c r="F66" s="8">
        <v>0.85</v>
      </c>
      <c r="G66" s="5">
        <v>15235</v>
      </c>
      <c r="H66" s="5">
        <f t="shared" ref="H66:H97" si="12">(D66-1)/(48-1)</f>
        <v>0.19148936170212766</v>
      </c>
      <c r="I66" s="5">
        <f t="shared" ref="I66:I97" si="13">(D66-$S$21)/$S$44</f>
        <v>-0.11656475127389719</v>
      </c>
      <c r="J66" s="5" t="str">
        <f t="shared" ref="J66:J97" si="14">IF(D66&gt;$S$6, "HIGH", "LOW")</f>
        <v>LOW</v>
      </c>
      <c r="K66" s="8">
        <f t="shared" ref="K66:K97" si="15">(F66-0.75)/(1.66-0.75)</f>
        <v>0.10989010989010987</v>
      </c>
      <c r="L66" s="8">
        <f t="shared" ref="L66:L97" si="16">(F66-$S$22)/$S$45</f>
        <v>-0.43118590185092842</v>
      </c>
      <c r="M66" s="5" t="str">
        <f t="shared" ref="M66:M97" si="17">IF(F66&gt;$S$7, "HIGH", "LOW")</f>
        <v>LOW</v>
      </c>
      <c r="N66" s="5" cm="1">
        <f t="array" aca="1" ref="N66" ca="1">INDEX($N$2:$N$15,RANDBETWEEN(1, ROWS($N$2:$N$15)))</f>
        <v>4</v>
      </c>
      <c r="O66" s="5" cm="1">
        <f t="array" aca="1" ref="O66" ca="1">INDEX($O$2:$O$15,RANDBETWEEN(1, ROWS($O$2:$O$15)))</f>
        <v>5</v>
      </c>
      <c r="P66" s="5"/>
      <c r="R66" s="7">
        <v>3</v>
      </c>
      <c r="S66">
        <v>5</v>
      </c>
      <c r="V66" s="7" t="s">
        <v>18</v>
      </c>
      <c r="W66">
        <v>9</v>
      </c>
    </row>
    <row r="67" spans="1:23" x14ac:dyDescent="0.35">
      <c r="A67" s="5" t="s">
        <v>8</v>
      </c>
      <c r="B67" s="5">
        <v>536865</v>
      </c>
      <c r="C67" s="5">
        <v>10002</v>
      </c>
      <c r="D67" s="11">
        <v>11</v>
      </c>
      <c r="E67" s="6">
        <v>40515.477777777778</v>
      </c>
      <c r="F67" s="8">
        <v>1.66</v>
      </c>
      <c r="G67" s="5" t="s">
        <v>1331</v>
      </c>
      <c r="H67" s="5">
        <f t="shared" si="12"/>
        <v>0.21276595744680851</v>
      </c>
      <c r="I67" s="5">
        <f t="shared" si="13"/>
        <v>-2.5744362244541675E-2</v>
      </c>
      <c r="J67" s="5" t="str">
        <f t="shared" si="14"/>
        <v>LOW</v>
      </c>
      <c r="K67" s="8">
        <f t="shared" si="15"/>
        <v>1</v>
      </c>
      <c r="L67" s="8">
        <f t="shared" si="16"/>
        <v>2.0262154124651568</v>
      </c>
      <c r="M67" s="5" t="str">
        <f t="shared" si="17"/>
        <v>HIGH</v>
      </c>
      <c r="N67" s="5">
        <v>11</v>
      </c>
      <c r="O67" s="5">
        <v>4</v>
      </c>
      <c r="P67" s="5"/>
      <c r="R67" s="7">
        <v>4</v>
      </c>
      <c r="S67">
        <v>85</v>
      </c>
      <c r="V67" s="7" t="s">
        <v>16</v>
      </c>
      <c r="W67">
        <v>9</v>
      </c>
    </row>
    <row r="68" spans="1:23" x14ac:dyDescent="0.35">
      <c r="A68" s="5" t="s">
        <v>8</v>
      </c>
      <c r="B68" s="5">
        <v>547248</v>
      </c>
      <c r="C68" s="5">
        <v>15036</v>
      </c>
      <c r="D68" s="5">
        <v>11</v>
      </c>
      <c r="E68" s="6">
        <v>40624.390972222223</v>
      </c>
      <c r="F68" s="8">
        <v>1.63</v>
      </c>
      <c r="G68" s="5" t="s">
        <v>1331</v>
      </c>
      <c r="H68" s="5">
        <f t="shared" si="12"/>
        <v>0.21276595744680851</v>
      </c>
      <c r="I68" s="5">
        <f t="shared" si="13"/>
        <v>-2.5744362244541675E-2</v>
      </c>
      <c r="J68" s="5" t="str">
        <f t="shared" si="14"/>
        <v>LOW</v>
      </c>
      <c r="K68" s="8">
        <f t="shared" si="15"/>
        <v>0.96703296703296704</v>
      </c>
      <c r="L68" s="8">
        <f t="shared" si="16"/>
        <v>1.9352005489719684</v>
      </c>
      <c r="M68" s="5" t="str">
        <f t="shared" si="17"/>
        <v>HIGH</v>
      </c>
      <c r="N68" s="5" cm="1">
        <f t="array" aca="1" ref="N68" ca="1">INDEX($N$2:$N$15,RANDBETWEEN(1, ROWS($N$2:$N$15)))</f>
        <v>9</v>
      </c>
      <c r="O68" s="5" cm="1">
        <f t="array" aca="1" ref="O68" ca="1">INDEX($O$2:$O$15,RANDBETWEEN(1, ROWS($O$2:$O$15)))</f>
        <v>8</v>
      </c>
      <c r="P68" s="5"/>
      <c r="R68" s="7">
        <v>8</v>
      </c>
      <c r="S68">
        <v>3</v>
      </c>
      <c r="V68" s="7" t="s">
        <v>8</v>
      </c>
      <c r="W68">
        <v>944</v>
      </c>
    </row>
    <row r="69" spans="1:23" x14ac:dyDescent="0.35">
      <c r="A69" s="5" t="s">
        <v>1331</v>
      </c>
      <c r="B69" s="5">
        <v>550218</v>
      </c>
      <c r="C69" s="5">
        <v>15036</v>
      </c>
      <c r="D69" s="5">
        <v>12</v>
      </c>
      <c r="E69" s="6">
        <v>40648.46875</v>
      </c>
      <c r="F69" s="8">
        <v>0.83</v>
      </c>
      <c r="G69" s="5">
        <v>14408</v>
      </c>
      <c r="H69" s="5">
        <f t="shared" si="12"/>
        <v>0.23404255319148937</v>
      </c>
      <c r="I69" s="5">
        <f t="shared" si="13"/>
        <v>6.5076026784813848E-2</v>
      </c>
      <c r="J69" s="5" t="str">
        <f t="shared" si="14"/>
        <v>HIGH</v>
      </c>
      <c r="K69" s="8">
        <f t="shared" si="15"/>
        <v>8.7912087912087877E-2</v>
      </c>
      <c r="L69" s="8">
        <f t="shared" si="16"/>
        <v>-0.49186247751305406</v>
      </c>
      <c r="M69" s="5" t="str">
        <f t="shared" si="17"/>
        <v>LOW</v>
      </c>
      <c r="N69" s="5" cm="1">
        <f t="array" aca="1" ref="N69" ca="1">INDEX($N$2:$N$15,RANDBETWEEN(1, ROWS($N$2:$N$15)))</f>
        <v>4</v>
      </c>
      <c r="O69" s="5" cm="1">
        <f t="array" aca="1" ref="O69" ca="1">INDEX($O$2:$O$15,RANDBETWEEN(1, ROWS($O$2:$O$15)))</f>
        <v>1</v>
      </c>
      <c r="P69" s="5"/>
      <c r="R69" s="7">
        <v>9</v>
      </c>
      <c r="S69">
        <v>167</v>
      </c>
      <c r="V69" s="7" t="s">
        <v>1360</v>
      </c>
    </row>
    <row r="70" spans="1:23" x14ac:dyDescent="0.35">
      <c r="A70" s="5" t="s">
        <v>18</v>
      </c>
      <c r="B70" s="5">
        <v>546530</v>
      </c>
      <c r="C70" s="5">
        <v>15036</v>
      </c>
      <c r="D70" s="5">
        <v>12</v>
      </c>
      <c r="E70" s="6">
        <v>40616.559027777781</v>
      </c>
      <c r="F70" s="8">
        <v>0.75</v>
      </c>
      <c r="G70" s="5">
        <v>17404</v>
      </c>
      <c r="H70" s="5">
        <f t="shared" si="12"/>
        <v>0.23404255319148937</v>
      </c>
      <c r="I70" s="5">
        <f t="shared" si="13"/>
        <v>6.5076026784813848E-2</v>
      </c>
      <c r="J70" s="5" t="str">
        <f t="shared" si="14"/>
        <v>HIGH</v>
      </c>
      <c r="K70" s="8">
        <f t="shared" si="15"/>
        <v>0</v>
      </c>
      <c r="L70" s="8">
        <f t="shared" si="16"/>
        <v>-0.73456878016155625</v>
      </c>
      <c r="M70" s="5" t="str">
        <f t="shared" si="17"/>
        <v>LOW</v>
      </c>
      <c r="N70" s="5" cm="1">
        <f t="array" aca="1" ref="N70" ca="1">INDEX($N$2:$N$15,RANDBETWEEN(1, ROWS($N$2:$N$15)))</f>
        <v>9</v>
      </c>
      <c r="O70" s="5" cm="1">
        <f t="array" aca="1" ref="O70" ca="1">INDEX($O$2:$O$15,RANDBETWEEN(1, ROWS($O$2:$O$15)))</f>
        <v>5</v>
      </c>
      <c r="P70" s="5"/>
      <c r="R70" s="7">
        <v>10</v>
      </c>
      <c r="S70">
        <v>127</v>
      </c>
      <c r="V70" s="7" t="s">
        <v>72</v>
      </c>
      <c r="W70">
        <v>1039</v>
      </c>
    </row>
    <row r="71" spans="1:23" x14ac:dyDescent="0.35">
      <c r="A71" s="5" t="s">
        <v>8</v>
      </c>
      <c r="B71" s="5">
        <v>546891</v>
      </c>
      <c r="C71" s="5">
        <v>15036</v>
      </c>
      <c r="D71" s="5">
        <v>12</v>
      </c>
      <c r="E71" s="6">
        <v>40619.762499999997</v>
      </c>
      <c r="F71" s="8">
        <v>1.63</v>
      </c>
      <c r="G71" s="5" t="s">
        <v>1331</v>
      </c>
      <c r="H71" s="5">
        <f t="shared" si="12"/>
        <v>0.23404255319148937</v>
      </c>
      <c r="I71" s="5">
        <f t="shared" si="13"/>
        <v>6.5076026784813848E-2</v>
      </c>
      <c r="J71" s="5" t="str">
        <f t="shared" si="14"/>
        <v>HIGH</v>
      </c>
      <c r="K71" s="8">
        <f t="shared" si="15"/>
        <v>0.96703296703296704</v>
      </c>
      <c r="L71" s="8">
        <f t="shared" si="16"/>
        <v>1.9352005489719684</v>
      </c>
      <c r="M71" s="5" t="str">
        <f t="shared" si="17"/>
        <v>HIGH</v>
      </c>
      <c r="N71" s="5" cm="1">
        <f t="array" aca="1" ref="N71" ca="1">INDEX($N$2:$N$15,RANDBETWEEN(1, ROWS($N$2:$N$15)))</f>
        <v>9</v>
      </c>
      <c r="O71" s="5" cm="1">
        <f t="array" aca="1" ref="O71" ca="1">INDEX($O$2:$O$15,RANDBETWEEN(1, ROWS($O$2:$O$15)))</f>
        <v>1</v>
      </c>
      <c r="P71" s="5"/>
      <c r="R71" s="7">
        <v>11</v>
      </c>
      <c r="S71">
        <v>4</v>
      </c>
    </row>
    <row r="72" spans="1:23" x14ac:dyDescent="0.35">
      <c r="A72" s="5" t="s">
        <v>8</v>
      </c>
      <c r="B72" s="5">
        <v>547249</v>
      </c>
      <c r="C72" s="5">
        <v>15036</v>
      </c>
      <c r="D72" s="5">
        <v>12</v>
      </c>
      <c r="E72" s="6">
        <v>40624.393750000003</v>
      </c>
      <c r="F72" s="8">
        <v>1.63</v>
      </c>
      <c r="G72" s="5" t="s">
        <v>1331</v>
      </c>
      <c r="H72" s="5">
        <f t="shared" si="12"/>
        <v>0.23404255319148937</v>
      </c>
      <c r="I72" s="5">
        <f t="shared" si="13"/>
        <v>6.5076026784813848E-2</v>
      </c>
      <c r="J72" s="5" t="str">
        <f t="shared" si="14"/>
        <v>HIGH</v>
      </c>
      <c r="K72" s="8">
        <f t="shared" si="15"/>
        <v>0.96703296703296704</v>
      </c>
      <c r="L72" s="8">
        <f t="shared" si="16"/>
        <v>1.9352005489719684</v>
      </c>
      <c r="M72" s="5" t="str">
        <f t="shared" si="17"/>
        <v>HIGH</v>
      </c>
      <c r="N72" s="5" cm="1">
        <f t="array" aca="1" ref="N72" ca="1">INDEX($N$2:$N$15,RANDBETWEEN(1, ROWS($N$2:$N$15)))</f>
        <v>9</v>
      </c>
      <c r="O72" s="5" cm="1">
        <f t="array" aca="1" ref="O72" ca="1">INDEX($O$2:$O$15,RANDBETWEEN(1, ROWS($O$2:$O$15)))</f>
        <v>5</v>
      </c>
      <c r="P72" s="5"/>
      <c r="R72" s="7">
        <v>12</v>
      </c>
      <c r="S72">
        <v>101</v>
      </c>
    </row>
    <row r="73" spans="1:23" x14ac:dyDescent="0.35">
      <c r="A73" s="5" t="s">
        <v>8</v>
      </c>
      <c r="B73" s="5">
        <v>536382</v>
      </c>
      <c r="C73" s="5">
        <v>10002</v>
      </c>
      <c r="D73" s="5">
        <v>12</v>
      </c>
      <c r="E73" s="6">
        <v>40513.40625</v>
      </c>
      <c r="F73" s="8">
        <v>0.85</v>
      </c>
      <c r="G73" s="5">
        <v>16098</v>
      </c>
      <c r="H73" s="5">
        <f t="shared" si="12"/>
        <v>0.23404255319148937</v>
      </c>
      <c r="I73" s="5">
        <f t="shared" si="13"/>
        <v>6.5076026784813848E-2</v>
      </c>
      <c r="J73" s="5" t="str">
        <f t="shared" si="14"/>
        <v>HIGH</v>
      </c>
      <c r="K73" s="8">
        <f t="shared" si="15"/>
        <v>0.10989010989010987</v>
      </c>
      <c r="L73" s="8">
        <f t="shared" si="16"/>
        <v>-0.43118590185092842</v>
      </c>
      <c r="M73" s="5" t="str">
        <f t="shared" si="17"/>
        <v>LOW</v>
      </c>
      <c r="N73" s="5">
        <v>4</v>
      </c>
      <c r="O73" s="5">
        <v>1</v>
      </c>
      <c r="P73" s="5"/>
      <c r="R73" s="7">
        <v>13</v>
      </c>
      <c r="S73">
        <v>2</v>
      </c>
    </row>
    <row r="74" spans="1:23" x14ac:dyDescent="0.35">
      <c r="A74" s="5" t="s">
        <v>8</v>
      </c>
      <c r="B74" s="5">
        <v>556222</v>
      </c>
      <c r="C74" s="5">
        <v>10125</v>
      </c>
      <c r="D74" s="5">
        <v>12</v>
      </c>
      <c r="E74" s="6">
        <v>40703.599305555559</v>
      </c>
      <c r="F74" s="8">
        <v>0.85</v>
      </c>
      <c r="G74" s="5">
        <v>17522</v>
      </c>
      <c r="H74" s="5">
        <f t="shared" si="12"/>
        <v>0.23404255319148937</v>
      </c>
      <c r="I74" s="5">
        <f t="shared" si="13"/>
        <v>6.5076026784813848E-2</v>
      </c>
      <c r="J74" s="5" t="str">
        <f t="shared" si="14"/>
        <v>HIGH</v>
      </c>
      <c r="K74" s="8">
        <f t="shared" si="15"/>
        <v>0.10989010989010987</v>
      </c>
      <c r="L74" s="8">
        <f t="shared" si="16"/>
        <v>-0.43118590185092842</v>
      </c>
      <c r="M74" s="5" t="str">
        <f t="shared" si="17"/>
        <v>LOW</v>
      </c>
      <c r="N74" s="5" cm="1">
        <f t="array" aca="1" ref="N74" ca="1">INDEX($N$2:$N$15,RANDBETWEEN(1, ROWS($N$2:$N$15)))</f>
        <v>9</v>
      </c>
      <c r="O74" s="5" cm="1">
        <f t="array" aca="1" ref="O74" ca="1">INDEX($O$2:$O$15,RANDBETWEEN(1, ROWS($O$2:$O$15)))</f>
        <v>8</v>
      </c>
      <c r="P74" s="5"/>
      <c r="R74" s="7" t="s">
        <v>72</v>
      </c>
      <c r="S74">
        <v>499</v>
      </c>
    </row>
    <row r="75" spans="1:23" x14ac:dyDescent="0.35">
      <c r="A75" s="5" t="s">
        <v>8</v>
      </c>
      <c r="B75" s="5">
        <v>548310</v>
      </c>
      <c r="C75" s="5">
        <v>15036</v>
      </c>
      <c r="D75" s="5">
        <v>12</v>
      </c>
      <c r="E75" s="6">
        <v>40632.50277777778</v>
      </c>
      <c r="F75" s="8">
        <v>0.83</v>
      </c>
      <c r="G75" s="5" t="s">
        <v>1331</v>
      </c>
      <c r="H75" s="5">
        <f t="shared" si="12"/>
        <v>0.23404255319148937</v>
      </c>
      <c r="I75" s="5">
        <f t="shared" si="13"/>
        <v>6.5076026784813848E-2</v>
      </c>
      <c r="J75" s="5" t="str">
        <f t="shared" si="14"/>
        <v>HIGH</v>
      </c>
      <c r="K75" s="8">
        <f t="shared" si="15"/>
        <v>8.7912087912087877E-2</v>
      </c>
      <c r="L75" s="8">
        <f t="shared" si="16"/>
        <v>-0.49186247751305406</v>
      </c>
      <c r="M75" s="5" t="str">
        <f t="shared" si="17"/>
        <v>LOW</v>
      </c>
      <c r="N75" s="5" cm="1">
        <f t="array" aca="1" ref="N75" ca="1">INDEX($N$2:$N$15,RANDBETWEEN(1, ROWS($N$2:$N$15)))</f>
        <v>9</v>
      </c>
      <c r="O75" s="5" cm="1">
        <f t="array" aca="1" ref="O75" ca="1">INDEX($O$2:$O$15,RANDBETWEEN(1, ROWS($O$2:$O$15)))</f>
        <v>8</v>
      </c>
      <c r="P75" s="5"/>
    </row>
    <row r="76" spans="1:23" x14ac:dyDescent="0.35">
      <c r="A76" s="5" t="s">
        <v>8</v>
      </c>
      <c r="B76" s="5">
        <v>548617</v>
      </c>
      <c r="C76" s="5">
        <v>15036</v>
      </c>
      <c r="D76" s="5">
        <v>12</v>
      </c>
      <c r="E76" s="6">
        <v>40634.493055555555</v>
      </c>
      <c r="F76" s="8">
        <v>0.83</v>
      </c>
      <c r="G76" s="5">
        <v>16592</v>
      </c>
      <c r="H76" s="5">
        <f t="shared" si="12"/>
        <v>0.23404255319148937</v>
      </c>
      <c r="I76" s="5">
        <f t="shared" si="13"/>
        <v>6.5076026784813848E-2</v>
      </c>
      <c r="J76" s="5" t="str">
        <f t="shared" si="14"/>
        <v>HIGH</v>
      </c>
      <c r="K76" s="8">
        <f t="shared" si="15"/>
        <v>8.7912087912087877E-2</v>
      </c>
      <c r="L76" s="8">
        <f t="shared" si="16"/>
        <v>-0.49186247751305406</v>
      </c>
      <c r="M76" s="5" t="str">
        <f t="shared" si="17"/>
        <v>LOW</v>
      </c>
      <c r="N76" s="5" cm="1">
        <f t="array" aca="1" ref="N76" ca="1">INDEX($N$2:$N$15,RANDBETWEEN(1, ROWS($N$2:$N$15)))</f>
        <v>10</v>
      </c>
      <c r="O76" s="5" cm="1">
        <f t="array" aca="1" ref="O76" ca="1">INDEX($O$2:$O$15,RANDBETWEEN(1, ROWS($O$2:$O$15)))</f>
        <v>1</v>
      </c>
      <c r="P76" s="5"/>
    </row>
    <row r="77" spans="1:23" x14ac:dyDescent="0.35">
      <c r="A77" s="5" t="s">
        <v>8</v>
      </c>
      <c r="B77" s="5">
        <v>549711</v>
      </c>
      <c r="C77" s="5">
        <v>15036</v>
      </c>
      <c r="D77" s="5">
        <v>12</v>
      </c>
      <c r="E77" s="6">
        <v>40644.588194444441</v>
      </c>
      <c r="F77" s="8">
        <v>0.83</v>
      </c>
      <c r="G77" s="5">
        <v>13654</v>
      </c>
      <c r="H77" s="5">
        <f t="shared" si="12"/>
        <v>0.23404255319148937</v>
      </c>
      <c r="I77" s="5">
        <f t="shared" si="13"/>
        <v>6.5076026784813848E-2</v>
      </c>
      <c r="J77" s="5" t="str">
        <f t="shared" si="14"/>
        <v>HIGH</v>
      </c>
      <c r="K77" s="8">
        <f t="shared" si="15"/>
        <v>8.7912087912087877E-2</v>
      </c>
      <c r="L77" s="8">
        <f t="shared" si="16"/>
        <v>-0.49186247751305406</v>
      </c>
      <c r="M77" s="5" t="str">
        <f t="shared" si="17"/>
        <v>LOW</v>
      </c>
      <c r="N77" s="5" cm="1">
        <f t="array" aca="1" ref="N77" ca="1">INDEX($N$2:$N$15,RANDBETWEEN(1, ROWS($N$2:$N$15)))</f>
        <v>9</v>
      </c>
      <c r="O77" s="5" cm="1">
        <f t="array" aca="1" ref="O77" ca="1">INDEX($O$2:$O$15,RANDBETWEEN(1, ROWS($O$2:$O$15)))</f>
        <v>7</v>
      </c>
      <c r="P77" s="5"/>
    </row>
    <row r="78" spans="1:23" x14ac:dyDescent="0.35">
      <c r="A78" s="5" t="s">
        <v>8</v>
      </c>
      <c r="B78" s="5">
        <v>549743</v>
      </c>
      <c r="C78" s="5">
        <v>15036</v>
      </c>
      <c r="D78" s="5">
        <v>12</v>
      </c>
      <c r="E78" s="6">
        <v>40645.420138888891</v>
      </c>
      <c r="F78" s="8">
        <v>0.83</v>
      </c>
      <c r="G78" s="5">
        <v>16186</v>
      </c>
      <c r="H78" s="5">
        <f t="shared" si="12"/>
        <v>0.23404255319148937</v>
      </c>
      <c r="I78" s="5">
        <f t="shared" si="13"/>
        <v>6.5076026784813848E-2</v>
      </c>
      <c r="J78" s="5" t="str">
        <f t="shared" si="14"/>
        <v>HIGH</v>
      </c>
      <c r="K78" s="8">
        <f t="shared" si="15"/>
        <v>8.7912087912087877E-2</v>
      </c>
      <c r="L78" s="8">
        <f t="shared" si="16"/>
        <v>-0.49186247751305406</v>
      </c>
      <c r="M78" s="5" t="str">
        <f t="shared" si="17"/>
        <v>LOW</v>
      </c>
      <c r="N78" s="5" cm="1">
        <f t="array" aca="1" ref="N78" ca="1">INDEX($N$2:$N$15,RANDBETWEEN(1, ROWS($N$2:$N$15)))</f>
        <v>4</v>
      </c>
      <c r="O78" s="5" cm="1">
        <f t="array" aca="1" ref="O78" ca="1">INDEX($O$2:$O$15,RANDBETWEEN(1, ROWS($O$2:$O$15)))</f>
        <v>1</v>
      </c>
      <c r="P78" s="5"/>
    </row>
    <row r="79" spans="1:23" x14ac:dyDescent="0.35">
      <c r="A79" s="5" t="s">
        <v>8</v>
      </c>
      <c r="B79" s="5">
        <v>549964</v>
      </c>
      <c r="C79" s="5">
        <v>15036</v>
      </c>
      <c r="D79" s="5">
        <v>12</v>
      </c>
      <c r="E79" s="6">
        <v>40646.591666666667</v>
      </c>
      <c r="F79" s="8">
        <v>0.83</v>
      </c>
      <c r="G79" s="5">
        <v>13122</v>
      </c>
      <c r="H79" s="5">
        <f t="shared" si="12"/>
        <v>0.23404255319148937</v>
      </c>
      <c r="I79" s="5">
        <f t="shared" si="13"/>
        <v>6.5076026784813848E-2</v>
      </c>
      <c r="J79" s="5" t="str">
        <f t="shared" si="14"/>
        <v>HIGH</v>
      </c>
      <c r="K79" s="8">
        <f t="shared" si="15"/>
        <v>8.7912087912087877E-2</v>
      </c>
      <c r="L79" s="8">
        <f t="shared" si="16"/>
        <v>-0.49186247751305406</v>
      </c>
      <c r="M79" s="5" t="str">
        <f t="shared" si="17"/>
        <v>LOW</v>
      </c>
      <c r="N79" s="5" cm="1">
        <f t="array" aca="1" ref="N79" ca="1">INDEX($N$2:$N$15,RANDBETWEEN(1, ROWS($N$2:$N$15)))</f>
        <v>12</v>
      </c>
      <c r="O79" s="5" cm="1">
        <f t="array" aca="1" ref="O79" ca="1">INDEX($O$2:$O$15,RANDBETWEEN(1, ROWS($O$2:$O$15)))</f>
        <v>5</v>
      </c>
      <c r="P79" s="5"/>
    </row>
    <row r="80" spans="1:23" x14ac:dyDescent="0.35">
      <c r="A80" s="5" t="s">
        <v>8</v>
      </c>
      <c r="B80" s="5">
        <v>549975</v>
      </c>
      <c r="C80" s="5">
        <v>15036</v>
      </c>
      <c r="D80" s="5">
        <v>12</v>
      </c>
      <c r="E80" s="6">
        <v>40646.609722222223</v>
      </c>
      <c r="F80" s="8">
        <v>0.83</v>
      </c>
      <c r="G80" s="5">
        <v>16175</v>
      </c>
      <c r="H80" s="5">
        <f t="shared" si="12"/>
        <v>0.23404255319148937</v>
      </c>
      <c r="I80" s="5">
        <f t="shared" si="13"/>
        <v>6.5076026784813848E-2</v>
      </c>
      <c r="J80" s="5" t="str">
        <f t="shared" si="14"/>
        <v>HIGH</v>
      </c>
      <c r="K80" s="8">
        <f t="shared" si="15"/>
        <v>8.7912087912087877E-2</v>
      </c>
      <c r="L80" s="8">
        <f t="shared" si="16"/>
        <v>-0.49186247751305406</v>
      </c>
      <c r="M80" s="5" t="str">
        <f t="shared" si="17"/>
        <v>LOW</v>
      </c>
      <c r="N80" s="5" cm="1">
        <f t="array" aca="1" ref="N80" ca="1">INDEX($N$2:$N$15,RANDBETWEEN(1, ROWS($N$2:$N$15)))</f>
        <v>12</v>
      </c>
      <c r="O80" s="5" cm="1">
        <f t="array" aca="1" ref="O80" ca="1">INDEX($O$2:$O$15,RANDBETWEEN(1, ROWS($O$2:$O$15)))</f>
        <v>1</v>
      </c>
      <c r="P80" s="5"/>
    </row>
    <row r="81" spans="1:16" x14ac:dyDescent="0.35">
      <c r="A81" s="5" t="s">
        <v>8</v>
      </c>
      <c r="B81" s="5">
        <v>550468</v>
      </c>
      <c r="C81" s="5">
        <v>15036</v>
      </c>
      <c r="D81" s="5">
        <v>12</v>
      </c>
      <c r="E81" s="6">
        <v>40651.571527777778</v>
      </c>
      <c r="F81" s="8">
        <v>0.83</v>
      </c>
      <c r="G81" s="5">
        <v>16700</v>
      </c>
      <c r="H81" s="5">
        <f t="shared" si="12"/>
        <v>0.23404255319148937</v>
      </c>
      <c r="I81" s="5">
        <f t="shared" si="13"/>
        <v>6.5076026784813848E-2</v>
      </c>
      <c r="J81" s="5" t="str">
        <f t="shared" si="14"/>
        <v>HIGH</v>
      </c>
      <c r="K81" s="8">
        <f t="shared" si="15"/>
        <v>8.7912087912087877E-2</v>
      </c>
      <c r="L81" s="8">
        <f t="shared" si="16"/>
        <v>-0.49186247751305406</v>
      </c>
      <c r="M81" s="5" t="str">
        <f t="shared" si="17"/>
        <v>LOW</v>
      </c>
      <c r="N81" s="5" cm="1">
        <f t="array" aca="1" ref="N81" ca="1">INDEX($N$2:$N$15,RANDBETWEEN(1, ROWS($N$2:$N$15)))</f>
        <v>12</v>
      </c>
      <c r="O81" s="5" cm="1">
        <f t="array" aca="1" ref="O81" ca="1">INDEX($O$2:$O$15,RANDBETWEEN(1, ROWS($O$2:$O$15)))</f>
        <v>1</v>
      </c>
      <c r="P81" s="5"/>
    </row>
    <row r="82" spans="1:16" x14ac:dyDescent="0.35">
      <c r="A82" s="5" t="s">
        <v>8</v>
      </c>
      <c r="B82" s="5">
        <v>550659</v>
      </c>
      <c r="C82" s="5">
        <v>15036</v>
      </c>
      <c r="D82" s="5">
        <v>12</v>
      </c>
      <c r="E82" s="6">
        <v>40653.376388888886</v>
      </c>
      <c r="F82" s="8">
        <v>0.83</v>
      </c>
      <c r="G82" s="5">
        <v>17730</v>
      </c>
      <c r="H82" s="5">
        <f t="shared" si="12"/>
        <v>0.23404255319148937</v>
      </c>
      <c r="I82" s="5">
        <f t="shared" si="13"/>
        <v>6.5076026784813848E-2</v>
      </c>
      <c r="J82" s="5" t="str">
        <f t="shared" si="14"/>
        <v>HIGH</v>
      </c>
      <c r="K82" s="8">
        <f t="shared" si="15"/>
        <v>8.7912087912087877E-2</v>
      </c>
      <c r="L82" s="8">
        <f t="shared" si="16"/>
        <v>-0.49186247751305406</v>
      </c>
      <c r="M82" s="5" t="str">
        <f t="shared" si="17"/>
        <v>LOW</v>
      </c>
      <c r="N82" s="5" cm="1">
        <f t="array" aca="1" ref="N82" ca="1">INDEX($N$2:$N$15,RANDBETWEEN(1, ROWS($N$2:$N$15)))</f>
        <v>4</v>
      </c>
      <c r="O82" s="5" cm="1">
        <f t="array" aca="1" ref="O82" ca="1">INDEX($O$2:$O$15,RANDBETWEEN(1, ROWS($O$2:$O$15)))</f>
        <v>8</v>
      </c>
      <c r="P82" s="5"/>
    </row>
    <row r="83" spans="1:16" x14ac:dyDescent="0.35">
      <c r="A83" s="5" t="s">
        <v>8</v>
      </c>
      <c r="B83" s="5">
        <v>550775</v>
      </c>
      <c r="C83" s="5">
        <v>15036</v>
      </c>
      <c r="D83" s="5">
        <v>12</v>
      </c>
      <c r="E83" s="6">
        <v>40653.554166666669</v>
      </c>
      <c r="F83" s="8">
        <v>0.83</v>
      </c>
      <c r="G83" s="5">
        <v>15805</v>
      </c>
      <c r="H83" s="5">
        <f t="shared" si="12"/>
        <v>0.23404255319148937</v>
      </c>
      <c r="I83" s="5">
        <f t="shared" si="13"/>
        <v>6.5076026784813848E-2</v>
      </c>
      <c r="J83" s="5" t="str">
        <f t="shared" si="14"/>
        <v>HIGH</v>
      </c>
      <c r="K83" s="8">
        <f t="shared" si="15"/>
        <v>8.7912087912087877E-2</v>
      </c>
      <c r="L83" s="8">
        <f t="shared" si="16"/>
        <v>-0.49186247751305406</v>
      </c>
      <c r="M83" s="5" t="str">
        <f t="shared" si="17"/>
        <v>LOW</v>
      </c>
      <c r="N83" s="5" cm="1">
        <f t="array" aca="1" ref="N83" ca="1">INDEX($N$2:$N$15,RANDBETWEEN(1, ROWS($N$2:$N$15)))</f>
        <v>9</v>
      </c>
      <c r="O83" s="5" cm="1">
        <f t="array" aca="1" ref="O83" ca="1">INDEX($O$2:$O$15,RANDBETWEEN(1, ROWS($O$2:$O$15)))</f>
        <v>5</v>
      </c>
      <c r="P83" s="5"/>
    </row>
    <row r="84" spans="1:16" x14ac:dyDescent="0.35">
      <c r="A84" s="5" t="s">
        <v>8</v>
      </c>
      <c r="B84" s="5">
        <v>550785</v>
      </c>
      <c r="C84" s="5">
        <v>15036</v>
      </c>
      <c r="D84" s="5">
        <v>12</v>
      </c>
      <c r="E84" s="6">
        <v>40653.584722222222</v>
      </c>
      <c r="F84" s="8">
        <v>0.83</v>
      </c>
      <c r="G84" s="5">
        <v>15517</v>
      </c>
      <c r="H84" s="5">
        <f t="shared" si="12"/>
        <v>0.23404255319148937</v>
      </c>
      <c r="I84" s="5">
        <f t="shared" si="13"/>
        <v>6.5076026784813848E-2</v>
      </c>
      <c r="J84" s="5" t="str">
        <f t="shared" si="14"/>
        <v>HIGH</v>
      </c>
      <c r="K84" s="8">
        <f t="shared" si="15"/>
        <v>8.7912087912087877E-2</v>
      </c>
      <c r="L84" s="8">
        <f t="shared" si="16"/>
        <v>-0.49186247751305406</v>
      </c>
      <c r="M84" s="5" t="str">
        <f t="shared" si="17"/>
        <v>LOW</v>
      </c>
      <c r="N84" s="5" cm="1">
        <f t="array" aca="1" ref="N84" ca="1">INDEX($N$2:$N$15,RANDBETWEEN(1, ROWS($N$2:$N$15)))</f>
        <v>4</v>
      </c>
      <c r="O84" s="5" cm="1">
        <f t="array" aca="1" ref="O84" ca="1">INDEX($O$2:$O$15,RANDBETWEEN(1, ROWS($O$2:$O$15)))</f>
        <v>8</v>
      </c>
      <c r="P84" s="5"/>
    </row>
    <row r="85" spans="1:16" x14ac:dyDescent="0.35">
      <c r="A85" s="5" t="s">
        <v>8</v>
      </c>
      <c r="B85" s="5">
        <v>550802</v>
      </c>
      <c r="C85" s="5">
        <v>15036</v>
      </c>
      <c r="D85" s="5">
        <v>12</v>
      </c>
      <c r="E85" s="6">
        <v>40653.63958333333</v>
      </c>
      <c r="F85" s="8">
        <v>0.83</v>
      </c>
      <c r="G85" s="5">
        <v>17120</v>
      </c>
      <c r="H85" s="5">
        <f t="shared" si="12"/>
        <v>0.23404255319148937</v>
      </c>
      <c r="I85" s="5">
        <f t="shared" si="13"/>
        <v>6.5076026784813848E-2</v>
      </c>
      <c r="J85" s="5" t="str">
        <f t="shared" si="14"/>
        <v>HIGH</v>
      </c>
      <c r="K85" s="8">
        <f t="shared" si="15"/>
        <v>8.7912087912087877E-2</v>
      </c>
      <c r="L85" s="8">
        <f t="shared" si="16"/>
        <v>-0.49186247751305406</v>
      </c>
      <c r="M85" s="5" t="str">
        <f t="shared" si="17"/>
        <v>LOW</v>
      </c>
      <c r="N85" s="5" cm="1">
        <f t="array" aca="1" ref="N85" ca="1">INDEX($N$2:$N$15,RANDBETWEEN(1, ROWS($N$2:$N$15)))</f>
        <v>9</v>
      </c>
      <c r="O85" s="5" cm="1">
        <f t="array" aca="1" ref="O85" ca="1">INDEX($O$2:$O$15,RANDBETWEEN(1, ROWS($O$2:$O$15)))</f>
        <v>5</v>
      </c>
      <c r="P85" s="5"/>
    </row>
    <row r="86" spans="1:16" x14ac:dyDescent="0.35">
      <c r="A86" s="5" t="s">
        <v>8</v>
      </c>
      <c r="B86" s="5">
        <v>541422</v>
      </c>
      <c r="C86" s="5">
        <v>10133</v>
      </c>
      <c r="D86" s="5">
        <v>12</v>
      </c>
      <c r="E86" s="6">
        <v>40560.741666666669</v>
      </c>
      <c r="F86" s="8">
        <v>0.79</v>
      </c>
      <c r="G86" s="5" t="s">
        <v>1331</v>
      </c>
      <c r="H86" s="5">
        <f t="shared" si="12"/>
        <v>0.23404255319148937</v>
      </c>
      <c r="I86" s="5">
        <f t="shared" si="13"/>
        <v>6.5076026784813848E-2</v>
      </c>
      <c r="J86" s="5" t="str">
        <f t="shared" si="14"/>
        <v>HIGH</v>
      </c>
      <c r="K86" s="8">
        <f t="shared" si="15"/>
        <v>4.3956043956044001E-2</v>
      </c>
      <c r="L86" s="8">
        <f t="shared" si="16"/>
        <v>-0.61321562883730496</v>
      </c>
      <c r="M86" s="5" t="str">
        <f t="shared" si="17"/>
        <v>LOW</v>
      </c>
      <c r="N86" s="5" cm="1">
        <f t="array" aca="1" ref="N86" ca="1">INDEX($N$2:$N$15,RANDBETWEEN(1, ROWS($N$2:$N$15)))</f>
        <v>10</v>
      </c>
      <c r="O86" s="5" cm="1">
        <f t="array" aca="1" ref="O86" ca="1">INDEX($O$2:$O$15,RANDBETWEEN(1, ROWS($O$2:$O$15)))</f>
        <v>5</v>
      </c>
      <c r="P86" s="5"/>
    </row>
    <row r="87" spans="1:16" x14ac:dyDescent="0.35">
      <c r="A87" s="5" t="s">
        <v>8</v>
      </c>
      <c r="B87" s="5">
        <v>546429</v>
      </c>
      <c r="C87" s="5">
        <v>15036</v>
      </c>
      <c r="D87" s="5">
        <v>12</v>
      </c>
      <c r="E87" s="6">
        <v>40615.642361111109</v>
      </c>
      <c r="F87" s="8">
        <v>0.75</v>
      </c>
      <c r="G87" s="5">
        <v>17611</v>
      </c>
      <c r="H87" s="5">
        <f t="shared" si="12"/>
        <v>0.23404255319148937</v>
      </c>
      <c r="I87" s="5">
        <f t="shared" si="13"/>
        <v>6.5076026784813848E-2</v>
      </c>
      <c r="J87" s="5" t="str">
        <f t="shared" si="14"/>
        <v>HIGH</v>
      </c>
      <c r="K87" s="8">
        <f t="shared" si="15"/>
        <v>0</v>
      </c>
      <c r="L87" s="8">
        <f t="shared" si="16"/>
        <v>-0.73456878016155625</v>
      </c>
      <c r="M87" s="5" t="str">
        <f t="shared" si="17"/>
        <v>LOW</v>
      </c>
      <c r="N87" s="5" cm="1">
        <f t="array" aca="1" ref="N87" ca="1">INDEX($N$2:$N$15,RANDBETWEEN(1, ROWS($N$2:$N$15)))</f>
        <v>9</v>
      </c>
      <c r="O87" s="5" cm="1">
        <f t="array" aca="1" ref="O87" ca="1">INDEX($O$2:$O$15,RANDBETWEEN(1, ROWS($O$2:$O$15)))</f>
        <v>7</v>
      </c>
      <c r="P87" s="5"/>
    </row>
    <row r="88" spans="1:16" x14ac:dyDescent="0.35">
      <c r="A88" s="5" t="s">
        <v>8</v>
      </c>
      <c r="B88" s="5">
        <v>546731</v>
      </c>
      <c r="C88" s="5">
        <v>15036</v>
      </c>
      <c r="D88" s="5">
        <v>12</v>
      </c>
      <c r="E88" s="6">
        <v>40618.48541666667</v>
      </c>
      <c r="F88" s="8">
        <v>0.75</v>
      </c>
      <c r="G88" s="5">
        <v>13089</v>
      </c>
      <c r="H88" s="5">
        <f t="shared" si="12"/>
        <v>0.23404255319148937</v>
      </c>
      <c r="I88" s="5">
        <f t="shared" si="13"/>
        <v>6.5076026784813848E-2</v>
      </c>
      <c r="J88" s="5" t="str">
        <f t="shared" si="14"/>
        <v>HIGH</v>
      </c>
      <c r="K88" s="8">
        <f t="shared" si="15"/>
        <v>0</v>
      </c>
      <c r="L88" s="8">
        <f t="shared" si="16"/>
        <v>-0.73456878016155625</v>
      </c>
      <c r="M88" s="5" t="str">
        <f t="shared" si="17"/>
        <v>LOW</v>
      </c>
      <c r="N88" s="5" cm="1">
        <f t="array" aca="1" ref="N88" ca="1">INDEX($N$2:$N$15,RANDBETWEEN(1, ROWS($N$2:$N$15)))</f>
        <v>9</v>
      </c>
      <c r="O88" s="5" cm="1">
        <f t="array" aca="1" ref="O88" ca="1">INDEX($O$2:$O$15,RANDBETWEEN(1, ROWS($O$2:$O$15)))</f>
        <v>5</v>
      </c>
      <c r="P88" s="5"/>
    </row>
    <row r="89" spans="1:16" x14ac:dyDescent="0.35">
      <c r="A89" s="5" t="s">
        <v>8</v>
      </c>
      <c r="B89" s="5">
        <v>546774</v>
      </c>
      <c r="C89" s="5">
        <v>15036</v>
      </c>
      <c r="D89" s="5">
        <v>12</v>
      </c>
      <c r="E89" s="6">
        <v>40618.65625</v>
      </c>
      <c r="F89" s="8">
        <v>0.75</v>
      </c>
      <c r="G89" s="5">
        <v>14505</v>
      </c>
      <c r="H89" s="5">
        <f t="shared" si="12"/>
        <v>0.23404255319148937</v>
      </c>
      <c r="I89" s="5">
        <f t="shared" si="13"/>
        <v>6.5076026784813848E-2</v>
      </c>
      <c r="J89" s="5" t="str">
        <f t="shared" si="14"/>
        <v>HIGH</v>
      </c>
      <c r="K89" s="8">
        <f t="shared" si="15"/>
        <v>0</v>
      </c>
      <c r="L89" s="8">
        <f t="shared" si="16"/>
        <v>-0.73456878016155625</v>
      </c>
      <c r="M89" s="5" t="str">
        <f t="shared" si="17"/>
        <v>LOW</v>
      </c>
      <c r="N89" s="5" cm="1">
        <f t="array" aca="1" ref="N89" ca="1">INDEX($N$2:$N$15,RANDBETWEEN(1, ROWS($N$2:$N$15)))</f>
        <v>9</v>
      </c>
      <c r="O89" s="5" cm="1">
        <f t="array" aca="1" ref="O89" ca="1">INDEX($O$2:$O$15,RANDBETWEEN(1, ROWS($O$2:$O$15)))</f>
        <v>1</v>
      </c>
      <c r="P89" s="5"/>
    </row>
    <row r="90" spans="1:16" x14ac:dyDescent="0.35">
      <c r="A90" s="5" t="s">
        <v>8</v>
      </c>
      <c r="B90" s="5">
        <v>547000</v>
      </c>
      <c r="C90" s="5">
        <v>15036</v>
      </c>
      <c r="D90" s="5">
        <v>12</v>
      </c>
      <c r="E90" s="6">
        <v>40620.57708333333</v>
      </c>
      <c r="F90" s="8">
        <v>0.75</v>
      </c>
      <c r="G90" s="5">
        <v>14282</v>
      </c>
      <c r="H90" s="5">
        <f t="shared" si="12"/>
        <v>0.23404255319148937</v>
      </c>
      <c r="I90" s="5">
        <f t="shared" si="13"/>
        <v>6.5076026784813848E-2</v>
      </c>
      <c r="J90" s="5" t="str">
        <f t="shared" si="14"/>
        <v>HIGH</v>
      </c>
      <c r="K90" s="8">
        <f t="shared" si="15"/>
        <v>0</v>
      </c>
      <c r="L90" s="8">
        <f t="shared" si="16"/>
        <v>-0.73456878016155625</v>
      </c>
      <c r="M90" s="5" t="str">
        <f t="shared" si="17"/>
        <v>LOW</v>
      </c>
      <c r="N90" s="5" cm="1">
        <f t="array" aca="1" ref="N90" ca="1">INDEX($N$2:$N$15,RANDBETWEEN(1, ROWS($N$2:$N$15)))</f>
        <v>9</v>
      </c>
      <c r="O90" s="5" cm="1">
        <f t="array" aca="1" ref="O90" ca="1">INDEX($O$2:$O$15,RANDBETWEEN(1, ROWS($O$2:$O$15)))</f>
        <v>1</v>
      </c>
      <c r="P90" s="5"/>
    </row>
    <row r="91" spans="1:16" x14ac:dyDescent="0.35">
      <c r="A91" s="5" t="s">
        <v>8</v>
      </c>
      <c r="B91" s="5">
        <v>547062</v>
      </c>
      <c r="C91" s="5">
        <v>15036</v>
      </c>
      <c r="D91" s="5">
        <v>12</v>
      </c>
      <c r="E91" s="6">
        <v>40622.561111111114</v>
      </c>
      <c r="F91" s="8">
        <v>0.75</v>
      </c>
      <c r="G91" s="5">
        <v>16728</v>
      </c>
      <c r="H91" s="5">
        <f t="shared" si="12"/>
        <v>0.23404255319148937</v>
      </c>
      <c r="I91" s="5">
        <f t="shared" si="13"/>
        <v>6.5076026784813848E-2</v>
      </c>
      <c r="J91" s="5" t="str">
        <f t="shared" si="14"/>
        <v>HIGH</v>
      </c>
      <c r="K91" s="8">
        <f t="shared" si="15"/>
        <v>0</v>
      </c>
      <c r="L91" s="8">
        <f t="shared" si="16"/>
        <v>-0.73456878016155625</v>
      </c>
      <c r="M91" s="5" t="str">
        <f t="shared" si="17"/>
        <v>LOW</v>
      </c>
      <c r="N91" s="5" cm="1">
        <f t="array" aca="1" ref="N91" ca="1">INDEX($N$2:$N$15,RANDBETWEEN(1, ROWS($N$2:$N$15)))</f>
        <v>9</v>
      </c>
      <c r="O91" s="5" cm="1">
        <f t="array" aca="1" ref="O91" ca="1">INDEX($O$2:$O$15,RANDBETWEEN(1, ROWS($O$2:$O$15)))</f>
        <v>1</v>
      </c>
      <c r="P91" s="5"/>
    </row>
    <row r="92" spans="1:16" x14ac:dyDescent="0.35">
      <c r="A92" s="5" t="s">
        <v>8</v>
      </c>
      <c r="B92" s="5">
        <v>547862</v>
      </c>
      <c r="C92" s="5" t="s">
        <v>1331</v>
      </c>
      <c r="D92" s="5">
        <v>12</v>
      </c>
      <c r="E92" s="6">
        <v>40629.537499999999</v>
      </c>
      <c r="F92" s="8">
        <v>0.75</v>
      </c>
      <c r="G92" s="5">
        <v>12841</v>
      </c>
      <c r="H92" s="5">
        <f t="shared" si="12"/>
        <v>0.23404255319148937</v>
      </c>
      <c r="I92" s="5">
        <f t="shared" si="13"/>
        <v>6.5076026784813848E-2</v>
      </c>
      <c r="J92" s="5" t="str">
        <f t="shared" si="14"/>
        <v>HIGH</v>
      </c>
      <c r="K92" s="8">
        <f t="shared" si="15"/>
        <v>0</v>
      </c>
      <c r="L92" s="8">
        <f t="shared" si="16"/>
        <v>-0.73456878016155625</v>
      </c>
      <c r="M92" s="5" t="str">
        <f t="shared" si="17"/>
        <v>LOW</v>
      </c>
      <c r="N92" s="5" cm="1">
        <f t="array" aca="1" ref="N92" ca="1">INDEX($N$2:$N$15,RANDBETWEEN(1, ROWS($N$2:$N$15)))</f>
        <v>10</v>
      </c>
      <c r="O92" s="5" cm="1">
        <f t="array" aca="1" ref="O92" ca="1">INDEX($O$2:$O$15,RANDBETWEEN(1, ROWS($O$2:$O$15)))</f>
        <v>5</v>
      </c>
      <c r="P92" s="5"/>
    </row>
    <row r="93" spans="1:16" x14ac:dyDescent="0.35">
      <c r="A93" s="5" t="s">
        <v>8</v>
      </c>
      <c r="B93" s="5">
        <v>547879</v>
      </c>
      <c r="C93" s="5">
        <v>15036</v>
      </c>
      <c r="D93" s="5">
        <v>12</v>
      </c>
      <c r="E93" s="6">
        <v>40629.668749999997</v>
      </c>
      <c r="F93" s="8">
        <v>0.75</v>
      </c>
      <c r="G93" s="5">
        <v>12877</v>
      </c>
      <c r="H93" s="5">
        <f t="shared" si="12"/>
        <v>0.23404255319148937</v>
      </c>
      <c r="I93" s="5">
        <f t="shared" si="13"/>
        <v>6.5076026784813848E-2</v>
      </c>
      <c r="J93" s="5" t="str">
        <f t="shared" si="14"/>
        <v>HIGH</v>
      </c>
      <c r="K93" s="8">
        <f t="shared" si="15"/>
        <v>0</v>
      </c>
      <c r="L93" s="8">
        <f t="shared" si="16"/>
        <v>-0.73456878016155625</v>
      </c>
      <c r="M93" s="5" t="str">
        <f t="shared" si="17"/>
        <v>LOW</v>
      </c>
      <c r="N93" s="5" cm="1">
        <f t="array" aca="1" ref="N93" ca="1">INDEX($N$2:$N$15,RANDBETWEEN(1, ROWS($N$2:$N$15)))</f>
        <v>12</v>
      </c>
      <c r="O93" s="5" cm="1">
        <f t="array" aca="1" ref="O93" ca="1">INDEX($O$2:$O$15,RANDBETWEEN(1, ROWS($O$2:$O$15)))</f>
        <v>8</v>
      </c>
      <c r="P93" s="5"/>
    </row>
    <row r="94" spans="1:16" x14ac:dyDescent="0.35">
      <c r="A94" s="5" t="s">
        <v>8</v>
      </c>
      <c r="B94" s="5">
        <v>551174</v>
      </c>
      <c r="C94" s="5">
        <v>15036</v>
      </c>
      <c r="D94" s="5">
        <v>15</v>
      </c>
      <c r="E94" s="6">
        <v>40659.709722222222</v>
      </c>
      <c r="F94" s="8">
        <v>0.83</v>
      </c>
      <c r="G94" s="5" t="s">
        <v>1331</v>
      </c>
      <c r="H94" s="5">
        <f t="shared" si="12"/>
        <v>0.2978723404255319</v>
      </c>
      <c r="I94" s="5">
        <f t="shared" si="13"/>
        <v>0.33753719387288039</v>
      </c>
      <c r="J94" s="5" t="str">
        <f t="shared" si="14"/>
        <v>HIGH</v>
      </c>
      <c r="K94" s="8">
        <f t="shared" si="15"/>
        <v>8.7912087912087877E-2</v>
      </c>
      <c r="L94" s="8">
        <f t="shared" si="16"/>
        <v>-0.49186247751305406</v>
      </c>
      <c r="M94" s="5" t="str">
        <f t="shared" si="17"/>
        <v>LOW</v>
      </c>
      <c r="N94" s="5" cm="1">
        <f t="array" aca="1" ref="N94" ca="1">INDEX($N$2:$N$15,RANDBETWEEN(1, ROWS($N$2:$N$15)))</f>
        <v>9</v>
      </c>
      <c r="O94" s="5" cm="1">
        <f t="array" aca="1" ref="O94" ca="1">INDEX($O$2:$O$15,RANDBETWEEN(1, ROWS($O$2:$O$15)))</f>
        <v>1</v>
      </c>
      <c r="P94" s="5"/>
    </row>
    <row r="95" spans="1:16" x14ac:dyDescent="0.35">
      <c r="A95" s="5" t="s">
        <v>8</v>
      </c>
      <c r="B95" s="5">
        <v>549525</v>
      </c>
      <c r="C95" s="5">
        <v>15036</v>
      </c>
      <c r="D95" s="5">
        <v>17</v>
      </c>
      <c r="E95" s="6">
        <v>40641.655555555553</v>
      </c>
      <c r="F95" s="8">
        <v>1.63</v>
      </c>
      <c r="G95" s="5" t="s">
        <v>1331</v>
      </c>
      <c r="H95" s="5">
        <f t="shared" si="12"/>
        <v>0.34042553191489361</v>
      </c>
      <c r="I95" s="5">
        <f t="shared" si="13"/>
        <v>0.51917797193159143</v>
      </c>
      <c r="J95" s="5" t="str">
        <f t="shared" si="14"/>
        <v>HIGH</v>
      </c>
      <c r="K95" s="8">
        <f t="shared" si="15"/>
        <v>0.96703296703296704</v>
      </c>
      <c r="L95" s="8">
        <f t="shared" si="16"/>
        <v>1.9352005489719684</v>
      </c>
      <c r="M95" s="5" t="str">
        <f t="shared" si="17"/>
        <v>HIGH</v>
      </c>
      <c r="N95" s="5" cm="1">
        <f t="array" aca="1" ref="N95" ca="1">INDEX($N$2:$N$15,RANDBETWEEN(1, ROWS($N$2:$N$15)))</f>
        <v>9</v>
      </c>
      <c r="O95" s="5" cm="1">
        <f t="array" aca="1" ref="O95" ca="1">INDEX($O$2:$O$15,RANDBETWEEN(1, ROWS($O$2:$O$15)))</f>
        <v>5</v>
      </c>
      <c r="P95" s="5"/>
    </row>
    <row r="96" spans="1:16" x14ac:dyDescent="0.35">
      <c r="A96" s="5" t="s">
        <v>8</v>
      </c>
      <c r="B96" s="5">
        <v>546896</v>
      </c>
      <c r="C96" s="5">
        <v>15036</v>
      </c>
      <c r="D96" s="5">
        <v>17</v>
      </c>
      <c r="E96" s="6">
        <v>40619.76666666667</v>
      </c>
      <c r="F96" s="12">
        <v>0.99</v>
      </c>
      <c r="G96" s="5" t="s">
        <v>1331</v>
      </c>
      <c r="H96" s="5">
        <f t="shared" si="12"/>
        <v>0.34042553191489361</v>
      </c>
      <c r="I96" s="5">
        <f t="shared" si="13"/>
        <v>0.51917797193159143</v>
      </c>
      <c r="J96" s="5" t="str">
        <f t="shared" si="14"/>
        <v>HIGH</v>
      </c>
      <c r="K96" s="8">
        <f t="shared" si="15"/>
        <v>0.26373626373626374</v>
      </c>
      <c r="L96" s="8">
        <f t="shared" si="16"/>
        <v>-6.4498722160494185E-3</v>
      </c>
      <c r="M96" s="5" t="str">
        <f t="shared" si="17"/>
        <v>LOW</v>
      </c>
      <c r="N96" s="5" cm="1">
        <f t="array" aca="1" ref="N96" ca="1">INDEX($N$2:$N$15,RANDBETWEEN(1, ROWS($N$2:$N$15)))</f>
        <v>12</v>
      </c>
      <c r="O96" s="5" cm="1">
        <f t="array" aca="1" ref="O96" ca="1">INDEX($O$2:$O$15,RANDBETWEEN(1, ROWS($O$2:$O$15)))</f>
        <v>1</v>
      </c>
      <c r="P96" s="5"/>
    </row>
    <row r="97" spans="1:23" x14ac:dyDescent="0.35">
      <c r="A97" s="5" t="s">
        <v>21</v>
      </c>
      <c r="B97" s="5">
        <v>564337</v>
      </c>
      <c r="C97" s="5">
        <v>10125</v>
      </c>
      <c r="D97" s="5">
        <v>20</v>
      </c>
      <c r="E97" s="6">
        <v>40779.611111111109</v>
      </c>
      <c r="F97" s="8">
        <v>0.85</v>
      </c>
      <c r="G97" s="5">
        <v>12649</v>
      </c>
      <c r="H97" s="5">
        <f t="shared" si="12"/>
        <v>0.40425531914893614</v>
      </c>
      <c r="I97" s="5">
        <f t="shared" si="13"/>
        <v>0.79163913901965799</v>
      </c>
      <c r="J97" s="5" t="str">
        <f t="shared" si="14"/>
        <v>HIGH</v>
      </c>
      <c r="K97" s="8">
        <f t="shared" si="15"/>
        <v>0.10989010989010987</v>
      </c>
      <c r="L97" s="8">
        <f t="shared" si="16"/>
        <v>-0.43118590185092842</v>
      </c>
      <c r="M97" s="5" t="str">
        <f t="shared" si="17"/>
        <v>LOW</v>
      </c>
      <c r="N97" s="5" cm="1">
        <f t="array" aca="1" ref="N97" ca="1">INDEX($N$2:$N$15,RANDBETWEEN(1, ROWS($N$2:$N$15)))</f>
        <v>9</v>
      </c>
      <c r="O97" s="5" cm="1">
        <f t="array" aca="1" ref="O97" ca="1">INDEX($O$2:$O$15,RANDBETWEEN(1, ROWS($O$2:$O$15)))</f>
        <v>1</v>
      </c>
      <c r="P97" s="5"/>
    </row>
    <row r="98" spans="1:23" x14ac:dyDescent="0.35">
      <c r="A98" s="5" t="s">
        <v>21</v>
      </c>
      <c r="B98" s="5">
        <v>571328</v>
      </c>
      <c r="C98" s="5">
        <v>10125</v>
      </c>
      <c r="D98" s="5">
        <v>20</v>
      </c>
      <c r="E98" s="6">
        <v>40833.477083333331</v>
      </c>
      <c r="F98" s="8">
        <v>0.85</v>
      </c>
      <c r="G98" s="5">
        <v>12473</v>
      </c>
      <c r="H98" s="5">
        <f t="shared" ref="H98:H128" si="18">(D98-1)/(48-1)</f>
        <v>0.40425531914893614</v>
      </c>
      <c r="I98" s="5">
        <f t="shared" ref="I98:I128" si="19">(D98-$S$21)/$S$44</f>
        <v>0.79163913901965799</v>
      </c>
      <c r="J98" s="5" t="str">
        <f t="shared" ref="J98:J128" si="20">IF(D98&gt;$S$6, "HIGH", "LOW")</f>
        <v>HIGH</v>
      </c>
      <c r="K98" s="8">
        <f t="shared" ref="K98:K128" si="21">(F98-0.75)/(1.66-0.75)</f>
        <v>0.10989010989010987</v>
      </c>
      <c r="L98" s="8">
        <f t="shared" ref="L98:L128" si="22">(F98-$S$22)/$S$45</f>
        <v>-0.43118590185092842</v>
      </c>
      <c r="M98" s="5" t="str">
        <f t="shared" ref="M98:M128" si="23">IF(F98&gt;$S$7, "HIGH", "LOW")</f>
        <v>LOW</v>
      </c>
      <c r="N98" s="5" cm="1">
        <f t="array" aca="1" ref="N98" ca="1">INDEX($N$2:$N$15,RANDBETWEEN(1, ROWS($N$2:$N$15)))</f>
        <v>9</v>
      </c>
      <c r="O98" s="5" cm="1">
        <f t="array" aca="1" ref="O98" ca="1">INDEX($O$2:$O$15,RANDBETWEEN(1, ROWS($O$2:$O$15)))</f>
        <v>1</v>
      </c>
      <c r="P98" s="5"/>
    </row>
    <row r="99" spans="1:23" x14ac:dyDescent="0.35">
      <c r="A99" s="5" t="s">
        <v>21</v>
      </c>
      <c r="B99" s="5">
        <v>581494</v>
      </c>
      <c r="C99" s="5">
        <v>10125</v>
      </c>
      <c r="D99" s="5">
        <v>20</v>
      </c>
      <c r="E99" s="6">
        <v>40886.425694444442</v>
      </c>
      <c r="F99" s="8">
        <v>0.85</v>
      </c>
      <c r="G99" s="5">
        <v>12518</v>
      </c>
      <c r="H99" s="5">
        <f t="shared" si="18"/>
        <v>0.40425531914893614</v>
      </c>
      <c r="I99" s="5">
        <f t="shared" si="19"/>
        <v>0.79163913901965799</v>
      </c>
      <c r="J99" s="5" t="str">
        <f t="shared" si="20"/>
        <v>HIGH</v>
      </c>
      <c r="K99" s="8">
        <f t="shared" si="21"/>
        <v>0.10989010989010987</v>
      </c>
      <c r="L99" s="8">
        <f t="shared" si="22"/>
        <v>-0.43118590185092842</v>
      </c>
      <c r="M99" s="5" t="str">
        <f t="shared" si="23"/>
        <v>LOW</v>
      </c>
      <c r="N99" s="5" cm="1">
        <f t="array" aca="1" ref="N99" ca="1">INDEX($N$2:$N$15,RANDBETWEEN(1, ROWS($N$2:$N$15)))</f>
        <v>9</v>
      </c>
      <c r="O99" s="5" cm="1">
        <f t="array" aca="1" ref="O99" ca="1">INDEX($O$2:$O$15,RANDBETWEEN(1, ROWS($O$2:$O$15)))</f>
        <v>1</v>
      </c>
      <c r="P99" s="5"/>
      <c r="V99" s="17" t="s">
        <v>71</v>
      </c>
      <c r="W99" t="s">
        <v>1267</v>
      </c>
    </row>
    <row r="100" spans="1:23" x14ac:dyDescent="0.35">
      <c r="A100" s="5" t="s">
        <v>16</v>
      </c>
      <c r="B100" s="5">
        <v>568650</v>
      </c>
      <c r="C100" s="5">
        <v>10125</v>
      </c>
      <c r="D100" s="5">
        <v>20</v>
      </c>
      <c r="E100" s="6">
        <v>40814.49722222222</v>
      </c>
      <c r="F100" s="8">
        <v>0.85</v>
      </c>
      <c r="G100" s="5">
        <v>13505</v>
      </c>
      <c r="H100" s="5">
        <f t="shared" si="18"/>
        <v>0.40425531914893614</v>
      </c>
      <c r="I100" s="5">
        <f t="shared" si="19"/>
        <v>0.79163913901965799</v>
      </c>
      <c r="J100" s="5" t="str">
        <f t="shared" si="20"/>
        <v>HIGH</v>
      </c>
      <c r="K100" s="8">
        <f t="shared" si="21"/>
        <v>0.10989010989010987</v>
      </c>
      <c r="L100" s="8">
        <f t="shared" si="22"/>
        <v>-0.43118590185092842</v>
      </c>
      <c r="M100" s="5" t="str">
        <f t="shared" si="23"/>
        <v>LOW</v>
      </c>
      <c r="N100" s="5" cm="1">
        <f t="array" aca="1" ref="N100" ca="1">INDEX($N$2:$N$15,RANDBETWEEN(1, ROWS($N$2:$N$15)))</f>
        <v>9</v>
      </c>
      <c r="O100" s="5" cm="1">
        <f t="array" aca="1" ref="O100" ca="1">INDEX($O$2:$O$15,RANDBETWEEN(1, ROWS($O$2:$O$15)))</f>
        <v>5</v>
      </c>
      <c r="P100" s="5"/>
      <c r="V100" s="7" t="s">
        <v>7</v>
      </c>
      <c r="W100">
        <v>4</v>
      </c>
    </row>
    <row r="101" spans="1:23" x14ac:dyDescent="0.35">
      <c r="A101" s="5" t="s">
        <v>8</v>
      </c>
      <c r="B101" s="5">
        <v>558868</v>
      </c>
      <c r="C101" s="5">
        <v>10125</v>
      </c>
      <c r="D101" s="5">
        <v>20</v>
      </c>
      <c r="E101" s="6">
        <v>40728.532638888886</v>
      </c>
      <c r="F101" s="8">
        <v>0.85</v>
      </c>
      <c r="G101" s="5">
        <v>13266</v>
      </c>
      <c r="H101" s="5">
        <f t="shared" si="18"/>
        <v>0.40425531914893614</v>
      </c>
      <c r="I101" s="5">
        <f t="shared" si="19"/>
        <v>0.79163913901965799</v>
      </c>
      <c r="J101" s="5" t="str">
        <f t="shared" si="20"/>
        <v>HIGH</v>
      </c>
      <c r="K101" s="8">
        <f t="shared" si="21"/>
        <v>0.10989010989010987</v>
      </c>
      <c r="L101" s="8">
        <f t="shared" si="22"/>
        <v>-0.43118590185092842</v>
      </c>
      <c r="M101" s="5" t="str">
        <f t="shared" si="23"/>
        <v>LOW</v>
      </c>
      <c r="N101" s="5" cm="1">
        <f t="array" aca="1" ref="N101" ca="1">INDEX($N$2:$N$15,RANDBETWEEN(1, ROWS($N$2:$N$15)))</f>
        <v>9</v>
      </c>
      <c r="O101" s="5" cm="1">
        <f t="array" aca="1" ref="O101" ca="1">INDEX($O$2:$O$15,RANDBETWEEN(1, ROWS($O$2:$O$15)))</f>
        <v>5</v>
      </c>
      <c r="P101" s="5"/>
      <c r="V101" s="7" t="s">
        <v>21</v>
      </c>
      <c r="W101">
        <v>22</v>
      </c>
    </row>
    <row r="102" spans="1:23" x14ac:dyDescent="0.35">
      <c r="A102" s="5" t="s">
        <v>8</v>
      </c>
      <c r="B102" s="5">
        <v>559979</v>
      </c>
      <c r="C102" s="5">
        <v>10125</v>
      </c>
      <c r="D102" s="5">
        <v>20</v>
      </c>
      <c r="E102" s="6">
        <v>40738.472222222219</v>
      </c>
      <c r="F102" s="8">
        <v>0.85</v>
      </c>
      <c r="G102" s="5">
        <v>14862</v>
      </c>
      <c r="H102" s="5">
        <f t="shared" si="18"/>
        <v>0.40425531914893614</v>
      </c>
      <c r="I102" s="5">
        <f t="shared" si="19"/>
        <v>0.79163913901965799</v>
      </c>
      <c r="J102" s="5" t="str">
        <f t="shared" si="20"/>
        <v>HIGH</v>
      </c>
      <c r="K102" s="8">
        <f t="shared" si="21"/>
        <v>0.10989010989010987</v>
      </c>
      <c r="L102" s="8">
        <f t="shared" si="22"/>
        <v>-0.43118590185092842</v>
      </c>
      <c r="M102" s="5" t="str">
        <f t="shared" si="23"/>
        <v>LOW</v>
      </c>
      <c r="N102" s="5" cm="1">
        <f t="array" aca="1" ref="N102" ca="1">INDEX($N$2:$N$15,RANDBETWEEN(1, ROWS($N$2:$N$15)))</f>
        <v>4</v>
      </c>
      <c r="O102" s="5" cm="1">
        <f t="array" aca="1" ref="O102" ca="1">INDEX($O$2:$O$15,RANDBETWEEN(1, ROWS($O$2:$O$15)))</f>
        <v>5</v>
      </c>
      <c r="P102" s="5"/>
      <c r="V102" s="7" t="s">
        <v>1331</v>
      </c>
      <c r="W102">
        <v>7</v>
      </c>
    </row>
    <row r="103" spans="1:23" x14ac:dyDescent="0.35">
      <c r="A103" s="5" t="s">
        <v>8</v>
      </c>
      <c r="B103" s="5">
        <v>560366</v>
      </c>
      <c r="C103" s="5">
        <v>10125</v>
      </c>
      <c r="D103" s="5">
        <v>20</v>
      </c>
      <c r="E103" s="6">
        <v>40742.513194444444</v>
      </c>
      <c r="F103" s="8">
        <v>0.85</v>
      </c>
      <c r="G103" s="5">
        <v>16859</v>
      </c>
      <c r="H103" s="5">
        <f t="shared" si="18"/>
        <v>0.40425531914893614</v>
      </c>
      <c r="I103" s="5">
        <f t="shared" si="19"/>
        <v>0.79163913901965799</v>
      </c>
      <c r="J103" s="5" t="str">
        <f t="shared" si="20"/>
        <v>HIGH</v>
      </c>
      <c r="K103" s="8">
        <f t="shared" si="21"/>
        <v>0.10989010989010987</v>
      </c>
      <c r="L103" s="8">
        <f t="shared" si="22"/>
        <v>-0.43118590185092842</v>
      </c>
      <c r="M103" s="5" t="str">
        <f t="shared" si="23"/>
        <v>LOW</v>
      </c>
      <c r="N103" s="5" cm="1">
        <f t="array" aca="1" ref="N103" ca="1">INDEX($N$2:$N$15,RANDBETWEEN(1, ROWS($N$2:$N$15)))</f>
        <v>4</v>
      </c>
      <c r="O103" s="5" cm="1">
        <f t="array" aca="1" ref="O103" ca="1">INDEX($O$2:$O$15,RANDBETWEEN(1, ROWS($O$2:$O$15)))</f>
        <v>1</v>
      </c>
      <c r="P103" s="5"/>
      <c r="V103" s="7" t="s">
        <v>18</v>
      </c>
      <c r="W103">
        <v>7</v>
      </c>
    </row>
    <row r="104" spans="1:23" x14ac:dyDescent="0.35">
      <c r="A104" s="5" t="s">
        <v>8</v>
      </c>
      <c r="B104" s="5">
        <v>563744</v>
      </c>
      <c r="C104" s="5">
        <v>10125</v>
      </c>
      <c r="D104" s="5">
        <v>20</v>
      </c>
      <c r="E104" s="6">
        <v>40774.399305555555</v>
      </c>
      <c r="F104" s="8">
        <v>0.85</v>
      </c>
      <c r="G104" s="5">
        <v>13266</v>
      </c>
      <c r="H104" s="5">
        <f t="shared" si="18"/>
        <v>0.40425531914893614</v>
      </c>
      <c r="I104" s="5">
        <f t="shared" si="19"/>
        <v>0.79163913901965799</v>
      </c>
      <c r="J104" s="5" t="str">
        <f t="shared" si="20"/>
        <v>HIGH</v>
      </c>
      <c r="K104" s="8">
        <f t="shared" si="21"/>
        <v>0.10989010989010987</v>
      </c>
      <c r="L104" s="8">
        <f t="shared" si="22"/>
        <v>-0.43118590185092842</v>
      </c>
      <c r="M104" s="5" t="str">
        <f t="shared" si="23"/>
        <v>LOW</v>
      </c>
      <c r="N104" s="5" cm="1">
        <f t="array" aca="1" ref="N104" ca="1">INDEX($N$2:$N$15,RANDBETWEEN(1, ROWS($N$2:$N$15)))</f>
        <v>12</v>
      </c>
      <c r="O104" s="5" cm="1">
        <f t="array" aca="1" ref="O104" ca="1">INDEX($O$2:$O$15,RANDBETWEEN(1, ROWS($O$2:$O$15)))</f>
        <v>1</v>
      </c>
      <c r="P104" s="5"/>
      <c r="V104" s="7" t="s">
        <v>16</v>
      </c>
      <c r="W104">
        <v>1</v>
      </c>
    </row>
    <row r="105" spans="1:23" x14ac:dyDescent="0.35">
      <c r="A105" s="5" t="s">
        <v>8</v>
      </c>
      <c r="B105" s="5">
        <v>565585</v>
      </c>
      <c r="C105" s="5">
        <v>10125</v>
      </c>
      <c r="D105" s="5">
        <v>20</v>
      </c>
      <c r="E105" s="6">
        <v>40791.556944444441</v>
      </c>
      <c r="F105" s="8">
        <v>0.85</v>
      </c>
      <c r="G105" s="5">
        <v>16172</v>
      </c>
      <c r="H105" s="5">
        <f t="shared" si="18"/>
        <v>0.40425531914893614</v>
      </c>
      <c r="I105" s="5">
        <f t="shared" si="19"/>
        <v>0.79163913901965799</v>
      </c>
      <c r="J105" s="5" t="str">
        <f t="shared" si="20"/>
        <v>HIGH</v>
      </c>
      <c r="K105" s="8">
        <f t="shared" si="21"/>
        <v>0.10989010989010987</v>
      </c>
      <c r="L105" s="8">
        <f t="shared" si="22"/>
        <v>-0.43118590185092842</v>
      </c>
      <c r="M105" s="5" t="str">
        <f t="shared" si="23"/>
        <v>LOW</v>
      </c>
      <c r="N105" s="5" cm="1">
        <f t="array" aca="1" ref="N105" ca="1">INDEX($N$2:$N$15,RANDBETWEEN(1, ROWS($N$2:$N$15)))</f>
        <v>4</v>
      </c>
      <c r="O105" s="5" cm="1">
        <f t="array" aca="1" ref="O105" ca="1">INDEX($O$2:$O$15,RANDBETWEEN(1, ROWS($O$2:$O$15)))</f>
        <v>5</v>
      </c>
      <c r="P105" s="5"/>
      <c r="V105" s="7" t="s">
        <v>8</v>
      </c>
      <c r="W105">
        <v>446</v>
      </c>
    </row>
    <row r="106" spans="1:23" x14ac:dyDescent="0.35">
      <c r="A106" s="5" t="s">
        <v>8</v>
      </c>
      <c r="B106" s="5">
        <v>568568</v>
      </c>
      <c r="C106" s="5">
        <v>10125</v>
      </c>
      <c r="D106" s="5">
        <v>20</v>
      </c>
      <c r="E106" s="6">
        <v>40814.366666666669</v>
      </c>
      <c r="F106" s="8">
        <v>0.85</v>
      </c>
      <c r="G106" s="5">
        <v>14412</v>
      </c>
      <c r="H106" s="5">
        <f t="shared" si="18"/>
        <v>0.40425531914893614</v>
      </c>
      <c r="I106" s="5">
        <f t="shared" si="19"/>
        <v>0.79163913901965799</v>
      </c>
      <c r="J106" s="5" t="str">
        <f t="shared" si="20"/>
        <v>HIGH</v>
      </c>
      <c r="K106" s="8">
        <f t="shared" si="21"/>
        <v>0.10989010989010987</v>
      </c>
      <c r="L106" s="8">
        <f t="shared" si="22"/>
        <v>-0.43118590185092842</v>
      </c>
      <c r="M106" s="5" t="str">
        <f t="shared" si="23"/>
        <v>LOW</v>
      </c>
      <c r="N106" s="5" cm="1">
        <f t="array" aca="1" ref="N106" ca="1">INDEX($N$2:$N$15,RANDBETWEEN(1, ROWS($N$2:$N$15)))</f>
        <v>12</v>
      </c>
      <c r="O106" s="5" cm="1">
        <f t="array" aca="1" ref="O106" ca="1">INDEX($O$2:$O$15,RANDBETWEEN(1, ROWS($O$2:$O$15)))</f>
        <v>8</v>
      </c>
      <c r="P106" s="5"/>
      <c r="V106" s="7" t="s">
        <v>1360</v>
      </c>
    </row>
    <row r="107" spans="1:23" x14ac:dyDescent="0.35">
      <c r="A107" s="5" t="s">
        <v>8</v>
      </c>
      <c r="B107" s="5">
        <v>572558</v>
      </c>
      <c r="C107" s="5">
        <v>10125</v>
      </c>
      <c r="D107" s="5">
        <v>20</v>
      </c>
      <c r="E107" s="6">
        <v>40841.351388888892</v>
      </c>
      <c r="F107" s="8">
        <v>0.85</v>
      </c>
      <c r="G107" s="5">
        <v>14286</v>
      </c>
      <c r="H107" s="5">
        <f t="shared" si="18"/>
        <v>0.40425531914893614</v>
      </c>
      <c r="I107" s="5">
        <f t="shared" si="19"/>
        <v>0.79163913901965799</v>
      </c>
      <c r="J107" s="5" t="str">
        <f t="shared" si="20"/>
        <v>HIGH</v>
      </c>
      <c r="K107" s="8">
        <f t="shared" si="21"/>
        <v>0.10989010989010987</v>
      </c>
      <c r="L107" s="8">
        <f t="shared" si="22"/>
        <v>-0.43118590185092842</v>
      </c>
      <c r="M107" s="5" t="str">
        <f t="shared" si="23"/>
        <v>LOW</v>
      </c>
      <c r="N107" s="5" cm="1">
        <f t="array" aca="1" ref="N107" ca="1">INDEX($N$2:$N$15,RANDBETWEEN(1, ROWS($N$2:$N$15)))</f>
        <v>4</v>
      </c>
      <c r="O107" s="5" cm="1">
        <f t="array" aca="1" ref="O107" ca="1">INDEX($O$2:$O$15,RANDBETWEEN(1, ROWS($O$2:$O$15)))</f>
        <v>5</v>
      </c>
      <c r="P107" s="5"/>
      <c r="V107" s="7" t="s">
        <v>72</v>
      </c>
      <c r="W107">
        <v>487</v>
      </c>
    </row>
    <row r="108" spans="1:23" x14ac:dyDescent="0.35">
      <c r="A108" s="5" t="s">
        <v>8</v>
      </c>
      <c r="B108" s="5">
        <v>547385</v>
      </c>
      <c r="C108" s="5">
        <v>15036</v>
      </c>
      <c r="D108" s="5">
        <v>22</v>
      </c>
      <c r="E108" s="6">
        <v>40624.658333333333</v>
      </c>
      <c r="F108" s="8">
        <v>1.63</v>
      </c>
      <c r="G108" s="5" t="s">
        <v>1331</v>
      </c>
      <c r="H108" s="5">
        <f t="shared" si="18"/>
        <v>0.44680851063829785</v>
      </c>
      <c r="I108" s="5">
        <f t="shared" si="19"/>
        <v>0.97327991707836903</v>
      </c>
      <c r="J108" s="5" t="str">
        <f t="shared" si="20"/>
        <v>HIGH</v>
      </c>
      <c r="K108" s="8">
        <f t="shared" si="21"/>
        <v>0.96703296703296704</v>
      </c>
      <c r="L108" s="8">
        <f t="shared" si="22"/>
        <v>1.9352005489719684</v>
      </c>
      <c r="M108" s="5" t="str">
        <f t="shared" si="23"/>
        <v>HIGH</v>
      </c>
      <c r="N108" s="5" cm="1">
        <f t="array" aca="1" ref="N108" ca="1">INDEX($N$2:$N$15,RANDBETWEEN(1, ROWS($N$2:$N$15)))</f>
        <v>4</v>
      </c>
      <c r="O108" s="5" cm="1">
        <f t="array" aca="1" ref="O108" ca="1">INDEX($O$2:$O$15,RANDBETWEEN(1, ROWS($O$2:$O$15)))</f>
        <v>5</v>
      </c>
      <c r="P108" s="5"/>
    </row>
    <row r="109" spans="1:23" x14ac:dyDescent="0.35">
      <c r="A109" s="5" t="s">
        <v>8</v>
      </c>
      <c r="B109" s="5">
        <v>541219</v>
      </c>
      <c r="C109" s="5">
        <v>10133</v>
      </c>
      <c r="D109" s="5">
        <v>22</v>
      </c>
      <c r="E109" s="6">
        <v>40557.587500000001</v>
      </c>
      <c r="F109" s="8">
        <v>0.79</v>
      </c>
      <c r="G109" s="5" t="s">
        <v>1331</v>
      </c>
      <c r="H109" s="5">
        <f t="shared" si="18"/>
        <v>0.44680851063829785</v>
      </c>
      <c r="I109" s="5">
        <f t="shared" si="19"/>
        <v>0.97327991707836903</v>
      </c>
      <c r="J109" s="5" t="str">
        <f t="shared" si="20"/>
        <v>HIGH</v>
      </c>
      <c r="K109" s="8">
        <f t="shared" si="21"/>
        <v>4.3956043956044001E-2</v>
      </c>
      <c r="L109" s="8">
        <f t="shared" si="22"/>
        <v>-0.61321562883730496</v>
      </c>
      <c r="M109" s="5" t="str">
        <f t="shared" si="23"/>
        <v>LOW</v>
      </c>
      <c r="N109" s="5" cm="1">
        <f t="array" aca="1" ref="N109" ca="1">INDEX($N$2:$N$15,RANDBETWEEN(1, ROWS($N$2:$N$15)))</f>
        <v>12</v>
      </c>
      <c r="O109" s="5" cm="1">
        <f t="array" aca="1" ref="O109" ca="1">INDEX($O$2:$O$15,RANDBETWEEN(1, ROWS($O$2:$O$15)))</f>
        <v>7</v>
      </c>
      <c r="P109" s="5"/>
    </row>
    <row r="110" spans="1:23" x14ac:dyDescent="0.35">
      <c r="A110" s="5" t="s">
        <v>21</v>
      </c>
      <c r="B110" s="5">
        <v>547925</v>
      </c>
      <c r="C110" s="5">
        <v>15036</v>
      </c>
      <c r="D110" s="5">
        <v>24</v>
      </c>
      <c r="E110" s="6">
        <v>40630.581250000003</v>
      </c>
      <c r="F110" s="8">
        <v>0.75</v>
      </c>
      <c r="G110" s="5">
        <v>12481</v>
      </c>
      <c r="H110" s="5">
        <f t="shared" si="18"/>
        <v>0.48936170212765956</v>
      </c>
      <c r="I110" s="5">
        <f t="shared" si="19"/>
        <v>1.1549206951370801</v>
      </c>
      <c r="J110" s="5" t="str">
        <f t="shared" si="20"/>
        <v>HIGH</v>
      </c>
      <c r="K110" s="8">
        <f t="shared" si="21"/>
        <v>0</v>
      </c>
      <c r="L110" s="8">
        <f t="shared" si="22"/>
        <v>-0.73456878016155625</v>
      </c>
      <c r="M110" s="5" t="str">
        <f t="shared" si="23"/>
        <v>LOW</v>
      </c>
      <c r="N110" s="5" cm="1">
        <f t="array" aca="1" ref="N110" ca="1">INDEX($N$2:$N$15,RANDBETWEEN(1, ROWS($N$2:$N$15)))</f>
        <v>9</v>
      </c>
      <c r="O110" s="5" cm="1">
        <f t="array" aca="1" ref="O110" ca="1">INDEX($O$2:$O$15,RANDBETWEEN(1, ROWS($O$2:$O$15)))</f>
        <v>5</v>
      </c>
      <c r="P110" s="5"/>
    </row>
    <row r="111" spans="1:23" x14ac:dyDescent="0.35">
      <c r="A111" s="5" t="s">
        <v>1331</v>
      </c>
      <c r="B111" s="5">
        <v>550315</v>
      </c>
      <c r="C111" s="5">
        <v>15036</v>
      </c>
      <c r="D111" s="5">
        <v>24</v>
      </c>
      <c r="E111" s="6">
        <v>40650.488888888889</v>
      </c>
      <c r="F111" s="8">
        <v>0.83</v>
      </c>
      <c r="G111" s="5">
        <v>17990</v>
      </c>
      <c r="H111" s="5">
        <f t="shared" si="18"/>
        <v>0.48936170212765956</v>
      </c>
      <c r="I111" s="5">
        <f t="shared" si="19"/>
        <v>1.1549206951370801</v>
      </c>
      <c r="J111" s="5" t="str">
        <f t="shared" si="20"/>
        <v>HIGH</v>
      </c>
      <c r="K111" s="8">
        <f t="shared" si="21"/>
        <v>8.7912087912087877E-2</v>
      </c>
      <c r="L111" s="8">
        <f t="shared" si="22"/>
        <v>-0.49186247751305406</v>
      </c>
      <c r="M111" s="5" t="str">
        <f t="shared" si="23"/>
        <v>LOW</v>
      </c>
      <c r="N111" s="5" cm="1">
        <f t="array" aca="1" ref="N111" ca="1">INDEX($N$2:$N$15,RANDBETWEEN(1, ROWS($N$2:$N$15)))</f>
        <v>4</v>
      </c>
      <c r="O111" s="5" cm="1">
        <f t="array" aca="1" ref="O111" ca="1">INDEX($O$2:$O$15,RANDBETWEEN(1, ROWS($O$2:$O$15)))</f>
        <v>1</v>
      </c>
      <c r="P111" s="5"/>
    </row>
    <row r="112" spans="1:23" x14ac:dyDescent="0.35">
      <c r="A112" s="5" t="s">
        <v>8</v>
      </c>
      <c r="B112" s="5">
        <v>537227</v>
      </c>
      <c r="C112" s="5">
        <v>10002</v>
      </c>
      <c r="D112" s="5">
        <v>24</v>
      </c>
      <c r="E112" s="6">
        <v>40518.362500000003</v>
      </c>
      <c r="F112" s="8">
        <v>0.85</v>
      </c>
      <c r="G112" s="5">
        <v>17677</v>
      </c>
      <c r="H112" s="5">
        <f t="shared" si="18"/>
        <v>0.48936170212765956</v>
      </c>
      <c r="I112" s="5">
        <f t="shared" si="19"/>
        <v>1.1549206951370801</v>
      </c>
      <c r="J112" s="5" t="str">
        <f t="shared" si="20"/>
        <v>HIGH</v>
      </c>
      <c r="K112" s="8">
        <f t="shared" si="21"/>
        <v>0.10989010989010987</v>
      </c>
      <c r="L112" s="8">
        <f t="shared" si="22"/>
        <v>-0.43118590185092842</v>
      </c>
      <c r="M112" s="5" t="str">
        <f t="shared" si="23"/>
        <v>LOW</v>
      </c>
      <c r="N112" s="5">
        <v>2</v>
      </c>
      <c r="O112" s="5">
        <v>5</v>
      </c>
      <c r="P112" s="5"/>
    </row>
    <row r="113" spans="1:16" x14ac:dyDescent="0.35">
      <c r="A113" s="5" t="s">
        <v>8</v>
      </c>
      <c r="B113" s="5">
        <v>550138</v>
      </c>
      <c r="C113" s="5">
        <v>15036</v>
      </c>
      <c r="D113" s="5">
        <v>24</v>
      </c>
      <c r="E113" s="6">
        <v>40647.584722222222</v>
      </c>
      <c r="F113" s="8">
        <v>0.83</v>
      </c>
      <c r="G113" s="5">
        <v>12841</v>
      </c>
      <c r="H113" s="5">
        <f t="shared" si="18"/>
        <v>0.48936170212765956</v>
      </c>
      <c r="I113" s="5">
        <f t="shared" si="19"/>
        <v>1.1549206951370801</v>
      </c>
      <c r="J113" s="5" t="str">
        <f t="shared" si="20"/>
        <v>HIGH</v>
      </c>
      <c r="K113" s="8">
        <f t="shared" si="21"/>
        <v>8.7912087912087877E-2</v>
      </c>
      <c r="L113" s="8">
        <f t="shared" si="22"/>
        <v>-0.49186247751305406</v>
      </c>
      <c r="M113" s="5" t="str">
        <f t="shared" si="23"/>
        <v>LOW</v>
      </c>
      <c r="N113" s="5" cm="1">
        <f t="array" aca="1" ref="N113" ca="1">INDEX($N$2:$N$15,RANDBETWEEN(1, ROWS($N$2:$N$15)))</f>
        <v>12</v>
      </c>
      <c r="O113" s="5" cm="1">
        <f t="array" aca="1" ref="O113" ca="1">INDEX($O$2:$O$15,RANDBETWEEN(1, ROWS($O$2:$O$15)))</f>
        <v>5</v>
      </c>
      <c r="P113" s="5"/>
    </row>
    <row r="114" spans="1:16" x14ac:dyDescent="0.35">
      <c r="A114" s="5" t="s">
        <v>8</v>
      </c>
      <c r="B114" s="5">
        <v>550479</v>
      </c>
      <c r="C114" s="5">
        <v>15036</v>
      </c>
      <c r="D114" s="5">
        <v>24</v>
      </c>
      <c r="E114" s="6">
        <v>40651.584027777775</v>
      </c>
      <c r="F114" s="8">
        <v>0.83</v>
      </c>
      <c r="G114" s="5">
        <v>15625</v>
      </c>
      <c r="H114" s="5">
        <f t="shared" si="18"/>
        <v>0.48936170212765956</v>
      </c>
      <c r="I114" s="5">
        <f t="shared" si="19"/>
        <v>1.1549206951370801</v>
      </c>
      <c r="J114" s="5" t="str">
        <f t="shared" si="20"/>
        <v>HIGH</v>
      </c>
      <c r="K114" s="8">
        <f t="shared" si="21"/>
        <v>8.7912087912087877E-2</v>
      </c>
      <c r="L114" s="8">
        <f t="shared" si="22"/>
        <v>-0.49186247751305406</v>
      </c>
      <c r="M114" s="5" t="str">
        <f t="shared" si="23"/>
        <v>LOW</v>
      </c>
      <c r="N114" s="5" cm="1">
        <f t="array" aca="1" ref="N114" ca="1">INDEX($N$2:$N$15,RANDBETWEEN(1, ROWS($N$2:$N$15)))</f>
        <v>12</v>
      </c>
      <c r="O114" s="5" cm="1">
        <f t="array" aca="1" ref="O114" ca="1">INDEX($O$2:$O$15,RANDBETWEEN(1, ROWS($O$2:$O$15)))</f>
        <v>8</v>
      </c>
      <c r="P114" s="5"/>
    </row>
    <row r="115" spans="1:16" x14ac:dyDescent="0.35">
      <c r="A115" s="5" t="s">
        <v>8</v>
      </c>
      <c r="B115" s="5">
        <v>550517</v>
      </c>
      <c r="C115" s="5">
        <v>15036</v>
      </c>
      <c r="D115" s="5">
        <v>24</v>
      </c>
      <c r="E115" s="6">
        <v>40652.345138888886</v>
      </c>
      <c r="F115" s="8">
        <v>0.83</v>
      </c>
      <c r="G115" s="5">
        <v>14352</v>
      </c>
      <c r="H115" s="5">
        <f t="shared" si="18"/>
        <v>0.48936170212765956</v>
      </c>
      <c r="I115" s="5">
        <f t="shared" si="19"/>
        <v>1.1549206951370801</v>
      </c>
      <c r="J115" s="5" t="str">
        <f t="shared" si="20"/>
        <v>HIGH</v>
      </c>
      <c r="K115" s="8">
        <f t="shared" si="21"/>
        <v>8.7912087912087877E-2</v>
      </c>
      <c r="L115" s="8">
        <f t="shared" si="22"/>
        <v>-0.49186247751305406</v>
      </c>
      <c r="M115" s="5" t="str">
        <f t="shared" si="23"/>
        <v>LOW</v>
      </c>
      <c r="N115" s="5" cm="1">
        <f t="array" aca="1" ref="N115" ca="1">INDEX($N$2:$N$15,RANDBETWEEN(1, ROWS($N$2:$N$15)))</f>
        <v>10</v>
      </c>
      <c r="O115" s="5" cm="1">
        <f t="array" aca="1" ref="O115" ca="1">INDEX($O$2:$O$15,RANDBETWEEN(1, ROWS($O$2:$O$15)))</f>
        <v>1</v>
      </c>
      <c r="P115" s="5"/>
    </row>
    <row r="116" spans="1:16" x14ac:dyDescent="0.35">
      <c r="A116" s="5" t="s">
        <v>8</v>
      </c>
      <c r="B116" s="5">
        <v>550519</v>
      </c>
      <c r="C116" s="5">
        <v>15036</v>
      </c>
      <c r="D116" s="5">
        <v>24</v>
      </c>
      <c r="E116" s="6">
        <v>40652.396527777775</v>
      </c>
      <c r="F116" s="8">
        <v>0.83</v>
      </c>
      <c r="G116" s="5">
        <v>13141</v>
      </c>
      <c r="H116" s="5">
        <f t="shared" si="18"/>
        <v>0.48936170212765956</v>
      </c>
      <c r="I116" s="5">
        <f t="shared" si="19"/>
        <v>1.1549206951370801</v>
      </c>
      <c r="J116" s="5" t="str">
        <f t="shared" si="20"/>
        <v>HIGH</v>
      </c>
      <c r="K116" s="8">
        <f t="shared" si="21"/>
        <v>8.7912087912087877E-2</v>
      </c>
      <c r="L116" s="8">
        <f t="shared" si="22"/>
        <v>-0.49186247751305406</v>
      </c>
      <c r="M116" s="5" t="str">
        <f t="shared" si="23"/>
        <v>LOW</v>
      </c>
      <c r="N116" s="5" cm="1">
        <f t="array" aca="1" ref="N116" ca="1">INDEX($N$2:$N$15,RANDBETWEEN(1, ROWS($N$2:$N$15)))</f>
        <v>10</v>
      </c>
      <c r="O116" s="5" cm="1">
        <f t="array" aca="1" ref="O116" ca="1">INDEX($O$2:$O$15,RANDBETWEEN(1, ROWS($O$2:$O$15)))</f>
        <v>8</v>
      </c>
      <c r="P116" s="5"/>
    </row>
    <row r="117" spans="1:16" x14ac:dyDescent="0.35">
      <c r="A117" s="5" t="s">
        <v>8</v>
      </c>
      <c r="B117" s="5">
        <v>550521</v>
      </c>
      <c r="C117" s="5">
        <v>15036</v>
      </c>
      <c r="D117" s="5">
        <v>24</v>
      </c>
      <c r="E117" s="6">
        <v>40652.40902777778</v>
      </c>
      <c r="F117" s="8">
        <v>0.83</v>
      </c>
      <c r="G117" s="5">
        <v>13647</v>
      </c>
      <c r="H117" s="5">
        <f t="shared" si="18"/>
        <v>0.48936170212765956</v>
      </c>
      <c r="I117" s="5">
        <f t="shared" si="19"/>
        <v>1.1549206951370801</v>
      </c>
      <c r="J117" s="5" t="str">
        <f t="shared" si="20"/>
        <v>HIGH</v>
      </c>
      <c r="K117" s="8">
        <f t="shared" si="21"/>
        <v>8.7912087912087877E-2</v>
      </c>
      <c r="L117" s="8">
        <f t="shared" si="22"/>
        <v>-0.49186247751305406</v>
      </c>
      <c r="M117" s="5" t="str">
        <f t="shared" si="23"/>
        <v>LOW</v>
      </c>
      <c r="N117" s="5" cm="1">
        <f t="array" aca="1" ref="N117" ca="1">INDEX($N$2:$N$15,RANDBETWEEN(1, ROWS($N$2:$N$15)))</f>
        <v>10</v>
      </c>
      <c r="O117" s="5" cm="1">
        <f t="array" aca="1" ref="O117" ca="1">INDEX($O$2:$O$15,RANDBETWEEN(1, ROWS($O$2:$O$15)))</f>
        <v>1</v>
      </c>
      <c r="P117" s="5"/>
    </row>
    <row r="118" spans="1:16" x14ac:dyDescent="0.35">
      <c r="A118" s="5" t="s">
        <v>8</v>
      </c>
      <c r="B118" s="5">
        <v>551182</v>
      </c>
      <c r="C118" s="5">
        <v>15036</v>
      </c>
      <c r="D118" s="5">
        <v>24</v>
      </c>
      <c r="E118" s="6">
        <v>40660.363194444442</v>
      </c>
      <c r="F118" s="8">
        <v>0.83</v>
      </c>
      <c r="G118" s="5">
        <v>14282</v>
      </c>
      <c r="H118" s="5">
        <f t="shared" si="18"/>
        <v>0.48936170212765956</v>
      </c>
      <c r="I118" s="5">
        <f t="shared" si="19"/>
        <v>1.1549206951370801</v>
      </c>
      <c r="J118" s="5" t="str">
        <f t="shared" si="20"/>
        <v>HIGH</v>
      </c>
      <c r="K118" s="8">
        <f t="shared" si="21"/>
        <v>8.7912087912087877E-2</v>
      </c>
      <c r="L118" s="8">
        <f t="shared" si="22"/>
        <v>-0.49186247751305406</v>
      </c>
      <c r="M118" s="5" t="str">
        <f t="shared" si="23"/>
        <v>LOW</v>
      </c>
      <c r="N118" s="5" cm="1">
        <f t="array" aca="1" ref="N118" ca="1">INDEX($N$2:$N$15,RANDBETWEEN(1, ROWS($N$2:$N$15)))</f>
        <v>9</v>
      </c>
      <c r="O118" s="5" cm="1">
        <f t="array" aca="1" ref="O118" ca="1">INDEX($O$2:$O$15,RANDBETWEEN(1, ROWS($O$2:$O$15)))</f>
        <v>7</v>
      </c>
      <c r="P118" s="5"/>
    </row>
    <row r="119" spans="1:16" x14ac:dyDescent="0.35">
      <c r="A119" s="5" t="s">
        <v>8</v>
      </c>
      <c r="B119" s="5">
        <v>546731</v>
      </c>
      <c r="C119" s="5">
        <v>15036</v>
      </c>
      <c r="D119" s="5">
        <v>24</v>
      </c>
      <c r="E119" s="6">
        <v>40618.48541666667</v>
      </c>
      <c r="F119" s="8">
        <v>0.75</v>
      </c>
      <c r="G119" s="5">
        <v>13089</v>
      </c>
      <c r="H119" s="5">
        <f t="shared" si="18"/>
        <v>0.48936170212765956</v>
      </c>
      <c r="I119" s="5">
        <f t="shared" si="19"/>
        <v>1.1549206951370801</v>
      </c>
      <c r="J119" s="5" t="str">
        <f t="shared" si="20"/>
        <v>HIGH</v>
      </c>
      <c r="K119" s="8">
        <f t="shared" si="21"/>
        <v>0</v>
      </c>
      <c r="L119" s="8">
        <f t="shared" si="22"/>
        <v>-0.73456878016155625</v>
      </c>
      <c r="M119" s="5" t="str">
        <f t="shared" si="23"/>
        <v>LOW</v>
      </c>
      <c r="N119" s="5" cm="1">
        <f t="array" aca="1" ref="N119" ca="1">INDEX($N$2:$N$15,RANDBETWEEN(1, ROWS($N$2:$N$15)))</f>
        <v>9</v>
      </c>
      <c r="O119" s="5" cm="1">
        <f t="array" aca="1" ref="O119" ca="1">INDEX($O$2:$O$15,RANDBETWEEN(1, ROWS($O$2:$O$15)))</f>
        <v>5</v>
      </c>
      <c r="P119" s="5"/>
    </row>
    <row r="120" spans="1:16" x14ac:dyDescent="0.35">
      <c r="A120" s="5" t="s">
        <v>8</v>
      </c>
      <c r="B120" s="5">
        <v>547078</v>
      </c>
      <c r="C120" s="5">
        <v>15036</v>
      </c>
      <c r="D120" s="5">
        <v>24</v>
      </c>
      <c r="E120" s="6">
        <v>40622.611805555556</v>
      </c>
      <c r="F120" s="8">
        <v>0.75</v>
      </c>
      <c r="G120" s="5">
        <v>14408</v>
      </c>
      <c r="H120" s="5">
        <f t="shared" si="18"/>
        <v>0.48936170212765956</v>
      </c>
      <c r="I120" s="5">
        <f t="shared" si="19"/>
        <v>1.1549206951370801</v>
      </c>
      <c r="J120" s="5" t="str">
        <f t="shared" si="20"/>
        <v>HIGH</v>
      </c>
      <c r="K120" s="8">
        <f t="shared" si="21"/>
        <v>0</v>
      </c>
      <c r="L120" s="8">
        <f t="shared" si="22"/>
        <v>-0.73456878016155625</v>
      </c>
      <c r="M120" s="5" t="str">
        <f t="shared" si="23"/>
        <v>LOW</v>
      </c>
      <c r="N120" s="5" cm="1">
        <f t="array" aca="1" ref="N120" ca="1">INDEX($N$2:$N$15,RANDBETWEEN(1, ROWS($N$2:$N$15)))</f>
        <v>4</v>
      </c>
      <c r="O120" s="5" cm="1">
        <f t="array" aca="1" ref="O120" ca="1">INDEX($O$2:$O$15,RANDBETWEEN(1, ROWS($O$2:$O$15)))</f>
        <v>8</v>
      </c>
      <c r="P120" s="5"/>
    </row>
    <row r="121" spans="1:16" x14ac:dyDescent="0.35">
      <c r="A121" s="5" t="s">
        <v>8</v>
      </c>
      <c r="B121" s="5">
        <v>547200</v>
      </c>
      <c r="C121" s="5">
        <v>15036</v>
      </c>
      <c r="D121" s="5">
        <v>24</v>
      </c>
      <c r="E121" s="6">
        <v>40623.542361111111</v>
      </c>
      <c r="F121" s="8">
        <v>0.75</v>
      </c>
      <c r="G121" s="5">
        <v>16036</v>
      </c>
      <c r="H121" s="5">
        <f t="shared" si="18"/>
        <v>0.48936170212765956</v>
      </c>
      <c r="I121" s="5">
        <f t="shared" si="19"/>
        <v>1.1549206951370801</v>
      </c>
      <c r="J121" s="5" t="str">
        <f t="shared" si="20"/>
        <v>HIGH</v>
      </c>
      <c r="K121" s="8">
        <f t="shared" si="21"/>
        <v>0</v>
      </c>
      <c r="L121" s="8">
        <f t="shared" si="22"/>
        <v>-0.73456878016155625</v>
      </c>
      <c r="M121" s="5" t="str">
        <f t="shared" si="23"/>
        <v>LOW</v>
      </c>
      <c r="N121" s="5" cm="1">
        <f t="array" aca="1" ref="N121" ca="1">INDEX($N$2:$N$15,RANDBETWEEN(1, ROWS($N$2:$N$15)))</f>
        <v>9</v>
      </c>
      <c r="O121" s="5" cm="1">
        <f t="array" aca="1" ref="O121" ca="1">INDEX($O$2:$O$15,RANDBETWEEN(1, ROWS($O$2:$O$15)))</f>
        <v>8</v>
      </c>
      <c r="P121" s="5"/>
    </row>
    <row r="122" spans="1:16" x14ac:dyDescent="0.35">
      <c r="A122" s="5" t="s">
        <v>21</v>
      </c>
      <c r="B122" s="5">
        <v>549316</v>
      </c>
      <c r="C122" s="5">
        <v>15036</v>
      </c>
      <c r="D122" s="5">
        <v>36</v>
      </c>
      <c r="E122" s="6">
        <v>40641.412499999999</v>
      </c>
      <c r="F122" s="8">
        <v>0.75</v>
      </c>
      <c r="G122" s="5">
        <v>12705</v>
      </c>
      <c r="H122" s="5">
        <f t="shared" si="18"/>
        <v>0.74468085106382975</v>
      </c>
      <c r="I122" s="5">
        <f t="shared" si="19"/>
        <v>2.2447653634893463</v>
      </c>
      <c r="J122" s="5" t="str">
        <f t="shared" si="20"/>
        <v>HIGH</v>
      </c>
      <c r="K122" s="8">
        <f t="shared" si="21"/>
        <v>0</v>
      </c>
      <c r="L122" s="8">
        <f t="shared" si="22"/>
        <v>-0.73456878016155625</v>
      </c>
      <c r="M122" s="5" t="str">
        <f t="shared" si="23"/>
        <v>LOW</v>
      </c>
      <c r="N122" s="5" cm="1">
        <f t="array" aca="1" ref="N122" ca="1">INDEX($N$2:$N$15,RANDBETWEEN(1, ROWS($N$2:$N$15)))</f>
        <v>9</v>
      </c>
      <c r="O122" s="5" cm="1">
        <f t="array" aca="1" ref="O122" ca="1">INDEX($O$2:$O$15,RANDBETWEEN(1, ROWS($O$2:$O$15)))</f>
        <v>1</v>
      </c>
      <c r="P122" s="5"/>
    </row>
    <row r="123" spans="1:16" x14ac:dyDescent="0.35">
      <c r="A123" s="5" t="s">
        <v>8</v>
      </c>
      <c r="B123" s="5">
        <v>549431</v>
      </c>
      <c r="C123" s="5">
        <v>15036</v>
      </c>
      <c r="D123" s="5">
        <v>36</v>
      </c>
      <c r="E123" s="6">
        <v>40641.511805555558</v>
      </c>
      <c r="F123" s="8">
        <v>0.83</v>
      </c>
      <c r="G123" s="5">
        <v>15874</v>
      </c>
      <c r="H123" s="5">
        <f t="shared" si="18"/>
        <v>0.74468085106382975</v>
      </c>
      <c r="I123" s="5">
        <f t="shared" si="19"/>
        <v>2.2447653634893463</v>
      </c>
      <c r="J123" s="5" t="str">
        <f t="shared" si="20"/>
        <v>HIGH</v>
      </c>
      <c r="K123" s="8">
        <f t="shared" si="21"/>
        <v>8.7912087912087877E-2</v>
      </c>
      <c r="L123" s="8">
        <f t="shared" si="22"/>
        <v>-0.49186247751305406</v>
      </c>
      <c r="M123" s="5" t="str">
        <f t="shared" si="23"/>
        <v>LOW</v>
      </c>
      <c r="N123" s="5" cm="1">
        <f t="array" aca="1" ref="N123" ca="1">INDEX($N$2:$N$15,RANDBETWEEN(1, ROWS($N$2:$N$15)))</f>
        <v>4</v>
      </c>
      <c r="O123" s="5" cm="1">
        <f t="array" aca="1" ref="O123" ca="1">INDEX($O$2:$O$15,RANDBETWEEN(1, ROWS($O$2:$O$15)))</f>
        <v>1</v>
      </c>
      <c r="P123" s="5"/>
    </row>
    <row r="124" spans="1:16" x14ac:dyDescent="0.35">
      <c r="A124" s="5" t="s">
        <v>8</v>
      </c>
      <c r="B124" s="5">
        <v>563034</v>
      </c>
      <c r="C124" s="5">
        <v>10125</v>
      </c>
      <c r="D124" s="5">
        <v>40</v>
      </c>
      <c r="E124" s="6">
        <v>40766.620138888888</v>
      </c>
      <c r="F124" s="8">
        <v>0.85</v>
      </c>
      <c r="G124" s="5">
        <v>17644</v>
      </c>
      <c r="H124" s="5">
        <f t="shared" si="18"/>
        <v>0.82978723404255317</v>
      </c>
      <c r="I124" s="5">
        <f t="shared" si="19"/>
        <v>2.6080469196067684</v>
      </c>
      <c r="J124" s="5" t="str">
        <f t="shared" si="20"/>
        <v>HIGH</v>
      </c>
      <c r="K124" s="8">
        <f t="shared" si="21"/>
        <v>0.10989010989010987</v>
      </c>
      <c r="L124" s="8">
        <f t="shared" si="22"/>
        <v>-0.43118590185092842</v>
      </c>
      <c r="M124" s="5" t="str">
        <f t="shared" si="23"/>
        <v>LOW</v>
      </c>
      <c r="N124" s="5" cm="1">
        <f t="array" aca="1" ref="N124" ca="1">INDEX($N$2:$N$15,RANDBETWEEN(1, ROWS($N$2:$N$15)))</f>
        <v>9</v>
      </c>
      <c r="O124" s="5" cm="1">
        <f t="array" aca="1" ref="O124" ca="1">INDEX($O$2:$O$15,RANDBETWEEN(1, ROWS($O$2:$O$15)))</f>
        <v>5</v>
      </c>
      <c r="P124" s="5"/>
    </row>
    <row r="125" spans="1:16" x14ac:dyDescent="0.35">
      <c r="A125" s="5" t="s">
        <v>7</v>
      </c>
      <c r="B125" s="5">
        <v>536370</v>
      </c>
      <c r="C125" s="5">
        <v>10002</v>
      </c>
      <c r="D125" s="5">
        <v>48</v>
      </c>
      <c r="E125" s="6">
        <v>40513.364583333336</v>
      </c>
      <c r="F125" s="8">
        <v>0.85</v>
      </c>
      <c r="G125" s="5">
        <v>12583</v>
      </c>
      <c r="H125" s="5">
        <f t="shared" si="18"/>
        <v>1</v>
      </c>
      <c r="I125" s="5">
        <f t="shared" si="19"/>
        <v>3.3346100318416125</v>
      </c>
      <c r="J125" s="5" t="str">
        <f t="shared" si="20"/>
        <v>HIGH</v>
      </c>
      <c r="K125" s="8">
        <f t="shared" si="21"/>
        <v>0.10989010989010987</v>
      </c>
      <c r="L125" s="8">
        <f t="shared" si="22"/>
        <v>-0.43118590185092842</v>
      </c>
      <c r="M125" s="5" t="str">
        <f t="shared" si="23"/>
        <v>LOW</v>
      </c>
      <c r="N125" s="5">
        <v>12</v>
      </c>
      <c r="O125" s="5">
        <v>4</v>
      </c>
      <c r="P125" s="5"/>
    </row>
    <row r="126" spans="1:16" x14ac:dyDescent="0.35">
      <c r="A126" s="5" t="s">
        <v>8</v>
      </c>
      <c r="B126" s="5">
        <v>550323</v>
      </c>
      <c r="C126" s="5">
        <v>15036</v>
      </c>
      <c r="D126" s="5">
        <v>48</v>
      </c>
      <c r="E126" s="6">
        <v>40650.539583333331</v>
      </c>
      <c r="F126" s="8">
        <v>0.83</v>
      </c>
      <c r="G126" s="5">
        <v>13692</v>
      </c>
      <c r="H126" s="5">
        <f t="shared" si="18"/>
        <v>1</v>
      </c>
      <c r="I126" s="5">
        <f t="shared" si="19"/>
        <v>3.3346100318416125</v>
      </c>
      <c r="J126" s="5" t="str">
        <f t="shared" si="20"/>
        <v>HIGH</v>
      </c>
      <c r="K126" s="8">
        <f t="shared" si="21"/>
        <v>8.7912087912087877E-2</v>
      </c>
      <c r="L126" s="8">
        <f t="shared" si="22"/>
        <v>-0.49186247751305406</v>
      </c>
      <c r="M126" s="5" t="str">
        <f t="shared" si="23"/>
        <v>LOW</v>
      </c>
      <c r="N126" s="5" cm="1">
        <f t="array" aca="1" ref="N126" ca="1">INDEX($N$2:$N$15,RANDBETWEEN(1, ROWS($N$2:$N$15)))</f>
        <v>9</v>
      </c>
      <c r="O126" s="5" cm="1">
        <f t="array" aca="1" ref="O126" ca="1">INDEX($O$2:$O$15,RANDBETWEEN(1, ROWS($O$2:$O$15)))</f>
        <v>5</v>
      </c>
      <c r="P126" s="5"/>
    </row>
    <row r="127" spans="1:16" x14ac:dyDescent="0.35">
      <c r="A127" s="5" t="s">
        <v>8</v>
      </c>
      <c r="B127" s="5">
        <v>550336</v>
      </c>
      <c r="C127" s="5">
        <v>15036</v>
      </c>
      <c r="D127" s="5">
        <v>48</v>
      </c>
      <c r="E127" s="6">
        <v>40650.621527777781</v>
      </c>
      <c r="F127" s="8">
        <v>0.83</v>
      </c>
      <c r="G127" s="5">
        <v>13089</v>
      </c>
      <c r="H127" s="5">
        <f t="shared" si="18"/>
        <v>1</v>
      </c>
      <c r="I127" s="5">
        <f t="shared" si="19"/>
        <v>3.3346100318416125</v>
      </c>
      <c r="J127" s="5" t="str">
        <f t="shared" si="20"/>
        <v>HIGH</v>
      </c>
      <c r="K127" s="8">
        <f t="shared" si="21"/>
        <v>8.7912087912087877E-2</v>
      </c>
      <c r="L127" s="8">
        <f t="shared" si="22"/>
        <v>-0.49186247751305406</v>
      </c>
      <c r="M127" s="5" t="str">
        <f t="shared" si="23"/>
        <v>LOW</v>
      </c>
      <c r="N127" s="5" cm="1">
        <f t="array" aca="1" ref="N127" ca="1">INDEX($N$2:$N$15,RANDBETWEEN(1, ROWS($N$2:$N$15)))</f>
        <v>9</v>
      </c>
      <c r="O127" s="5" cm="1">
        <f t="array" aca="1" ref="O127" ca="1">INDEX($O$2:$O$15,RANDBETWEEN(1, ROWS($O$2:$O$15)))</f>
        <v>8</v>
      </c>
      <c r="P127" s="5"/>
    </row>
    <row r="128" spans="1:16" x14ac:dyDescent="0.35">
      <c r="A128" s="5" t="s">
        <v>8</v>
      </c>
      <c r="B128" s="5">
        <v>549259</v>
      </c>
      <c r="C128" s="5">
        <v>15036</v>
      </c>
      <c r="D128" s="5">
        <v>48</v>
      </c>
      <c r="E128" s="6">
        <v>40640.522916666669</v>
      </c>
      <c r="F128" s="8">
        <v>0.75</v>
      </c>
      <c r="G128" s="5">
        <v>13712</v>
      </c>
      <c r="H128" s="5">
        <f t="shared" si="18"/>
        <v>1</v>
      </c>
      <c r="I128" s="5">
        <f t="shared" si="19"/>
        <v>3.3346100318416125</v>
      </c>
      <c r="J128" s="5" t="str">
        <f t="shared" si="20"/>
        <v>HIGH</v>
      </c>
      <c r="K128" s="8">
        <f t="shared" si="21"/>
        <v>0</v>
      </c>
      <c r="L128" s="8">
        <f t="shared" si="22"/>
        <v>-0.73456878016155625</v>
      </c>
      <c r="M128" s="5" t="str">
        <f t="shared" si="23"/>
        <v>LOW</v>
      </c>
      <c r="N128" s="5" cm="1">
        <f t="array" aca="1" ref="N128" ca="1">INDEX($N$2:$N$15,RANDBETWEEN(1, ROWS($N$2:$N$15)))</f>
        <v>4</v>
      </c>
      <c r="O128" s="5" cm="1">
        <f t="array" aca="1" ref="O128" ca="1">INDEX($O$2:$O$15,RANDBETWEEN(1, ROWS($O$2:$O$15)))</f>
        <v>7</v>
      </c>
      <c r="P128" s="5"/>
    </row>
    <row r="133" spans="1:12" x14ac:dyDescent="0.35">
      <c r="A133"/>
      <c r="F133"/>
      <c r="G133"/>
      <c r="H133"/>
      <c r="I133"/>
      <c r="J133"/>
      <c r="K133"/>
      <c r="L133"/>
    </row>
    <row r="134" spans="1:12" x14ac:dyDescent="0.35">
      <c r="A134"/>
      <c r="F134"/>
      <c r="G134"/>
      <c r="H134"/>
      <c r="I134"/>
      <c r="J134"/>
      <c r="K134"/>
      <c r="L134"/>
    </row>
    <row r="135" spans="1:12" x14ac:dyDescent="0.35">
      <c r="A135"/>
      <c r="F135"/>
      <c r="G135"/>
      <c r="H135"/>
      <c r="I135"/>
      <c r="J135"/>
      <c r="K135"/>
      <c r="L135"/>
    </row>
    <row r="136" spans="1:12" x14ac:dyDescent="0.35">
      <c r="A136"/>
      <c r="F136"/>
      <c r="G136"/>
      <c r="H136"/>
      <c r="I136"/>
      <c r="J136"/>
      <c r="K136"/>
      <c r="L136"/>
    </row>
    <row r="137" spans="1:12" x14ac:dyDescent="0.35">
      <c r="A137"/>
      <c r="F137"/>
      <c r="G137"/>
      <c r="H137"/>
      <c r="I137"/>
      <c r="J137"/>
      <c r="K137"/>
      <c r="L137"/>
    </row>
    <row r="138" spans="1:12" x14ac:dyDescent="0.35">
      <c r="A138"/>
      <c r="F138"/>
      <c r="G138"/>
      <c r="H138"/>
      <c r="I138"/>
      <c r="J138"/>
      <c r="K138"/>
      <c r="L138"/>
    </row>
  </sheetData>
  <conditionalFormatting sqref="D1:D1048576">
    <cfRule type="colorScale" priority="4">
      <colorScale>
        <cfvo type="num" val="-28.5"/>
        <cfvo type="num" val="55.5"/>
        <color theme="8" tint="0.79998168889431442"/>
        <color theme="8" tint="-0.249977111117893"/>
      </colorScale>
    </cfRule>
    <cfRule type="colorScale" priority="6">
      <colorScale>
        <cfvo type="min"/>
        <cfvo type="max"/>
        <color theme="8" tint="0.79998168889431442"/>
        <color theme="8"/>
      </colorScale>
    </cfRule>
  </conditionalFormatting>
  <conditionalFormatting sqref="D2:D128">
    <cfRule type="colorScale" priority="5">
      <colorScale>
        <cfvo type="min"/>
        <cfvo type="max"/>
        <color theme="8" tint="0.79998168889431442"/>
        <color theme="8" tint="-0.249977111117893"/>
      </colorScale>
    </cfRule>
    <cfRule type="colorScale" priority="7">
      <colorScale>
        <cfvo type="num" val="0"/>
        <cfvo type="num" val="100"/>
        <color theme="8" tint="0.79998168889431442"/>
        <color theme="8" tint="-0.249977111117893"/>
      </colorScale>
    </cfRule>
  </conditionalFormatting>
  <conditionalFormatting sqref="D3">
    <cfRule type="duplicateValues" dxfId="2" priority="1"/>
  </conditionalFormatting>
  <conditionalFormatting sqref="F1:F1048576">
    <cfRule type="colorScale" priority="2">
      <colorScale>
        <cfvo type="num" val="0.48"/>
        <cfvo type="num" val="1.57"/>
        <color theme="8" tint="0.79998168889431442"/>
        <color theme="8" tint="-0.249977111117893"/>
      </colorScale>
    </cfRule>
  </conditionalFormatting>
  <conditionalFormatting sqref="F139:F1048576 F1:F132">
    <cfRule type="colorScale" priority="3">
      <colorScale>
        <cfvo type="min"/>
        <cfvo type="max"/>
        <color theme="8" tint="0.79998168889431442"/>
        <color theme="8" tint="-0.249977111117893"/>
      </colorScale>
    </cfRule>
  </conditionalFormatting>
  <pageMargins left="0.7" right="0.7" top="0.75" bottom="0.75" header="0.3" footer="0.3"/>
  <drawing r:id="rId5"/>
  <tableParts count="1">
    <tablePart r:id="rId6"/>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AA54A-8A91-4604-A4F3-31A7E99A01E5}">
  <dimension ref="A1:AC138"/>
  <sheetViews>
    <sheetView zoomScale="91" workbookViewId="0">
      <selection activeCell="W55" sqref="W55"/>
    </sheetView>
  </sheetViews>
  <sheetFormatPr defaultRowHeight="14.5" x14ac:dyDescent="0.35"/>
  <cols>
    <col min="1" max="1" width="13.54296875" style="5" bestFit="1" customWidth="1"/>
    <col min="2" max="2" width="14.08984375" style="5" customWidth="1"/>
    <col min="3" max="3" width="13.453125" style="5" customWidth="1"/>
    <col min="4" max="4" width="16.08984375" style="5" customWidth="1"/>
    <col min="5" max="5" width="22.453125" style="5" bestFit="1" customWidth="1"/>
    <col min="6" max="6" width="13.6328125" style="8" bestFit="1" customWidth="1"/>
    <col min="7" max="7" width="12.90625" style="5" customWidth="1"/>
    <col min="8" max="12" width="13.54296875" style="5" customWidth="1"/>
    <col min="13" max="15" width="12.08984375" customWidth="1"/>
    <col min="16" max="16" width="20.26953125" bestFit="1" customWidth="1"/>
    <col min="17" max="17" width="27.81640625" bestFit="1" customWidth="1"/>
    <col min="18" max="18" width="27.81640625" customWidth="1"/>
    <col min="19" max="19" width="12.08984375" customWidth="1"/>
    <col min="20" max="20" width="24.1796875" bestFit="1" customWidth="1"/>
    <col min="21" max="21" width="25.26953125" bestFit="1" customWidth="1"/>
    <col min="22" max="22" width="12.08984375" customWidth="1"/>
    <col min="23" max="23" width="19.54296875" bestFit="1" customWidth="1"/>
    <col min="24" max="24" width="14.81640625" bestFit="1" customWidth="1"/>
    <col min="25" max="25" width="30.08984375" customWidth="1"/>
    <col min="26" max="26" width="24.08984375" bestFit="1" customWidth="1"/>
    <col min="27" max="27" width="11.81640625" customWidth="1"/>
  </cols>
  <sheetData>
    <row r="1" spans="1:29" s="7" customFormat="1" x14ac:dyDescent="0.35">
      <c r="A1" s="7" t="s">
        <v>6</v>
      </c>
      <c r="B1" s="7" t="s">
        <v>0</v>
      </c>
      <c r="C1" s="7" t="s">
        <v>1</v>
      </c>
      <c r="D1" s="7" t="s">
        <v>2</v>
      </c>
      <c r="E1" s="7" t="s">
        <v>3</v>
      </c>
      <c r="F1" s="8" t="s">
        <v>4</v>
      </c>
      <c r="G1" s="7" t="s">
        <v>5</v>
      </c>
      <c r="H1" s="7" t="s">
        <v>48</v>
      </c>
      <c r="I1" s="7" t="s">
        <v>49</v>
      </c>
      <c r="J1" s="7" t="s">
        <v>50</v>
      </c>
      <c r="K1" s="7" t="s">
        <v>51</v>
      </c>
      <c r="L1" s="7" t="s">
        <v>52</v>
      </c>
      <c r="M1" s="7" t="s">
        <v>53</v>
      </c>
      <c r="N1" s="7" t="s">
        <v>93</v>
      </c>
      <c r="O1" s="7" t="s">
        <v>950</v>
      </c>
      <c r="P1" s="7" t="s">
        <v>1343</v>
      </c>
      <c r="Q1" s="7" t="s">
        <v>1344</v>
      </c>
      <c r="R1" s="7" t="s">
        <v>1345</v>
      </c>
    </row>
    <row r="2" spans="1:29" x14ac:dyDescent="0.35">
      <c r="A2" s="5" t="s">
        <v>7</v>
      </c>
      <c r="B2" s="5">
        <v>536370</v>
      </c>
      <c r="C2" s="5">
        <v>10002</v>
      </c>
      <c r="D2" s="5">
        <v>48</v>
      </c>
      <c r="E2" s="6">
        <v>40513.364583333336</v>
      </c>
      <c r="F2" s="8">
        <v>0.85</v>
      </c>
      <c r="G2" s="5">
        <v>12583</v>
      </c>
      <c r="H2" s="5">
        <f t="shared" ref="H2:H33" si="0">(D2-1)/(48-1)</f>
        <v>1</v>
      </c>
      <c r="I2" s="5">
        <f t="shared" ref="I2:I33" si="1">(D2-$Z$21)/$Z$44</f>
        <v>3.3346100318416125</v>
      </c>
      <c r="J2" s="5" t="str">
        <f t="shared" ref="J2:J33" si="2">IF(D2&gt;$Z$6, "HIGH", "LOW")</f>
        <v>HIGH</v>
      </c>
      <c r="K2" s="8">
        <f t="shared" ref="K2:K33" si="3">(F2-0.75)/(1.66-0.75)</f>
        <v>0.10989010989010987</v>
      </c>
      <c r="L2" s="8">
        <f t="shared" ref="L2:L33" si="4">(F2-$Z$22)/$Z$45</f>
        <v>-0.43118590185092137</v>
      </c>
      <c r="M2" s="5" t="str">
        <f t="shared" ref="M2:M33" si="5">IF(F2&gt;$Z$7, "HIGH", "LOW")</f>
        <v>LOW</v>
      </c>
      <c r="N2" s="5">
        <v>12</v>
      </c>
      <c r="O2" s="5">
        <v>4</v>
      </c>
      <c r="P2" s="5">
        <f t="shared" ref="P2:P33" si="6">AVERAGE(B2:O2)</f>
        <v>49961.435658131093</v>
      </c>
      <c r="Q2" s="5" cm="1">
        <f t="array" aca="1" ref="Q2" ca="1">INDEX($D$2:$D$129, RANDBETWEEN(1,128))</f>
        <v>1</v>
      </c>
      <c r="R2" s="5" cm="1">
        <f t="array" aca="1" ref="R2" ca="1">INDEX($F$2:$F$129, RANDBETWEEN(1,129))</f>
        <v>1.63</v>
      </c>
      <c r="S2" s="5"/>
      <c r="T2" s="5"/>
      <c r="U2" s="5"/>
      <c r="V2" s="5"/>
      <c r="W2" s="5"/>
    </row>
    <row r="3" spans="1:29" x14ac:dyDescent="0.35">
      <c r="A3" s="5" t="s">
        <v>8</v>
      </c>
      <c r="B3" s="5">
        <v>536382</v>
      </c>
      <c r="C3" s="5">
        <v>10002</v>
      </c>
      <c r="D3" s="5">
        <v>12</v>
      </c>
      <c r="E3" s="6">
        <v>40513.40625</v>
      </c>
      <c r="F3" s="8">
        <v>0.85</v>
      </c>
      <c r="G3" s="5">
        <v>16098</v>
      </c>
      <c r="H3" s="5">
        <f t="shared" si="0"/>
        <v>0.23404255319148937</v>
      </c>
      <c r="I3" s="5">
        <f t="shared" si="1"/>
        <v>6.5076026784813848E-2</v>
      </c>
      <c r="J3" s="5" t="str">
        <f t="shared" si="2"/>
        <v>HIGH</v>
      </c>
      <c r="K3" s="8">
        <f t="shared" si="3"/>
        <v>0.10989010989010987</v>
      </c>
      <c r="L3" s="8">
        <f t="shared" si="4"/>
        <v>-0.43118590185092137</v>
      </c>
      <c r="M3" s="5" t="str">
        <f t="shared" si="5"/>
        <v>LOW</v>
      </c>
      <c r="N3" s="5">
        <v>4</v>
      </c>
      <c r="O3" s="5">
        <v>1</v>
      </c>
      <c r="P3" s="5">
        <f t="shared" si="6"/>
        <v>50251.102839399005</v>
      </c>
      <c r="Q3" s="5" cm="1">
        <f t="array" aca="1" ref="Q3" ca="1">INDEX($D$2:$D$129, RANDBETWEEN(1,128))</f>
        <v>12</v>
      </c>
      <c r="R3" s="5" cm="1">
        <f t="array" aca="1" ref="R3" ca="1">INDEX($F$2:$F$129, RANDBETWEEN(1,129))</f>
        <v>0.85</v>
      </c>
      <c r="S3" s="5"/>
      <c r="T3" s="5"/>
      <c r="U3" s="5"/>
      <c r="V3" s="5"/>
      <c r="W3" s="5"/>
    </row>
    <row r="4" spans="1:29" x14ac:dyDescent="0.35">
      <c r="A4" s="5" t="s">
        <v>8</v>
      </c>
      <c r="B4" s="5">
        <v>536446</v>
      </c>
      <c r="C4" s="5">
        <v>10133</v>
      </c>
      <c r="D4" s="5">
        <v>5</v>
      </c>
      <c r="E4" s="6">
        <v>40513.510416666664</v>
      </c>
      <c r="F4" s="8">
        <v>0.85</v>
      </c>
      <c r="G4" s="5">
        <v>15983</v>
      </c>
      <c r="H4" s="5">
        <f t="shared" si="0"/>
        <v>8.5106382978723402E-2</v>
      </c>
      <c r="I4" s="5">
        <f t="shared" si="1"/>
        <v>-0.5706666964206748</v>
      </c>
      <c r="J4" s="5" t="str">
        <f t="shared" si="2"/>
        <v>LOW</v>
      </c>
      <c r="K4" s="8">
        <f t="shared" si="3"/>
        <v>0.10989010989010987</v>
      </c>
      <c r="L4" s="8">
        <f t="shared" si="4"/>
        <v>-0.43118590185092137</v>
      </c>
      <c r="M4" s="5" t="str">
        <f t="shared" si="5"/>
        <v>LOW</v>
      </c>
      <c r="N4" s="5" cm="1">
        <f t="array" aca="1" ref="N4" ca="1">INDEX($N$2:$N$15,RANDBETWEEN(1, ROWS($N$2:$N$15)))</f>
        <v>4</v>
      </c>
      <c r="O4" s="5" cm="1">
        <f t="array" aca="1" ref="O4" ca="1">INDEX($O$2:$O$15,RANDBETWEEN(1, ROWS($O$2:$O$15)))</f>
        <v>5</v>
      </c>
      <c r="P4" s="5">
        <f t="shared" ca="1" si="6"/>
        <v>50257.462796713429</v>
      </c>
      <c r="Q4" s="5" cm="1">
        <f t="array" aca="1" ref="Q4" ca="1">INDEX($D$2:$D$129, RANDBETWEEN(1,128))</f>
        <v>20</v>
      </c>
      <c r="R4" s="5" cm="1">
        <f t="array" aca="1" ref="R4" ca="1">INDEX($F$2:$F$129, RANDBETWEEN(1,129))</f>
        <v>0.85</v>
      </c>
      <c r="S4" s="5"/>
      <c r="T4" s="29" t="s">
        <v>1268</v>
      </c>
      <c r="U4" s="20"/>
      <c r="V4" s="5"/>
      <c r="W4" s="5"/>
      <c r="Y4" s="7"/>
    </row>
    <row r="5" spans="1:29" x14ac:dyDescent="0.35">
      <c r="A5" s="5" t="s">
        <v>8</v>
      </c>
      <c r="B5" s="5">
        <v>536756</v>
      </c>
      <c r="C5" s="5">
        <v>10002</v>
      </c>
      <c r="D5" s="5">
        <v>1</v>
      </c>
      <c r="E5" s="6">
        <v>40514.599305555559</v>
      </c>
      <c r="F5" s="8">
        <v>0.85</v>
      </c>
      <c r="G5" s="5" t="s">
        <v>1331</v>
      </c>
      <c r="H5" s="5">
        <f t="shared" si="0"/>
        <v>0</v>
      </c>
      <c r="I5" s="5">
        <f t="shared" si="1"/>
        <v>-0.93394825253809688</v>
      </c>
      <c r="J5" s="5" t="str">
        <f t="shared" si="2"/>
        <v>LOW</v>
      </c>
      <c r="K5" s="8">
        <f t="shared" si="3"/>
        <v>0.10989010989010987</v>
      </c>
      <c r="L5" s="8">
        <f t="shared" si="4"/>
        <v>-0.43118590185092137</v>
      </c>
      <c r="M5" s="5" t="str">
        <f t="shared" si="5"/>
        <v>LOW</v>
      </c>
      <c r="N5" s="5">
        <v>9</v>
      </c>
      <c r="O5" s="5">
        <v>5</v>
      </c>
      <c r="P5" s="5">
        <f t="shared" si="6"/>
        <v>53389.744914682815</v>
      </c>
      <c r="Q5" s="5" cm="1">
        <f t="array" aca="1" ref="Q5" ca="1">INDEX($D$2:$D$129, RANDBETWEEN(1,128))</f>
        <v>12</v>
      </c>
      <c r="R5" s="5" cm="1">
        <f t="array" aca="1" ref="R5" ca="1">INDEX($F$2:$F$129, RANDBETWEEN(1,129))</f>
        <v>0.85</v>
      </c>
      <c r="S5" s="5"/>
      <c r="T5" s="20" t="s">
        <v>1269</v>
      </c>
      <c r="U5" s="20" t="s">
        <v>2</v>
      </c>
      <c r="V5" s="5"/>
      <c r="W5" s="5"/>
      <c r="X5" s="7"/>
      <c r="Z5" s="7"/>
      <c r="AA5" s="7"/>
      <c r="AB5" s="7"/>
      <c r="AC5" s="7"/>
    </row>
    <row r="6" spans="1:29" x14ac:dyDescent="0.35">
      <c r="A6" s="5" t="s">
        <v>8</v>
      </c>
      <c r="B6" s="5">
        <v>536863</v>
      </c>
      <c r="C6" s="5">
        <v>10002</v>
      </c>
      <c r="D6" s="5">
        <v>1</v>
      </c>
      <c r="E6" s="6">
        <v>40515.47152777778</v>
      </c>
      <c r="F6" s="8">
        <v>0.85</v>
      </c>
      <c r="G6" s="5">
        <v>17967</v>
      </c>
      <c r="H6" s="5">
        <f t="shared" si="0"/>
        <v>0</v>
      </c>
      <c r="I6" s="5">
        <f t="shared" si="1"/>
        <v>-0.93394825253809688</v>
      </c>
      <c r="J6" s="5" t="str">
        <f t="shared" si="2"/>
        <v>LOW</v>
      </c>
      <c r="K6" s="8">
        <f t="shared" si="3"/>
        <v>0.10989010989010987</v>
      </c>
      <c r="L6" s="8">
        <f t="shared" si="4"/>
        <v>-0.43118590185092137</v>
      </c>
      <c r="M6" s="5" t="str">
        <f t="shared" si="5"/>
        <v>LOW</v>
      </c>
      <c r="N6" s="5">
        <v>9</v>
      </c>
      <c r="O6" s="5">
        <v>1</v>
      </c>
      <c r="P6" s="5">
        <f t="shared" si="6"/>
        <v>50446.505523644424</v>
      </c>
      <c r="Q6" s="5" cm="1">
        <f t="array" aca="1" ref="Q6" ca="1">INDEX($D$2:$D$129, RANDBETWEEN(1,128))</f>
        <v>5</v>
      </c>
      <c r="R6" s="5" cm="1">
        <f t="array" aca="1" ref="R6" ca="1">INDEX($F$2:$F$129, RANDBETWEEN(1,129))</f>
        <v>0.81</v>
      </c>
      <c r="S6" s="5"/>
      <c r="T6" s="20" t="s">
        <v>1270</v>
      </c>
      <c r="U6" s="20">
        <f>COUNT(D:D)</f>
        <v>127</v>
      </c>
      <c r="V6" s="5"/>
      <c r="W6" s="5"/>
      <c r="Y6" s="20" t="s">
        <v>26</v>
      </c>
      <c r="Z6" s="20">
        <f>AVERAGE(D:D)</f>
        <v>11.283464566929133</v>
      </c>
    </row>
    <row r="7" spans="1:29" x14ac:dyDescent="0.35">
      <c r="A7" s="5" t="s">
        <v>8</v>
      </c>
      <c r="B7" s="5">
        <v>536865</v>
      </c>
      <c r="C7" s="5">
        <v>10002</v>
      </c>
      <c r="D7" s="11">
        <v>11</v>
      </c>
      <c r="E7" s="6">
        <v>40515.477777777778</v>
      </c>
      <c r="F7" s="8">
        <v>1.66</v>
      </c>
      <c r="G7" s="5" t="s">
        <v>1331</v>
      </c>
      <c r="H7" s="5">
        <f t="shared" si="0"/>
        <v>0.21276595744680851</v>
      </c>
      <c r="I7" s="5">
        <f t="shared" si="1"/>
        <v>-2.5744362244541675E-2</v>
      </c>
      <c r="J7" s="5" t="str">
        <f t="shared" si="2"/>
        <v>LOW</v>
      </c>
      <c r="K7" s="8">
        <f t="shared" si="3"/>
        <v>1</v>
      </c>
      <c r="L7" s="8">
        <f t="shared" si="4"/>
        <v>2.0262154124651373</v>
      </c>
      <c r="M7" s="5" t="str">
        <f t="shared" si="5"/>
        <v>HIGH</v>
      </c>
      <c r="N7" s="5">
        <v>11</v>
      </c>
      <c r="O7" s="5">
        <v>4</v>
      </c>
      <c r="P7" s="5">
        <f t="shared" si="6"/>
        <v>53401.213728616858</v>
      </c>
      <c r="Q7" s="5" cm="1">
        <f t="array" aca="1" ref="Q7" ca="1">INDEX($D$2:$D$129, RANDBETWEEN(1,128))</f>
        <v>10</v>
      </c>
      <c r="R7" s="5" cm="1">
        <f t="array" aca="1" ref="R7" ca="1">INDEX($F$2:$F$129, RANDBETWEEN(1,129))</f>
        <v>0.75</v>
      </c>
      <c r="S7" s="5"/>
      <c r="T7" s="20" t="s">
        <v>1271</v>
      </c>
      <c r="U7" s="20">
        <f>AVERAGE(D:D)</f>
        <v>11.283464566929133</v>
      </c>
      <c r="V7" s="5"/>
      <c r="W7" s="5"/>
      <c r="Y7" s="20" t="s">
        <v>27</v>
      </c>
      <c r="Z7" s="21">
        <f>AVERAGE(F:F)</f>
        <v>0.99212598425196663</v>
      </c>
    </row>
    <row r="8" spans="1:29" x14ac:dyDescent="0.35">
      <c r="A8" s="5" t="s">
        <v>8</v>
      </c>
      <c r="B8" s="5">
        <v>536876</v>
      </c>
      <c r="C8" s="5">
        <v>10002</v>
      </c>
      <c r="D8" s="5">
        <v>2</v>
      </c>
      <c r="E8" s="6">
        <v>40515.48333333333</v>
      </c>
      <c r="F8" s="8">
        <v>1.66</v>
      </c>
      <c r="G8" s="5" t="s">
        <v>1331</v>
      </c>
      <c r="H8" s="5">
        <f t="shared" si="0"/>
        <v>2.1276595744680851E-2</v>
      </c>
      <c r="I8" s="5">
        <f t="shared" si="1"/>
        <v>-0.84312786350874136</v>
      </c>
      <c r="J8" s="5" t="str">
        <f t="shared" si="2"/>
        <v>LOW</v>
      </c>
      <c r="K8" s="8">
        <f t="shared" si="3"/>
        <v>1</v>
      </c>
      <c r="L8" s="8">
        <f t="shared" si="4"/>
        <v>2.0262154124651373</v>
      </c>
      <c r="M8" s="5" t="str">
        <f t="shared" si="5"/>
        <v>HIGH</v>
      </c>
      <c r="N8" s="5">
        <v>8</v>
      </c>
      <c r="O8" s="5">
        <v>3</v>
      </c>
      <c r="P8" s="5">
        <f t="shared" si="6"/>
        <v>53400.940699770726</v>
      </c>
      <c r="Q8" s="5" cm="1">
        <f t="array" aca="1" ref="Q8" ca="1">INDEX($D$2:$D$129, RANDBETWEEN(1,128))</f>
        <v>20</v>
      </c>
      <c r="R8" s="5" cm="1">
        <f t="array" aca="1" ref="R8" ca="1">INDEX($F$2:$F$129, RANDBETWEEN(1,129))</f>
        <v>0.85</v>
      </c>
      <c r="S8" s="5"/>
      <c r="T8" s="20" t="s">
        <v>1272</v>
      </c>
      <c r="U8" s="20">
        <f>_xlfn.STDEV.S(D:D)</f>
        <v>11.010743410015277</v>
      </c>
      <c r="V8" s="5"/>
      <c r="W8" s="5"/>
      <c r="Y8" s="20"/>
      <c r="Z8" s="20"/>
    </row>
    <row r="9" spans="1:29" x14ac:dyDescent="0.35">
      <c r="A9" s="5" t="s">
        <v>8</v>
      </c>
      <c r="B9" s="5">
        <v>536876</v>
      </c>
      <c r="C9" s="5">
        <v>10133</v>
      </c>
      <c r="D9" s="5">
        <v>1</v>
      </c>
      <c r="E9" s="6">
        <v>40515.48333333333</v>
      </c>
      <c r="F9" s="8">
        <v>1.66</v>
      </c>
      <c r="G9" s="5" t="s">
        <v>1331</v>
      </c>
      <c r="H9" s="5">
        <f t="shared" si="0"/>
        <v>0</v>
      </c>
      <c r="I9" s="5">
        <f t="shared" si="1"/>
        <v>-0.93394825253809688</v>
      </c>
      <c r="J9" s="5" t="str">
        <f t="shared" si="2"/>
        <v>LOW</v>
      </c>
      <c r="K9" s="8">
        <f t="shared" si="3"/>
        <v>1</v>
      </c>
      <c r="L9" s="8">
        <f t="shared" si="4"/>
        <v>2.0262154124651373</v>
      </c>
      <c r="M9" s="5" t="str">
        <f t="shared" si="5"/>
        <v>HIGH</v>
      </c>
      <c r="N9" s="5" cm="1">
        <f t="array" aca="1" ref="N9" ca="1">INDEX($N$2:$N$15,RANDBETWEEN(1, ROWS($N$2:$N$15)))</f>
        <v>4</v>
      </c>
      <c r="O9" s="5" cm="1">
        <f t="array" aca="1" ref="O9" ca="1">INDEX($O$2:$O$15,RANDBETWEEN(1, ROWS($O$2:$O$15)))</f>
        <v>4</v>
      </c>
      <c r="P9" s="5">
        <f t="shared" ca="1" si="6"/>
        <v>53412.475963681194</v>
      </c>
      <c r="Q9" s="5" cm="1">
        <f t="array" aca="1" ref="Q9" ca="1">INDEX($D$2:$D$129, RANDBETWEEN(1,128))</f>
        <v>40</v>
      </c>
      <c r="R9" s="5" cm="1">
        <f t="array" aca="1" ref="R9" ca="1">INDEX($F$2:$F$129, RANDBETWEEN(1,129))</f>
        <v>0.79</v>
      </c>
      <c r="S9" s="5"/>
      <c r="T9" s="20" t="s">
        <v>1273</v>
      </c>
      <c r="U9" s="20">
        <v>0.95</v>
      </c>
      <c r="V9" s="5"/>
      <c r="W9" s="5"/>
      <c r="Y9" s="20"/>
      <c r="Z9" s="20"/>
    </row>
    <row r="10" spans="1:29" x14ac:dyDescent="0.35">
      <c r="A10" s="5" t="s">
        <v>8</v>
      </c>
      <c r="B10" s="5">
        <v>537225</v>
      </c>
      <c r="C10" s="5">
        <v>10133</v>
      </c>
      <c r="D10" s="5">
        <v>10</v>
      </c>
      <c r="E10" s="10">
        <v>40517</v>
      </c>
      <c r="F10" s="8">
        <v>0.85</v>
      </c>
      <c r="G10" s="5">
        <v>12748</v>
      </c>
      <c r="H10" s="5">
        <f t="shared" si="0"/>
        <v>0.19148936170212766</v>
      </c>
      <c r="I10" s="5">
        <f t="shared" si="1"/>
        <v>-0.11656475127389719</v>
      </c>
      <c r="J10" s="5" t="str">
        <f t="shared" si="2"/>
        <v>LOW</v>
      </c>
      <c r="K10" s="8">
        <f t="shared" si="3"/>
        <v>0.10989010989010987</v>
      </c>
      <c r="L10" s="8">
        <f t="shared" si="4"/>
        <v>-0.43118590185092137</v>
      </c>
      <c r="M10" s="5" t="str">
        <f t="shared" si="5"/>
        <v>LOW</v>
      </c>
      <c r="N10" s="5" cm="1">
        <f t="array" aca="1" ref="N10" ca="1">INDEX($N$2:$N$15,RANDBETWEEN(1, ROWS($N$2:$N$15)))</f>
        <v>4</v>
      </c>
      <c r="O10" s="5" cm="1">
        <f t="array" aca="1" ref="O10" ca="1">INDEX($O$2:$O$15,RANDBETWEEN(1, ROWS($O$2:$O$15)))</f>
        <v>5</v>
      </c>
      <c r="P10" s="5">
        <f t="shared" ca="1" si="6"/>
        <v>50053.550302401534</v>
      </c>
      <c r="Q10" s="5" cm="1">
        <f t="array" aca="1" ref="Q10" ca="1">INDEX($D$2:$D$129, RANDBETWEEN(1,128))</f>
        <v>12</v>
      </c>
      <c r="R10" s="5" cm="1">
        <f t="array" aca="1" ref="R10" ca="1">INDEX($F$2:$F$129, RANDBETWEEN(1,129))</f>
        <v>0.85</v>
      </c>
      <c r="S10" s="5"/>
      <c r="T10" s="20" t="s">
        <v>1274</v>
      </c>
      <c r="U10" s="20">
        <f>1-0.95</f>
        <v>5.0000000000000044E-2</v>
      </c>
      <c r="V10" s="5"/>
      <c r="W10" s="5"/>
      <c r="Y10" s="20" t="s">
        <v>28</v>
      </c>
      <c r="Z10" s="20">
        <f>MAX(D:D)</f>
        <v>48</v>
      </c>
    </row>
    <row r="11" spans="1:29" x14ac:dyDescent="0.35">
      <c r="A11" s="5" t="s">
        <v>8</v>
      </c>
      <c r="B11" s="5">
        <v>537047</v>
      </c>
      <c r="C11" s="5">
        <v>10002</v>
      </c>
      <c r="D11" s="5">
        <v>1</v>
      </c>
      <c r="E11" s="6">
        <v>40517.459722222222</v>
      </c>
      <c r="F11" s="8">
        <v>0.85</v>
      </c>
      <c r="G11" s="5">
        <v>13069</v>
      </c>
      <c r="H11" s="5">
        <f t="shared" si="0"/>
        <v>0</v>
      </c>
      <c r="I11" s="5">
        <f t="shared" si="1"/>
        <v>-0.93394825253809688</v>
      </c>
      <c r="J11" s="5" t="str">
        <f t="shared" si="2"/>
        <v>LOW</v>
      </c>
      <c r="K11" s="8">
        <f t="shared" si="3"/>
        <v>0.10989010989010987</v>
      </c>
      <c r="L11" s="8">
        <f t="shared" si="4"/>
        <v>-0.43118590185092137</v>
      </c>
      <c r="M11" s="5" t="str">
        <f t="shared" si="5"/>
        <v>LOW</v>
      </c>
      <c r="N11" s="5">
        <v>4</v>
      </c>
      <c r="O11" s="5">
        <v>5</v>
      </c>
      <c r="P11" s="5">
        <f t="shared" si="6"/>
        <v>50053.754539848131</v>
      </c>
      <c r="Q11" s="5" cm="1">
        <f t="array" aca="1" ref="Q11" ca="1">INDEX($D$2:$D$129, RANDBETWEEN(1,128))</f>
        <v>12</v>
      </c>
      <c r="R11" s="5" cm="1">
        <f t="array" aca="1" ref="R11" ca="1">INDEX($F$2:$F$129, RANDBETWEEN(1,129))</f>
        <v>0.85</v>
      </c>
      <c r="S11" s="5"/>
      <c r="T11" s="20" t="s">
        <v>1275</v>
      </c>
      <c r="U11" s="20">
        <f>_xlfn.CONFIDENCE.NORM(0.05,$U$8,129)</f>
        <v>1.900071211978728</v>
      </c>
      <c r="V11" s="5"/>
      <c r="W11" s="5"/>
      <c r="Y11" s="20" t="s">
        <v>29</v>
      </c>
      <c r="Z11" s="20">
        <f>MIN(D:D)</f>
        <v>1</v>
      </c>
    </row>
    <row r="12" spans="1:29" x14ac:dyDescent="0.35">
      <c r="A12" s="5" t="s">
        <v>8</v>
      </c>
      <c r="B12" s="5">
        <v>537126</v>
      </c>
      <c r="C12" s="5">
        <v>10133</v>
      </c>
      <c r="D12" s="5">
        <v>1</v>
      </c>
      <c r="E12" s="6">
        <v>40517.509027777778</v>
      </c>
      <c r="F12" s="8">
        <v>0.85</v>
      </c>
      <c r="G12" s="5">
        <v>18118</v>
      </c>
      <c r="H12" s="5">
        <f t="shared" si="0"/>
        <v>0</v>
      </c>
      <c r="I12" s="5">
        <f t="shared" si="1"/>
        <v>-0.93394825253809688</v>
      </c>
      <c r="J12" s="5" t="str">
        <f t="shared" si="2"/>
        <v>LOW</v>
      </c>
      <c r="K12" s="8">
        <f t="shared" si="3"/>
        <v>0.10989010989010987</v>
      </c>
      <c r="L12" s="8">
        <f t="shared" si="4"/>
        <v>-0.43118590185092137</v>
      </c>
      <c r="M12" s="5" t="str">
        <f t="shared" si="5"/>
        <v>LOW</v>
      </c>
      <c r="N12" s="5" cm="1">
        <f t="array" aca="1" ref="N12" ca="1">INDEX($N$2:$N$15,RANDBETWEEN(1, ROWS($N$2:$N$15)))</f>
        <v>4</v>
      </c>
      <c r="O12" s="5" cm="1">
        <f t="array" aca="1" ref="O12" ca="1">INDEX($O$2:$O$15,RANDBETWEEN(1, ROWS($O$2:$O$15)))</f>
        <v>5</v>
      </c>
      <c r="P12" s="5">
        <f t="shared" ca="1" si="6"/>
        <v>50492.008648644434</v>
      </c>
      <c r="Q12" s="5" cm="1">
        <f t="array" aca="1" ref="Q12" ca="1">INDEX($D$2:$D$129, RANDBETWEEN(1,128))</f>
        <v>24</v>
      </c>
      <c r="R12" s="5" cm="1">
        <f t="array" aca="1" ref="R12" ca="1">INDEX($F$2:$F$129, RANDBETWEEN(1,129))</f>
        <v>1.63</v>
      </c>
      <c r="S12" s="5"/>
      <c r="T12" s="20" t="s">
        <v>1276</v>
      </c>
      <c r="U12" s="20">
        <f>U7-U11</f>
        <v>9.3833933549504049</v>
      </c>
      <c r="V12" s="5"/>
      <c r="W12" s="5"/>
      <c r="Y12" s="20"/>
      <c r="Z12" s="20"/>
    </row>
    <row r="13" spans="1:29" x14ac:dyDescent="0.35">
      <c r="A13" s="5" t="s">
        <v>8</v>
      </c>
      <c r="B13" s="5">
        <v>537155</v>
      </c>
      <c r="C13" s="5">
        <v>10133</v>
      </c>
      <c r="D13" s="5">
        <v>3</v>
      </c>
      <c r="E13" s="6">
        <v>40517.545138888891</v>
      </c>
      <c r="F13" s="8">
        <v>0.85</v>
      </c>
      <c r="G13" s="5">
        <v>12748</v>
      </c>
      <c r="H13" s="5">
        <f t="shared" si="0"/>
        <v>4.2553191489361701E-2</v>
      </c>
      <c r="I13" s="5">
        <f t="shared" si="1"/>
        <v>-0.75230747447938584</v>
      </c>
      <c r="J13" s="5" t="str">
        <f t="shared" si="2"/>
        <v>LOW</v>
      </c>
      <c r="K13" s="8">
        <f t="shared" si="3"/>
        <v>0.10989010989010987</v>
      </c>
      <c r="L13" s="8">
        <f t="shared" si="4"/>
        <v>-0.43118590185092137</v>
      </c>
      <c r="M13" s="5" t="str">
        <f t="shared" si="5"/>
        <v>LOW</v>
      </c>
      <c r="N13" s="5" cm="1">
        <f t="array" aca="1" ref="N13" ca="1">INDEX($N$2:$N$15,RANDBETWEEN(1, ROWS($N$2:$N$15)))</f>
        <v>9</v>
      </c>
      <c r="O13" s="5" cm="1">
        <f t="array" aca="1" ref="O13" ca="1">INDEX($O$2:$O$15,RANDBETWEEN(1, ROWS($O$2:$O$15)))</f>
        <v>5</v>
      </c>
      <c r="P13" s="5">
        <f t="shared" ca="1" si="6"/>
        <v>50047.530340734491</v>
      </c>
      <c r="Q13" s="5" cm="1">
        <f t="array" aca="1" ref="Q13" ca="1">INDEX($D$2:$D$129, RANDBETWEEN(1,128))</f>
        <v>12</v>
      </c>
      <c r="R13" s="5" cm="1">
        <f t="array" aca="1" ref="R13" ca="1">INDEX($F$2:$F$129, RANDBETWEEN(1,129))</f>
        <v>0.83</v>
      </c>
      <c r="S13" s="5"/>
      <c r="T13" s="20" t="s">
        <v>1277</v>
      </c>
      <c r="U13" s="20">
        <f>U7+U11</f>
        <v>13.183535778907862</v>
      </c>
      <c r="V13" s="5"/>
      <c r="W13" s="5"/>
      <c r="Y13" s="20" t="s">
        <v>30</v>
      </c>
      <c r="Z13" s="20">
        <f>_xlfn.STDEV.S(D:D)</f>
        <v>11.010743410015277</v>
      </c>
    </row>
    <row r="14" spans="1:29" x14ac:dyDescent="0.35">
      <c r="A14" s="5" t="s">
        <v>8</v>
      </c>
      <c r="B14" s="5">
        <v>537227</v>
      </c>
      <c r="C14" s="5">
        <v>10002</v>
      </c>
      <c r="D14" s="5">
        <v>24</v>
      </c>
      <c r="E14" s="6">
        <v>40518.362500000003</v>
      </c>
      <c r="F14" s="8">
        <v>0.85</v>
      </c>
      <c r="G14" s="5">
        <v>17677</v>
      </c>
      <c r="H14" s="5">
        <f t="shared" si="0"/>
        <v>0.48936170212765956</v>
      </c>
      <c r="I14" s="5">
        <f t="shared" si="1"/>
        <v>1.1549206951370801</v>
      </c>
      <c r="J14" s="5" t="str">
        <f t="shared" si="2"/>
        <v>HIGH</v>
      </c>
      <c r="K14" s="8">
        <f t="shared" si="3"/>
        <v>0.10989010989010987</v>
      </c>
      <c r="L14" s="8">
        <f t="shared" si="4"/>
        <v>-0.43118590185092137</v>
      </c>
      <c r="M14" s="5" t="str">
        <f t="shared" si="5"/>
        <v>LOW</v>
      </c>
      <c r="N14" s="5">
        <v>2</v>
      </c>
      <c r="O14" s="5">
        <v>5</v>
      </c>
      <c r="P14" s="5">
        <f t="shared" si="6"/>
        <v>50454.794623883769</v>
      </c>
      <c r="Q14" s="5" cm="1">
        <f t="array" aca="1" ref="Q14" ca="1">INDEX($D$2:$D$129, RANDBETWEEN(1,128))</f>
        <v>12</v>
      </c>
      <c r="R14" s="5" cm="1">
        <f t="array" aca="1" ref="R14" ca="1">INDEX($F$2:$F$129, RANDBETWEEN(1,129))</f>
        <v>0.75</v>
      </c>
      <c r="S14" s="5"/>
      <c r="T14" s="5"/>
      <c r="U14" s="5"/>
      <c r="V14" s="5"/>
      <c r="W14" s="5"/>
      <c r="Y14" s="20" t="s">
        <v>31</v>
      </c>
      <c r="Z14" s="20">
        <f>_xlfn.STDEV.S(F:F)</f>
        <v>0.32961649173099689</v>
      </c>
    </row>
    <row r="15" spans="1:29" x14ac:dyDescent="0.35">
      <c r="A15" s="5" t="s">
        <v>8</v>
      </c>
      <c r="B15" s="5">
        <v>537240</v>
      </c>
      <c r="C15" s="5">
        <v>10002</v>
      </c>
      <c r="D15" s="5">
        <v>1</v>
      </c>
      <c r="E15" s="6">
        <v>40518.422222222223</v>
      </c>
      <c r="F15" s="8">
        <v>1.66</v>
      </c>
      <c r="G15" s="5" t="s">
        <v>1331</v>
      </c>
      <c r="H15" s="5">
        <f t="shared" si="0"/>
        <v>0</v>
      </c>
      <c r="I15" s="5">
        <f t="shared" si="1"/>
        <v>-0.93394825253809688</v>
      </c>
      <c r="J15" s="5" t="str">
        <f t="shared" si="2"/>
        <v>LOW</v>
      </c>
      <c r="K15" s="8">
        <f t="shared" si="3"/>
        <v>1</v>
      </c>
      <c r="L15" s="8">
        <f t="shared" si="4"/>
        <v>2.0262154124651373</v>
      </c>
      <c r="M15" s="5" t="str">
        <f t="shared" si="5"/>
        <v>HIGH</v>
      </c>
      <c r="N15" s="5">
        <v>12</v>
      </c>
      <c r="O15" s="5">
        <v>7</v>
      </c>
      <c r="P15" s="5">
        <f t="shared" si="6"/>
        <v>53434.924953580186</v>
      </c>
      <c r="Q15" s="5" cm="1">
        <f t="array" aca="1" ref="Q15" ca="1">INDEX($D$2:$D$129, RANDBETWEEN(1,128))</f>
        <v>1</v>
      </c>
      <c r="R15" s="5" cm="1">
        <f t="array" aca="1" ref="R15" ca="1">INDEX($F$2:$F$129, RANDBETWEEN(1,129))</f>
        <v>0.83</v>
      </c>
      <c r="S15" s="5"/>
      <c r="T15" s="5"/>
      <c r="U15" s="5"/>
      <c r="V15" s="5"/>
      <c r="W15" s="5"/>
    </row>
    <row r="16" spans="1:29" x14ac:dyDescent="0.35">
      <c r="A16" s="5" t="s">
        <v>8</v>
      </c>
      <c r="B16" s="5">
        <v>537374</v>
      </c>
      <c r="C16" s="5">
        <v>10133</v>
      </c>
      <c r="D16" s="5">
        <v>2</v>
      </c>
      <c r="E16" s="6">
        <v>40518.538194444445</v>
      </c>
      <c r="F16" s="8">
        <v>0.85</v>
      </c>
      <c r="G16" s="5">
        <v>17259</v>
      </c>
      <c r="H16" s="5">
        <f t="shared" si="0"/>
        <v>2.1276595744680851E-2</v>
      </c>
      <c r="I16" s="5">
        <f t="shared" si="1"/>
        <v>-0.84312786350874136</v>
      </c>
      <c r="J16" s="5" t="str">
        <f t="shared" si="2"/>
        <v>LOW</v>
      </c>
      <c r="K16" s="8">
        <f t="shared" si="3"/>
        <v>0.10989010989010987</v>
      </c>
      <c r="L16" s="8">
        <f t="shared" si="4"/>
        <v>-0.43118590185092137</v>
      </c>
      <c r="M16" s="5" t="str">
        <f t="shared" si="5"/>
        <v>LOW</v>
      </c>
      <c r="N16" s="5" cm="1">
        <f t="array" aca="1" ref="N16" ca="1">INDEX($N$2:$N$15,RANDBETWEEN(1, ROWS($N$2:$N$15)))</f>
        <v>12</v>
      </c>
      <c r="O16" s="5" cm="1">
        <f t="array" aca="1" ref="O16" ca="1">INDEX($O$2:$O$15,RANDBETWEEN(1, ROWS($O$2:$O$15)))</f>
        <v>1</v>
      </c>
      <c r="P16" s="5">
        <f t="shared" ca="1" si="6"/>
        <v>50441.60375394873</v>
      </c>
      <c r="Q16" s="5" cm="1">
        <f t="array" aca="1" ref="Q16" ca="1">INDEX($D$2:$D$129, RANDBETWEEN(1,128))</f>
        <v>1</v>
      </c>
      <c r="R16" s="5" cm="1">
        <f t="array" aca="1" ref="R16" ca="1">INDEX($F$2:$F$129, RANDBETWEEN(1,129))</f>
        <v>1.63</v>
      </c>
      <c r="S16" s="5"/>
      <c r="T16" s="5"/>
      <c r="U16" s="5"/>
      <c r="V16" s="5"/>
      <c r="W16" s="5"/>
    </row>
    <row r="17" spans="1:26" x14ac:dyDescent="0.35">
      <c r="A17" s="5" t="s">
        <v>8</v>
      </c>
      <c r="B17" s="5">
        <v>537638</v>
      </c>
      <c r="C17" s="5">
        <v>10002</v>
      </c>
      <c r="D17" s="5">
        <v>5</v>
      </c>
      <c r="E17" s="6">
        <v>40519.644444444442</v>
      </c>
      <c r="F17" s="8">
        <v>1.66</v>
      </c>
      <c r="G17" s="5" t="s">
        <v>1331</v>
      </c>
      <c r="H17" s="5">
        <f t="shared" si="0"/>
        <v>8.5106382978723402E-2</v>
      </c>
      <c r="I17" s="5">
        <f t="shared" si="1"/>
        <v>-0.5706666964206748</v>
      </c>
      <c r="J17" s="5" t="str">
        <f t="shared" si="2"/>
        <v>LOW</v>
      </c>
      <c r="K17" s="8">
        <f t="shared" si="3"/>
        <v>1</v>
      </c>
      <c r="L17" s="8">
        <f t="shared" si="4"/>
        <v>2.0262154124651373</v>
      </c>
      <c r="M17" s="5" t="str">
        <f t="shared" si="5"/>
        <v>HIGH</v>
      </c>
      <c r="N17" s="5">
        <v>3</v>
      </c>
      <c r="O17" s="5">
        <v>5</v>
      </c>
      <c r="P17" s="5">
        <f t="shared" si="6"/>
        <v>53470.622281776676</v>
      </c>
      <c r="Q17" s="5" cm="1">
        <f t="array" aca="1" ref="Q17" ca="1">INDEX($D$2:$D$129, RANDBETWEEN(1,128))</f>
        <v>1</v>
      </c>
      <c r="R17" s="5" cm="1">
        <f t="array" aca="1" ref="R17" ca="1">INDEX($F$2:$F$129, RANDBETWEEN(1,129))</f>
        <v>0.75</v>
      </c>
      <c r="S17" s="5"/>
      <c r="T17" s="29" t="s">
        <v>1361</v>
      </c>
      <c r="U17" s="20"/>
      <c r="V17" s="5"/>
      <c r="W17" s="5"/>
    </row>
    <row r="18" spans="1:26" x14ac:dyDescent="0.35">
      <c r="A18" s="5" t="s">
        <v>8</v>
      </c>
      <c r="B18" s="5">
        <v>538064</v>
      </c>
      <c r="C18" s="5">
        <v>10133</v>
      </c>
      <c r="D18" s="5">
        <v>2</v>
      </c>
      <c r="E18" s="6">
        <v>40521.574305555558</v>
      </c>
      <c r="F18" s="8">
        <v>0.85</v>
      </c>
      <c r="G18" s="5">
        <v>15271</v>
      </c>
      <c r="H18" s="5">
        <f t="shared" si="0"/>
        <v>2.1276595744680851E-2</v>
      </c>
      <c r="I18" s="5">
        <f t="shared" si="1"/>
        <v>-0.84312786350874136</v>
      </c>
      <c r="J18" s="5" t="str">
        <f t="shared" si="2"/>
        <v>LOW</v>
      </c>
      <c r="K18" s="8">
        <f t="shared" si="3"/>
        <v>0.10989010989010987</v>
      </c>
      <c r="L18" s="8">
        <f t="shared" si="4"/>
        <v>-0.43118590185092137</v>
      </c>
      <c r="M18" s="5" t="str">
        <f t="shared" si="5"/>
        <v>LOW</v>
      </c>
      <c r="N18" s="5" cm="1">
        <f t="array" aca="1" ref="N18" ca="1">INDEX($N$2:$N$15,RANDBETWEEN(1, ROWS($N$2:$N$15)))</f>
        <v>4</v>
      </c>
      <c r="O18" s="5" cm="1">
        <f t="array" aca="1" ref="O18" ca="1">INDEX($O$2:$O$15,RANDBETWEEN(1, ROWS($O$2:$O$15)))</f>
        <v>5</v>
      </c>
      <c r="P18" s="5">
        <f t="shared" ca="1" si="6"/>
        <v>50333.356763207987</v>
      </c>
      <c r="Q18" s="5" cm="1">
        <f t="array" aca="1" ref="Q18" ca="1">INDEX($D$2:$D$129, RANDBETWEEN(1,128))</f>
        <v>12</v>
      </c>
      <c r="R18" s="5" cm="1">
        <f t="array" aca="1" ref="R18" ca="1">INDEX($F$2:$F$129, RANDBETWEEN(1,129))</f>
        <v>0.81</v>
      </c>
      <c r="S18" s="5"/>
      <c r="T18" s="20" t="s">
        <v>1269</v>
      </c>
      <c r="U18" s="20" t="s">
        <v>4</v>
      </c>
      <c r="V18" s="5"/>
      <c r="W18" s="5"/>
    </row>
    <row r="19" spans="1:26" x14ac:dyDescent="0.35">
      <c r="A19" s="5" t="s">
        <v>8</v>
      </c>
      <c r="B19" s="5">
        <v>538070</v>
      </c>
      <c r="C19" s="5">
        <v>10133</v>
      </c>
      <c r="D19" s="5">
        <v>10</v>
      </c>
      <c r="E19" s="6">
        <v>40521.588888888888</v>
      </c>
      <c r="F19" s="8">
        <v>0.85</v>
      </c>
      <c r="G19" s="5">
        <v>16519</v>
      </c>
      <c r="H19" s="5">
        <f t="shared" si="0"/>
        <v>0.19148936170212766</v>
      </c>
      <c r="I19" s="5">
        <f t="shared" si="1"/>
        <v>-0.11656475127389719</v>
      </c>
      <c r="J19" s="5" t="str">
        <f t="shared" si="2"/>
        <v>LOW</v>
      </c>
      <c r="K19" s="8">
        <f t="shared" si="3"/>
        <v>0.10989010989010987</v>
      </c>
      <c r="L19" s="8">
        <f t="shared" si="4"/>
        <v>-0.43118590185092137</v>
      </c>
      <c r="M19" s="5" t="str">
        <f t="shared" si="5"/>
        <v>LOW</v>
      </c>
      <c r="N19" s="5" cm="1">
        <f t="array" aca="1" ref="N19" ca="1">INDEX($N$2:$N$15,RANDBETWEEN(1, ROWS($N$2:$N$15)))</f>
        <v>12</v>
      </c>
      <c r="O19" s="5" cm="1">
        <f t="array" aca="1" ref="O19" ca="1">INDEX($O$2:$O$15,RANDBETWEEN(1, ROWS($O$2:$O$15)))</f>
        <v>4</v>
      </c>
      <c r="P19" s="5">
        <f t="shared" ca="1" si="6"/>
        <v>50439.182709808949</v>
      </c>
      <c r="Q19" s="5" cm="1">
        <f t="array" aca="1" ref="Q19" ca="1">INDEX($D$2:$D$129, RANDBETWEEN(1,128))</f>
        <v>2</v>
      </c>
      <c r="R19" s="5" cm="1">
        <f t="array" aca="1" ref="R19" ca="1">INDEX($F$2:$F$129, RANDBETWEEN(1,129))</f>
        <v>0.83</v>
      </c>
      <c r="S19" s="5"/>
      <c r="T19" s="20" t="s">
        <v>1270</v>
      </c>
      <c r="U19" s="20">
        <f>COUNT(F:F)</f>
        <v>127</v>
      </c>
      <c r="V19" s="5"/>
      <c r="W19" s="5"/>
    </row>
    <row r="20" spans="1:26" x14ac:dyDescent="0.35">
      <c r="A20" s="5" t="s">
        <v>1331</v>
      </c>
      <c r="B20" s="5">
        <v>539222</v>
      </c>
      <c r="C20" s="5">
        <v>10133</v>
      </c>
      <c r="D20" s="5">
        <v>10</v>
      </c>
      <c r="E20" s="6">
        <v>40528.541666666664</v>
      </c>
      <c r="F20" s="8">
        <v>0.85</v>
      </c>
      <c r="G20" s="5">
        <v>14621</v>
      </c>
      <c r="H20" s="5">
        <f t="shared" si="0"/>
        <v>0.19148936170212766</v>
      </c>
      <c r="I20" s="5">
        <f t="shared" si="1"/>
        <v>-0.11656475127389719</v>
      </c>
      <c r="J20" s="5" t="str">
        <f t="shared" si="2"/>
        <v>LOW</v>
      </c>
      <c r="K20" s="8">
        <f t="shared" si="3"/>
        <v>0.10989010989010987</v>
      </c>
      <c r="L20" s="8">
        <f t="shared" si="4"/>
        <v>-0.43118590185092137</v>
      </c>
      <c r="M20" s="5" t="str">
        <f t="shared" si="5"/>
        <v>LOW</v>
      </c>
      <c r="N20" s="5" cm="1">
        <f t="array" aca="1" ref="N20" ca="1">INDEX($N$2:$N$15,RANDBETWEEN(1, ROWS($N$2:$N$15)))</f>
        <v>4</v>
      </c>
      <c r="O20" s="5" cm="1">
        <f t="array" aca="1" ref="O20" ca="1">INDEX($O$2:$O$15,RANDBETWEEN(1, ROWS($O$2:$O$15)))</f>
        <v>1</v>
      </c>
      <c r="P20" s="5">
        <f t="shared" ca="1" si="6"/>
        <v>50376.678774623753</v>
      </c>
      <c r="Q20" s="5" cm="1">
        <f t="array" aca="1" ref="Q20" ca="1">INDEX($D$2:$D$129, RANDBETWEEN(1,128))</f>
        <v>1</v>
      </c>
      <c r="R20" s="5" cm="1">
        <f t="array" aca="1" ref="R20" ca="1">INDEX($F$2:$F$129, RANDBETWEEN(1,129))</f>
        <v>0.83</v>
      </c>
      <c r="S20" s="5"/>
      <c r="T20" s="20" t="s">
        <v>1271</v>
      </c>
      <c r="U20" s="21">
        <f>AVERAGE(F:F)</f>
        <v>0.99212598425196663</v>
      </c>
      <c r="V20" s="5"/>
      <c r="W20" s="5"/>
    </row>
    <row r="21" spans="1:26" x14ac:dyDescent="0.35">
      <c r="A21" s="5" t="s">
        <v>8</v>
      </c>
      <c r="B21" s="5">
        <v>539477</v>
      </c>
      <c r="C21" s="5">
        <v>10133</v>
      </c>
      <c r="D21" s="5">
        <v>10</v>
      </c>
      <c r="E21" s="6">
        <v>40531.623611111114</v>
      </c>
      <c r="F21" s="8">
        <v>0.85</v>
      </c>
      <c r="G21" s="5">
        <v>18245</v>
      </c>
      <c r="H21" s="5">
        <f t="shared" si="0"/>
        <v>0.19148936170212766</v>
      </c>
      <c r="I21" s="5">
        <f t="shared" si="1"/>
        <v>-0.11656475127389719</v>
      </c>
      <c r="J21" s="5" t="str">
        <f t="shared" si="2"/>
        <v>LOW</v>
      </c>
      <c r="K21" s="8">
        <f t="shared" si="3"/>
        <v>0.10989010989010987</v>
      </c>
      <c r="L21" s="8">
        <f t="shared" si="4"/>
        <v>-0.43118590185092137</v>
      </c>
      <c r="M21" s="5" t="str">
        <f t="shared" si="5"/>
        <v>LOW</v>
      </c>
      <c r="N21" s="5" cm="1">
        <f t="array" aca="1" ref="N21" ca="1">INDEX($N$2:$N$15,RANDBETWEEN(1, ROWS($N$2:$N$15)))</f>
        <v>8</v>
      </c>
      <c r="O21" s="5" cm="1">
        <f t="array" aca="1" ref="O21" ca="1">INDEX($O$2:$O$15,RANDBETWEEN(1, ROWS($O$2:$O$15)))</f>
        <v>1</v>
      </c>
      <c r="P21" s="5">
        <f t="shared" ca="1" si="6"/>
        <v>50700.518936660788</v>
      </c>
      <c r="Q21" s="5" cm="1">
        <f t="array" aca="1" ref="Q21" ca="1">INDEX($D$2:$D$129, RANDBETWEEN(1,128))</f>
        <v>12</v>
      </c>
      <c r="R21" s="5" cm="1">
        <f t="array" aca="1" ref="R21" ca="1">INDEX($F$2:$F$129, RANDBETWEEN(1,129))</f>
        <v>0.85</v>
      </c>
      <c r="S21" s="5"/>
      <c r="T21" s="20" t="s">
        <v>1272</v>
      </c>
      <c r="U21" s="20">
        <f>_xlfn.STDEV.S(F:F)</f>
        <v>0.32961649173099689</v>
      </c>
      <c r="V21" s="5"/>
      <c r="W21" s="5"/>
      <c r="Y21" s="30" t="s">
        <v>32</v>
      </c>
      <c r="Z21" s="19">
        <f>AVERAGE(D:D)</f>
        <v>11.283464566929133</v>
      </c>
    </row>
    <row r="22" spans="1:26" x14ac:dyDescent="0.35">
      <c r="A22" s="5" t="s">
        <v>8</v>
      </c>
      <c r="B22" s="5">
        <v>539933</v>
      </c>
      <c r="C22" s="5">
        <v>10133</v>
      </c>
      <c r="D22" s="5">
        <v>10</v>
      </c>
      <c r="E22" s="6">
        <v>40535.474999999999</v>
      </c>
      <c r="F22" s="8">
        <v>0.85</v>
      </c>
      <c r="G22" s="5">
        <v>15235</v>
      </c>
      <c r="H22" s="5">
        <f t="shared" si="0"/>
        <v>0.19148936170212766</v>
      </c>
      <c r="I22" s="5">
        <f t="shared" si="1"/>
        <v>-0.11656475127389719</v>
      </c>
      <c r="J22" s="5" t="str">
        <f t="shared" si="2"/>
        <v>LOW</v>
      </c>
      <c r="K22" s="8">
        <f t="shared" si="3"/>
        <v>0.10989010989010987</v>
      </c>
      <c r="L22" s="8">
        <f t="shared" si="4"/>
        <v>-0.43118590185092137</v>
      </c>
      <c r="M22" s="5" t="str">
        <f t="shared" si="5"/>
        <v>LOW</v>
      </c>
      <c r="N22" s="5" cm="1">
        <f t="array" aca="1" ref="N22" ca="1">INDEX($N$2:$N$15,RANDBETWEEN(1, ROWS($N$2:$N$15)))</f>
        <v>2</v>
      </c>
      <c r="O22" s="5" cm="1">
        <f t="array" aca="1" ref="O22" ca="1">INDEX($O$2:$O$15,RANDBETWEEN(1, ROWS($O$2:$O$15)))</f>
        <v>5</v>
      </c>
      <c r="P22" s="5">
        <f t="shared" ca="1" si="6"/>
        <v>50487.839885734866</v>
      </c>
      <c r="Q22" s="5" cm="1">
        <f t="array" aca="1" ref="Q22" ca="1">INDEX($D$2:$D$129, RANDBETWEEN(1,128))</f>
        <v>24</v>
      </c>
      <c r="R22" s="5" cm="1">
        <f t="array" aca="1" ref="R22" ca="1">INDEX($F$2:$F$129, RANDBETWEEN(1,129))</f>
        <v>0.85</v>
      </c>
      <c r="S22" s="5"/>
      <c r="T22" s="20" t="s">
        <v>1273</v>
      </c>
      <c r="U22" s="20">
        <v>0.95</v>
      </c>
      <c r="V22" s="5"/>
      <c r="W22" s="5"/>
      <c r="Y22" s="30" t="s">
        <v>33</v>
      </c>
      <c r="Z22" s="31">
        <f>AVERAGE(F:F)</f>
        <v>0.99212598425196663</v>
      </c>
    </row>
    <row r="23" spans="1:26" x14ac:dyDescent="0.35">
      <c r="A23" s="5" t="s">
        <v>8</v>
      </c>
      <c r="B23" s="5">
        <v>539958</v>
      </c>
      <c r="C23" s="5">
        <v>10133</v>
      </c>
      <c r="D23" s="5">
        <v>6</v>
      </c>
      <c r="E23" s="6">
        <v>40535.55972222222</v>
      </c>
      <c r="F23" s="8">
        <v>0.81</v>
      </c>
      <c r="G23" s="5" t="s">
        <v>1331</v>
      </c>
      <c r="H23" s="5">
        <f t="shared" si="0"/>
        <v>0.10638297872340426</v>
      </c>
      <c r="I23" s="5">
        <f t="shared" si="1"/>
        <v>-0.47984630739131928</v>
      </c>
      <c r="J23" s="5" t="str">
        <f t="shared" si="2"/>
        <v>LOW</v>
      </c>
      <c r="K23" s="8">
        <f t="shared" si="3"/>
        <v>6.5934065934066005E-2</v>
      </c>
      <c r="L23" s="8">
        <f t="shared" si="4"/>
        <v>-0.55253905317517094</v>
      </c>
      <c r="M23" s="5" t="str">
        <f t="shared" si="5"/>
        <v>LOW</v>
      </c>
      <c r="N23" s="5" cm="1">
        <f t="array" aca="1" ref="N23" ca="1">INDEX($N$2:$N$15,RANDBETWEEN(1, ROWS($N$2:$N$15)))</f>
        <v>4</v>
      </c>
      <c r="O23" s="5" cm="1">
        <f t="array" aca="1" ref="O23" ca="1">INDEX($O$2:$O$15,RANDBETWEEN(1, ROWS($O$2:$O$15)))</f>
        <v>5</v>
      </c>
      <c r="P23" s="5">
        <f t="shared" ca="1" si="6"/>
        <v>53694.682695809679</v>
      </c>
      <c r="Q23" s="5" cm="1">
        <f t="array" aca="1" ref="Q23" ca="1">INDEX($D$2:$D$129, RANDBETWEEN(1,128))</f>
        <v>5</v>
      </c>
      <c r="R23" s="5" cm="1">
        <f t="array" aca="1" ref="R23" ca="1">INDEX($F$2:$F$129, RANDBETWEEN(1,129))</f>
        <v>0.83</v>
      </c>
      <c r="S23" s="5"/>
      <c r="T23" s="20" t="s">
        <v>1274</v>
      </c>
      <c r="U23" s="20">
        <f>1-0.95</f>
        <v>5.0000000000000044E-2</v>
      </c>
      <c r="V23" s="5"/>
      <c r="W23" s="5"/>
      <c r="Y23" s="13"/>
      <c r="Z23" s="5"/>
    </row>
    <row r="24" spans="1:26" x14ac:dyDescent="0.35">
      <c r="A24" s="5" t="s">
        <v>8</v>
      </c>
      <c r="B24" s="5">
        <v>540026</v>
      </c>
      <c r="C24" s="5">
        <v>10133</v>
      </c>
      <c r="D24" s="5">
        <v>1</v>
      </c>
      <c r="E24" s="6">
        <v>40547.559027777781</v>
      </c>
      <c r="F24" s="8">
        <v>0.81</v>
      </c>
      <c r="G24" s="5" t="s">
        <v>1331</v>
      </c>
      <c r="H24" s="5">
        <f t="shared" si="0"/>
        <v>0</v>
      </c>
      <c r="I24" s="5">
        <f t="shared" si="1"/>
        <v>-0.93394825253809688</v>
      </c>
      <c r="J24" s="5" t="str">
        <f t="shared" si="2"/>
        <v>LOW</v>
      </c>
      <c r="K24" s="8">
        <f t="shared" si="3"/>
        <v>6.5934065934066005E-2</v>
      </c>
      <c r="L24" s="8">
        <f t="shared" si="4"/>
        <v>-0.55253905317517094</v>
      </c>
      <c r="M24" s="5" t="str">
        <f t="shared" si="5"/>
        <v>LOW</v>
      </c>
      <c r="N24" s="5" cm="1">
        <f t="array" aca="1" ref="N24" ca="1">INDEX($N$2:$N$15,RANDBETWEEN(1, ROWS($N$2:$N$15)))</f>
        <v>4</v>
      </c>
      <c r="O24" s="5" cm="1">
        <f t="array" aca="1" ref="O24" ca="1">INDEX($O$2:$O$15,RANDBETWEEN(1, ROWS($O$2:$O$15)))</f>
        <v>4</v>
      </c>
      <c r="P24" s="5">
        <f t="shared" ca="1" si="6"/>
        <v>53701.35895223073</v>
      </c>
      <c r="Q24" s="5" cm="1">
        <f t="array" aca="1" ref="Q24" ca="1">INDEX($D$2:$D$129, RANDBETWEEN(1,128))</f>
        <v>20</v>
      </c>
      <c r="R24" s="5" cm="1">
        <f t="array" aca="1" ref="R24" ca="1">INDEX($F$2:$F$129, RANDBETWEEN(1,129))</f>
        <v>1.63</v>
      </c>
      <c r="S24" s="5"/>
      <c r="T24" s="20" t="s">
        <v>1275</v>
      </c>
      <c r="U24" s="20">
        <f>_xlfn.CONFIDENCE.NORM(0.05,$U$21,129)</f>
        <v>5.6880338012583173E-2</v>
      </c>
      <c r="V24" s="5"/>
      <c r="W24" s="5"/>
      <c r="Y24" s="13"/>
      <c r="Z24" s="5"/>
    </row>
    <row r="25" spans="1:26" x14ac:dyDescent="0.35">
      <c r="A25" s="5" t="s">
        <v>8</v>
      </c>
      <c r="B25" s="5">
        <v>540154</v>
      </c>
      <c r="C25" s="5">
        <v>10133</v>
      </c>
      <c r="D25" s="5">
        <v>1</v>
      </c>
      <c r="E25" s="6">
        <v>40548.479166666664</v>
      </c>
      <c r="F25" s="8">
        <v>0.81</v>
      </c>
      <c r="G25" s="5" t="s">
        <v>1331</v>
      </c>
      <c r="H25" s="5">
        <f t="shared" si="0"/>
        <v>0</v>
      </c>
      <c r="I25" s="5">
        <f t="shared" si="1"/>
        <v>-0.93394825253809688</v>
      </c>
      <c r="J25" s="5" t="str">
        <f t="shared" si="2"/>
        <v>LOW</v>
      </c>
      <c r="K25" s="8">
        <f t="shared" si="3"/>
        <v>6.5934065934066005E-2</v>
      </c>
      <c r="L25" s="8">
        <f t="shared" si="4"/>
        <v>-0.55253905317517094</v>
      </c>
      <c r="M25" s="5" t="str">
        <f t="shared" si="5"/>
        <v>LOW</v>
      </c>
      <c r="N25" s="5" cm="1">
        <f t="array" aca="1" ref="N25" ca="1">INDEX($N$2:$N$15,RANDBETWEEN(1, ROWS($N$2:$N$15)))</f>
        <v>2</v>
      </c>
      <c r="O25" s="5" cm="1">
        <f t="array" aca="1" ref="O25" ca="1">INDEX($O$2:$O$15,RANDBETWEEN(1, ROWS($O$2:$O$15)))</f>
        <v>7</v>
      </c>
      <c r="P25" s="5">
        <f t="shared" ca="1" si="6"/>
        <v>53713.169873947903</v>
      </c>
      <c r="Q25" s="5" cm="1">
        <f t="array" aca="1" ref="Q25" ca="1">INDEX($D$2:$D$129, RANDBETWEEN(1,128))</f>
        <v>12</v>
      </c>
      <c r="R25" s="5" cm="1">
        <f t="array" aca="1" ref="R25" ca="1">INDEX($F$2:$F$129, RANDBETWEEN(1,129))</f>
        <v>0.85</v>
      </c>
      <c r="S25" s="5"/>
      <c r="T25" s="20" t="s">
        <v>1276</v>
      </c>
      <c r="U25" s="21">
        <f>U20-U24</f>
        <v>0.93524564623938344</v>
      </c>
      <c r="V25" s="5"/>
      <c r="W25" s="5"/>
      <c r="Y25" s="13"/>
      <c r="Z25" s="5"/>
    </row>
    <row r="26" spans="1:26" x14ac:dyDescent="0.35">
      <c r="A26" s="5" t="s">
        <v>8</v>
      </c>
      <c r="B26" s="5">
        <v>540352</v>
      </c>
      <c r="C26" s="5">
        <v>10133</v>
      </c>
      <c r="D26" s="5">
        <v>1</v>
      </c>
      <c r="E26" s="6">
        <v>40549.602083333331</v>
      </c>
      <c r="F26" s="8">
        <v>0.81</v>
      </c>
      <c r="G26" s="5" t="s">
        <v>1331</v>
      </c>
      <c r="H26" s="5">
        <f t="shared" si="0"/>
        <v>0</v>
      </c>
      <c r="I26" s="5">
        <f t="shared" si="1"/>
        <v>-0.93394825253809688</v>
      </c>
      <c r="J26" s="5" t="str">
        <f t="shared" si="2"/>
        <v>LOW</v>
      </c>
      <c r="K26" s="8">
        <f t="shared" si="3"/>
        <v>6.5934065934066005E-2</v>
      </c>
      <c r="L26" s="8">
        <f t="shared" si="4"/>
        <v>-0.55253905317517094</v>
      </c>
      <c r="M26" s="5" t="str">
        <f t="shared" si="5"/>
        <v>LOW</v>
      </c>
      <c r="N26" s="5" cm="1">
        <f t="array" aca="1" ref="N26" ca="1">INDEX($N$2:$N$15,RANDBETWEEN(1, ROWS($N$2:$N$15)))</f>
        <v>4</v>
      </c>
      <c r="O26" s="5" cm="1">
        <f t="array" aca="1" ref="O26" ca="1">INDEX($O$2:$O$15,RANDBETWEEN(1, ROWS($O$2:$O$15)))</f>
        <v>1</v>
      </c>
      <c r="P26" s="5">
        <f t="shared" ca="1" si="6"/>
        <v>53730.908320917602</v>
      </c>
      <c r="Q26" s="5" cm="1">
        <f t="array" aca="1" ref="Q26" ca="1">INDEX($D$2:$D$129, RANDBETWEEN(1,128))</f>
        <v>20</v>
      </c>
      <c r="R26" s="5" cm="1">
        <f t="array" aca="1" ref="R26" ca="1">INDEX($F$2:$F$129, RANDBETWEEN(1,129))</f>
        <v>0.83</v>
      </c>
      <c r="S26" s="5"/>
      <c r="T26" s="20" t="s">
        <v>1277</v>
      </c>
      <c r="U26" s="21">
        <f>U20+U24</f>
        <v>1.0490063222645498</v>
      </c>
      <c r="V26" s="5"/>
      <c r="W26" s="5"/>
      <c r="Y26" s="30" t="s">
        <v>34</v>
      </c>
      <c r="Z26" s="19">
        <f>AVERAGE(D:D)</f>
        <v>11.283464566929133</v>
      </c>
    </row>
    <row r="27" spans="1:26" x14ac:dyDescent="0.35">
      <c r="A27" s="5" t="s">
        <v>8</v>
      </c>
      <c r="B27" s="5">
        <v>540468</v>
      </c>
      <c r="C27" s="5">
        <v>10133</v>
      </c>
      <c r="D27" s="5">
        <v>5</v>
      </c>
      <c r="E27" s="10">
        <v>40550</v>
      </c>
      <c r="F27" s="8">
        <v>0.81</v>
      </c>
      <c r="G27" s="5" t="s">
        <v>1331</v>
      </c>
      <c r="H27" s="5">
        <f t="shared" si="0"/>
        <v>8.5106382978723402E-2</v>
      </c>
      <c r="I27" s="5">
        <f t="shared" si="1"/>
        <v>-0.5706666964206748</v>
      </c>
      <c r="J27" s="5" t="str">
        <f t="shared" si="2"/>
        <v>LOW</v>
      </c>
      <c r="K27" s="8">
        <f t="shared" si="3"/>
        <v>6.5934065934066005E-2</v>
      </c>
      <c r="L27" s="8">
        <f t="shared" si="4"/>
        <v>-0.55253905317517094</v>
      </c>
      <c r="M27" s="5" t="str">
        <f t="shared" si="5"/>
        <v>LOW</v>
      </c>
      <c r="N27" s="5" cm="1">
        <f t="array" aca="1" ref="N27" ca="1">INDEX($N$2:$N$15,RANDBETWEEN(1, ROWS($N$2:$N$15)))</f>
        <v>9</v>
      </c>
      <c r="O27" s="5" cm="1">
        <f t="array" aca="1" ref="O27" ca="1">INDEX($O$2:$O$15,RANDBETWEEN(1, ROWS($O$2:$O$15)))</f>
        <v>5</v>
      </c>
      <c r="P27" s="5">
        <f t="shared" ca="1" si="6"/>
        <v>53742.712530427219</v>
      </c>
      <c r="Q27" s="5" cm="1">
        <f t="array" aca="1" ref="Q27" ca="1">INDEX($D$2:$D$129, RANDBETWEEN(1,128))</f>
        <v>40</v>
      </c>
      <c r="R27" s="5" cm="1">
        <f t="array" aca="1" ref="R27" ca="1">INDEX($F$2:$F$129, RANDBETWEEN(1,129))</f>
        <v>0.83</v>
      </c>
      <c r="S27" s="5"/>
      <c r="T27" s="5"/>
      <c r="U27" s="5"/>
      <c r="V27" s="5"/>
      <c r="W27" s="5"/>
      <c r="Y27" s="30" t="s">
        <v>35</v>
      </c>
      <c r="Z27" s="32">
        <f>AVERAGE(F:F)</f>
        <v>0.99212598425196663</v>
      </c>
    </row>
    <row r="28" spans="1:26" x14ac:dyDescent="0.35">
      <c r="A28" s="5" t="s">
        <v>8</v>
      </c>
      <c r="B28" s="5">
        <v>540418</v>
      </c>
      <c r="C28" s="5">
        <v>10133</v>
      </c>
      <c r="D28" s="5">
        <v>3</v>
      </c>
      <c r="E28" s="6">
        <v>40550.461111111108</v>
      </c>
      <c r="F28" s="8">
        <v>0.81</v>
      </c>
      <c r="G28" s="5" t="s">
        <v>1331</v>
      </c>
      <c r="H28" s="5">
        <f t="shared" si="0"/>
        <v>4.2553191489361701E-2</v>
      </c>
      <c r="I28" s="5">
        <f t="shared" si="1"/>
        <v>-0.75230747447938584</v>
      </c>
      <c r="J28" s="5" t="str">
        <f t="shared" si="2"/>
        <v>LOW</v>
      </c>
      <c r="K28" s="8">
        <f t="shared" si="3"/>
        <v>6.5934065934066005E-2</v>
      </c>
      <c r="L28" s="8">
        <f t="shared" si="4"/>
        <v>-0.55253905317517094</v>
      </c>
      <c r="M28" s="5" t="str">
        <f t="shared" si="5"/>
        <v>LOW</v>
      </c>
      <c r="N28" s="5" cm="1">
        <f t="array" aca="1" ref="N28" ca="1">INDEX($N$2:$N$15,RANDBETWEEN(1, ROWS($N$2:$N$15)))</f>
        <v>4</v>
      </c>
      <c r="O28" s="5" cm="1">
        <f t="array" aca="1" ref="O28" ca="1">INDEX($O$2:$O$15,RANDBETWEEN(1, ROWS($O$2:$O$15)))</f>
        <v>5</v>
      </c>
      <c r="P28" s="5">
        <f t="shared" ca="1" si="6"/>
        <v>53737.552250167362</v>
      </c>
      <c r="Q28" s="5" cm="1">
        <f t="array" aca="1" ref="Q28" ca="1">INDEX($D$2:$D$129, RANDBETWEEN(1,128))</f>
        <v>12</v>
      </c>
      <c r="R28" s="5" cm="1">
        <f t="array" aca="1" ref="R28" ca="1">INDEX($F$2:$F$129, RANDBETWEEN(1,129))</f>
        <v>0.83</v>
      </c>
      <c r="S28" s="5"/>
      <c r="T28" s="5"/>
      <c r="U28" s="5"/>
      <c r="V28" s="5"/>
      <c r="W28" s="5"/>
      <c r="Y28" s="13"/>
      <c r="Z28" s="5"/>
    </row>
    <row r="29" spans="1:26" x14ac:dyDescent="0.35">
      <c r="A29" s="5" t="s">
        <v>8</v>
      </c>
      <c r="B29" s="5">
        <v>540551</v>
      </c>
      <c r="C29" s="5">
        <v>10133</v>
      </c>
      <c r="D29" s="5">
        <v>1</v>
      </c>
      <c r="E29" s="6">
        <v>40553.404861111114</v>
      </c>
      <c r="F29" s="8">
        <v>0.81</v>
      </c>
      <c r="G29" s="5" t="s">
        <v>1331</v>
      </c>
      <c r="H29" s="5">
        <f t="shared" si="0"/>
        <v>0</v>
      </c>
      <c r="I29" s="5">
        <f t="shared" si="1"/>
        <v>-0.93394825253809688</v>
      </c>
      <c r="J29" s="5" t="str">
        <f t="shared" si="2"/>
        <v>LOW</v>
      </c>
      <c r="K29" s="8">
        <f t="shared" si="3"/>
        <v>6.5934065934066005E-2</v>
      </c>
      <c r="L29" s="8">
        <f t="shared" si="4"/>
        <v>-0.55253905317517094</v>
      </c>
      <c r="M29" s="5" t="str">
        <f t="shared" si="5"/>
        <v>LOW</v>
      </c>
      <c r="N29" s="5" cm="1">
        <f t="array" aca="1" ref="N29" ca="1">INDEX($N$2:$N$15,RANDBETWEEN(1, ROWS($N$2:$N$15)))</f>
        <v>9</v>
      </c>
      <c r="O29" s="5" cm="1">
        <f t="array" aca="1" ref="O29" ca="1">INDEX($O$2:$O$15,RANDBETWEEN(1, ROWS($O$2:$O$15)))</f>
        <v>5</v>
      </c>
      <c r="P29" s="5">
        <f t="shared" ca="1" si="6"/>
        <v>53750.163118897399</v>
      </c>
      <c r="Q29" s="5" cm="1">
        <f t="array" aca="1" ref="Q29" ca="1">INDEX($D$2:$D$129, RANDBETWEEN(1,128))</f>
        <v>10</v>
      </c>
      <c r="R29" s="5" cm="1">
        <f t="array" aca="1" ref="R29" ca="1">INDEX($F$2:$F$129, RANDBETWEEN(1,129))</f>
        <v>0.81</v>
      </c>
      <c r="S29" s="5"/>
      <c r="T29" s="5"/>
      <c r="U29" s="5"/>
      <c r="V29" s="5"/>
      <c r="W29" s="5"/>
      <c r="Y29" s="30" t="s">
        <v>36</v>
      </c>
      <c r="Z29" s="19">
        <f>MIN(D:D)</f>
        <v>1</v>
      </c>
    </row>
    <row r="30" spans="1:26" x14ac:dyDescent="0.35">
      <c r="A30" s="5" t="s">
        <v>8</v>
      </c>
      <c r="B30" s="5">
        <v>540646</v>
      </c>
      <c r="C30" s="5">
        <v>10133</v>
      </c>
      <c r="D30" s="5">
        <v>6</v>
      </c>
      <c r="E30" s="6">
        <v>40553.605555555558</v>
      </c>
      <c r="F30" s="8">
        <v>0.81</v>
      </c>
      <c r="G30" s="5" t="s">
        <v>1331</v>
      </c>
      <c r="H30" s="5">
        <f t="shared" si="0"/>
        <v>0.10638297872340426</v>
      </c>
      <c r="I30" s="5">
        <f t="shared" si="1"/>
        <v>-0.47984630739131928</v>
      </c>
      <c r="J30" s="5" t="str">
        <f t="shared" si="2"/>
        <v>LOW</v>
      </c>
      <c r="K30" s="8">
        <f t="shared" si="3"/>
        <v>6.5934065934066005E-2</v>
      </c>
      <c r="L30" s="8">
        <f t="shared" si="4"/>
        <v>-0.55253905317517094</v>
      </c>
      <c r="M30" s="5" t="str">
        <f t="shared" si="5"/>
        <v>LOW</v>
      </c>
      <c r="N30" s="5" cm="1">
        <f t="array" aca="1" ref="N30" ca="1">INDEX($N$2:$N$15,RANDBETWEEN(1, ROWS($N$2:$N$15)))</f>
        <v>11</v>
      </c>
      <c r="O30" s="5" cm="1">
        <f t="array" aca="1" ref="O30" ca="1">INDEX($O$2:$O$15,RANDBETWEEN(1, ROWS($O$2:$O$15)))</f>
        <v>7</v>
      </c>
      <c r="P30" s="5">
        <f t="shared" ca="1" si="6"/>
        <v>53759.686862476337</v>
      </c>
      <c r="Q30" s="5" cm="1">
        <f t="array" aca="1" ref="Q30" ca="1">INDEX($D$2:$D$129, RANDBETWEEN(1,128))</f>
        <v>1</v>
      </c>
      <c r="R30" s="5" cm="1">
        <f t="array" aca="1" ref="R30" ca="1">INDEX($F$2:$F$129, RANDBETWEEN(1,129))</f>
        <v>0.85</v>
      </c>
      <c r="S30" s="5"/>
      <c r="T30" s="29" t="s">
        <v>1362</v>
      </c>
      <c r="U30" s="20"/>
      <c r="V30" s="5"/>
      <c r="W30" s="5"/>
      <c r="Y30" s="30" t="s">
        <v>37</v>
      </c>
      <c r="Z30" s="19">
        <f>MAX(D:D)</f>
        <v>48</v>
      </c>
    </row>
    <row r="31" spans="1:26" x14ac:dyDescent="0.35">
      <c r="A31" s="5" t="s">
        <v>8</v>
      </c>
      <c r="B31" s="5">
        <v>540821</v>
      </c>
      <c r="C31" s="5">
        <v>10133</v>
      </c>
      <c r="D31" s="5">
        <v>3</v>
      </c>
      <c r="E31" s="6">
        <v>40554.552777777775</v>
      </c>
      <c r="F31" s="8">
        <v>0.81</v>
      </c>
      <c r="G31" s="5" t="s">
        <v>1331</v>
      </c>
      <c r="H31" s="5">
        <f t="shared" si="0"/>
        <v>4.2553191489361701E-2</v>
      </c>
      <c r="I31" s="5">
        <f t="shared" si="1"/>
        <v>-0.75230747447938584</v>
      </c>
      <c r="J31" s="5" t="str">
        <f t="shared" si="2"/>
        <v>LOW</v>
      </c>
      <c r="K31" s="8">
        <f t="shared" si="3"/>
        <v>6.5934065934066005E-2</v>
      </c>
      <c r="L31" s="8">
        <f t="shared" si="4"/>
        <v>-0.55253905317517094</v>
      </c>
      <c r="M31" s="5" t="str">
        <f t="shared" si="5"/>
        <v>LOW</v>
      </c>
      <c r="N31" s="5" cm="1">
        <f t="array" aca="1" ref="N31" ca="1">INDEX($N$2:$N$15,RANDBETWEEN(1, ROWS($N$2:$N$15)))</f>
        <v>12</v>
      </c>
      <c r="O31" s="5" cm="1">
        <f t="array" aca="1" ref="O31" ca="1">INDEX($O$2:$O$15,RANDBETWEEN(1, ROWS($O$2:$O$15)))</f>
        <v>7</v>
      </c>
      <c r="P31" s="5">
        <f t="shared" ca="1" si="6"/>
        <v>53775.469674409789</v>
      </c>
      <c r="Q31" s="5" cm="1">
        <f t="array" aca="1" ref="Q31" ca="1">INDEX($D$2:$D$129, RANDBETWEEN(1,128))</f>
        <v>20</v>
      </c>
      <c r="R31" s="5" cm="1">
        <f t="array" aca="1" ref="R31" ca="1">INDEX($F$2:$F$129, RANDBETWEEN(1,129))</f>
        <v>0.81</v>
      </c>
      <c r="S31" s="5"/>
      <c r="T31" s="20" t="s">
        <v>1278</v>
      </c>
      <c r="U31" s="20" t="s">
        <v>1367</v>
      </c>
      <c r="V31" s="5"/>
      <c r="W31" s="5"/>
      <c r="Y31" s="13"/>
      <c r="Z31" s="5"/>
    </row>
    <row r="32" spans="1:26" x14ac:dyDescent="0.35">
      <c r="A32" s="5" t="s">
        <v>8</v>
      </c>
      <c r="B32" s="5">
        <v>540848</v>
      </c>
      <c r="C32" s="5">
        <v>10133</v>
      </c>
      <c r="D32" s="5">
        <v>7</v>
      </c>
      <c r="E32" s="6">
        <v>40555.393055555556</v>
      </c>
      <c r="F32" s="8">
        <v>0.81</v>
      </c>
      <c r="G32" s="5" t="s">
        <v>1331</v>
      </c>
      <c r="H32" s="5">
        <f t="shared" si="0"/>
        <v>0.1276595744680851</v>
      </c>
      <c r="I32" s="5">
        <f t="shared" si="1"/>
        <v>-0.38902591836196376</v>
      </c>
      <c r="J32" s="5" t="str">
        <f t="shared" si="2"/>
        <v>LOW</v>
      </c>
      <c r="K32" s="8">
        <f t="shared" si="3"/>
        <v>6.5934065934066005E-2</v>
      </c>
      <c r="L32" s="8">
        <f t="shared" si="4"/>
        <v>-0.55253905317517094</v>
      </c>
      <c r="M32" s="5" t="str">
        <f t="shared" si="5"/>
        <v>LOW</v>
      </c>
      <c r="N32" s="5" cm="1">
        <f t="array" aca="1" ref="N32" ca="1">INDEX($N$2:$N$15,RANDBETWEEN(1, ROWS($N$2:$N$15)))</f>
        <v>4</v>
      </c>
      <c r="O32" s="5" cm="1">
        <f t="array" aca="1" ref="O32" ca="1">INDEX($O$2:$O$15,RANDBETWEEN(1, ROWS($O$2:$O$15)))</f>
        <v>1</v>
      </c>
      <c r="P32" s="5">
        <f t="shared" ca="1" si="6"/>
        <v>53777.132280384052</v>
      </c>
      <c r="Q32" s="5" cm="1">
        <f t="array" aca="1" ref="Q32" ca="1">INDEX($D$2:$D$129, RANDBETWEEN(1,128))</f>
        <v>1</v>
      </c>
      <c r="R32" s="5" cm="1">
        <f t="array" aca="1" ref="R32" ca="1">INDEX($F$2:$F$129, RANDBETWEEN(1,129))</f>
        <v>0.83</v>
      </c>
      <c r="S32" s="5"/>
      <c r="T32" s="20" t="s">
        <v>1280</v>
      </c>
      <c r="U32" s="20" t="s">
        <v>1368</v>
      </c>
      <c r="V32" s="5"/>
      <c r="W32" s="5"/>
      <c r="Y32" s="13"/>
      <c r="Z32" s="5"/>
    </row>
    <row r="33" spans="1:26" x14ac:dyDescent="0.35">
      <c r="A33" s="5" t="s">
        <v>8</v>
      </c>
      <c r="B33" s="5">
        <v>540977</v>
      </c>
      <c r="C33" s="5">
        <v>10133</v>
      </c>
      <c r="D33" s="5">
        <v>1</v>
      </c>
      <c r="E33" s="6">
        <v>40555.625694444447</v>
      </c>
      <c r="F33" s="8">
        <v>0.81</v>
      </c>
      <c r="G33" s="5" t="s">
        <v>1331</v>
      </c>
      <c r="H33" s="5">
        <f t="shared" si="0"/>
        <v>0</v>
      </c>
      <c r="I33" s="5">
        <f t="shared" si="1"/>
        <v>-0.93394825253809688</v>
      </c>
      <c r="J33" s="5" t="str">
        <f t="shared" si="2"/>
        <v>LOW</v>
      </c>
      <c r="K33" s="8">
        <f t="shared" si="3"/>
        <v>6.5934065934066005E-2</v>
      </c>
      <c r="L33" s="8">
        <f t="shared" si="4"/>
        <v>-0.55253905317517094</v>
      </c>
      <c r="M33" s="5" t="str">
        <f t="shared" si="5"/>
        <v>LOW</v>
      </c>
      <c r="N33" s="5" cm="1">
        <f t="array" aca="1" ref="N33" ca="1">INDEX($N$2:$N$15,RANDBETWEEN(1, ROWS($N$2:$N$15)))</f>
        <v>12</v>
      </c>
      <c r="O33" s="5" cm="1">
        <f t="array" aca="1" ref="O33" ca="1">INDEX($O$2:$O$15,RANDBETWEEN(1, ROWS($O$2:$O$15)))</f>
        <v>4</v>
      </c>
      <c r="P33" s="5">
        <f t="shared" ca="1" si="6"/>
        <v>53789.274103745884</v>
      </c>
      <c r="Q33" s="5" cm="1">
        <f t="array" aca="1" ref="Q33" ca="1">INDEX($D$2:$D$129, RANDBETWEEN(1,128))</f>
        <v>1</v>
      </c>
      <c r="R33" s="5" cm="1">
        <f t="array" aca="1" ref="R33" ca="1">INDEX($F$2:$F$129, RANDBETWEEN(1,129))</f>
        <v>0.85</v>
      </c>
      <c r="S33" s="5"/>
      <c r="T33" s="20" t="s">
        <v>1282</v>
      </c>
      <c r="U33" s="20" t="s">
        <v>1369</v>
      </c>
      <c r="V33" s="5"/>
      <c r="W33" s="5"/>
      <c r="Y33" s="30" t="s">
        <v>38</v>
      </c>
      <c r="Z33" s="32">
        <f>MIN(F:F)</f>
        <v>0.75</v>
      </c>
    </row>
    <row r="34" spans="1:26" x14ac:dyDescent="0.35">
      <c r="A34" s="5" t="s">
        <v>8</v>
      </c>
      <c r="B34" s="5">
        <v>541104</v>
      </c>
      <c r="C34" s="5">
        <v>10133</v>
      </c>
      <c r="D34" s="5">
        <v>4</v>
      </c>
      <c r="E34" s="6">
        <v>40556.603472222225</v>
      </c>
      <c r="F34" s="8">
        <v>0.79</v>
      </c>
      <c r="G34" s="5" t="s">
        <v>1331</v>
      </c>
      <c r="H34" s="5">
        <f t="shared" ref="H34:H65" si="7">(D34-1)/(48-1)</f>
        <v>6.3829787234042548E-2</v>
      </c>
      <c r="I34" s="5">
        <f t="shared" ref="I34:I65" si="8">(D34-$Z$21)/$Z$44</f>
        <v>-0.66148708545003032</v>
      </c>
      <c r="J34" s="5" t="str">
        <f t="shared" ref="J34:J65" si="9">IF(D34&gt;$Z$6, "HIGH", "LOW")</f>
        <v>LOW</v>
      </c>
      <c r="K34" s="8">
        <f t="shared" ref="K34:K65" si="10">(F34-0.75)/(1.66-0.75)</f>
        <v>4.3956043956044001E-2</v>
      </c>
      <c r="L34" s="8">
        <f t="shared" ref="L34:L65" si="11">(F34-$Z$22)/$Z$45</f>
        <v>-0.61321562883729586</v>
      </c>
      <c r="M34" s="5" t="str">
        <f t="shared" ref="M34:M65" si="12">IF(F34&gt;$Z$7, "HIGH", "LOW")</f>
        <v>LOW</v>
      </c>
      <c r="N34" s="5" cm="1">
        <f t="array" aca="1" ref="N34" ca="1">INDEX($N$2:$N$15,RANDBETWEEN(1, ROWS($N$2:$N$15)))</f>
        <v>9</v>
      </c>
      <c r="O34" s="5" cm="1">
        <f t="array" aca="1" ref="O34" ca="1">INDEX($O$2:$O$15,RANDBETWEEN(1, ROWS($O$2:$O$15)))</f>
        <v>7</v>
      </c>
      <c r="P34" s="5">
        <f t="shared" ref="P34:P65" ca="1" si="13">AVERAGE(B34:O34)</f>
        <v>53801.202414121741</v>
      </c>
      <c r="Q34" s="5" cm="1">
        <f t="array" aca="1" ref="Q34" ca="1">INDEX($D$2:$D$129, RANDBETWEEN(1,128))</f>
        <v>1</v>
      </c>
      <c r="R34" s="5" cm="1">
        <f t="array" aca="1" ref="R34" ca="1">INDEX($F$2:$F$129, RANDBETWEEN(1,129))</f>
        <v>0.85</v>
      </c>
      <c r="S34" s="5"/>
      <c r="T34" s="20" t="s">
        <v>1284</v>
      </c>
      <c r="U34" s="20" t="s">
        <v>1285</v>
      </c>
      <c r="V34" s="5"/>
      <c r="W34" s="5"/>
      <c r="Y34" s="30" t="s">
        <v>39</v>
      </c>
      <c r="Z34" s="33">
        <f>MAX(F:F)</f>
        <v>1.66</v>
      </c>
    </row>
    <row r="35" spans="1:26" x14ac:dyDescent="0.35">
      <c r="A35" s="5" t="s">
        <v>8</v>
      </c>
      <c r="B35" s="5">
        <v>541219</v>
      </c>
      <c r="C35" s="5">
        <v>10133</v>
      </c>
      <c r="D35" s="5">
        <v>22</v>
      </c>
      <c r="E35" s="6">
        <v>40557.587500000001</v>
      </c>
      <c r="F35" s="8">
        <v>0.79</v>
      </c>
      <c r="G35" s="5" t="s">
        <v>1331</v>
      </c>
      <c r="H35" s="5">
        <f t="shared" si="7"/>
        <v>0.44680851063829785</v>
      </c>
      <c r="I35" s="5">
        <f t="shared" si="8"/>
        <v>0.97327991707836903</v>
      </c>
      <c r="J35" s="5" t="str">
        <f t="shared" si="9"/>
        <v>HIGH</v>
      </c>
      <c r="K35" s="8">
        <f t="shared" si="10"/>
        <v>4.3956043956044001E-2</v>
      </c>
      <c r="L35" s="8">
        <f t="shared" si="11"/>
        <v>-0.61321562883729586</v>
      </c>
      <c r="M35" s="5" t="str">
        <f t="shared" si="12"/>
        <v>LOW</v>
      </c>
      <c r="N35" s="5" cm="1">
        <f t="array" aca="1" ref="N35" ca="1">INDEX($N$2:$N$15,RANDBETWEEN(1, ROWS($N$2:$N$15)))</f>
        <v>4</v>
      </c>
      <c r="O35" s="5" cm="1">
        <f t="array" aca="1" ref="O35" ca="1">INDEX($O$2:$O$15,RANDBETWEEN(1, ROWS($O$2:$O$15)))</f>
        <v>5</v>
      </c>
      <c r="P35" s="5">
        <f t="shared" ca="1" si="13"/>
        <v>53812.92984807663</v>
      </c>
      <c r="Q35" s="5" cm="1">
        <f t="array" aca="1" ref="Q35" ca="1">INDEX($D$2:$D$129, RANDBETWEEN(1,128))</f>
        <v>15</v>
      </c>
      <c r="R35" s="5" cm="1">
        <f t="array" aca="1" ref="R35" ca="1">INDEX($F$2:$F$129, RANDBETWEEN(1,129))</f>
        <v>0.85</v>
      </c>
      <c r="S35" s="5"/>
      <c r="T35" s="20" t="s">
        <v>1286</v>
      </c>
      <c r="U35" s="20">
        <v>0.05</v>
      </c>
      <c r="V35" s="5"/>
      <c r="W35" s="5"/>
      <c r="Y35" s="13"/>
      <c r="Z35" s="5"/>
    </row>
    <row r="36" spans="1:26" x14ac:dyDescent="0.35">
      <c r="A36" s="5" t="s">
        <v>8</v>
      </c>
      <c r="B36" s="5">
        <v>541422</v>
      </c>
      <c r="C36" s="5">
        <v>10133</v>
      </c>
      <c r="D36" s="5">
        <v>12</v>
      </c>
      <c r="E36" s="6">
        <v>40560.741666666669</v>
      </c>
      <c r="F36" s="8">
        <v>0.79</v>
      </c>
      <c r="G36" s="5" t="s">
        <v>1331</v>
      </c>
      <c r="H36" s="5">
        <f t="shared" si="7"/>
        <v>0.23404255319148937</v>
      </c>
      <c r="I36" s="5">
        <f t="shared" si="8"/>
        <v>6.5076026784813848E-2</v>
      </c>
      <c r="J36" s="5" t="str">
        <f t="shared" si="9"/>
        <v>HIGH</v>
      </c>
      <c r="K36" s="8">
        <f t="shared" si="10"/>
        <v>4.3956043956044001E-2</v>
      </c>
      <c r="L36" s="8">
        <f t="shared" si="11"/>
        <v>-0.61321562883729586</v>
      </c>
      <c r="M36" s="5" t="str">
        <f t="shared" si="12"/>
        <v>LOW</v>
      </c>
      <c r="N36" s="5" cm="1">
        <f t="array" aca="1" ref="N36" ca="1">INDEX($N$2:$N$15,RANDBETWEEN(1, ROWS($N$2:$N$15)))</f>
        <v>4</v>
      </c>
      <c r="O36" s="5" cm="1">
        <f t="array" aca="1" ref="O36" ca="1">INDEX($O$2:$O$15,RANDBETWEEN(1, ROWS($O$2:$O$15)))</f>
        <v>4</v>
      </c>
      <c r="P36" s="5">
        <f t="shared" ca="1" si="13"/>
        <v>53830.56922960563</v>
      </c>
      <c r="Q36" s="5" cm="1">
        <f t="array" aca="1" ref="Q36" ca="1">INDEX($D$2:$D$129, RANDBETWEEN(1,128))</f>
        <v>3</v>
      </c>
      <c r="R36" s="5" cm="1">
        <f t="array" aca="1" ref="R36" ca="1">INDEX($F$2:$F$129, RANDBETWEEN(1,129))</f>
        <v>0.85</v>
      </c>
      <c r="S36" s="5"/>
      <c r="T36" s="20" t="s">
        <v>1287</v>
      </c>
      <c r="U36" s="20">
        <v>10</v>
      </c>
      <c r="V36" s="5"/>
      <c r="W36" s="5"/>
      <c r="Y36" s="13"/>
      <c r="Z36" s="5"/>
    </row>
    <row r="37" spans="1:26" x14ac:dyDescent="0.35">
      <c r="A37" s="5" t="s">
        <v>8</v>
      </c>
      <c r="B37" s="5">
        <v>545060</v>
      </c>
      <c r="C37" s="5">
        <v>10080</v>
      </c>
      <c r="D37" s="5">
        <v>2</v>
      </c>
      <c r="E37" s="6">
        <v>40601.574305555558</v>
      </c>
      <c r="F37" s="8">
        <v>0.85</v>
      </c>
      <c r="G37" s="5">
        <v>15547</v>
      </c>
      <c r="H37" s="5">
        <f t="shared" si="7"/>
        <v>2.1276595744680851E-2</v>
      </c>
      <c r="I37" s="5">
        <f t="shared" si="8"/>
        <v>-0.84312786350874136</v>
      </c>
      <c r="J37" s="5" t="str">
        <f t="shared" si="9"/>
        <v>LOW</v>
      </c>
      <c r="K37" s="8">
        <f t="shared" si="10"/>
        <v>0.10989010989010987</v>
      </c>
      <c r="L37" s="8">
        <f t="shared" si="11"/>
        <v>-0.43118590185092137</v>
      </c>
      <c r="M37" s="5" t="str">
        <f t="shared" si="12"/>
        <v>LOW</v>
      </c>
      <c r="N37" s="5">
        <v>4</v>
      </c>
      <c r="O37" s="5">
        <v>3</v>
      </c>
      <c r="P37" s="5">
        <f t="shared" si="13"/>
        <v>50941.440096541315</v>
      </c>
      <c r="Q37" s="5" cm="1">
        <f t="array" aca="1" ref="Q37" ca="1">INDEX($D$2:$D$129, RANDBETWEEN(1,128))</f>
        <v>22</v>
      </c>
      <c r="R37" s="5" cm="1">
        <f t="array" aca="1" ref="R37" ca="1">INDEX($F$2:$F$129, RANDBETWEEN(1,129))</f>
        <v>0</v>
      </c>
      <c r="S37" s="5"/>
      <c r="T37" s="20" t="s">
        <v>1288</v>
      </c>
      <c r="U37" s="20">
        <f>COUNT(D:D)</f>
        <v>127</v>
      </c>
      <c r="V37" s="5"/>
      <c r="W37" s="5"/>
      <c r="Y37" s="30" t="s">
        <v>40</v>
      </c>
      <c r="Z37" s="19" t="s">
        <v>1339</v>
      </c>
    </row>
    <row r="38" spans="1:26" x14ac:dyDescent="0.35">
      <c r="A38" s="5" t="s">
        <v>8</v>
      </c>
      <c r="B38" s="5">
        <v>546429</v>
      </c>
      <c r="C38" s="5">
        <v>15036</v>
      </c>
      <c r="D38" s="5">
        <v>12</v>
      </c>
      <c r="E38" s="6">
        <v>40615.642361111109</v>
      </c>
      <c r="F38" s="8">
        <v>0.75</v>
      </c>
      <c r="G38" s="5">
        <v>17611</v>
      </c>
      <c r="H38" s="5">
        <f t="shared" si="7"/>
        <v>0.23404255319148937</v>
      </c>
      <c r="I38" s="5">
        <f t="shared" si="8"/>
        <v>6.5076026784813848E-2</v>
      </c>
      <c r="J38" s="5" t="str">
        <f t="shared" si="9"/>
        <v>HIGH</v>
      </c>
      <c r="K38" s="8">
        <f t="shared" si="10"/>
        <v>0</v>
      </c>
      <c r="L38" s="8">
        <f t="shared" si="11"/>
        <v>-0.73456878016154581</v>
      </c>
      <c r="M38" s="5" t="str">
        <f t="shared" si="12"/>
        <v>LOW</v>
      </c>
      <c r="N38" s="5" cm="1">
        <f t="array" aca="1" ref="N38" ca="1">INDEX($N$2:$N$15,RANDBETWEEN(1, ROWS($N$2:$N$15)))</f>
        <v>12</v>
      </c>
      <c r="O38" s="5" cm="1">
        <f t="array" aca="1" ref="O38" ca="1">INDEX($O$2:$O$15,RANDBETWEEN(1, ROWS($O$2:$O$15)))</f>
        <v>1</v>
      </c>
      <c r="P38" s="5">
        <f t="shared" ca="1" si="13"/>
        <v>51643.079742575916</v>
      </c>
      <c r="Q38" s="5" cm="1">
        <f t="array" aca="1" ref="Q38" ca="1">INDEX($D$2:$D$129, RANDBETWEEN(1,128))</f>
        <v>1</v>
      </c>
      <c r="R38" s="5" cm="1">
        <f t="array" aca="1" ref="R38" ca="1">INDEX($F$2:$F$129, RANDBETWEEN(1,129))</f>
        <v>0.75</v>
      </c>
      <c r="S38" s="5"/>
      <c r="T38" s="20" t="s">
        <v>1289</v>
      </c>
      <c r="U38" s="20">
        <f>AVERAGE(D:D)</f>
        <v>11.283464566929133</v>
      </c>
      <c r="V38" s="5"/>
      <c r="W38" s="5"/>
      <c r="Y38" s="30" t="s">
        <v>41</v>
      </c>
      <c r="Z38" s="19" t="s">
        <v>1340</v>
      </c>
    </row>
    <row r="39" spans="1:26" x14ac:dyDescent="0.35">
      <c r="A39" s="5" t="s">
        <v>18</v>
      </c>
      <c r="B39" s="5">
        <v>546530</v>
      </c>
      <c r="C39" s="5">
        <v>15036</v>
      </c>
      <c r="D39" s="5">
        <v>12</v>
      </c>
      <c r="E39" s="6">
        <v>40616.559027777781</v>
      </c>
      <c r="F39" s="8">
        <v>0.75</v>
      </c>
      <c r="G39" s="5">
        <v>17404</v>
      </c>
      <c r="H39" s="5">
        <f t="shared" si="7"/>
        <v>0.23404255319148937</v>
      </c>
      <c r="I39" s="5">
        <f t="shared" si="8"/>
        <v>6.5076026784813848E-2</v>
      </c>
      <c r="J39" s="5" t="str">
        <f t="shared" si="9"/>
        <v>HIGH</v>
      </c>
      <c r="K39" s="8">
        <f t="shared" si="10"/>
        <v>0</v>
      </c>
      <c r="L39" s="8">
        <f t="shared" si="11"/>
        <v>-0.73456878016154581</v>
      </c>
      <c r="M39" s="5" t="str">
        <f t="shared" si="12"/>
        <v>LOW</v>
      </c>
      <c r="N39" s="5" cm="1">
        <f t="array" aca="1" ref="N39" ca="1">INDEX($N$2:$N$15,RANDBETWEEN(1, ROWS($N$2:$N$15)))</f>
        <v>4</v>
      </c>
      <c r="O39" s="5" cm="1">
        <f t="array" aca="1" ref="O39" ca="1">INDEX($O$2:$O$15,RANDBETWEEN(1, ROWS($O$2:$O$15)))</f>
        <v>5</v>
      </c>
      <c r="P39" s="5">
        <f t="shared" ca="1" si="13"/>
        <v>51633.989464798135</v>
      </c>
      <c r="Q39" s="5" cm="1">
        <f t="array" aca="1" ref="Q39" ca="1">INDEX($D$2:$D$129, RANDBETWEEN(1,128))</f>
        <v>1</v>
      </c>
      <c r="R39" s="5" cm="1">
        <f t="array" aca="1" ref="R39" ca="1">INDEX($F$2:$F$129, RANDBETWEEN(1,129))</f>
        <v>0.99</v>
      </c>
      <c r="S39" s="5"/>
      <c r="T39" s="20" t="s">
        <v>1290</v>
      </c>
      <c r="U39" s="20">
        <f>_xlfn.STDEV.S(D:D)</f>
        <v>11.010743410015277</v>
      </c>
      <c r="V39" s="5"/>
      <c r="W39" s="5"/>
      <c r="Y39" s="13"/>
      <c r="Z39" s="5"/>
    </row>
    <row r="40" spans="1:26" x14ac:dyDescent="0.35">
      <c r="A40" s="5" t="s">
        <v>8</v>
      </c>
      <c r="B40" s="5">
        <v>546731</v>
      </c>
      <c r="C40" s="5">
        <v>15036</v>
      </c>
      <c r="D40" s="5">
        <v>12</v>
      </c>
      <c r="E40" s="6">
        <v>40618.48541666667</v>
      </c>
      <c r="F40" s="8">
        <v>0.75</v>
      </c>
      <c r="G40" s="5">
        <v>13089</v>
      </c>
      <c r="H40" s="5">
        <f t="shared" si="7"/>
        <v>0.23404255319148937</v>
      </c>
      <c r="I40" s="5">
        <f t="shared" si="8"/>
        <v>6.5076026784813848E-2</v>
      </c>
      <c r="J40" s="5" t="str">
        <f t="shared" si="9"/>
        <v>HIGH</v>
      </c>
      <c r="K40" s="8">
        <f t="shared" si="10"/>
        <v>0</v>
      </c>
      <c r="L40" s="8">
        <f t="shared" si="11"/>
        <v>-0.73456878016154581</v>
      </c>
      <c r="M40" s="5" t="str">
        <f t="shared" si="12"/>
        <v>LOW</v>
      </c>
      <c r="N40" s="5" cm="1">
        <f t="array" aca="1" ref="N40" ca="1">INDEX($N$2:$N$15,RANDBETWEEN(1, ROWS($N$2:$N$15)))</f>
        <v>4</v>
      </c>
      <c r="O40" s="5" cm="1">
        <f t="array" aca="1" ref="O40" ca="1">INDEX($O$2:$O$15,RANDBETWEEN(1, ROWS($O$2:$O$15)))</f>
        <v>5</v>
      </c>
      <c r="P40" s="5">
        <f t="shared" ca="1" si="13"/>
        <v>51291.316663872218</v>
      </c>
      <c r="Q40" s="5" cm="1">
        <f t="array" aca="1" ref="Q40" ca="1">INDEX($D$2:$D$129, RANDBETWEEN(1,128))</f>
        <v>12</v>
      </c>
      <c r="R40" s="5" cm="1">
        <f t="array" aca="1" ref="R40" ca="1">INDEX($F$2:$F$129, RANDBETWEEN(1,129))</f>
        <v>0.85</v>
      </c>
      <c r="S40" s="5"/>
      <c r="T40" s="20" t="s">
        <v>1275</v>
      </c>
      <c r="U40" s="20">
        <f>U39/SQRT(U37)</f>
        <v>0.97704548383876344</v>
      </c>
      <c r="V40" s="5"/>
      <c r="W40" s="5"/>
      <c r="Y40" s="30" t="s">
        <v>42</v>
      </c>
      <c r="Z40" s="19" t="s">
        <v>1341</v>
      </c>
    </row>
    <row r="41" spans="1:26" x14ac:dyDescent="0.35">
      <c r="A41" s="5" t="s">
        <v>8</v>
      </c>
      <c r="B41" s="5">
        <v>546731</v>
      </c>
      <c r="C41" s="5">
        <v>15036</v>
      </c>
      <c r="D41" s="5">
        <v>24</v>
      </c>
      <c r="E41" s="6">
        <v>40618.48541666667</v>
      </c>
      <c r="F41" s="8">
        <v>0.75</v>
      </c>
      <c r="G41" s="5">
        <v>13089</v>
      </c>
      <c r="H41" s="5">
        <f t="shared" si="7"/>
        <v>0.48936170212765956</v>
      </c>
      <c r="I41" s="5">
        <f t="shared" si="8"/>
        <v>1.1549206951370801</v>
      </c>
      <c r="J41" s="5" t="str">
        <f t="shared" si="9"/>
        <v>HIGH</v>
      </c>
      <c r="K41" s="8">
        <f t="shared" si="10"/>
        <v>0</v>
      </c>
      <c r="L41" s="8">
        <f t="shared" si="11"/>
        <v>-0.73456878016154581</v>
      </c>
      <c r="M41" s="5" t="str">
        <f t="shared" si="12"/>
        <v>LOW</v>
      </c>
      <c r="N41" s="5" cm="1">
        <f t="array" aca="1" ref="N41" ca="1">INDEX($N$2:$N$15,RANDBETWEEN(1, ROWS($N$2:$N$15)))</f>
        <v>4</v>
      </c>
      <c r="O41" s="5" cm="1">
        <f t="array" aca="1" ref="O41" ca="1">INDEX($O$2:$O$15,RANDBETWEEN(1, ROWS($O$2:$O$15)))</f>
        <v>5</v>
      </c>
      <c r="P41" s="5">
        <f t="shared" ca="1" si="13"/>
        <v>51292.428760856979</v>
      </c>
      <c r="Q41" s="5" cm="1">
        <f t="array" aca="1" ref="Q41" ca="1">INDEX($D$2:$D$129, RANDBETWEEN(1,128))</f>
        <v>24</v>
      </c>
      <c r="R41" s="5" cm="1">
        <f t="array" aca="1" ref="R41" ca="1">INDEX($F$2:$F$129, RANDBETWEEN(1,129))</f>
        <v>1.63</v>
      </c>
      <c r="S41" s="5"/>
      <c r="T41" s="20" t="s">
        <v>1291</v>
      </c>
      <c r="U41" s="20">
        <f>(U39-U36)/U40</f>
        <v>1.0344896186860366</v>
      </c>
      <c r="V41" s="5"/>
      <c r="W41" s="5"/>
      <c r="Y41" s="30" t="s">
        <v>43</v>
      </c>
      <c r="Z41" s="19" t="s">
        <v>1342</v>
      </c>
    </row>
    <row r="42" spans="1:26" x14ac:dyDescent="0.35">
      <c r="A42" s="5" t="s">
        <v>8</v>
      </c>
      <c r="B42" s="5">
        <v>546774</v>
      </c>
      <c r="C42" s="5">
        <v>15036</v>
      </c>
      <c r="D42" s="5">
        <v>12</v>
      </c>
      <c r="E42" s="6">
        <v>40618.65625</v>
      </c>
      <c r="F42" s="8">
        <v>0.75</v>
      </c>
      <c r="G42" s="5">
        <v>14505</v>
      </c>
      <c r="H42" s="5">
        <f t="shared" si="7"/>
        <v>0.23404255319148937</v>
      </c>
      <c r="I42" s="5">
        <f t="shared" si="8"/>
        <v>6.5076026784813848E-2</v>
      </c>
      <c r="J42" s="5" t="str">
        <f t="shared" si="9"/>
        <v>HIGH</v>
      </c>
      <c r="K42" s="8">
        <f t="shared" si="10"/>
        <v>0</v>
      </c>
      <c r="L42" s="8">
        <f t="shared" si="11"/>
        <v>-0.73456878016154581</v>
      </c>
      <c r="M42" s="5" t="str">
        <f t="shared" si="12"/>
        <v>LOW</v>
      </c>
      <c r="N42" s="5" cm="1">
        <f t="array" aca="1" ref="N42" ca="1">INDEX($N$2:$N$15,RANDBETWEEN(1, ROWS($N$2:$N$15)))</f>
        <v>4</v>
      </c>
      <c r="O42" s="5" cm="1">
        <f t="array" aca="1" ref="O42" ca="1">INDEX($O$2:$O$15,RANDBETWEEN(1, ROWS($O$2:$O$15)))</f>
        <v>5</v>
      </c>
      <c r="P42" s="5">
        <f t="shared" ca="1" si="13"/>
        <v>51412.91423331666</v>
      </c>
      <c r="Q42" s="5" cm="1">
        <f t="array" aca="1" ref="Q42" ca="1">INDEX($D$2:$D$129, RANDBETWEEN(1,128))</f>
        <v>24</v>
      </c>
      <c r="R42" s="5" cm="1">
        <f t="array" aca="1" ref="R42" ca="1">INDEX($F$2:$F$129, RANDBETWEEN(1,129))</f>
        <v>0.83</v>
      </c>
      <c r="S42" s="5"/>
      <c r="T42" s="20" t="s">
        <v>1292</v>
      </c>
      <c r="U42" s="20">
        <f>_xlfn.Z.TEST(D:D, 10)</f>
        <v>9.4487388497002528E-2</v>
      </c>
      <c r="V42" s="5"/>
      <c r="W42" s="5"/>
      <c r="Y42" s="13"/>
      <c r="Z42" s="5"/>
    </row>
    <row r="43" spans="1:26" x14ac:dyDescent="0.35">
      <c r="A43" s="5" t="s">
        <v>8</v>
      </c>
      <c r="B43" s="5">
        <v>546884</v>
      </c>
      <c r="C43" s="5">
        <v>15036</v>
      </c>
      <c r="D43" s="5">
        <v>1</v>
      </c>
      <c r="E43" s="6">
        <v>40619.755555555559</v>
      </c>
      <c r="F43" s="8">
        <v>1.63</v>
      </c>
      <c r="G43" s="5" t="s">
        <v>1331</v>
      </c>
      <c r="H43" s="5">
        <f t="shared" si="7"/>
        <v>0</v>
      </c>
      <c r="I43" s="5">
        <f t="shared" si="8"/>
        <v>-0.93394825253809688</v>
      </c>
      <c r="J43" s="5" t="str">
        <f t="shared" si="9"/>
        <v>LOW</v>
      </c>
      <c r="K43" s="8">
        <f t="shared" si="10"/>
        <v>0.96703296703296704</v>
      </c>
      <c r="L43" s="8">
        <f t="shared" si="11"/>
        <v>1.9352005489719497</v>
      </c>
      <c r="M43" s="5" t="str">
        <f t="shared" si="12"/>
        <v>HIGH</v>
      </c>
      <c r="N43" s="5" cm="1">
        <f t="array" aca="1" ref="N43" ca="1">INDEX($N$2:$N$15,RANDBETWEEN(1, ROWS($N$2:$N$15)))</f>
        <v>9</v>
      </c>
      <c r="O43" s="5" cm="1">
        <f t="array" aca="1" ref="O43" ca="1">INDEX($O$2:$O$15,RANDBETWEEN(1, ROWS($O$2:$O$15)))</f>
        <v>5</v>
      </c>
      <c r="P43" s="5">
        <f t="shared" ca="1" si="13"/>
        <v>54778.032167347177</v>
      </c>
      <c r="Q43" s="5" cm="1">
        <f t="array" aca="1" ref="Q43" ca="1">INDEX($D$2:$D$129, RANDBETWEEN(1,128))</f>
        <v>1</v>
      </c>
      <c r="R43" s="5" cm="1">
        <f t="array" aca="1" ref="R43" ca="1">INDEX($F$2:$F$129, RANDBETWEEN(1,129))</f>
        <v>0.85</v>
      </c>
      <c r="S43" s="5"/>
      <c r="T43" s="20" t="s">
        <v>1293</v>
      </c>
      <c r="U43" s="20" t="str">
        <f>IF(U42&lt;U35,"Reject H₀","Fail to Reject H₀")</f>
        <v>Fail to Reject H₀</v>
      </c>
      <c r="V43" s="5"/>
      <c r="W43" s="5"/>
      <c r="Y43" s="13"/>
      <c r="Z43" s="5"/>
    </row>
    <row r="44" spans="1:26" x14ac:dyDescent="0.35">
      <c r="A44" s="5" t="s">
        <v>8</v>
      </c>
      <c r="B44" s="5">
        <v>546891</v>
      </c>
      <c r="C44" s="5">
        <v>15036</v>
      </c>
      <c r="D44" s="5">
        <v>12</v>
      </c>
      <c r="E44" s="6">
        <v>40619.762499999997</v>
      </c>
      <c r="F44" s="8">
        <v>1.63</v>
      </c>
      <c r="G44" s="5" t="s">
        <v>1331</v>
      </c>
      <c r="H44" s="5">
        <f t="shared" si="7"/>
        <v>0.23404255319148937</v>
      </c>
      <c r="I44" s="5">
        <f t="shared" si="8"/>
        <v>6.5076026784813848E-2</v>
      </c>
      <c r="J44" s="5" t="str">
        <f t="shared" si="9"/>
        <v>HIGH</v>
      </c>
      <c r="K44" s="8">
        <f t="shared" si="10"/>
        <v>0.96703296703296704</v>
      </c>
      <c r="L44" s="8">
        <f t="shared" si="11"/>
        <v>1.9352005489719497</v>
      </c>
      <c r="M44" s="5" t="str">
        <f t="shared" si="12"/>
        <v>HIGH</v>
      </c>
      <c r="N44" s="5" cm="1">
        <f t="array" aca="1" ref="N44" ca="1">INDEX($N$2:$N$15,RANDBETWEEN(1, ROWS($N$2:$N$15)))</f>
        <v>9</v>
      </c>
      <c r="O44" s="5" cm="1">
        <f t="array" aca="1" ref="O44" ca="1">INDEX($O$2:$O$15,RANDBETWEEN(1, ROWS($O$2:$O$15)))</f>
        <v>5</v>
      </c>
      <c r="P44" s="5">
        <f t="shared" ca="1" si="13"/>
        <v>54779.781259281452</v>
      </c>
      <c r="Q44" s="5" cm="1">
        <f t="array" aca="1" ref="Q44" ca="1">INDEX($D$2:$D$129, RANDBETWEEN(1,128))</f>
        <v>1</v>
      </c>
      <c r="R44" s="5" cm="1">
        <f t="array" aca="1" ref="R44" ca="1">INDEX($F$2:$F$129, RANDBETWEEN(1,129))</f>
        <v>0.75</v>
      </c>
      <c r="S44" s="5"/>
      <c r="T44" s="5"/>
      <c r="U44" s="5"/>
      <c r="V44" s="5"/>
      <c r="W44" s="5"/>
      <c r="Y44" s="30" t="s">
        <v>44</v>
      </c>
      <c r="Z44" s="19">
        <f>_xlfn.STDEV.S(D:D)</f>
        <v>11.010743410015277</v>
      </c>
    </row>
    <row r="45" spans="1:26" x14ac:dyDescent="0.35">
      <c r="A45" s="5" t="s">
        <v>8</v>
      </c>
      <c r="B45" s="5">
        <v>546892</v>
      </c>
      <c r="C45" s="5">
        <v>15036</v>
      </c>
      <c r="D45" s="5">
        <v>4</v>
      </c>
      <c r="E45" s="6">
        <v>40619.763888888891</v>
      </c>
      <c r="F45" s="8">
        <v>1.63</v>
      </c>
      <c r="G45" s="5" t="s">
        <v>1331</v>
      </c>
      <c r="H45" s="5">
        <f t="shared" si="7"/>
        <v>6.3829787234042548E-2</v>
      </c>
      <c r="I45" s="5">
        <f t="shared" si="8"/>
        <v>-0.66148708545003032</v>
      </c>
      <c r="J45" s="5" t="str">
        <f t="shared" si="9"/>
        <v>LOW</v>
      </c>
      <c r="K45" s="8">
        <f t="shared" si="10"/>
        <v>0.96703296703296704</v>
      </c>
      <c r="L45" s="8">
        <f t="shared" si="11"/>
        <v>1.9352005489719497</v>
      </c>
      <c r="M45" s="5" t="str">
        <f t="shared" si="12"/>
        <v>HIGH</v>
      </c>
      <c r="N45" s="5" cm="1">
        <f t="array" aca="1" ref="N45" ca="1">INDEX($N$2:$N$15,RANDBETWEEN(1, ROWS($N$2:$N$15)))</f>
        <v>9</v>
      </c>
      <c r="O45" s="5" cm="1">
        <f t="array" aca="1" ref="O45" ca="1">INDEX($O$2:$O$15,RANDBETWEEN(1, ROWS($O$2:$O$15)))</f>
        <v>1</v>
      </c>
      <c r="P45" s="5">
        <f t="shared" ca="1" si="13"/>
        <v>54778.699860464243</v>
      </c>
      <c r="Q45" s="5" cm="1">
        <f t="array" aca="1" ref="Q45" ca="1">INDEX($D$2:$D$129, RANDBETWEEN(1,128))</f>
        <v>20</v>
      </c>
      <c r="R45" s="5" cm="1">
        <f t="array" aca="1" ref="R45" ca="1">INDEX($F$2:$F$129, RANDBETWEEN(1,129))</f>
        <v>0.75</v>
      </c>
      <c r="S45" s="5"/>
      <c r="T45" s="5"/>
      <c r="U45" s="5"/>
      <c r="V45" s="5"/>
      <c r="W45" s="5"/>
      <c r="Y45" s="30" t="s">
        <v>45</v>
      </c>
      <c r="Z45" s="19">
        <f>_xlfn.STDEV.S(F:F)</f>
        <v>0.32961649173099689</v>
      </c>
    </row>
    <row r="46" spans="1:26" x14ac:dyDescent="0.35">
      <c r="A46" s="5" t="s">
        <v>8</v>
      </c>
      <c r="B46" s="5">
        <v>546896</v>
      </c>
      <c r="C46" s="5">
        <v>15036</v>
      </c>
      <c r="D46" s="5">
        <v>17</v>
      </c>
      <c r="E46" s="6">
        <v>40619.76666666667</v>
      </c>
      <c r="F46" s="12">
        <v>0.99</v>
      </c>
      <c r="G46" s="5" t="s">
        <v>1331</v>
      </c>
      <c r="H46" s="5">
        <f t="shared" si="7"/>
        <v>0.34042553191489361</v>
      </c>
      <c r="I46" s="5">
        <f t="shared" si="8"/>
        <v>0.51917797193159143</v>
      </c>
      <c r="J46" s="5" t="str">
        <f t="shared" si="9"/>
        <v>HIGH</v>
      </c>
      <c r="K46" s="8">
        <f t="shared" si="10"/>
        <v>0.26373626373626374</v>
      </c>
      <c r="L46" s="8">
        <f t="shared" si="11"/>
        <v>-6.4498722160469908E-3</v>
      </c>
      <c r="M46" s="5" t="str">
        <f t="shared" si="12"/>
        <v>LOW</v>
      </c>
      <c r="N46" s="5" cm="1">
        <f t="array" aca="1" ref="N46" ca="1">INDEX($N$2:$N$15,RANDBETWEEN(1, ROWS($N$2:$N$15)))</f>
        <v>4</v>
      </c>
      <c r="O46" s="5" cm="1">
        <f t="array" aca="1" ref="O46" ca="1">INDEX($O$2:$O$15,RANDBETWEEN(1, ROWS($O$2:$O$15)))</f>
        <v>5</v>
      </c>
      <c r="P46" s="5">
        <f t="shared" ca="1" si="13"/>
        <v>54779.988505142013</v>
      </c>
      <c r="Q46" s="5" cm="1">
        <f t="array" aca="1" ref="Q46" ca="1">INDEX($D$2:$D$129, RANDBETWEEN(1,128))</f>
        <v>20</v>
      </c>
      <c r="R46" s="5" cm="1">
        <f t="array" aca="1" ref="R46" ca="1">INDEX($F$2:$F$129, RANDBETWEEN(1,129))</f>
        <v>0.75</v>
      </c>
      <c r="S46" s="5"/>
      <c r="T46" s="5"/>
      <c r="U46" s="5"/>
      <c r="V46" s="5"/>
      <c r="W46" s="5"/>
      <c r="Y46" s="13"/>
      <c r="Z46" s="5"/>
    </row>
    <row r="47" spans="1:26" x14ac:dyDescent="0.35">
      <c r="A47" s="5" t="s">
        <v>8</v>
      </c>
      <c r="B47" s="5">
        <v>547000</v>
      </c>
      <c r="C47" s="5">
        <v>15036</v>
      </c>
      <c r="D47" s="5">
        <v>12</v>
      </c>
      <c r="E47" s="6">
        <v>40620.57708333333</v>
      </c>
      <c r="F47" s="8">
        <v>0.75</v>
      </c>
      <c r="G47" s="5">
        <v>14282</v>
      </c>
      <c r="H47" s="5">
        <f t="shared" si="7"/>
        <v>0.23404255319148937</v>
      </c>
      <c r="I47" s="5">
        <f t="shared" si="8"/>
        <v>6.5076026784813848E-2</v>
      </c>
      <c r="J47" s="5" t="str">
        <f t="shared" si="9"/>
        <v>HIGH</v>
      </c>
      <c r="K47" s="8">
        <f t="shared" si="10"/>
        <v>0</v>
      </c>
      <c r="L47" s="8">
        <f t="shared" si="11"/>
        <v>-0.73456878016154581</v>
      </c>
      <c r="M47" s="5" t="str">
        <f t="shared" si="12"/>
        <v>LOW</v>
      </c>
      <c r="N47" s="5" cm="1">
        <f t="array" aca="1" ref="N47" ca="1">INDEX($N$2:$N$15,RANDBETWEEN(1, ROWS($N$2:$N$15)))</f>
        <v>12</v>
      </c>
      <c r="O47" s="5" cm="1">
        <f t="array" aca="1" ref="O47" ca="1">INDEX($O$2:$O$15,RANDBETWEEN(1, ROWS($O$2:$O$15)))</f>
        <v>5</v>
      </c>
      <c r="P47" s="5">
        <f t="shared" ca="1" si="13"/>
        <v>51413.990969427767</v>
      </c>
      <c r="Q47" s="5" cm="1">
        <f t="array" aca="1" ref="Q47" ca="1">INDEX($D$2:$D$129, RANDBETWEEN(1,128))</f>
        <v>1</v>
      </c>
      <c r="R47" s="5" cm="1">
        <f t="array" aca="1" ref="R47" ca="1">INDEX($F$2:$F$129, RANDBETWEEN(1,129))</f>
        <v>0.83</v>
      </c>
      <c r="S47" s="5"/>
      <c r="T47" s="5"/>
      <c r="U47" s="5"/>
      <c r="V47" s="5"/>
      <c r="W47" s="5"/>
      <c r="Y47" s="30" t="s">
        <v>46</v>
      </c>
      <c r="Z47" s="19">
        <f>($D$2-$Z$21)/$Z$44</f>
        <v>3.3346100318416125</v>
      </c>
    </row>
    <row r="48" spans="1:26" x14ac:dyDescent="0.35">
      <c r="A48" s="5" t="s">
        <v>8</v>
      </c>
      <c r="B48" s="5">
        <v>547062</v>
      </c>
      <c r="C48" s="5">
        <v>15036</v>
      </c>
      <c r="D48" s="5">
        <v>12</v>
      </c>
      <c r="E48" s="6">
        <v>40622.561111111114</v>
      </c>
      <c r="F48" s="8">
        <v>0.75</v>
      </c>
      <c r="G48" s="5">
        <v>16728</v>
      </c>
      <c r="H48" s="5">
        <f t="shared" si="7"/>
        <v>0.23404255319148937</v>
      </c>
      <c r="I48" s="5">
        <f t="shared" si="8"/>
        <v>6.5076026784813848E-2</v>
      </c>
      <c r="J48" s="5" t="str">
        <f t="shared" si="9"/>
        <v>HIGH</v>
      </c>
      <c r="K48" s="8">
        <f t="shared" si="10"/>
        <v>0</v>
      </c>
      <c r="L48" s="8">
        <f t="shared" si="11"/>
        <v>-0.73456878016154581</v>
      </c>
      <c r="M48" s="5" t="str">
        <f t="shared" si="12"/>
        <v>LOW</v>
      </c>
      <c r="N48" s="5" cm="1">
        <f t="array" aca="1" ref="N48" ca="1">INDEX($N$2:$N$15,RANDBETWEEN(1, ROWS($N$2:$N$15)))</f>
        <v>4</v>
      </c>
      <c r="O48" s="5" cm="1">
        <f t="array" aca="1" ref="O48" ca="1">INDEX($O$2:$O$15,RANDBETWEEN(1, ROWS($O$2:$O$15)))</f>
        <v>4</v>
      </c>
      <c r="P48" s="5">
        <f t="shared" ca="1" si="13"/>
        <v>51622.406305075914</v>
      </c>
      <c r="Q48" s="5" cm="1">
        <f t="array" aca="1" ref="Q48" ca="1">INDEX($D$2:$D$129, RANDBETWEEN(1,128))</f>
        <v>20</v>
      </c>
      <c r="R48" s="5" cm="1">
        <f t="array" aca="1" ref="R48" ca="1">INDEX($F$2:$F$129, RANDBETWEEN(1,129))</f>
        <v>0.83</v>
      </c>
      <c r="S48" s="5"/>
      <c r="T48" s="29" t="s">
        <v>1363</v>
      </c>
      <c r="U48" s="20"/>
      <c r="V48" s="5"/>
      <c r="W48" s="5"/>
      <c r="Y48" s="30" t="s">
        <v>47</v>
      </c>
      <c r="Z48" s="31">
        <f>($F$2-$Z$22)/$Z$45</f>
        <v>-0.43118590185092137</v>
      </c>
    </row>
    <row r="49" spans="1:23" x14ac:dyDescent="0.35">
      <c r="A49" s="5" t="s">
        <v>8</v>
      </c>
      <c r="B49" s="5">
        <v>547078</v>
      </c>
      <c r="C49" s="5">
        <v>15036</v>
      </c>
      <c r="D49" s="5">
        <v>24</v>
      </c>
      <c r="E49" s="6">
        <v>40622.611805555556</v>
      </c>
      <c r="F49" s="8">
        <v>0.75</v>
      </c>
      <c r="G49" s="5">
        <v>14408</v>
      </c>
      <c r="H49" s="5">
        <f t="shared" si="7"/>
        <v>0.48936170212765956</v>
      </c>
      <c r="I49" s="5">
        <f t="shared" si="8"/>
        <v>1.1549206951370801</v>
      </c>
      <c r="J49" s="5" t="str">
        <f t="shared" si="9"/>
        <v>HIGH</v>
      </c>
      <c r="K49" s="8">
        <f t="shared" si="10"/>
        <v>0</v>
      </c>
      <c r="L49" s="8">
        <f t="shared" si="11"/>
        <v>-0.73456878016154581</v>
      </c>
      <c r="M49" s="5" t="str">
        <f t="shared" si="12"/>
        <v>LOW</v>
      </c>
      <c r="N49" s="5" cm="1">
        <f t="array" aca="1" ref="N49" ca="1">INDEX($N$2:$N$15,RANDBETWEEN(1, ROWS($N$2:$N$15)))</f>
        <v>4</v>
      </c>
      <c r="O49" s="5" cm="1">
        <f t="array" aca="1" ref="O49" ca="1">INDEX($O$2:$O$15,RANDBETWEEN(1, ROWS($O$2:$O$15)))</f>
        <v>5</v>
      </c>
      <c r="P49" s="5">
        <f t="shared" ca="1" si="13"/>
        <v>51431.605959931047</v>
      </c>
      <c r="Q49" s="5" cm="1">
        <f t="array" aca="1" ref="Q49" ca="1">INDEX($D$2:$D$129, RANDBETWEEN(1,128))</f>
        <v>20</v>
      </c>
      <c r="R49" s="5" cm="1">
        <f t="array" aca="1" ref="R49" ca="1">INDEX($F$2:$F$129, RANDBETWEEN(1,129))</f>
        <v>0.99</v>
      </c>
      <c r="S49" s="5"/>
      <c r="T49" s="20" t="s">
        <v>1278</v>
      </c>
      <c r="U49" s="20" t="s">
        <v>1370</v>
      </c>
      <c r="V49" s="5"/>
      <c r="W49" s="5"/>
    </row>
    <row r="50" spans="1:23" x14ac:dyDescent="0.35">
      <c r="A50" s="5" t="s">
        <v>8</v>
      </c>
      <c r="B50" s="5">
        <v>547200</v>
      </c>
      <c r="C50" s="5">
        <v>15036</v>
      </c>
      <c r="D50" s="5">
        <v>24</v>
      </c>
      <c r="E50" s="6">
        <v>40623.542361111111</v>
      </c>
      <c r="F50" s="8">
        <v>0.75</v>
      </c>
      <c r="G50" s="5">
        <v>16036</v>
      </c>
      <c r="H50" s="5">
        <f t="shared" si="7"/>
        <v>0.48936170212765956</v>
      </c>
      <c r="I50" s="5">
        <f t="shared" si="8"/>
        <v>1.1549206951370801</v>
      </c>
      <c r="J50" s="5" t="str">
        <f t="shared" si="9"/>
        <v>HIGH</v>
      </c>
      <c r="K50" s="8">
        <f t="shared" si="10"/>
        <v>0</v>
      </c>
      <c r="L50" s="8">
        <f t="shared" si="11"/>
        <v>-0.73456878016154581</v>
      </c>
      <c r="M50" s="5" t="str">
        <f t="shared" si="12"/>
        <v>LOW</v>
      </c>
      <c r="N50" s="5" cm="1">
        <f t="array" aca="1" ref="N50" ca="1">INDEX($N$2:$N$15,RANDBETWEEN(1, ROWS($N$2:$N$15)))</f>
        <v>4</v>
      </c>
      <c r="O50" s="5" cm="1">
        <f t="array" aca="1" ref="O50" ca="1">INDEX($O$2:$O$15,RANDBETWEEN(1, ROWS($O$2:$O$15)))</f>
        <v>4</v>
      </c>
      <c r="P50" s="5">
        <f t="shared" ca="1" si="13"/>
        <v>51577.433506227353</v>
      </c>
      <c r="Q50" s="5" cm="1">
        <f t="array" aca="1" ref="Q50" ca="1">INDEX($D$2:$D$129, RANDBETWEEN(1,128))</f>
        <v>2</v>
      </c>
      <c r="R50" s="5" cm="1">
        <f t="array" aca="1" ref="R50" ca="1">INDEX($F$2:$F$129, RANDBETWEEN(1,129))</f>
        <v>0.85</v>
      </c>
      <c r="S50" s="5"/>
      <c r="T50" s="20" t="s">
        <v>1280</v>
      </c>
      <c r="U50" s="20" t="s">
        <v>1371</v>
      </c>
      <c r="V50" s="5"/>
      <c r="W50" s="5"/>
    </row>
    <row r="51" spans="1:23" x14ac:dyDescent="0.35">
      <c r="A51" s="5" t="s">
        <v>8</v>
      </c>
      <c r="B51" s="5">
        <v>547248</v>
      </c>
      <c r="C51" s="5">
        <v>15036</v>
      </c>
      <c r="D51" s="5">
        <v>11</v>
      </c>
      <c r="E51" s="6">
        <v>40624.390972222223</v>
      </c>
      <c r="F51" s="8">
        <v>1.63</v>
      </c>
      <c r="G51" s="5" t="s">
        <v>1331</v>
      </c>
      <c r="H51" s="5">
        <f t="shared" si="7"/>
        <v>0.21276595744680851</v>
      </c>
      <c r="I51" s="5">
        <f t="shared" si="8"/>
        <v>-2.5744362244541675E-2</v>
      </c>
      <c r="J51" s="5" t="str">
        <f t="shared" si="9"/>
        <v>LOW</v>
      </c>
      <c r="K51" s="8">
        <f t="shared" si="10"/>
        <v>0.96703296703296704</v>
      </c>
      <c r="L51" s="8">
        <f t="shared" si="11"/>
        <v>1.9352005489719497</v>
      </c>
      <c r="M51" s="5" t="str">
        <f t="shared" si="12"/>
        <v>HIGH</v>
      </c>
      <c r="N51" s="5" cm="1">
        <f t="array" aca="1" ref="N51" ca="1">INDEX($N$2:$N$15,RANDBETWEEN(1, ROWS($N$2:$N$15)))</f>
        <v>8</v>
      </c>
      <c r="O51" s="5" cm="1">
        <f t="array" aca="1" ref="O51" ca="1">INDEX($O$2:$O$15,RANDBETWEEN(1, ROWS($O$2:$O$15)))</f>
        <v>1</v>
      </c>
      <c r="P51" s="5">
        <f t="shared" ca="1" si="13"/>
        <v>54812.10092975758</v>
      </c>
      <c r="Q51" s="5" cm="1">
        <f t="array" aca="1" ref="Q51" ca="1">INDEX($D$2:$D$129, RANDBETWEEN(1,128))</f>
        <v>10</v>
      </c>
      <c r="R51" s="5" cm="1">
        <f t="array" aca="1" ref="R51" ca="1">INDEX($F$2:$F$129, RANDBETWEEN(1,129))</f>
        <v>0.79</v>
      </c>
      <c r="S51" s="5"/>
      <c r="T51" s="20" t="s">
        <v>1282</v>
      </c>
      <c r="U51" s="20" t="s">
        <v>1372</v>
      </c>
      <c r="V51" s="5"/>
      <c r="W51" s="5"/>
    </row>
    <row r="52" spans="1:23" x14ac:dyDescent="0.35">
      <c r="A52" s="5" t="s">
        <v>8</v>
      </c>
      <c r="B52" s="5">
        <v>547249</v>
      </c>
      <c r="C52" s="5">
        <v>15036</v>
      </c>
      <c r="D52" s="5">
        <v>12</v>
      </c>
      <c r="E52" s="6">
        <v>40624.393750000003</v>
      </c>
      <c r="F52" s="8">
        <v>1.63</v>
      </c>
      <c r="G52" s="5" t="s">
        <v>1331</v>
      </c>
      <c r="H52" s="5">
        <f t="shared" si="7"/>
        <v>0.23404255319148937</v>
      </c>
      <c r="I52" s="5">
        <f t="shared" si="8"/>
        <v>6.5076026784813848E-2</v>
      </c>
      <c r="J52" s="5" t="str">
        <f t="shared" si="9"/>
        <v>HIGH</v>
      </c>
      <c r="K52" s="8">
        <f t="shared" si="10"/>
        <v>0.96703296703296704</v>
      </c>
      <c r="L52" s="8">
        <f t="shared" si="11"/>
        <v>1.9352005489719497</v>
      </c>
      <c r="M52" s="5" t="str">
        <f t="shared" si="12"/>
        <v>HIGH</v>
      </c>
      <c r="N52" s="5" cm="1">
        <f t="array" aca="1" ref="N52" ca="1">INDEX($N$2:$N$15,RANDBETWEEN(1, ROWS($N$2:$N$15)))</f>
        <v>4</v>
      </c>
      <c r="O52" s="5" cm="1">
        <f t="array" aca="1" ref="O52" ca="1">INDEX($O$2:$O$15,RANDBETWEEN(1, ROWS($O$2:$O$15)))</f>
        <v>3</v>
      </c>
      <c r="P52" s="5">
        <f t="shared" ca="1" si="13"/>
        <v>54812.111372917825</v>
      </c>
      <c r="Q52" s="5" cm="1">
        <f t="array" aca="1" ref="Q52" ca="1">INDEX($D$2:$D$129, RANDBETWEEN(1,128))</f>
        <v>1</v>
      </c>
      <c r="R52" s="5" cm="1">
        <f t="array" aca="1" ref="R52" ca="1">INDEX($F$2:$F$129, RANDBETWEEN(1,129))</f>
        <v>0.85</v>
      </c>
      <c r="S52" s="5"/>
      <c r="T52" s="20" t="s">
        <v>1284</v>
      </c>
      <c r="U52" s="20" t="s">
        <v>1285</v>
      </c>
      <c r="V52" s="5"/>
      <c r="W52" s="5"/>
    </row>
    <row r="53" spans="1:23" x14ac:dyDescent="0.35">
      <c r="A53" s="5" t="s">
        <v>8</v>
      </c>
      <c r="B53" s="5">
        <v>547385</v>
      </c>
      <c r="C53" s="5">
        <v>15036</v>
      </c>
      <c r="D53" s="5">
        <v>22</v>
      </c>
      <c r="E53" s="6">
        <v>40624.658333333333</v>
      </c>
      <c r="F53" s="8">
        <v>1.63</v>
      </c>
      <c r="G53" s="5" t="s">
        <v>1331</v>
      </c>
      <c r="H53" s="5">
        <f t="shared" si="7"/>
        <v>0.44680851063829785</v>
      </c>
      <c r="I53" s="5">
        <f t="shared" si="8"/>
        <v>0.97327991707836903</v>
      </c>
      <c r="J53" s="5" t="str">
        <f t="shared" si="9"/>
        <v>HIGH</v>
      </c>
      <c r="K53" s="8">
        <f t="shared" si="10"/>
        <v>0.96703296703296704</v>
      </c>
      <c r="L53" s="8">
        <f t="shared" si="11"/>
        <v>1.9352005489719497</v>
      </c>
      <c r="M53" s="5" t="str">
        <f t="shared" si="12"/>
        <v>HIGH</v>
      </c>
      <c r="N53" s="5" cm="1">
        <f t="array" aca="1" ref="N53" ca="1">INDEX($N$2:$N$15,RANDBETWEEN(1, ROWS($N$2:$N$15)))</f>
        <v>4</v>
      </c>
      <c r="O53" s="5" cm="1">
        <f t="array" aca="1" ref="O53" ca="1">INDEX($O$2:$O$15,RANDBETWEEN(1, ROWS($O$2:$O$15)))</f>
        <v>5</v>
      </c>
      <c r="P53" s="5">
        <f t="shared" ca="1" si="13"/>
        <v>54825.691877752455</v>
      </c>
      <c r="Q53" s="5" cm="1">
        <f t="array" aca="1" ref="Q53" ca="1">INDEX($D$2:$D$129, RANDBETWEEN(1,128))</f>
        <v>10</v>
      </c>
      <c r="R53" s="5" cm="1">
        <f t="array" aca="1" ref="R53" ca="1">INDEX($F$2:$F$129, RANDBETWEEN(1,129))</f>
        <v>1.63</v>
      </c>
      <c r="S53" s="5"/>
      <c r="T53" s="20" t="s">
        <v>1286</v>
      </c>
      <c r="U53" s="20">
        <v>0.05</v>
      </c>
      <c r="V53" s="5"/>
      <c r="W53" s="5"/>
    </row>
    <row r="54" spans="1:23" x14ac:dyDescent="0.35">
      <c r="A54" s="5" t="s">
        <v>8</v>
      </c>
      <c r="B54" s="5">
        <v>547386</v>
      </c>
      <c r="C54" s="5">
        <v>15036</v>
      </c>
      <c r="D54" s="5">
        <v>6</v>
      </c>
      <c r="E54" s="6">
        <v>40624.661111111112</v>
      </c>
      <c r="F54" s="8">
        <v>1.63</v>
      </c>
      <c r="G54" s="5" t="s">
        <v>1331</v>
      </c>
      <c r="H54" s="5">
        <f t="shared" si="7"/>
        <v>0.10638297872340426</v>
      </c>
      <c r="I54" s="5">
        <f t="shared" si="8"/>
        <v>-0.47984630739131928</v>
      </c>
      <c r="J54" s="5" t="str">
        <f t="shared" si="9"/>
        <v>LOW</v>
      </c>
      <c r="K54" s="8">
        <f t="shared" si="10"/>
        <v>0.96703296703296704</v>
      </c>
      <c r="L54" s="8">
        <f t="shared" si="11"/>
        <v>1.9352005489719497</v>
      </c>
      <c r="M54" s="5" t="str">
        <f t="shared" si="12"/>
        <v>HIGH</v>
      </c>
      <c r="N54" s="5" cm="1">
        <f t="array" aca="1" ref="N54" ca="1">INDEX($N$2:$N$15,RANDBETWEEN(1, ROWS($N$2:$N$15)))</f>
        <v>4</v>
      </c>
      <c r="O54" s="5" cm="1">
        <f t="array" aca="1" ref="O54" ca="1">INDEX($O$2:$O$15,RANDBETWEEN(1, ROWS($O$2:$O$15)))</f>
        <v>3</v>
      </c>
      <c r="P54" s="5">
        <f t="shared" ca="1" si="13"/>
        <v>54823.983625572575</v>
      </c>
      <c r="Q54" s="5" cm="1">
        <f t="array" aca="1" ref="Q54" ca="1">INDEX($D$2:$D$129, RANDBETWEEN(1,128))</f>
        <v>1</v>
      </c>
      <c r="R54" s="5" cm="1">
        <f t="array" aca="1" ref="R54" ca="1">INDEX($F$2:$F$129, RANDBETWEEN(1,129))</f>
        <v>0.85</v>
      </c>
      <c r="S54" s="5"/>
      <c r="T54" s="20" t="s">
        <v>1287</v>
      </c>
      <c r="U54" s="20">
        <v>1</v>
      </c>
      <c r="V54" s="5"/>
      <c r="W54" s="5"/>
    </row>
    <row r="55" spans="1:23" x14ac:dyDescent="0.35">
      <c r="A55" s="5" t="s">
        <v>8</v>
      </c>
      <c r="B55" s="5">
        <v>547862</v>
      </c>
      <c r="C55" s="5" t="s">
        <v>1331</v>
      </c>
      <c r="D55" s="5">
        <v>12</v>
      </c>
      <c r="E55" s="6">
        <v>40629.537499999999</v>
      </c>
      <c r="F55" s="8">
        <v>0.75</v>
      </c>
      <c r="G55" s="5">
        <v>12841</v>
      </c>
      <c r="H55" s="5">
        <f t="shared" si="7"/>
        <v>0.23404255319148937</v>
      </c>
      <c r="I55" s="5">
        <f t="shared" si="8"/>
        <v>6.5076026784813848E-2</v>
      </c>
      <c r="J55" s="5" t="str">
        <f t="shared" si="9"/>
        <v>HIGH</v>
      </c>
      <c r="K55" s="8">
        <f t="shared" si="10"/>
        <v>0</v>
      </c>
      <c r="L55" s="8">
        <f t="shared" si="11"/>
        <v>-0.73456878016154581</v>
      </c>
      <c r="M55" s="5" t="str">
        <f t="shared" si="12"/>
        <v>LOW</v>
      </c>
      <c r="N55" s="5" cm="1">
        <f t="array" aca="1" ref="N55" ca="1">INDEX($N$2:$N$15,RANDBETWEEN(1, ROWS($N$2:$N$15)))</f>
        <v>9</v>
      </c>
      <c r="O55" s="5" cm="1">
        <f t="array" aca="1" ref="O55" ca="1">INDEX($O$2:$O$15,RANDBETWEEN(1, ROWS($O$2:$O$15)))</f>
        <v>5</v>
      </c>
      <c r="P55" s="5">
        <f t="shared" ca="1" si="13"/>
        <v>54668.986549981804</v>
      </c>
      <c r="Q55" s="5" cm="1">
        <f t="array" aca="1" ref="Q55" ca="1">INDEX($D$2:$D$129, RANDBETWEEN(1,128))</f>
        <v>5</v>
      </c>
      <c r="R55" s="5" cm="1">
        <f t="array" aca="1" ref="R55" ca="1">INDEX($F$2:$F$129, RANDBETWEEN(1,129))</f>
        <v>0.83</v>
      </c>
      <c r="S55" s="5"/>
      <c r="T55" s="20" t="s">
        <v>1288</v>
      </c>
      <c r="U55" s="20">
        <f>COUNT(F:F)</f>
        <v>127</v>
      </c>
      <c r="V55" s="5"/>
      <c r="W55" s="5"/>
    </row>
    <row r="56" spans="1:23" x14ac:dyDescent="0.35">
      <c r="A56" s="5" t="s">
        <v>8</v>
      </c>
      <c r="B56" s="5">
        <v>547879</v>
      </c>
      <c r="C56" s="5">
        <v>15036</v>
      </c>
      <c r="D56" s="5">
        <v>12</v>
      </c>
      <c r="E56" s="6">
        <v>40629.668749999997</v>
      </c>
      <c r="F56" s="8">
        <v>0.75</v>
      </c>
      <c r="G56" s="5">
        <v>12877</v>
      </c>
      <c r="H56" s="5">
        <f t="shared" si="7"/>
        <v>0.23404255319148937</v>
      </c>
      <c r="I56" s="5">
        <f t="shared" si="8"/>
        <v>6.5076026784813848E-2</v>
      </c>
      <c r="J56" s="5" t="str">
        <f t="shared" si="9"/>
        <v>HIGH</v>
      </c>
      <c r="K56" s="8">
        <f t="shared" si="10"/>
        <v>0</v>
      </c>
      <c r="L56" s="8">
        <f t="shared" si="11"/>
        <v>-0.73456878016154581</v>
      </c>
      <c r="M56" s="5" t="str">
        <f t="shared" si="12"/>
        <v>LOW</v>
      </c>
      <c r="N56" s="5" cm="1">
        <f t="array" aca="1" ref="N56" ca="1">INDEX($N$2:$N$15,RANDBETWEEN(1, ROWS($N$2:$N$15)))</f>
        <v>9</v>
      </c>
      <c r="O56" s="5" cm="1">
        <f t="array" aca="1" ref="O56" ca="1">INDEX($O$2:$O$15,RANDBETWEEN(1, ROWS($O$2:$O$15)))</f>
        <v>5</v>
      </c>
      <c r="P56" s="5">
        <f t="shared" ca="1" si="13"/>
        <v>51370.665274983323</v>
      </c>
      <c r="Q56" s="5" cm="1">
        <f t="array" aca="1" ref="Q56" ca="1">INDEX($D$2:$D$129, RANDBETWEEN(1,128))</f>
        <v>24</v>
      </c>
      <c r="R56" s="5" cm="1">
        <f t="array" aca="1" ref="R56" ca="1">INDEX($F$2:$F$129, RANDBETWEEN(1,129))</f>
        <v>0.81</v>
      </c>
      <c r="S56" s="5"/>
      <c r="T56" s="20" t="s">
        <v>1289</v>
      </c>
      <c r="U56" s="21">
        <f>AVERAGE(F:F)</f>
        <v>0.99212598425196663</v>
      </c>
      <c r="V56" s="5"/>
      <c r="W56" s="5"/>
    </row>
    <row r="57" spans="1:23" x14ac:dyDescent="0.35">
      <c r="A57" s="5" t="s">
        <v>21</v>
      </c>
      <c r="B57" s="5">
        <v>547925</v>
      </c>
      <c r="C57" s="5">
        <v>15036</v>
      </c>
      <c r="D57" s="5">
        <v>24</v>
      </c>
      <c r="E57" s="6">
        <v>40630.581250000003</v>
      </c>
      <c r="F57" s="8">
        <v>0.75</v>
      </c>
      <c r="G57" s="5">
        <v>12481</v>
      </c>
      <c r="H57" s="5">
        <f t="shared" si="7"/>
        <v>0.48936170212765956</v>
      </c>
      <c r="I57" s="5">
        <f t="shared" si="8"/>
        <v>1.1549206951370801</v>
      </c>
      <c r="J57" s="5" t="str">
        <f t="shared" si="9"/>
        <v>HIGH</v>
      </c>
      <c r="K57" s="8">
        <f t="shared" si="10"/>
        <v>0</v>
      </c>
      <c r="L57" s="8">
        <f t="shared" si="11"/>
        <v>-0.73456878016154581</v>
      </c>
      <c r="M57" s="5" t="str">
        <f t="shared" si="12"/>
        <v>LOW</v>
      </c>
      <c r="N57" s="5" cm="1">
        <f t="array" aca="1" ref="N57" ca="1">INDEX($N$2:$N$15,RANDBETWEEN(1, ROWS($N$2:$N$15)))</f>
        <v>11</v>
      </c>
      <c r="O57" s="5" cm="1">
        <f t="array" aca="1" ref="O57" ca="1">INDEX($O$2:$O$15,RANDBETWEEN(1, ROWS($O$2:$O$15)))</f>
        <v>1</v>
      </c>
      <c r="P57" s="5">
        <f t="shared" ca="1" si="13"/>
        <v>51342.520080301423</v>
      </c>
      <c r="Q57" s="5" cm="1">
        <f t="array" aca="1" ref="Q57" ca="1">INDEX($D$2:$D$129, RANDBETWEEN(1,128))</f>
        <v>36</v>
      </c>
      <c r="R57" s="5" cm="1">
        <f t="array" aca="1" ref="R57" ca="1">INDEX($F$2:$F$129, RANDBETWEEN(1,129))</f>
        <v>0.81</v>
      </c>
      <c r="S57" s="5"/>
      <c r="T57" s="20" t="s">
        <v>1290</v>
      </c>
      <c r="U57" s="20">
        <f>_xlfn.STDEV.S(F:F)</f>
        <v>0.32961649173099689</v>
      </c>
      <c r="V57" s="5"/>
      <c r="W57" s="5"/>
    </row>
    <row r="58" spans="1:23" x14ac:dyDescent="0.35">
      <c r="A58" s="5" t="s">
        <v>8</v>
      </c>
      <c r="B58" s="5">
        <v>547967</v>
      </c>
      <c r="C58" s="5">
        <v>15036</v>
      </c>
      <c r="D58" s="5">
        <v>4</v>
      </c>
      <c r="E58" s="6">
        <v>40630.65902777778</v>
      </c>
      <c r="F58" s="8">
        <v>1.63</v>
      </c>
      <c r="G58" s="5" t="s">
        <v>1331</v>
      </c>
      <c r="H58" s="5">
        <f t="shared" si="7"/>
        <v>6.3829787234042548E-2</v>
      </c>
      <c r="I58" s="5">
        <f t="shared" si="8"/>
        <v>-0.66148708545003032</v>
      </c>
      <c r="J58" s="5" t="str">
        <f t="shared" si="9"/>
        <v>LOW</v>
      </c>
      <c r="K58" s="8">
        <f t="shared" si="10"/>
        <v>0.96703296703296704</v>
      </c>
      <c r="L58" s="8">
        <f t="shared" si="11"/>
        <v>1.9352005489719497</v>
      </c>
      <c r="M58" s="5" t="str">
        <f t="shared" si="12"/>
        <v>HIGH</v>
      </c>
      <c r="N58" s="5" cm="1">
        <f t="array" aca="1" ref="N58" ca="1">INDEX($N$2:$N$15,RANDBETWEEN(1, ROWS($N$2:$N$15)))</f>
        <v>11</v>
      </c>
      <c r="O58" s="5" cm="1">
        <f t="array" aca="1" ref="O58" ca="1">INDEX($O$2:$O$15,RANDBETWEEN(1, ROWS($O$2:$O$15)))</f>
        <v>4</v>
      </c>
      <c r="P58" s="5">
        <f t="shared" ca="1" si="13"/>
        <v>54877.872145817775</v>
      </c>
      <c r="Q58" s="5" cm="1">
        <f t="array" aca="1" ref="Q58" ca="1">INDEX($D$2:$D$129, RANDBETWEEN(1,128))</f>
        <v>24</v>
      </c>
      <c r="R58" s="5" cm="1">
        <f t="array" aca="1" ref="R58" ca="1">INDEX($F$2:$F$129, RANDBETWEEN(1,129))</f>
        <v>0.83</v>
      </c>
      <c r="S58" s="5"/>
      <c r="T58" s="20" t="s">
        <v>1275</v>
      </c>
      <c r="U58" s="20">
        <f>U57/SQRT(U55)</f>
        <v>2.9248733954840275E-2</v>
      </c>
      <c r="V58" s="5"/>
      <c r="W58" s="5"/>
    </row>
    <row r="59" spans="1:23" x14ac:dyDescent="0.35">
      <c r="A59" s="5" t="s">
        <v>8</v>
      </c>
      <c r="B59" s="5">
        <v>548310</v>
      </c>
      <c r="C59" s="5">
        <v>15036</v>
      </c>
      <c r="D59" s="5">
        <v>12</v>
      </c>
      <c r="E59" s="6">
        <v>40632.50277777778</v>
      </c>
      <c r="F59" s="8">
        <v>0.83</v>
      </c>
      <c r="G59" s="5" t="s">
        <v>1331</v>
      </c>
      <c r="H59" s="5">
        <f t="shared" si="7"/>
        <v>0.23404255319148937</v>
      </c>
      <c r="I59" s="5">
        <f t="shared" si="8"/>
        <v>6.5076026784813848E-2</v>
      </c>
      <c r="J59" s="5" t="str">
        <f t="shared" si="9"/>
        <v>HIGH</v>
      </c>
      <c r="K59" s="8">
        <f t="shared" si="10"/>
        <v>8.7912087912087877E-2</v>
      </c>
      <c r="L59" s="8">
        <f t="shared" si="11"/>
        <v>-0.49186247751304629</v>
      </c>
      <c r="M59" s="5" t="str">
        <f t="shared" si="12"/>
        <v>LOW</v>
      </c>
      <c r="N59" s="5" cm="1">
        <f t="array" aca="1" ref="N59" ca="1">INDEX($N$2:$N$15,RANDBETWEEN(1, ROWS($N$2:$N$15)))</f>
        <v>12</v>
      </c>
      <c r="O59" s="5" cm="1">
        <f t="array" aca="1" ref="O59" ca="1">INDEX($O$2:$O$15,RANDBETWEEN(1, ROWS($O$2:$O$15)))</f>
        <v>5</v>
      </c>
      <c r="P59" s="5">
        <f t="shared" ca="1" si="13"/>
        <v>54909.838904178927</v>
      </c>
      <c r="Q59" s="5" cm="1">
        <f t="array" aca="1" ref="Q59" ca="1">INDEX($D$2:$D$129, RANDBETWEEN(1,128))</f>
        <v>3</v>
      </c>
      <c r="R59" s="5" cm="1">
        <f t="array" aca="1" ref="R59" ca="1">INDEX($F$2:$F$129, RANDBETWEEN(1,129))</f>
        <v>0.75</v>
      </c>
      <c r="S59" s="5"/>
      <c r="T59" s="20" t="s">
        <v>1291</v>
      </c>
      <c r="U59" s="20">
        <f>(U57-U54)/U58</f>
        <v>-22.920086363535184</v>
      </c>
      <c r="V59" s="5"/>
      <c r="W59" s="5"/>
    </row>
    <row r="60" spans="1:23" x14ac:dyDescent="0.35">
      <c r="A60" s="5" t="s">
        <v>8</v>
      </c>
      <c r="B60" s="5">
        <v>548522</v>
      </c>
      <c r="C60" s="5">
        <v>15036</v>
      </c>
      <c r="D60" s="5">
        <v>1</v>
      </c>
      <c r="E60" s="6">
        <v>40633.696527777778</v>
      </c>
      <c r="F60" s="8">
        <v>1.63</v>
      </c>
      <c r="G60" s="5" t="s">
        <v>1331</v>
      </c>
      <c r="H60" s="5">
        <f t="shared" si="7"/>
        <v>0</v>
      </c>
      <c r="I60" s="5">
        <f t="shared" si="8"/>
        <v>-0.93394825253809688</v>
      </c>
      <c r="J60" s="5" t="str">
        <f t="shared" si="9"/>
        <v>LOW</v>
      </c>
      <c r="K60" s="8">
        <f t="shared" si="10"/>
        <v>0.96703296703296704</v>
      </c>
      <c r="L60" s="8">
        <f t="shared" si="11"/>
        <v>1.9352005489719497</v>
      </c>
      <c r="M60" s="5" t="str">
        <f t="shared" si="12"/>
        <v>HIGH</v>
      </c>
      <c r="N60" s="5" cm="1">
        <f t="array" aca="1" ref="N60" ca="1">INDEX($N$2:$N$15,RANDBETWEEN(1, ROWS($N$2:$N$15)))</f>
        <v>4</v>
      </c>
      <c r="O60" s="5" cm="1">
        <f t="array" aca="1" ref="O60" ca="1">INDEX($O$2:$O$15,RANDBETWEEN(1, ROWS($O$2:$O$15)))</f>
        <v>1</v>
      </c>
      <c r="P60" s="5">
        <f t="shared" ca="1" si="13"/>
        <v>54927.390437549206</v>
      </c>
      <c r="Q60" s="5" cm="1">
        <f t="array" aca="1" ref="Q60" ca="1">INDEX($D$2:$D$129, RANDBETWEEN(1,128))</f>
        <v>2</v>
      </c>
      <c r="R60" s="5" cm="1">
        <f t="array" aca="1" ref="R60" ca="1">INDEX($F$2:$F$129, RANDBETWEEN(1,129))</f>
        <v>1.63</v>
      </c>
      <c r="S60" s="5"/>
      <c r="T60" s="20" t="s">
        <v>1292</v>
      </c>
      <c r="U60" s="20">
        <f>_xlfn.Z.TEST(F:F, 1)</f>
        <v>0.60611548481636723</v>
      </c>
      <c r="V60" s="5"/>
      <c r="W60" s="5"/>
    </row>
    <row r="61" spans="1:23" x14ac:dyDescent="0.35">
      <c r="A61" s="5" t="s">
        <v>8</v>
      </c>
      <c r="B61" s="5">
        <v>548617</v>
      </c>
      <c r="C61" s="5">
        <v>15036</v>
      </c>
      <c r="D61" s="5">
        <v>12</v>
      </c>
      <c r="E61" s="6">
        <v>40634.493055555555</v>
      </c>
      <c r="F61" s="8">
        <v>0.83</v>
      </c>
      <c r="G61" s="5">
        <v>16592</v>
      </c>
      <c r="H61" s="5">
        <f t="shared" si="7"/>
        <v>0.23404255319148937</v>
      </c>
      <c r="I61" s="5">
        <f t="shared" si="8"/>
        <v>6.5076026784813848E-2</v>
      </c>
      <c r="J61" s="5" t="str">
        <f t="shared" si="9"/>
        <v>HIGH</v>
      </c>
      <c r="K61" s="8">
        <f t="shared" si="10"/>
        <v>8.7912087912087877E-2</v>
      </c>
      <c r="L61" s="8">
        <f t="shared" si="11"/>
        <v>-0.49186247751304629</v>
      </c>
      <c r="M61" s="5" t="str">
        <f t="shared" si="12"/>
        <v>LOW</v>
      </c>
      <c r="N61" s="5" cm="1">
        <f t="array" aca="1" ref="N61" ca="1">INDEX($N$2:$N$15,RANDBETWEEN(1, ROWS($N$2:$N$15)))</f>
        <v>11</v>
      </c>
      <c r="O61" s="5" cm="1">
        <f t="array" aca="1" ref="O61" ca="1">INDEX($O$2:$O$15,RANDBETWEEN(1, ROWS($O$2:$O$15)))</f>
        <v>5</v>
      </c>
      <c r="P61" s="5">
        <f t="shared" ca="1" si="13"/>
        <v>51742.351518645497</v>
      </c>
      <c r="Q61" s="5" cm="1">
        <f t="array" aca="1" ref="Q61" ca="1">INDEX($D$2:$D$129, RANDBETWEEN(1,128))</f>
        <v>2</v>
      </c>
      <c r="R61" s="5" cm="1">
        <f t="array" aca="1" ref="R61" ca="1">INDEX($F$2:$F$129, RANDBETWEEN(1,129))</f>
        <v>0.85</v>
      </c>
      <c r="S61" s="5"/>
      <c r="T61" s="20" t="s">
        <v>1293</v>
      </c>
      <c r="U61" s="20" t="str">
        <f>IF(U60&lt;U53,"Reject H₀","Fail to Reject H₀")</f>
        <v>Fail to Reject H₀</v>
      </c>
      <c r="V61" s="5"/>
      <c r="W61" s="5"/>
    </row>
    <row r="62" spans="1:23" x14ac:dyDescent="0.35">
      <c r="A62" s="5" t="s">
        <v>8</v>
      </c>
      <c r="B62" s="5">
        <v>548893</v>
      </c>
      <c r="C62" s="5">
        <v>15036</v>
      </c>
      <c r="D62" s="5">
        <v>6</v>
      </c>
      <c r="E62" s="6">
        <v>40637.662499999999</v>
      </c>
      <c r="F62" s="8">
        <v>1.63</v>
      </c>
      <c r="G62" s="5" t="s">
        <v>1331</v>
      </c>
      <c r="H62" s="5">
        <f t="shared" si="7"/>
        <v>0.10638297872340426</v>
      </c>
      <c r="I62" s="5">
        <f t="shared" si="8"/>
        <v>-0.47984630739131928</v>
      </c>
      <c r="J62" s="5" t="str">
        <f t="shared" si="9"/>
        <v>LOW</v>
      </c>
      <c r="K62" s="8">
        <f t="shared" si="10"/>
        <v>0.96703296703296704</v>
      </c>
      <c r="L62" s="8">
        <f t="shared" si="11"/>
        <v>1.9352005489719497</v>
      </c>
      <c r="M62" s="5" t="str">
        <f t="shared" si="12"/>
        <v>HIGH</v>
      </c>
      <c r="N62" s="5" cm="1">
        <f t="array" aca="1" ref="N62" ca="1">INDEX($N$2:$N$15,RANDBETWEEN(1, ROWS($N$2:$N$15)))</f>
        <v>11</v>
      </c>
      <c r="O62" s="5" cm="1">
        <f t="array" aca="1" ref="O62" ca="1">INDEX($O$2:$O$15,RANDBETWEEN(1, ROWS($O$2:$O$15)))</f>
        <v>5</v>
      </c>
      <c r="P62" s="5">
        <f t="shared" ca="1" si="13"/>
        <v>54962.983751835207</v>
      </c>
      <c r="Q62" s="5" cm="1">
        <f t="array" aca="1" ref="Q62" ca="1">INDEX($D$2:$D$129, RANDBETWEEN(1,128))</f>
        <v>2</v>
      </c>
      <c r="R62" s="5" cm="1">
        <f t="array" aca="1" ref="R62" ca="1">INDEX($F$2:$F$129, RANDBETWEEN(1,129))</f>
        <v>0.85</v>
      </c>
      <c r="S62" s="5"/>
      <c r="T62" s="5"/>
      <c r="U62" s="5"/>
      <c r="V62" s="5"/>
      <c r="W62" s="5"/>
    </row>
    <row r="63" spans="1:23" x14ac:dyDescent="0.35">
      <c r="A63" s="5" t="s">
        <v>8</v>
      </c>
      <c r="B63" s="5">
        <v>549259</v>
      </c>
      <c r="C63" s="5">
        <v>15036</v>
      </c>
      <c r="D63" s="5">
        <v>48</v>
      </c>
      <c r="E63" s="6">
        <v>40640.522916666669</v>
      </c>
      <c r="F63" s="8">
        <v>0.75</v>
      </c>
      <c r="G63" s="5">
        <v>13712</v>
      </c>
      <c r="H63" s="5">
        <f t="shared" si="7"/>
        <v>1</v>
      </c>
      <c r="I63" s="5">
        <f t="shared" si="8"/>
        <v>3.3346100318416125</v>
      </c>
      <c r="J63" s="5" t="str">
        <f t="shared" si="9"/>
        <v>HIGH</v>
      </c>
      <c r="K63" s="8">
        <f t="shared" si="10"/>
        <v>0</v>
      </c>
      <c r="L63" s="8">
        <f t="shared" si="11"/>
        <v>-0.73456878016154581</v>
      </c>
      <c r="M63" s="5" t="str">
        <f t="shared" si="12"/>
        <v>LOW</v>
      </c>
      <c r="N63" s="5" cm="1">
        <f t="array" aca="1" ref="N63" ca="1">INDEX($N$2:$N$15,RANDBETWEEN(1, ROWS($N$2:$N$15)))</f>
        <v>4</v>
      </c>
      <c r="O63" s="5" cm="1">
        <f t="array" aca="1" ref="O63" ca="1">INDEX($O$2:$O$15,RANDBETWEEN(1, ROWS($O$2:$O$15)))</f>
        <v>4</v>
      </c>
      <c r="P63" s="5">
        <f t="shared" ca="1" si="13"/>
        <v>51558.989413159863</v>
      </c>
      <c r="Q63" s="5" cm="1">
        <f t="array" aca="1" ref="Q63" ca="1">INDEX($D$2:$D$129, RANDBETWEEN(1,128))</f>
        <v>10</v>
      </c>
      <c r="R63" s="5" cm="1">
        <f t="array" aca="1" ref="R63" ca="1">INDEX($F$2:$F$129, RANDBETWEEN(1,129))</f>
        <v>0.75</v>
      </c>
      <c r="S63" s="5"/>
      <c r="T63" s="5"/>
      <c r="U63" s="5"/>
      <c r="V63" s="5"/>
      <c r="W63" s="5"/>
    </row>
    <row r="64" spans="1:23" x14ac:dyDescent="0.35">
      <c r="A64" s="5" t="s">
        <v>21</v>
      </c>
      <c r="B64" s="5">
        <v>549316</v>
      </c>
      <c r="C64" s="5">
        <v>15036</v>
      </c>
      <c r="D64" s="5">
        <v>36</v>
      </c>
      <c r="E64" s="6">
        <v>40641.412499999999</v>
      </c>
      <c r="F64" s="8">
        <v>0.75</v>
      </c>
      <c r="G64" s="5">
        <v>12705</v>
      </c>
      <c r="H64" s="5">
        <f t="shared" si="7"/>
        <v>0.74468085106382975</v>
      </c>
      <c r="I64" s="5">
        <f t="shared" si="8"/>
        <v>2.2447653634893463</v>
      </c>
      <c r="J64" s="5" t="str">
        <f t="shared" si="9"/>
        <v>HIGH</v>
      </c>
      <c r="K64" s="8">
        <f t="shared" si="10"/>
        <v>0</v>
      </c>
      <c r="L64" s="8">
        <f t="shared" si="11"/>
        <v>-0.73456878016154581</v>
      </c>
      <c r="M64" s="5" t="str">
        <f t="shared" si="12"/>
        <v>LOW</v>
      </c>
      <c r="N64" s="5" cm="1">
        <f t="array" aca="1" ref="N64" ca="1">INDEX($N$2:$N$15,RANDBETWEEN(1, ROWS($N$2:$N$15)))</f>
        <v>9</v>
      </c>
      <c r="O64" s="5" cm="1">
        <f t="array" aca="1" ref="O64" ca="1">INDEX($O$2:$O$15,RANDBETWEEN(1, ROWS($O$2:$O$15)))</f>
        <v>5</v>
      </c>
      <c r="P64" s="5">
        <f t="shared" ca="1" si="13"/>
        <v>51479.284781452872</v>
      </c>
      <c r="Q64" s="5" cm="1">
        <f t="array" aca="1" ref="Q64" ca="1">INDEX($D$2:$D$129, RANDBETWEEN(1,128))</f>
        <v>12</v>
      </c>
      <c r="R64" s="5" cm="1">
        <f t="array" aca="1" ref="R64" ca="1">INDEX($F$2:$F$129, RANDBETWEEN(1,129))</f>
        <v>0.85</v>
      </c>
      <c r="S64" s="5"/>
      <c r="T64" s="5"/>
      <c r="U64" s="5"/>
      <c r="V64" s="5"/>
      <c r="W64" s="5"/>
    </row>
    <row r="65" spans="1:26" x14ac:dyDescent="0.35">
      <c r="A65" s="5" t="s">
        <v>8</v>
      </c>
      <c r="B65" s="5">
        <v>549431</v>
      </c>
      <c r="C65" s="5">
        <v>15036</v>
      </c>
      <c r="D65" s="5">
        <v>36</v>
      </c>
      <c r="E65" s="6">
        <v>40641.511805555558</v>
      </c>
      <c r="F65" s="8">
        <v>0.83</v>
      </c>
      <c r="G65" s="5">
        <v>15874</v>
      </c>
      <c r="H65" s="5">
        <f t="shared" si="7"/>
        <v>0.74468085106382975</v>
      </c>
      <c r="I65" s="5">
        <f t="shared" si="8"/>
        <v>2.2447653634893463</v>
      </c>
      <c r="J65" s="5" t="str">
        <f t="shared" si="9"/>
        <v>HIGH</v>
      </c>
      <c r="K65" s="8">
        <f t="shared" si="10"/>
        <v>8.7912087912087877E-2</v>
      </c>
      <c r="L65" s="8">
        <f t="shared" si="11"/>
        <v>-0.49186247751304629</v>
      </c>
      <c r="M65" s="5" t="str">
        <f t="shared" si="12"/>
        <v>LOW</v>
      </c>
      <c r="N65" s="5" cm="1">
        <f t="array" aca="1" ref="N65" ca="1">INDEX($N$2:$N$15,RANDBETWEEN(1, ROWS($N$2:$N$15)))</f>
        <v>4</v>
      </c>
      <c r="O65" s="5" cm="1">
        <f t="array" aca="1" ref="O65" ca="1">INDEX($O$2:$O$15,RANDBETWEEN(1, ROWS($O$2:$O$15)))</f>
        <v>5</v>
      </c>
      <c r="P65" s="5">
        <f t="shared" ca="1" si="13"/>
        <v>51752.577275115043</v>
      </c>
      <c r="Q65" s="5" cm="1">
        <f t="array" aca="1" ref="Q65" ca="1">INDEX($D$2:$D$129, RANDBETWEEN(1,128))</f>
        <v>4</v>
      </c>
      <c r="R65" s="5" cm="1">
        <f t="array" aca="1" ref="R65" ca="1">INDEX($F$2:$F$129, RANDBETWEEN(1,129))</f>
        <v>0.75</v>
      </c>
      <c r="S65" s="5"/>
      <c r="T65" s="5"/>
      <c r="U65" s="5"/>
      <c r="V65" s="5"/>
      <c r="W65" s="5"/>
    </row>
    <row r="66" spans="1:26" x14ac:dyDescent="0.35">
      <c r="A66" s="5" t="s">
        <v>8</v>
      </c>
      <c r="B66" s="5">
        <v>549524</v>
      </c>
      <c r="C66" s="5">
        <v>15036</v>
      </c>
      <c r="D66" s="5">
        <v>1</v>
      </c>
      <c r="E66" s="6">
        <v>40641.65347222222</v>
      </c>
      <c r="F66" s="8">
        <v>1.63</v>
      </c>
      <c r="G66" s="5" t="s">
        <v>1331</v>
      </c>
      <c r="H66" s="5">
        <f t="shared" ref="H66:H97" si="14">(D66-1)/(48-1)</f>
        <v>0</v>
      </c>
      <c r="I66" s="5">
        <f t="shared" ref="I66:I97" si="15">(D66-$Z$21)/$Z$44</f>
        <v>-0.93394825253809688</v>
      </c>
      <c r="J66" s="5" t="str">
        <f t="shared" ref="J66:J97" si="16">IF(D66&gt;$Z$6, "HIGH", "LOW")</f>
        <v>LOW</v>
      </c>
      <c r="K66" s="8">
        <f t="shared" ref="K66:K97" si="17">(F66-0.75)/(1.66-0.75)</f>
        <v>0.96703296703296704</v>
      </c>
      <c r="L66" s="8">
        <f t="shared" ref="L66:L97" si="18">(F66-$Z$22)/$Z$45</f>
        <v>1.9352005489719497</v>
      </c>
      <c r="M66" s="5" t="str">
        <f t="shared" ref="M66:M97" si="19">IF(F66&gt;$Z$7, "HIGH", "LOW")</f>
        <v>HIGH</v>
      </c>
      <c r="N66" s="5" cm="1">
        <f t="array" aca="1" ref="N66" ca="1">INDEX($N$2:$N$15,RANDBETWEEN(1, ROWS($N$2:$N$15)))</f>
        <v>9</v>
      </c>
      <c r="O66" s="5" cm="1">
        <f t="array" aca="1" ref="O66" ca="1">INDEX($O$2:$O$15,RANDBETWEEN(1, ROWS($O$2:$O$15)))</f>
        <v>1</v>
      </c>
      <c r="P66" s="5">
        <f t="shared" ref="P66:P97" ca="1" si="20">AVERAGE(B66:O66)</f>
        <v>55019.659250680517</v>
      </c>
      <c r="Q66" s="5" cm="1">
        <f t="array" aca="1" ref="Q66" ca="1">INDEX($D$2:$D$129, RANDBETWEEN(1,128))</f>
        <v>12</v>
      </c>
      <c r="R66" s="5" cm="1">
        <f t="array" aca="1" ref="R66" ca="1">INDEX($F$2:$F$129, RANDBETWEEN(1,129))</f>
        <v>1.63</v>
      </c>
      <c r="S66" s="5"/>
      <c r="T66" s="34" t="s">
        <v>1296</v>
      </c>
      <c r="U66" s="35"/>
      <c r="V66" s="5"/>
      <c r="W66" s="5"/>
    </row>
    <row r="67" spans="1:26" ht="15" thickBot="1" x14ac:dyDescent="0.4">
      <c r="A67" s="5" t="s">
        <v>8</v>
      </c>
      <c r="B67" s="5">
        <v>549525</v>
      </c>
      <c r="C67" s="5">
        <v>15036</v>
      </c>
      <c r="D67" s="5">
        <v>17</v>
      </c>
      <c r="E67" s="6">
        <v>40641.655555555553</v>
      </c>
      <c r="F67" s="8">
        <v>1.63</v>
      </c>
      <c r="G67" s="5" t="s">
        <v>1331</v>
      </c>
      <c r="H67" s="5">
        <f t="shared" si="14"/>
        <v>0.34042553191489361</v>
      </c>
      <c r="I67" s="5">
        <f t="shared" si="15"/>
        <v>0.51917797193159143</v>
      </c>
      <c r="J67" s="5" t="str">
        <f t="shared" si="16"/>
        <v>HIGH</v>
      </c>
      <c r="K67" s="8">
        <f t="shared" si="17"/>
        <v>0.96703296703296704</v>
      </c>
      <c r="L67" s="8">
        <f t="shared" si="18"/>
        <v>1.9352005489719497</v>
      </c>
      <c r="M67" s="5" t="str">
        <f t="shared" si="19"/>
        <v>HIGH</v>
      </c>
      <c r="N67" s="5" cm="1">
        <f t="array" aca="1" ref="N67" ca="1">INDEX($N$2:$N$15,RANDBETWEEN(1, ROWS($N$2:$N$15)))</f>
        <v>11</v>
      </c>
      <c r="O67" s="5" cm="1">
        <f t="array" aca="1" ref="O67" ca="1">INDEX($O$2:$O$15,RANDBETWEEN(1, ROWS($O$2:$O$15)))</f>
        <v>3</v>
      </c>
      <c r="P67" s="5">
        <f t="shared" ca="1" si="20"/>
        <v>55021.73158114322</v>
      </c>
      <c r="Q67" s="5" cm="1">
        <f t="array" aca="1" ref="Q67" ca="1">INDEX($D$2:$D$129, RANDBETWEEN(1,128))</f>
        <v>12</v>
      </c>
      <c r="R67" s="5" cm="1">
        <f t="array" aca="1" ref="R67" ca="1">INDEX($F$2:$F$129, RANDBETWEEN(1,129))</f>
        <v>0.85</v>
      </c>
      <c r="S67" s="5"/>
      <c r="T67" s="35" t="s">
        <v>1294</v>
      </c>
      <c r="U67" s="35" t="s">
        <v>1295</v>
      </c>
      <c r="V67" s="5"/>
      <c r="W67" s="5"/>
    </row>
    <row r="68" spans="1:26" x14ac:dyDescent="0.35">
      <c r="A68" s="5" t="s">
        <v>8</v>
      </c>
      <c r="B68" s="5">
        <v>549538</v>
      </c>
      <c r="C68" s="5">
        <v>15036</v>
      </c>
      <c r="D68" s="5">
        <v>3</v>
      </c>
      <c r="E68" s="6">
        <v>40641.725694444445</v>
      </c>
      <c r="F68" s="8">
        <v>0.83</v>
      </c>
      <c r="G68" s="5">
        <v>17961</v>
      </c>
      <c r="H68" s="5">
        <f t="shared" si="14"/>
        <v>4.2553191489361701E-2</v>
      </c>
      <c r="I68" s="5">
        <f t="shared" si="15"/>
        <v>-0.75230747447938584</v>
      </c>
      <c r="J68" s="5" t="str">
        <f t="shared" si="16"/>
        <v>LOW</v>
      </c>
      <c r="K68" s="8">
        <f t="shared" si="17"/>
        <v>8.7912087912087877E-2</v>
      </c>
      <c r="L68" s="8">
        <f t="shared" si="18"/>
        <v>-0.49186247751304629</v>
      </c>
      <c r="M68" s="5" t="str">
        <f t="shared" si="19"/>
        <v>LOW</v>
      </c>
      <c r="N68" s="5" cm="1">
        <f t="array" aca="1" ref="N68" ca="1">INDEX($N$2:$N$15,RANDBETWEEN(1, ROWS($N$2:$N$15)))</f>
        <v>9</v>
      </c>
      <c r="O68" s="5" cm="1">
        <f t="array" aca="1" ref="O68" ca="1">INDEX($O$2:$O$15,RANDBETWEEN(1, ROWS($O$2:$O$15)))</f>
        <v>5</v>
      </c>
      <c r="P68" s="5">
        <f t="shared" ca="1" si="20"/>
        <v>51932.78683248099</v>
      </c>
      <c r="Q68" s="5" cm="1">
        <f t="array" aca="1" ref="Q68" ca="1">INDEX($D$2:$D$129, RANDBETWEEN(1,128))</f>
        <v>1</v>
      </c>
      <c r="R68" s="5" cm="1">
        <f t="array" aca="1" ref="R68" ca="1">INDEX($F$2:$F$129, RANDBETWEEN(1,129))</f>
        <v>0.83</v>
      </c>
      <c r="S68" s="5"/>
      <c r="T68" s="35" t="s">
        <v>1296</v>
      </c>
      <c r="U68" s="35">
        <f>CORREL(D:D, F:F)</f>
        <v>-0.29212354794221923</v>
      </c>
      <c r="V68" s="5"/>
      <c r="W68" s="28"/>
      <c r="X68" s="28" t="s">
        <v>2</v>
      </c>
      <c r="Y68" s="28" t="s">
        <v>3</v>
      </c>
      <c r="Z68" s="28" t="s">
        <v>4</v>
      </c>
    </row>
    <row r="69" spans="1:26" x14ac:dyDescent="0.35">
      <c r="A69" s="5" t="s">
        <v>8</v>
      </c>
      <c r="B69" s="5">
        <v>549711</v>
      </c>
      <c r="C69" s="5">
        <v>15036</v>
      </c>
      <c r="D69" s="5">
        <v>12</v>
      </c>
      <c r="E69" s="6">
        <v>40644.588194444441</v>
      </c>
      <c r="F69" s="8">
        <v>0.83</v>
      </c>
      <c r="G69" s="5">
        <v>13654</v>
      </c>
      <c r="H69" s="5">
        <f t="shared" si="14"/>
        <v>0.23404255319148937</v>
      </c>
      <c r="I69" s="5">
        <f t="shared" si="15"/>
        <v>6.5076026784813848E-2</v>
      </c>
      <c r="J69" s="5" t="str">
        <f t="shared" si="16"/>
        <v>HIGH</v>
      </c>
      <c r="K69" s="8">
        <f t="shared" si="17"/>
        <v>8.7912087912087877E-2</v>
      </c>
      <c r="L69" s="8">
        <f t="shared" si="18"/>
        <v>-0.49186247751304629</v>
      </c>
      <c r="M69" s="5" t="str">
        <f t="shared" si="19"/>
        <v>LOW</v>
      </c>
      <c r="N69" s="5" cm="1">
        <f t="array" aca="1" ref="N69" ca="1">INDEX($N$2:$N$15,RANDBETWEEN(1, ROWS($N$2:$N$15)))</f>
        <v>12</v>
      </c>
      <c r="O69" s="5" cm="1">
        <f t="array" aca="1" ref="O69" ca="1">INDEX($O$2:$O$15,RANDBETWEEN(1, ROWS($O$2:$O$15)))</f>
        <v>5</v>
      </c>
      <c r="P69" s="5">
        <f t="shared" ca="1" si="20"/>
        <v>51589.609446886236</v>
      </c>
      <c r="Q69" s="5" cm="1">
        <f t="array" aca="1" ref="Q69" ca="1">INDEX($D$2:$D$129, RANDBETWEEN(1,128))</f>
        <v>12</v>
      </c>
      <c r="R69" s="5" cm="1">
        <f t="array" aca="1" ref="R69" ca="1">INDEX($F$2:$F$129, RANDBETWEEN(1,129))</f>
        <v>0.81</v>
      </c>
      <c r="S69" s="5"/>
      <c r="T69" s="35"/>
      <c r="U69" s="35"/>
      <c r="V69" s="5"/>
      <c r="W69" t="s">
        <v>2</v>
      </c>
      <c r="X69">
        <v>1</v>
      </c>
    </row>
    <row r="70" spans="1:26" x14ac:dyDescent="0.35">
      <c r="A70" s="5" t="s">
        <v>8</v>
      </c>
      <c r="B70" s="5">
        <v>549743</v>
      </c>
      <c r="C70" s="5">
        <v>15036</v>
      </c>
      <c r="D70" s="5">
        <v>12</v>
      </c>
      <c r="E70" s="6">
        <v>40645.420138888891</v>
      </c>
      <c r="F70" s="8">
        <v>0.83</v>
      </c>
      <c r="G70" s="5">
        <v>16186</v>
      </c>
      <c r="H70" s="5">
        <f t="shared" si="14"/>
        <v>0.23404255319148937</v>
      </c>
      <c r="I70" s="5">
        <f t="shared" si="15"/>
        <v>6.5076026784813848E-2</v>
      </c>
      <c r="J70" s="5" t="str">
        <f t="shared" si="16"/>
        <v>HIGH</v>
      </c>
      <c r="K70" s="8">
        <f t="shared" si="17"/>
        <v>8.7912087912087877E-2</v>
      </c>
      <c r="L70" s="8">
        <f t="shared" si="18"/>
        <v>-0.49186247751304629</v>
      </c>
      <c r="M70" s="5" t="str">
        <f t="shared" si="19"/>
        <v>LOW</v>
      </c>
      <c r="N70" s="5" cm="1">
        <f t="array" aca="1" ref="N70" ca="1">INDEX($N$2:$N$15,RANDBETWEEN(1, ROWS($N$2:$N$15)))</f>
        <v>4</v>
      </c>
      <c r="O70" s="5" cm="1">
        <f t="array" aca="1" ref="O70" ca="1">INDEX($O$2:$O$15,RANDBETWEEN(1, ROWS($O$2:$O$15)))</f>
        <v>5</v>
      </c>
      <c r="P70" s="5">
        <f t="shared" ca="1" si="20"/>
        <v>51802.678775589942</v>
      </c>
      <c r="Q70" s="5" cm="1">
        <f t="array" aca="1" ref="Q70" ca="1">INDEX($D$2:$D$129, RANDBETWEEN(1,128))</f>
        <v>5</v>
      </c>
      <c r="R70" s="5" cm="1">
        <f t="array" aca="1" ref="R70" ca="1">INDEX($F$2:$F$129, RANDBETWEEN(1,129))</f>
        <v>0.85</v>
      </c>
      <c r="S70" s="5"/>
      <c r="T70" s="35" t="s">
        <v>1297</v>
      </c>
      <c r="U70" s="35">
        <f>U68^2</f>
        <v>8.5336167262350063E-2</v>
      </c>
      <c r="V70" s="5"/>
      <c r="W70" t="s">
        <v>3</v>
      </c>
      <c r="X70">
        <v>0.16621564504592642</v>
      </c>
      <c r="Y70">
        <v>1</v>
      </c>
    </row>
    <row r="71" spans="1:26" ht="15" thickBot="1" x14ac:dyDescent="0.4">
      <c r="A71" s="5" t="s">
        <v>8</v>
      </c>
      <c r="B71" s="5">
        <v>549964</v>
      </c>
      <c r="C71" s="5">
        <v>15036</v>
      </c>
      <c r="D71" s="5">
        <v>12</v>
      </c>
      <c r="E71" s="6">
        <v>40646.591666666667</v>
      </c>
      <c r="F71" s="8">
        <v>0.83</v>
      </c>
      <c r="G71" s="5">
        <v>13122</v>
      </c>
      <c r="H71" s="5">
        <f t="shared" si="14"/>
        <v>0.23404255319148937</v>
      </c>
      <c r="I71" s="5">
        <f t="shared" si="15"/>
        <v>6.5076026784813848E-2</v>
      </c>
      <c r="J71" s="5" t="str">
        <f t="shared" si="16"/>
        <v>HIGH</v>
      </c>
      <c r="K71" s="8">
        <f t="shared" si="17"/>
        <v>8.7912087912087877E-2</v>
      </c>
      <c r="L71" s="8">
        <f t="shared" si="18"/>
        <v>-0.49186247751304629</v>
      </c>
      <c r="M71" s="5" t="str">
        <f t="shared" si="19"/>
        <v>LOW</v>
      </c>
      <c r="N71" s="5" cm="1">
        <f t="array" aca="1" ref="N71" ca="1">INDEX($N$2:$N$15,RANDBETWEEN(1, ROWS($N$2:$N$15)))</f>
        <v>12</v>
      </c>
      <c r="O71" s="5" cm="1">
        <f t="array" aca="1" ref="O71" ca="1">INDEX($O$2:$O$15,RANDBETWEEN(1, ROWS($O$2:$O$15)))</f>
        <v>1</v>
      </c>
      <c r="P71" s="5">
        <f t="shared" ca="1" si="20"/>
        <v>51566.193069571425</v>
      </c>
      <c r="Q71" s="5" cm="1">
        <f t="array" aca="1" ref="Q71" ca="1">INDEX($D$2:$D$129, RANDBETWEEN(1,128))</f>
        <v>12</v>
      </c>
      <c r="R71" s="5" cm="1">
        <f t="array" aca="1" ref="R71" ca="1">INDEX($F$2:$F$129, RANDBETWEEN(1,129))</f>
        <v>0.85</v>
      </c>
      <c r="S71" s="5"/>
      <c r="T71" s="35" t="s">
        <v>1298</v>
      </c>
      <c r="U71" s="35" t="str">
        <f>IF(ABS(U68)&lt;0.1,"No correlation",IF(ABS(U68)&lt;0.4,"Weak",IF(ABS(U68)&lt;0.7,"Moderate","Strong")))</f>
        <v>Weak</v>
      </c>
      <c r="V71" s="5"/>
      <c r="W71" s="27" t="s">
        <v>4</v>
      </c>
      <c r="X71" s="27">
        <v>-0.29212354794221923</v>
      </c>
      <c r="Y71" s="27">
        <v>-4.9239241139023074E-2</v>
      </c>
      <c r="Z71" s="27">
        <v>1</v>
      </c>
    </row>
    <row r="72" spans="1:26" x14ac:dyDescent="0.35">
      <c r="A72" s="5" t="s">
        <v>8</v>
      </c>
      <c r="B72" s="5">
        <v>549975</v>
      </c>
      <c r="C72" s="5">
        <v>15036</v>
      </c>
      <c r="D72" s="5">
        <v>12</v>
      </c>
      <c r="E72" s="6">
        <v>40646.609722222223</v>
      </c>
      <c r="F72" s="8">
        <v>0.83</v>
      </c>
      <c r="G72" s="5">
        <v>16175</v>
      </c>
      <c r="H72" s="5">
        <f t="shared" si="14"/>
        <v>0.23404255319148937</v>
      </c>
      <c r="I72" s="5">
        <f t="shared" si="15"/>
        <v>6.5076026784813848E-2</v>
      </c>
      <c r="J72" s="5" t="str">
        <f t="shared" si="16"/>
        <v>HIGH</v>
      </c>
      <c r="K72" s="8">
        <f t="shared" si="17"/>
        <v>8.7912087912087877E-2</v>
      </c>
      <c r="L72" s="8">
        <f t="shared" si="18"/>
        <v>-0.49186247751304629</v>
      </c>
      <c r="M72" s="5" t="str">
        <f t="shared" si="19"/>
        <v>LOW</v>
      </c>
      <c r="N72" s="5" cm="1">
        <f t="array" aca="1" ref="N72" ca="1">INDEX($N$2:$N$15,RANDBETWEEN(1, ROWS($N$2:$N$15)))</f>
        <v>2</v>
      </c>
      <c r="O72" s="5" cm="1">
        <f t="array" aca="1" ref="O72" ca="1">INDEX($O$2:$O$15,RANDBETWEEN(1, ROWS($O$2:$O$15)))</f>
        <v>5</v>
      </c>
      <c r="P72" s="5">
        <f t="shared" ca="1" si="20"/>
        <v>51821.027907534386</v>
      </c>
      <c r="Q72" s="5" cm="1">
        <f t="array" aca="1" ref="Q72" ca="1">INDEX($D$2:$D$129, RANDBETWEEN(1,128))</f>
        <v>1</v>
      </c>
      <c r="R72" s="5" cm="1">
        <f t="array" aca="1" ref="R72" ca="1">INDEX($F$2:$F$129, RANDBETWEEN(1,129))</f>
        <v>0.85</v>
      </c>
      <c r="S72" s="5"/>
      <c r="T72" s="5"/>
      <c r="U72" s="5"/>
      <c r="V72" s="5"/>
      <c r="W72" s="5"/>
    </row>
    <row r="73" spans="1:26" x14ac:dyDescent="0.35">
      <c r="A73" s="5" t="s">
        <v>8</v>
      </c>
      <c r="B73" s="5">
        <v>550138</v>
      </c>
      <c r="C73" s="5">
        <v>15036</v>
      </c>
      <c r="D73" s="5">
        <v>24</v>
      </c>
      <c r="E73" s="6">
        <v>40647.584722222222</v>
      </c>
      <c r="F73" s="8">
        <v>0.83</v>
      </c>
      <c r="G73" s="5">
        <v>12841</v>
      </c>
      <c r="H73" s="5">
        <f t="shared" si="14"/>
        <v>0.48936170212765956</v>
      </c>
      <c r="I73" s="5">
        <f t="shared" si="15"/>
        <v>1.1549206951370801</v>
      </c>
      <c r="J73" s="5" t="str">
        <f t="shared" si="16"/>
        <v>HIGH</v>
      </c>
      <c r="K73" s="8">
        <f t="shared" si="17"/>
        <v>8.7912087912087877E-2</v>
      </c>
      <c r="L73" s="8">
        <f t="shared" si="18"/>
        <v>-0.49186247751304629</v>
      </c>
      <c r="M73" s="5" t="str">
        <f t="shared" si="19"/>
        <v>LOW</v>
      </c>
      <c r="N73" s="5" cm="1">
        <f t="array" aca="1" ref="N73" ca="1">INDEX($N$2:$N$15,RANDBETWEEN(1, ROWS($N$2:$N$15)))</f>
        <v>9</v>
      </c>
      <c r="O73" s="5" cm="1">
        <f t="array" aca="1" ref="O73" ca="1">INDEX($O$2:$O$15,RANDBETWEEN(1, ROWS($O$2:$O$15)))</f>
        <v>5</v>
      </c>
      <c r="P73" s="5">
        <f t="shared" ca="1" si="20"/>
        <v>51558.554587852479</v>
      </c>
      <c r="Q73" s="5" cm="1">
        <f t="array" aca="1" ref="Q73" ca="1">INDEX($D$2:$D$129, RANDBETWEEN(1,128))</f>
        <v>1</v>
      </c>
      <c r="R73" s="5" cm="1">
        <f t="array" aca="1" ref="R73" ca="1">INDEX($F$2:$F$129, RANDBETWEEN(1,129))</f>
        <v>0.85</v>
      </c>
      <c r="S73" s="5"/>
      <c r="T73" s="5"/>
      <c r="U73" s="5"/>
      <c r="V73" s="5"/>
      <c r="W73" s="5"/>
    </row>
    <row r="74" spans="1:26" x14ac:dyDescent="0.35">
      <c r="A74" s="5" t="s">
        <v>1331</v>
      </c>
      <c r="B74" s="5">
        <v>550218</v>
      </c>
      <c r="C74" s="5">
        <v>15036</v>
      </c>
      <c r="D74" s="5">
        <v>12</v>
      </c>
      <c r="E74" s="6">
        <v>40648.46875</v>
      </c>
      <c r="F74" s="8">
        <v>0.83</v>
      </c>
      <c r="G74" s="5">
        <v>14408</v>
      </c>
      <c r="H74" s="5">
        <f t="shared" si="14"/>
        <v>0.23404255319148937</v>
      </c>
      <c r="I74" s="5">
        <f t="shared" si="15"/>
        <v>6.5076026784813848E-2</v>
      </c>
      <c r="J74" s="5" t="str">
        <f t="shared" si="16"/>
        <v>HIGH</v>
      </c>
      <c r="K74" s="8">
        <f t="shared" si="17"/>
        <v>8.7912087912087877E-2</v>
      </c>
      <c r="L74" s="8">
        <f t="shared" si="18"/>
        <v>-0.49186247751304629</v>
      </c>
      <c r="M74" s="5" t="str">
        <f t="shared" si="19"/>
        <v>LOW</v>
      </c>
      <c r="N74" s="5" cm="1">
        <f t="array" aca="1" ref="N74" ca="1">INDEX($N$2:$N$15,RANDBETWEEN(1, ROWS($N$2:$N$15)))</f>
        <v>4</v>
      </c>
      <c r="O74" s="5" cm="1">
        <f t="array" aca="1" ref="O74" ca="1">INDEX($O$2:$O$15,RANDBETWEEN(1, ROWS($O$2:$O$15)))</f>
        <v>5</v>
      </c>
      <c r="P74" s="5">
        <f t="shared" ca="1" si="20"/>
        <v>51694.349493182533</v>
      </c>
      <c r="Q74" s="5" cm="1">
        <f t="array" aca="1" ref="Q74" ca="1">INDEX($D$2:$D$129, RANDBETWEEN(1,128))</f>
        <v>48</v>
      </c>
      <c r="R74" s="5" cm="1">
        <f t="array" aca="1" ref="R74" ca="1">INDEX($F$2:$F$129, RANDBETWEEN(1,129))</f>
        <v>0.75</v>
      </c>
      <c r="S74" s="5"/>
      <c r="T74" s="5"/>
      <c r="U74" s="5"/>
      <c r="V74" s="5"/>
      <c r="W74" s="5"/>
    </row>
    <row r="75" spans="1:26" x14ac:dyDescent="0.35">
      <c r="A75" s="5" t="s">
        <v>1331</v>
      </c>
      <c r="B75" s="5">
        <v>550315</v>
      </c>
      <c r="C75" s="5">
        <v>15036</v>
      </c>
      <c r="D75" s="5">
        <v>24</v>
      </c>
      <c r="E75" s="6">
        <v>40650.488888888889</v>
      </c>
      <c r="F75" s="8">
        <v>0.83</v>
      </c>
      <c r="G75" s="5">
        <v>17990</v>
      </c>
      <c r="H75" s="5">
        <f t="shared" si="14"/>
        <v>0.48936170212765956</v>
      </c>
      <c r="I75" s="5">
        <f t="shared" si="15"/>
        <v>1.1549206951370801</v>
      </c>
      <c r="J75" s="5" t="str">
        <f t="shared" si="16"/>
        <v>HIGH</v>
      </c>
      <c r="K75" s="8">
        <f t="shared" si="17"/>
        <v>8.7912087912087877E-2</v>
      </c>
      <c r="L75" s="8">
        <f t="shared" si="18"/>
        <v>-0.49186247751304629</v>
      </c>
      <c r="M75" s="5" t="str">
        <f t="shared" si="19"/>
        <v>LOW</v>
      </c>
      <c r="N75" s="5" cm="1">
        <f t="array" aca="1" ref="N75" ca="1">INDEX($N$2:$N$15,RANDBETWEEN(1, ROWS($N$2:$N$15)))</f>
        <v>9</v>
      </c>
      <c r="O75" s="5" cm="1">
        <f t="array" aca="1" ref="O75" ca="1">INDEX($O$2:$O$15,RANDBETWEEN(1, ROWS($O$2:$O$15)))</f>
        <v>1</v>
      </c>
      <c r="P75" s="5">
        <f t="shared" ca="1" si="20"/>
        <v>52002.296601741371</v>
      </c>
      <c r="Q75" s="5" cm="1">
        <f t="array" aca="1" ref="Q75" ca="1">INDEX($D$2:$D$129, RANDBETWEEN(1,128))</f>
        <v>40</v>
      </c>
      <c r="R75" s="5" cm="1">
        <f t="array" aca="1" ref="R75" ca="1">INDEX($F$2:$F$129, RANDBETWEEN(1,129))</f>
        <v>0.75</v>
      </c>
      <c r="S75" s="5"/>
      <c r="T75" s="5"/>
      <c r="U75" s="5"/>
      <c r="V75" s="5"/>
      <c r="W75" s="5"/>
    </row>
    <row r="76" spans="1:26" x14ac:dyDescent="0.35">
      <c r="A76" s="5" t="s">
        <v>8</v>
      </c>
      <c r="B76" s="5">
        <v>550323</v>
      </c>
      <c r="C76" s="5">
        <v>15036</v>
      </c>
      <c r="D76" s="5">
        <v>48</v>
      </c>
      <c r="E76" s="6">
        <v>40650.539583333331</v>
      </c>
      <c r="F76" s="8">
        <v>0.83</v>
      </c>
      <c r="G76" s="5">
        <v>13692</v>
      </c>
      <c r="H76" s="5">
        <f t="shared" si="14"/>
        <v>1</v>
      </c>
      <c r="I76" s="5">
        <f t="shared" si="15"/>
        <v>3.3346100318416125</v>
      </c>
      <c r="J76" s="5" t="str">
        <f t="shared" si="16"/>
        <v>HIGH</v>
      </c>
      <c r="K76" s="8">
        <f t="shared" si="17"/>
        <v>8.7912087912087877E-2</v>
      </c>
      <c r="L76" s="8">
        <f t="shared" si="18"/>
        <v>-0.49186247751304629</v>
      </c>
      <c r="M76" s="5" t="str">
        <f t="shared" si="19"/>
        <v>LOW</v>
      </c>
      <c r="N76" s="5" cm="1">
        <f t="array" aca="1" ref="N76" ca="1">INDEX($N$2:$N$15,RANDBETWEEN(1, ROWS($N$2:$N$15)))</f>
        <v>4</v>
      </c>
      <c r="O76" s="5" cm="1">
        <f t="array" aca="1" ref="O76" ca="1">INDEX($O$2:$O$15,RANDBETWEEN(1, ROWS($O$2:$O$15)))</f>
        <v>1</v>
      </c>
      <c r="P76" s="5">
        <f t="shared" ca="1" si="20"/>
        <v>51646.608353581287</v>
      </c>
      <c r="Q76" s="5" cm="1">
        <f t="array" aca="1" ref="Q76" ca="1">INDEX($D$2:$D$129, RANDBETWEEN(1,128))</f>
        <v>1</v>
      </c>
      <c r="R76" s="5" cm="1">
        <f t="array" aca="1" ref="R76" ca="1">INDEX($F$2:$F$129, RANDBETWEEN(1,129))</f>
        <v>0.75</v>
      </c>
      <c r="S76" s="5"/>
      <c r="T76" s="5"/>
      <c r="U76" s="5"/>
      <c r="V76" s="5"/>
      <c r="W76" s="5"/>
    </row>
    <row r="77" spans="1:26" x14ac:dyDescent="0.35">
      <c r="A77" s="5" t="s">
        <v>8</v>
      </c>
      <c r="B77" s="5">
        <v>550336</v>
      </c>
      <c r="C77" s="5">
        <v>15036</v>
      </c>
      <c r="D77" s="5">
        <v>48</v>
      </c>
      <c r="E77" s="6">
        <v>40650.621527777781</v>
      </c>
      <c r="F77" s="8">
        <v>0.83</v>
      </c>
      <c r="G77" s="5">
        <v>13089</v>
      </c>
      <c r="H77" s="5">
        <f t="shared" si="14"/>
        <v>1</v>
      </c>
      <c r="I77" s="5">
        <f t="shared" si="15"/>
        <v>3.3346100318416125</v>
      </c>
      <c r="J77" s="5" t="str">
        <f t="shared" si="16"/>
        <v>HIGH</v>
      </c>
      <c r="K77" s="8">
        <f t="shared" si="17"/>
        <v>8.7912087912087877E-2</v>
      </c>
      <c r="L77" s="8">
        <f t="shared" si="18"/>
        <v>-0.49186247751304629</v>
      </c>
      <c r="M77" s="5" t="str">
        <f t="shared" si="19"/>
        <v>LOW</v>
      </c>
      <c r="N77" s="5" cm="1">
        <f t="array" aca="1" ref="N77" ca="1">INDEX($N$2:$N$15,RANDBETWEEN(1, ROWS($N$2:$N$15)))</f>
        <v>9</v>
      </c>
      <c r="O77" s="5" cm="1">
        <f t="array" aca="1" ref="O77" ca="1">INDEX($O$2:$O$15,RANDBETWEEN(1, ROWS($O$2:$O$15)))</f>
        <v>3</v>
      </c>
      <c r="P77" s="5">
        <f t="shared" ca="1" si="20"/>
        <v>51598.031848951658</v>
      </c>
      <c r="Q77" s="5" cm="1">
        <f t="array" aca="1" ref="Q77" ca="1">INDEX($D$2:$D$129, RANDBETWEEN(1,128))</f>
        <v>1</v>
      </c>
      <c r="R77" s="5" cm="1">
        <f t="array" aca="1" ref="R77" ca="1">INDEX($F$2:$F$129, RANDBETWEEN(1,129))</f>
        <v>0.85</v>
      </c>
      <c r="S77" s="5"/>
      <c r="T77" s="5"/>
      <c r="U77" s="5"/>
      <c r="V77" s="5"/>
      <c r="W77" s="5"/>
    </row>
    <row r="78" spans="1:26" x14ac:dyDescent="0.35">
      <c r="A78" s="5" t="s">
        <v>8</v>
      </c>
      <c r="B78" s="5">
        <v>550452</v>
      </c>
      <c r="C78" s="5">
        <v>10002</v>
      </c>
      <c r="D78" s="5">
        <v>1</v>
      </c>
      <c r="E78" s="6">
        <v>40651.538888888892</v>
      </c>
      <c r="F78" s="8">
        <v>0.85</v>
      </c>
      <c r="G78" s="5">
        <v>14525</v>
      </c>
      <c r="H78" s="5">
        <f t="shared" si="14"/>
        <v>0</v>
      </c>
      <c r="I78" s="5">
        <f t="shared" si="15"/>
        <v>-0.93394825253809688</v>
      </c>
      <c r="J78" s="5" t="str">
        <f t="shared" si="16"/>
        <v>LOW</v>
      </c>
      <c r="K78" s="8">
        <f t="shared" si="17"/>
        <v>0.10989010989010987</v>
      </c>
      <c r="L78" s="8">
        <f t="shared" si="18"/>
        <v>-0.43118590185092137</v>
      </c>
      <c r="M78" s="5" t="str">
        <f t="shared" si="19"/>
        <v>LOW</v>
      </c>
      <c r="N78" s="5">
        <v>9</v>
      </c>
      <c r="O78" s="5">
        <v>1</v>
      </c>
      <c r="P78" s="5">
        <f t="shared" si="20"/>
        <v>51303.427803737024</v>
      </c>
      <c r="Q78" s="5" cm="1">
        <f t="array" aca="1" ref="Q78" ca="1">INDEX($D$2:$D$129, RANDBETWEEN(1,128))</f>
        <v>12</v>
      </c>
      <c r="R78" s="5" cm="1">
        <f t="array" aca="1" ref="R78" ca="1">INDEX($F$2:$F$129, RANDBETWEEN(1,129))</f>
        <v>0.75</v>
      </c>
      <c r="S78" s="5"/>
      <c r="T78" s="5"/>
      <c r="U78" s="5"/>
      <c r="V78" s="5"/>
      <c r="W78" s="5"/>
    </row>
    <row r="79" spans="1:26" x14ac:dyDescent="0.35">
      <c r="A79" s="5" t="s">
        <v>8</v>
      </c>
      <c r="B79" s="5">
        <v>550458</v>
      </c>
      <c r="C79" s="5">
        <v>15036</v>
      </c>
      <c r="D79" s="5">
        <v>2</v>
      </c>
      <c r="E79" s="6">
        <v>40651.550694444442</v>
      </c>
      <c r="F79" s="8">
        <v>1.63</v>
      </c>
      <c r="G79" s="5" t="s">
        <v>1331</v>
      </c>
      <c r="H79" s="5">
        <f t="shared" si="14"/>
        <v>2.1276595744680851E-2</v>
      </c>
      <c r="I79" s="5">
        <f t="shared" si="15"/>
        <v>-0.84312786350874136</v>
      </c>
      <c r="J79" s="5" t="str">
        <f t="shared" si="16"/>
        <v>LOW</v>
      </c>
      <c r="K79" s="8">
        <f t="shared" si="17"/>
        <v>0.96703296703296704</v>
      </c>
      <c r="L79" s="8">
        <f t="shared" si="18"/>
        <v>1.9352005489719497</v>
      </c>
      <c r="M79" s="5" t="str">
        <f t="shared" si="19"/>
        <v>HIGH</v>
      </c>
      <c r="N79" s="5" cm="1">
        <f t="array" aca="1" ref="N79" ca="1">INDEX($N$2:$N$15,RANDBETWEEN(1, ROWS($N$2:$N$15)))</f>
        <v>9</v>
      </c>
      <c r="O79" s="5" cm="1">
        <f t="array" aca="1" ref="O79" ca="1">INDEX($O$2:$O$15,RANDBETWEEN(1, ROWS($O$2:$O$15)))</f>
        <v>5</v>
      </c>
      <c r="P79" s="5">
        <f t="shared" ca="1" si="20"/>
        <v>55105.932825153883</v>
      </c>
      <c r="Q79" s="5" cm="1">
        <f t="array" aca="1" ref="Q79" ca="1">INDEX($D$2:$D$129, RANDBETWEEN(1,128))</f>
        <v>22</v>
      </c>
      <c r="R79" s="5" cm="1">
        <f t="array" aca="1" ref="R79" ca="1">INDEX($F$2:$F$129, RANDBETWEEN(1,129))</f>
        <v>0.75</v>
      </c>
      <c r="S79" s="5"/>
      <c r="T79" s="5"/>
      <c r="U79" s="5"/>
      <c r="V79" s="5"/>
      <c r="W79" s="5"/>
    </row>
    <row r="80" spans="1:26" x14ac:dyDescent="0.35">
      <c r="A80" s="5" t="s">
        <v>8</v>
      </c>
      <c r="B80" s="5">
        <v>550468</v>
      </c>
      <c r="C80" s="5">
        <v>15036</v>
      </c>
      <c r="D80" s="5">
        <v>12</v>
      </c>
      <c r="E80" s="6">
        <v>40651.571527777778</v>
      </c>
      <c r="F80" s="8">
        <v>0.83</v>
      </c>
      <c r="G80" s="5">
        <v>16700</v>
      </c>
      <c r="H80" s="5">
        <f t="shared" si="14"/>
        <v>0.23404255319148937</v>
      </c>
      <c r="I80" s="5">
        <f t="shared" si="15"/>
        <v>6.5076026784813848E-2</v>
      </c>
      <c r="J80" s="5" t="str">
        <f t="shared" si="16"/>
        <v>HIGH</v>
      </c>
      <c r="K80" s="8">
        <f t="shared" si="17"/>
        <v>8.7912087912087877E-2</v>
      </c>
      <c r="L80" s="8">
        <f t="shared" si="18"/>
        <v>-0.49186247751304629</v>
      </c>
      <c r="M80" s="5" t="str">
        <f t="shared" si="19"/>
        <v>LOW</v>
      </c>
      <c r="N80" s="5" cm="1">
        <f t="array" aca="1" ref="N80" ca="1">INDEX($N$2:$N$15,RANDBETWEEN(1, ROWS($N$2:$N$15)))</f>
        <v>9</v>
      </c>
      <c r="O80" s="5" cm="1">
        <f t="array" aca="1" ref="O80" ca="1">INDEX($O$2:$O$15,RANDBETWEEN(1, ROWS($O$2:$O$15)))</f>
        <v>3</v>
      </c>
      <c r="P80" s="5">
        <f t="shared" ca="1" si="20"/>
        <v>51906.691391330685</v>
      </c>
      <c r="Q80" s="5" cm="1">
        <f t="array" aca="1" ref="Q80" ca="1">INDEX($D$2:$D$129, RANDBETWEEN(1,128))</f>
        <v>10</v>
      </c>
      <c r="R80" s="5" cm="1">
        <f t="array" aca="1" ref="R80" ca="1">INDEX($F$2:$F$129, RANDBETWEEN(1,129))</f>
        <v>0.85</v>
      </c>
      <c r="S80" s="5"/>
      <c r="T80" s="5"/>
      <c r="U80" s="5"/>
      <c r="V80" s="5"/>
      <c r="W80" s="5"/>
    </row>
    <row r="81" spans="1:23" x14ac:dyDescent="0.35">
      <c r="A81" s="5" t="s">
        <v>8</v>
      </c>
      <c r="B81" s="5">
        <v>550470</v>
      </c>
      <c r="C81" s="5">
        <v>15036</v>
      </c>
      <c r="D81" s="5">
        <v>4</v>
      </c>
      <c r="E81" s="6">
        <v>40651.575694444444</v>
      </c>
      <c r="F81" s="8">
        <v>1.63</v>
      </c>
      <c r="G81" s="5" t="s">
        <v>1331</v>
      </c>
      <c r="H81" s="5">
        <f t="shared" si="14"/>
        <v>6.3829787234042548E-2</v>
      </c>
      <c r="I81" s="5">
        <f t="shared" si="15"/>
        <v>-0.66148708545003032</v>
      </c>
      <c r="J81" s="5" t="str">
        <f t="shared" si="16"/>
        <v>LOW</v>
      </c>
      <c r="K81" s="8">
        <f t="shared" si="17"/>
        <v>0.96703296703296704</v>
      </c>
      <c r="L81" s="8">
        <f t="shared" si="18"/>
        <v>1.9352005489719497</v>
      </c>
      <c r="M81" s="5" t="str">
        <f t="shared" si="19"/>
        <v>HIGH</v>
      </c>
      <c r="N81" s="5" cm="1">
        <f t="array" aca="1" ref="N81" ca="1">INDEX($N$2:$N$15,RANDBETWEEN(1, ROWS($N$2:$N$15)))</f>
        <v>4</v>
      </c>
      <c r="O81" s="5" cm="1">
        <f t="array" aca="1" ref="O81" ca="1">INDEX($O$2:$O$15,RANDBETWEEN(1, ROWS($O$2:$O$15)))</f>
        <v>4</v>
      </c>
      <c r="P81" s="5">
        <f t="shared" ca="1" si="20"/>
        <v>55106.68275187839</v>
      </c>
      <c r="Q81" s="5" cm="1">
        <f t="array" aca="1" ref="Q81" ca="1">INDEX($D$2:$D$129, RANDBETWEEN(1,128))</f>
        <v>36</v>
      </c>
      <c r="R81" s="5" cm="1">
        <f t="array" aca="1" ref="R81" ca="1">INDEX($F$2:$F$129, RANDBETWEEN(1,129))</f>
        <v>0.85</v>
      </c>
      <c r="S81" s="5"/>
      <c r="T81" s="5"/>
      <c r="U81" s="5"/>
      <c r="V81" s="5"/>
      <c r="W81" s="5"/>
    </row>
    <row r="82" spans="1:23" x14ac:dyDescent="0.35">
      <c r="A82" s="5" t="s">
        <v>8</v>
      </c>
      <c r="B82" s="5">
        <v>550471</v>
      </c>
      <c r="C82" s="5">
        <v>15036</v>
      </c>
      <c r="D82" s="5">
        <v>3</v>
      </c>
      <c r="E82" s="6">
        <v>40651.577777777777</v>
      </c>
      <c r="F82" s="8">
        <v>1.63</v>
      </c>
      <c r="G82" s="5" t="s">
        <v>1331</v>
      </c>
      <c r="H82" s="5">
        <f t="shared" si="14"/>
        <v>4.2553191489361701E-2</v>
      </c>
      <c r="I82" s="5">
        <f t="shared" si="15"/>
        <v>-0.75230747447938584</v>
      </c>
      <c r="J82" s="5" t="str">
        <f t="shared" si="16"/>
        <v>LOW</v>
      </c>
      <c r="K82" s="8">
        <f t="shared" si="17"/>
        <v>0.96703296703296704</v>
      </c>
      <c r="L82" s="8">
        <f t="shared" si="18"/>
        <v>1.9352005489719497</v>
      </c>
      <c r="M82" s="5" t="str">
        <f t="shared" si="19"/>
        <v>HIGH</v>
      </c>
      <c r="N82" s="5" cm="1">
        <f t="array" aca="1" ref="N82" ca="1">INDEX($N$2:$N$15,RANDBETWEEN(1, ROWS($N$2:$N$15)))</f>
        <v>9</v>
      </c>
      <c r="O82" s="5" cm="1">
        <f t="array" aca="1" ref="O82" ca="1">INDEX($O$2:$O$15,RANDBETWEEN(1, ROWS($O$2:$O$15)))</f>
        <v>7</v>
      </c>
      <c r="P82" s="5">
        <f t="shared" ca="1" si="20"/>
        <v>55107.400023364622</v>
      </c>
      <c r="Q82" s="5" cm="1">
        <f t="array" aca="1" ref="Q82" ca="1">INDEX($D$2:$D$129, RANDBETWEEN(1,128))</f>
        <v>11</v>
      </c>
      <c r="R82" s="5" cm="1">
        <f t="array" aca="1" ref="R82" ca="1">INDEX($F$2:$F$129, RANDBETWEEN(1,129))</f>
        <v>0.75</v>
      </c>
      <c r="S82" s="5"/>
      <c r="T82" s="5"/>
      <c r="U82" s="5"/>
      <c r="V82" s="5"/>
      <c r="W82" s="5"/>
    </row>
    <row r="83" spans="1:23" x14ac:dyDescent="0.35">
      <c r="A83" s="5" t="s">
        <v>8</v>
      </c>
      <c r="B83" s="5">
        <v>550474</v>
      </c>
      <c r="C83" s="5">
        <v>15036</v>
      </c>
      <c r="D83" s="5">
        <v>2</v>
      </c>
      <c r="E83" s="6">
        <v>40651.581944444442</v>
      </c>
      <c r="F83" s="8">
        <v>1.63</v>
      </c>
      <c r="G83" s="5" t="s">
        <v>1331</v>
      </c>
      <c r="H83" s="5">
        <f t="shared" si="14"/>
        <v>2.1276595744680851E-2</v>
      </c>
      <c r="I83" s="5">
        <f t="shared" si="15"/>
        <v>-0.84312786350874136</v>
      </c>
      <c r="J83" s="5" t="str">
        <f t="shared" si="16"/>
        <v>LOW</v>
      </c>
      <c r="K83" s="8">
        <f t="shared" si="17"/>
        <v>0.96703296703296704</v>
      </c>
      <c r="L83" s="8">
        <f t="shared" si="18"/>
        <v>1.9352005489719497</v>
      </c>
      <c r="M83" s="5" t="str">
        <f t="shared" si="19"/>
        <v>HIGH</v>
      </c>
      <c r="N83" s="5" cm="1">
        <f t="array" aca="1" ref="N83" ca="1">INDEX($N$2:$N$15,RANDBETWEEN(1, ROWS($N$2:$N$15)))</f>
        <v>11</v>
      </c>
      <c r="O83" s="5" cm="1">
        <f t="array" aca="1" ref="O83" ca="1">INDEX($O$2:$O$15,RANDBETWEEN(1, ROWS($O$2:$O$15)))</f>
        <v>4</v>
      </c>
      <c r="P83" s="5">
        <f t="shared" ca="1" si="20"/>
        <v>55107.481120608427</v>
      </c>
      <c r="Q83" s="5" cm="1">
        <f t="array" aca="1" ref="Q83" ca="1">INDEX($D$2:$D$129, RANDBETWEEN(1,128))</f>
        <v>12</v>
      </c>
      <c r="R83" s="5" cm="1">
        <f t="array" aca="1" ref="R83" ca="1">INDEX($F$2:$F$129, RANDBETWEEN(1,129))</f>
        <v>0.85</v>
      </c>
      <c r="S83" s="5"/>
      <c r="T83" s="5"/>
      <c r="U83" s="5"/>
      <c r="V83" s="5"/>
      <c r="W83" s="5"/>
    </row>
    <row r="84" spans="1:23" x14ac:dyDescent="0.35">
      <c r="A84" s="5" t="s">
        <v>8</v>
      </c>
      <c r="B84" s="5">
        <v>550479</v>
      </c>
      <c r="C84" s="5">
        <v>15036</v>
      </c>
      <c r="D84" s="5">
        <v>24</v>
      </c>
      <c r="E84" s="6">
        <v>40651.584027777775</v>
      </c>
      <c r="F84" s="8">
        <v>0.83</v>
      </c>
      <c r="G84" s="5">
        <v>15625</v>
      </c>
      <c r="H84" s="5">
        <f t="shared" si="14"/>
        <v>0.48936170212765956</v>
      </c>
      <c r="I84" s="5">
        <f t="shared" si="15"/>
        <v>1.1549206951370801</v>
      </c>
      <c r="J84" s="5" t="str">
        <f t="shared" si="16"/>
        <v>HIGH</v>
      </c>
      <c r="K84" s="8">
        <f t="shared" si="17"/>
        <v>8.7912087912087877E-2</v>
      </c>
      <c r="L84" s="8">
        <f t="shared" si="18"/>
        <v>-0.49186247751304629</v>
      </c>
      <c r="M84" s="5" t="str">
        <f t="shared" si="19"/>
        <v>LOW</v>
      </c>
      <c r="N84" s="5" cm="1">
        <f t="array" aca="1" ref="N84" ca="1">INDEX($N$2:$N$15,RANDBETWEEN(1, ROWS($N$2:$N$15)))</f>
        <v>12</v>
      </c>
      <c r="O84" s="5" cm="1">
        <f t="array" aca="1" ref="O84" ca="1">INDEX($O$2:$O$15,RANDBETWEEN(1, ROWS($O$2:$O$15)))</f>
        <v>1</v>
      </c>
      <c r="P84" s="5">
        <f t="shared" ca="1" si="20"/>
        <v>51819.221196648781</v>
      </c>
      <c r="Q84" s="5" cm="1">
        <f t="array" aca="1" ref="Q84" ca="1">INDEX($D$2:$D$129, RANDBETWEEN(1,128))</f>
        <v>5</v>
      </c>
      <c r="R84" s="5" cm="1">
        <f t="array" aca="1" ref="R84" ca="1">INDEX($F$2:$F$129, RANDBETWEEN(1,129))</f>
        <v>0.85</v>
      </c>
      <c r="S84" s="5"/>
      <c r="T84" s="5"/>
      <c r="U84" s="5"/>
      <c r="V84" s="5"/>
      <c r="W84" s="5"/>
    </row>
    <row r="85" spans="1:23" x14ac:dyDescent="0.35">
      <c r="A85" s="5" t="s">
        <v>8</v>
      </c>
      <c r="B85" s="5">
        <v>550517</v>
      </c>
      <c r="C85" s="5">
        <v>15036</v>
      </c>
      <c r="D85" s="5">
        <v>24</v>
      </c>
      <c r="E85" s="6">
        <v>40652.345138888886</v>
      </c>
      <c r="F85" s="8">
        <v>0.83</v>
      </c>
      <c r="G85" s="5">
        <v>14352</v>
      </c>
      <c r="H85" s="5">
        <f t="shared" si="14"/>
        <v>0.48936170212765956</v>
      </c>
      <c r="I85" s="5">
        <f t="shared" si="15"/>
        <v>1.1549206951370801</v>
      </c>
      <c r="J85" s="5" t="str">
        <f t="shared" si="16"/>
        <v>HIGH</v>
      </c>
      <c r="K85" s="8">
        <f t="shared" si="17"/>
        <v>8.7912087912087877E-2</v>
      </c>
      <c r="L85" s="8">
        <f t="shared" si="18"/>
        <v>-0.49186247751304629</v>
      </c>
      <c r="M85" s="5" t="str">
        <f t="shared" si="19"/>
        <v>LOW</v>
      </c>
      <c r="N85" s="5" cm="1">
        <f t="array" aca="1" ref="N85" ca="1">INDEX($N$2:$N$15,RANDBETWEEN(1, ROWS($N$2:$N$15)))</f>
        <v>4</v>
      </c>
      <c r="O85" s="5" cm="1">
        <f t="array" aca="1" ref="O85" ca="1">INDEX($O$2:$O$15,RANDBETWEEN(1, ROWS($O$2:$O$15)))</f>
        <v>4</v>
      </c>
      <c r="P85" s="5">
        <f t="shared" ca="1" si="20"/>
        <v>51715.951289241377</v>
      </c>
      <c r="Q85" s="5" cm="1">
        <f t="array" aca="1" ref="Q85" ca="1">INDEX($D$2:$D$129, RANDBETWEEN(1,128))</f>
        <v>5</v>
      </c>
      <c r="R85" s="5" cm="1">
        <f t="array" aca="1" ref="R85" ca="1">INDEX($F$2:$F$129, RANDBETWEEN(1,129))</f>
        <v>0.75</v>
      </c>
      <c r="S85" s="5"/>
      <c r="T85" s="5"/>
      <c r="U85" s="5"/>
      <c r="V85" s="5"/>
      <c r="W85" s="5"/>
    </row>
    <row r="86" spans="1:23" x14ac:dyDescent="0.35">
      <c r="A86" s="5" t="s">
        <v>8</v>
      </c>
      <c r="B86" s="5">
        <v>550519</v>
      </c>
      <c r="C86" s="5">
        <v>15036</v>
      </c>
      <c r="D86" s="5">
        <v>24</v>
      </c>
      <c r="E86" s="6">
        <v>40652.396527777775</v>
      </c>
      <c r="F86" s="8">
        <v>0.83</v>
      </c>
      <c r="G86" s="5">
        <v>13141</v>
      </c>
      <c r="H86" s="5">
        <f t="shared" si="14"/>
        <v>0.48936170212765956</v>
      </c>
      <c r="I86" s="5">
        <f t="shared" si="15"/>
        <v>1.1549206951370801</v>
      </c>
      <c r="J86" s="5" t="str">
        <f t="shared" si="16"/>
        <v>HIGH</v>
      </c>
      <c r="K86" s="8">
        <f t="shared" si="17"/>
        <v>8.7912087912087877E-2</v>
      </c>
      <c r="L86" s="8">
        <f t="shared" si="18"/>
        <v>-0.49186247751304629</v>
      </c>
      <c r="M86" s="5" t="str">
        <f t="shared" si="19"/>
        <v>LOW</v>
      </c>
      <c r="N86" s="5" cm="1">
        <f t="array" aca="1" ref="N86" ca="1">INDEX($N$2:$N$15,RANDBETWEEN(1, ROWS($N$2:$N$15)))</f>
        <v>9</v>
      </c>
      <c r="O86" s="5" cm="1">
        <f t="array" aca="1" ref="O86" ca="1">INDEX($O$2:$O$15,RANDBETWEEN(1, ROWS($O$2:$O$15)))</f>
        <v>5</v>
      </c>
      <c r="P86" s="5">
        <f t="shared" ca="1" si="20"/>
        <v>51615.705571648781</v>
      </c>
      <c r="Q86" s="5" cm="1">
        <f t="array" aca="1" ref="Q86" ca="1">INDEX($D$2:$D$129, RANDBETWEEN(1,128))</f>
        <v>12</v>
      </c>
      <c r="R86" s="5" cm="1">
        <f t="array" aca="1" ref="R86" ca="1">INDEX($F$2:$F$129, RANDBETWEEN(1,129))</f>
        <v>0.81</v>
      </c>
      <c r="S86" s="5"/>
      <c r="T86" s="5"/>
      <c r="U86" s="5"/>
      <c r="V86" s="5"/>
      <c r="W86" s="5"/>
    </row>
    <row r="87" spans="1:23" x14ac:dyDescent="0.35">
      <c r="A87" s="5" t="s">
        <v>8</v>
      </c>
      <c r="B87" s="5">
        <v>550521</v>
      </c>
      <c r="C87" s="5">
        <v>15036</v>
      </c>
      <c r="D87" s="5">
        <v>24</v>
      </c>
      <c r="E87" s="6">
        <v>40652.40902777778</v>
      </c>
      <c r="F87" s="8">
        <v>0.83</v>
      </c>
      <c r="G87" s="5">
        <v>13647</v>
      </c>
      <c r="H87" s="5">
        <f t="shared" si="14"/>
        <v>0.48936170212765956</v>
      </c>
      <c r="I87" s="5">
        <f t="shared" si="15"/>
        <v>1.1549206951370801</v>
      </c>
      <c r="J87" s="5" t="str">
        <f t="shared" si="16"/>
        <v>HIGH</v>
      </c>
      <c r="K87" s="8">
        <f t="shared" si="17"/>
        <v>8.7912087912087877E-2</v>
      </c>
      <c r="L87" s="8">
        <f t="shared" si="18"/>
        <v>-0.49186247751304629</v>
      </c>
      <c r="M87" s="5" t="str">
        <f t="shared" si="19"/>
        <v>LOW</v>
      </c>
      <c r="N87" s="5" cm="1">
        <f t="array" aca="1" ref="N87" ca="1">INDEX($N$2:$N$15,RANDBETWEEN(1, ROWS($N$2:$N$15)))</f>
        <v>9</v>
      </c>
      <c r="O87" s="5" cm="1">
        <f t="array" aca="1" ref="O87" ca="1">INDEX($O$2:$O$15,RANDBETWEEN(1, ROWS($O$2:$O$15)))</f>
        <v>5</v>
      </c>
      <c r="P87" s="5">
        <f t="shared" ca="1" si="20"/>
        <v>51658.03994664878</v>
      </c>
      <c r="Q87" s="5" cm="1">
        <f t="array" aca="1" ref="Q87" ca="1">INDEX($D$2:$D$129, RANDBETWEEN(1,128))</f>
        <v>3</v>
      </c>
      <c r="R87" s="5" cm="1">
        <f t="array" aca="1" ref="R87" ca="1">INDEX($F$2:$F$129, RANDBETWEEN(1,129))</f>
        <v>0.79</v>
      </c>
      <c r="S87" s="5"/>
      <c r="T87" s="5"/>
      <c r="U87" s="5"/>
      <c r="V87" s="5"/>
      <c r="W87" s="5"/>
    </row>
    <row r="88" spans="1:23" x14ac:dyDescent="0.35">
      <c r="A88" s="5" t="s">
        <v>8</v>
      </c>
      <c r="B88" s="5">
        <v>550542</v>
      </c>
      <c r="C88" s="5">
        <v>15036</v>
      </c>
      <c r="D88" s="5">
        <v>5</v>
      </c>
      <c r="E88" s="6">
        <v>40652.484027777777</v>
      </c>
      <c r="F88" s="8">
        <v>1.63</v>
      </c>
      <c r="G88" s="5" t="s">
        <v>1331</v>
      </c>
      <c r="H88" s="5">
        <f t="shared" si="14"/>
        <v>8.5106382978723402E-2</v>
      </c>
      <c r="I88" s="5">
        <f t="shared" si="15"/>
        <v>-0.5706666964206748</v>
      </c>
      <c r="J88" s="5" t="str">
        <f t="shared" si="16"/>
        <v>LOW</v>
      </c>
      <c r="K88" s="8">
        <f t="shared" si="17"/>
        <v>0.96703296703296704</v>
      </c>
      <c r="L88" s="8">
        <f t="shared" si="18"/>
        <v>1.9352005489719497</v>
      </c>
      <c r="M88" s="5" t="str">
        <f t="shared" si="19"/>
        <v>HIGH</v>
      </c>
      <c r="N88" s="5" cm="1">
        <f t="array" aca="1" ref="N88" ca="1">INDEX($N$2:$N$15,RANDBETWEEN(1, ROWS($N$2:$N$15)))</f>
        <v>4</v>
      </c>
      <c r="O88" s="5" cm="1">
        <f t="array" aca="1" ref="O88" ca="1">INDEX($O$2:$O$15,RANDBETWEEN(1, ROWS($O$2:$O$15)))</f>
        <v>1</v>
      </c>
      <c r="P88" s="5">
        <f t="shared" ca="1" si="20"/>
        <v>55113.139154634577</v>
      </c>
      <c r="Q88" s="5" cm="1">
        <f t="array" aca="1" ref="Q88" ca="1">INDEX($D$2:$D$129, RANDBETWEEN(1,128))</f>
        <v>2</v>
      </c>
      <c r="R88" s="5" cm="1">
        <f t="array" aca="1" ref="R88" ca="1">INDEX($F$2:$F$129, RANDBETWEEN(1,129))</f>
        <v>0.85</v>
      </c>
      <c r="S88" s="5"/>
      <c r="T88" s="5"/>
      <c r="U88" s="5"/>
      <c r="V88" s="5"/>
      <c r="W88" s="5"/>
    </row>
    <row r="89" spans="1:23" x14ac:dyDescent="0.35">
      <c r="A89" s="5" t="s">
        <v>8</v>
      </c>
      <c r="B89" s="5">
        <v>550636</v>
      </c>
      <c r="C89" s="5">
        <v>15036</v>
      </c>
      <c r="D89" s="5">
        <v>1</v>
      </c>
      <c r="E89" s="6">
        <v>40652.650694444441</v>
      </c>
      <c r="F89" s="8">
        <v>1.63</v>
      </c>
      <c r="G89" s="5" t="s">
        <v>1331</v>
      </c>
      <c r="H89" s="5">
        <f t="shared" si="14"/>
        <v>0</v>
      </c>
      <c r="I89" s="5">
        <f t="shared" si="15"/>
        <v>-0.93394825253809688</v>
      </c>
      <c r="J89" s="5" t="str">
        <f t="shared" si="16"/>
        <v>LOW</v>
      </c>
      <c r="K89" s="8">
        <f t="shared" si="17"/>
        <v>0.96703296703296704</v>
      </c>
      <c r="L89" s="8">
        <f t="shared" si="18"/>
        <v>1.9352005489719497</v>
      </c>
      <c r="M89" s="5" t="str">
        <f t="shared" si="19"/>
        <v>HIGH</v>
      </c>
      <c r="N89" s="5" cm="1">
        <f t="array" aca="1" ref="N89" ca="1">INDEX($N$2:$N$15,RANDBETWEEN(1, ROWS($N$2:$N$15)))</f>
        <v>9</v>
      </c>
      <c r="O89" s="5" cm="1">
        <f t="array" aca="1" ref="O89" ca="1">INDEX($O$2:$O$15,RANDBETWEEN(1, ROWS($O$2:$O$15)))</f>
        <v>1</v>
      </c>
      <c r="P89" s="5">
        <f t="shared" ca="1" si="20"/>
        <v>55121.749907246165</v>
      </c>
      <c r="Q89" s="5" cm="1">
        <f t="array" aca="1" ref="Q89" ca="1">INDEX($D$2:$D$129, RANDBETWEEN(1,128))</f>
        <v>1</v>
      </c>
      <c r="R89" s="5" cm="1">
        <f t="array" aca="1" ref="R89" ca="1">INDEX($F$2:$F$129, RANDBETWEEN(1,129))</f>
        <v>0.83</v>
      </c>
      <c r="S89" s="5"/>
      <c r="T89" s="5"/>
      <c r="U89" s="5"/>
      <c r="V89" s="5"/>
      <c r="W89" s="5"/>
    </row>
    <row r="90" spans="1:23" x14ac:dyDescent="0.35">
      <c r="A90" s="5" t="s">
        <v>8</v>
      </c>
      <c r="B90" s="5">
        <v>550659</v>
      </c>
      <c r="C90" s="5">
        <v>15036</v>
      </c>
      <c r="D90" s="5">
        <v>12</v>
      </c>
      <c r="E90" s="6">
        <v>40653.376388888886</v>
      </c>
      <c r="F90" s="8">
        <v>0.83</v>
      </c>
      <c r="G90" s="5">
        <v>17730</v>
      </c>
      <c r="H90" s="5">
        <f t="shared" si="14"/>
        <v>0.23404255319148937</v>
      </c>
      <c r="I90" s="5">
        <f t="shared" si="15"/>
        <v>6.5076026784813848E-2</v>
      </c>
      <c r="J90" s="5" t="str">
        <f t="shared" si="16"/>
        <v>HIGH</v>
      </c>
      <c r="K90" s="8">
        <f t="shared" si="17"/>
        <v>8.7912087912087877E-2</v>
      </c>
      <c r="L90" s="8">
        <f t="shared" si="18"/>
        <v>-0.49186247751304629</v>
      </c>
      <c r="M90" s="5" t="str">
        <f t="shared" si="19"/>
        <v>LOW</v>
      </c>
      <c r="N90" s="5" cm="1">
        <f t="array" aca="1" ref="N90" ca="1">INDEX($N$2:$N$15,RANDBETWEEN(1, ROWS($N$2:$N$15)))</f>
        <v>2</v>
      </c>
      <c r="O90" s="5" cm="1">
        <f t="array" aca="1" ref="O90" ca="1">INDEX($O$2:$O$15,RANDBETWEEN(1, ROWS($O$2:$O$15)))</f>
        <v>5</v>
      </c>
      <c r="P90" s="5">
        <f t="shared" ca="1" si="20"/>
        <v>52008.175129756615</v>
      </c>
      <c r="Q90" s="5" cm="1">
        <f t="array" aca="1" ref="Q90" ca="1">INDEX($D$2:$D$129, RANDBETWEEN(1,128))</f>
        <v>11</v>
      </c>
      <c r="R90" s="5" cm="1">
        <f t="array" aca="1" ref="R90" ca="1">INDEX($F$2:$F$129, RANDBETWEEN(1,129))</f>
        <v>1.63</v>
      </c>
      <c r="S90" s="5"/>
      <c r="T90" s="5"/>
      <c r="U90" s="5"/>
      <c r="V90" s="5"/>
      <c r="W90" s="5"/>
    </row>
    <row r="91" spans="1:23" x14ac:dyDescent="0.35">
      <c r="A91" s="5" t="s">
        <v>8</v>
      </c>
      <c r="B91" s="5">
        <v>550775</v>
      </c>
      <c r="C91" s="5">
        <v>15036</v>
      </c>
      <c r="D91" s="5">
        <v>12</v>
      </c>
      <c r="E91" s="6">
        <v>40653.554166666669</v>
      </c>
      <c r="F91" s="8">
        <v>0.83</v>
      </c>
      <c r="G91" s="5">
        <v>15805</v>
      </c>
      <c r="H91" s="5">
        <f t="shared" si="14"/>
        <v>0.23404255319148937</v>
      </c>
      <c r="I91" s="5">
        <f t="shared" si="15"/>
        <v>6.5076026784813848E-2</v>
      </c>
      <c r="J91" s="5" t="str">
        <f t="shared" si="16"/>
        <v>HIGH</v>
      </c>
      <c r="K91" s="8">
        <f t="shared" si="17"/>
        <v>8.7912087912087877E-2</v>
      </c>
      <c r="L91" s="8">
        <f t="shared" si="18"/>
        <v>-0.49186247751304629</v>
      </c>
      <c r="M91" s="5" t="str">
        <f t="shared" si="19"/>
        <v>LOW</v>
      </c>
      <c r="N91" s="5" cm="1">
        <f t="array" aca="1" ref="N91" ca="1">INDEX($N$2:$N$15,RANDBETWEEN(1, ROWS($N$2:$N$15)))</f>
        <v>9</v>
      </c>
      <c r="O91" s="5" cm="1">
        <f t="array" aca="1" ref="O91" ca="1">INDEX($O$2:$O$15,RANDBETWEEN(1, ROWS($O$2:$O$15)))</f>
        <v>5</v>
      </c>
      <c r="P91" s="5">
        <f t="shared" ca="1" si="20"/>
        <v>51858.023277904758</v>
      </c>
      <c r="Q91" s="5" cm="1">
        <f t="array" aca="1" ref="Q91" ca="1">INDEX($D$2:$D$129, RANDBETWEEN(1,128))</f>
        <v>12</v>
      </c>
      <c r="R91" s="5" cm="1">
        <f t="array" aca="1" ref="R91" ca="1">INDEX($F$2:$F$129, RANDBETWEEN(1,129))</f>
        <v>0.85</v>
      </c>
      <c r="S91" s="5"/>
      <c r="T91" s="5"/>
      <c r="U91" s="5"/>
      <c r="V91" s="5"/>
      <c r="W91" s="5"/>
    </row>
    <row r="92" spans="1:23" x14ac:dyDescent="0.35">
      <c r="A92" s="5" t="s">
        <v>8</v>
      </c>
      <c r="B92" s="5">
        <v>550785</v>
      </c>
      <c r="C92" s="5">
        <v>15036</v>
      </c>
      <c r="D92" s="5">
        <v>12</v>
      </c>
      <c r="E92" s="6">
        <v>40653.584722222222</v>
      </c>
      <c r="F92" s="8">
        <v>0.83</v>
      </c>
      <c r="G92" s="5">
        <v>15517</v>
      </c>
      <c r="H92" s="5">
        <f t="shared" si="14"/>
        <v>0.23404255319148937</v>
      </c>
      <c r="I92" s="5">
        <f t="shared" si="15"/>
        <v>6.5076026784813848E-2</v>
      </c>
      <c r="J92" s="5" t="str">
        <f t="shared" si="16"/>
        <v>HIGH</v>
      </c>
      <c r="K92" s="8">
        <f t="shared" si="17"/>
        <v>8.7912087912087877E-2</v>
      </c>
      <c r="L92" s="8">
        <f t="shared" si="18"/>
        <v>-0.49186247751304629</v>
      </c>
      <c r="M92" s="5" t="str">
        <f t="shared" si="19"/>
        <v>LOW</v>
      </c>
      <c r="N92" s="5" cm="1">
        <f t="array" aca="1" ref="N92" ca="1">INDEX($N$2:$N$15,RANDBETWEEN(1, ROWS($N$2:$N$15)))</f>
        <v>8</v>
      </c>
      <c r="O92" s="5" cm="1">
        <f t="array" aca="1" ref="O92" ca="1">INDEX($O$2:$O$15,RANDBETWEEN(1, ROWS($O$2:$O$15)))</f>
        <v>5</v>
      </c>
      <c r="P92" s="5">
        <f t="shared" ca="1" si="20"/>
        <v>51834.775824201053</v>
      </c>
      <c r="Q92" s="5" cm="1">
        <f t="array" aca="1" ref="Q92" ca="1">INDEX($D$2:$D$129, RANDBETWEEN(1,128))</f>
        <v>17</v>
      </c>
      <c r="R92" s="5" cm="1">
        <f t="array" aca="1" ref="R92" ca="1">INDEX($F$2:$F$129, RANDBETWEEN(1,129))</f>
        <v>0.85</v>
      </c>
      <c r="S92" s="5"/>
      <c r="T92" s="5"/>
      <c r="U92" s="5"/>
      <c r="V92" s="5"/>
      <c r="W92" s="5"/>
    </row>
    <row r="93" spans="1:23" x14ac:dyDescent="0.35">
      <c r="A93" s="5" t="s">
        <v>8</v>
      </c>
      <c r="B93" s="5">
        <v>550802</v>
      </c>
      <c r="C93" s="5">
        <v>15036</v>
      </c>
      <c r="D93" s="5">
        <v>12</v>
      </c>
      <c r="E93" s="6">
        <v>40653.63958333333</v>
      </c>
      <c r="F93" s="8">
        <v>0.83</v>
      </c>
      <c r="G93" s="5">
        <v>17120</v>
      </c>
      <c r="H93" s="5">
        <f t="shared" si="14"/>
        <v>0.23404255319148937</v>
      </c>
      <c r="I93" s="5">
        <f t="shared" si="15"/>
        <v>6.5076026784813848E-2</v>
      </c>
      <c r="J93" s="5" t="str">
        <f t="shared" si="16"/>
        <v>HIGH</v>
      </c>
      <c r="K93" s="8">
        <f t="shared" si="17"/>
        <v>8.7912087912087877E-2</v>
      </c>
      <c r="L93" s="8">
        <f t="shared" si="18"/>
        <v>-0.49186247751304629</v>
      </c>
      <c r="M93" s="5" t="str">
        <f t="shared" si="19"/>
        <v>LOW</v>
      </c>
      <c r="N93" s="5" cm="1">
        <f t="array" aca="1" ref="N93" ca="1">INDEX($N$2:$N$15,RANDBETWEEN(1, ROWS($N$2:$N$15)))</f>
        <v>12</v>
      </c>
      <c r="O93" s="5" cm="1">
        <f t="array" aca="1" ref="O93" ca="1">INDEX($O$2:$O$15,RANDBETWEEN(1, ROWS($O$2:$O$15)))</f>
        <v>1</v>
      </c>
      <c r="P93" s="5">
        <f t="shared" ca="1" si="20"/>
        <v>51969.780395960312</v>
      </c>
      <c r="Q93" s="5" cm="1">
        <f t="array" aca="1" ref="Q93" ca="1">INDEX($D$2:$D$129, RANDBETWEEN(1,128))</f>
        <v>0</v>
      </c>
      <c r="R93" s="5" cm="1">
        <f t="array" aca="1" ref="R93" ca="1">INDEX($F$2:$F$129, RANDBETWEEN(1,129))</f>
        <v>0.83</v>
      </c>
      <c r="S93" s="5"/>
      <c r="T93" s="5"/>
      <c r="U93" s="5"/>
      <c r="V93" s="5"/>
      <c r="W93" s="5"/>
    </row>
    <row r="94" spans="1:23" x14ac:dyDescent="0.35">
      <c r="A94" s="5" t="s">
        <v>8</v>
      </c>
      <c r="B94" s="5">
        <v>550972</v>
      </c>
      <c r="C94" s="5">
        <v>15036</v>
      </c>
      <c r="D94" s="5">
        <v>1</v>
      </c>
      <c r="E94" s="6">
        <v>40654.711805555555</v>
      </c>
      <c r="F94" s="8">
        <v>0.83</v>
      </c>
      <c r="G94" s="5">
        <v>14031</v>
      </c>
      <c r="H94" s="5">
        <f t="shared" si="14"/>
        <v>0</v>
      </c>
      <c r="I94" s="5">
        <f t="shared" si="15"/>
        <v>-0.93394825253809688</v>
      </c>
      <c r="J94" s="5" t="str">
        <f t="shared" si="16"/>
        <v>LOW</v>
      </c>
      <c r="K94" s="8">
        <f t="shared" si="17"/>
        <v>8.7912087912087877E-2</v>
      </c>
      <c r="L94" s="8">
        <f t="shared" si="18"/>
        <v>-0.49186247751304629</v>
      </c>
      <c r="M94" s="5" t="str">
        <f t="shared" si="19"/>
        <v>LOW</v>
      </c>
      <c r="N94" s="5" cm="1">
        <f t="array" aca="1" ref="N94" ca="1">INDEX($N$2:$N$15,RANDBETWEEN(1, ROWS($N$2:$N$15)))</f>
        <v>2</v>
      </c>
      <c r="O94" s="5" cm="1">
        <f t="array" aca="1" ref="O94" ca="1">INDEX($O$2:$O$15,RANDBETWEEN(1, ROWS($O$2:$O$15)))</f>
        <v>7</v>
      </c>
      <c r="P94" s="5">
        <f t="shared" ca="1" si="20"/>
        <v>51725.266992242774</v>
      </c>
      <c r="Q94" s="5" cm="1">
        <f t="array" aca="1" ref="Q94" ca="1">INDEX($D$2:$D$129, RANDBETWEEN(1,128))</f>
        <v>24</v>
      </c>
      <c r="R94" s="5" cm="1">
        <f t="array" aca="1" ref="R94" ca="1">INDEX($F$2:$F$129, RANDBETWEEN(1,129))</f>
        <v>0.81</v>
      </c>
      <c r="S94" s="5"/>
      <c r="T94" s="5"/>
      <c r="U94" s="5"/>
      <c r="V94" s="5"/>
      <c r="W94" s="5"/>
    </row>
    <row r="95" spans="1:23" x14ac:dyDescent="0.35">
      <c r="A95" s="5" t="s">
        <v>8</v>
      </c>
      <c r="B95" s="5">
        <v>551174</v>
      </c>
      <c r="C95" s="5">
        <v>15036</v>
      </c>
      <c r="D95" s="5">
        <v>15</v>
      </c>
      <c r="E95" s="6">
        <v>40659.709722222222</v>
      </c>
      <c r="F95" s="8">
        <v>0.83</v>
      </c>
      <c r="G95" s="5" t="s">
        <v>1331</v>
      </c>
      <c r="H95" s="5">
        <f t="shared" si="14"/>
        <v>0.2978723404255319</v>
      </c>
      <c r="I95" s="5">
        <f t="shared" si="15"/>
        <v>0.33753719387288039</v>
      </c>
      <c r="J95" s="5" t="str">
        <f t="shared" si="16"/>
        <v>HIGH</v>
      </c>
      <c r="K95" s="8">
        <f t="shared" si="17"/>
        <v>8.7912087912087877E-2</v>
      </c>
      <c r="L95" s="8">
        <f t="shared" si="18"/>
        <v>-0.49186247751304629</v>
      </c>
      <c r="M95" s="5" t="str">
        <f t="shared" si="19"/>
        <v>LOW</v>
      </c>
      <c r="N95" s="5" cm="1">
        <f t="array" aca="1" ref="N95" ca="1">INDEX($N$2:$N$15,RANDBETWEEN(1, ROWS($N$2:$N$15)))</f>
        <v>12</v>
      </c>
      <c r="O95" s="5" cm="1">
        <f t="array" aca="1" ref="O95" ca="1">INDEX($O$2:$O$15,RANDBETWEEN(1, ROWS($O$2:$O$15)))</f>
        <v>5</v>
      </c>
      <c r="P95" s="5">
        <f t="shared" ca="1" si="20"/>
        <v>55172.979198306079</v>
      </c>
      <c r="Q95" s="5" cm="1">
        <f t="array" aca="1" ref="Q95" ca="1">INDEX($D$2:$D$129, RANDBETWEEN(1,128))</f>
        <v>2</v>
      </c>
      <c r="R95" s="5" cm="1">
        <f t="array" aca="1" ref="R95" ca="1">INDEX($F$2:$F$129, RANDBETWEEN(1,129))</f>
        <v>0.85</v>
      </c>
      <c r="S95" s="5"/>
      <c r="T95" s="5"/>
      <c r="U95" s="5"/>
      <c r="V95" s="5"/>
      <c r="W95" s="5"/>
    </row>
    <row r="96" spans="1:23" x14ac:dyDescent="0.35">
      <c r="A96" s="5" t="s">
        <v>8</v>
      </c>
      <c r="B96" s="5">
        <v>551182</v>
      </c>
      <c r="C96" s="5">
        <v>15036</v>
      </c>
      <c r="D96" s="5">
        <v>24</v>
      </c>
      <c r="E96" s="6">
        <v>40660.363194444442</v>
      </c>
      <c r="F96" s="8">
        <v>0.83</v>
      </c>
      <c r="G96" s="5">
        <v>14282</v>
      </c>
      <c r="H96" s="5">
        <f t="shared" si="14"/>
        <v>0.48936170212765956</v>
      </c>
      <c r="I96" s="5">
        <f t="shared" si="15"/>
        <v>1.1549206951370801</v>
      </c>
      <c r="J96" s="5" t="str">
        <f t="shared" si="16"/>
        <v>HIGH</v>
      </c>
      <c r="K96" s="8">
        <f t="shared" si="17"/>
        <v>8.7912087912087877E-2</v>
      </c>
      <c r="L96" s="8">
        <f t="shared" si="18"/>
        <v>-0.49186247751304629</v>
      </c>
      <c r="M96" s="5" t="str">
        <f t="shared" si="19"/>
        <v>LOW</v>
      </c>
      <c r="N96" s="5" cm="1">
        <f t="array" aca="1" ref="N96" ca="1">INDEX($N$2:$N$15,RANDBETWEEN(1, ROWS($N$2:$N$15)))</f>
        <v>2</v>
      </c>
      <c r="O96" s="5" cm="1">
        <f t="array" aca="1" ref="O96" ca="1">INDEX($O$2:$O$15,RANDBETWEEN(1, ROWS($O$2:$O$15)))</f>
        <v>4</v>
      </c>
      <c r="P96" s="5">
        <f t="shared" ca="1" si="20"/>
        <v>51766.036127204337</v>
      </c>
      <c r="Q96" s="5" cm="1">
        <f t="array" aca="1" ref="Q96" ca="1">INDEX($D$2:$D$129, RANDBETWEEN(1,128))</f>
        <v>0</v>
      </c>
      <c r="R96" s="5" cm="1">
        <f t="array" aca="1" ref="R96" ca="1">INDEX($F$2:$F$129, RANDBETWEEN(1,129))</f>
        <v>1.66</v>
      </c>
      <c r="S96" s="5"/>
      <c r="T96" s="5"/>
      <c r="U96" s="5"/>
      <c r="V96" s="5"/>
      <c r="W96" s="5"/>
    </row>
    <row r="97" spans="1:23" x14ac:dyDescent="0.35">
      <c r="A97" s="5" t="s">
        <v>8</v>
      </c>
      <c r="B97" s="5">
        <v>551391</v>
      </c>
      <c r="C97" s="5">
        <v>10125</v>
      </c>
      <c r="D97" s="5">
        <v>1</v>
      </c>
      <c r="E97" s="6">
        <v>40661.504166666666</v>
      </c>
      <c r="F97" s="8">
        <v>0.85</v>
      </c>
      <c r="G97" s="5">
        <v>15514</v>
      </c>
      <c r="H97" s="5">
        <f t="shared" si="14"/>
        <v>0</v>
      </c>
      <c r="I97" s="5">
        <f t="shared" si="15"/>
        <v>-0.93394825253809688</v>
      </c>
      <c r="J97" s="5" t="str">
        <f t="shared" si="16"/>
        <v>LOW</v>
      </c>
      <c r="K97" s="8">
        <f t="shared" si="17"/>
        <v>0.10989010989010987</v>
      </c>
      <c r="L97" s="8">
        <f t="shared" si="18"/>
        <v>-0.43118590185092137</v>
      </c>
      <c r="M97" s="5" t="str">
        <f t="shared" si="19"/>
        <v>LOW</v>
      </c>
      <c r="N97" s="5">
        <v>10</v>
      </c>
      <c r="O97" s="5">
        <v>8</v>
      </c>
      <c r="P97" s="5">
        <f t="shared" si="20"/>
        <v>51475.84157688517</v>
      </c>
      <c r="Q97" s="5" cm="1">
        <f t="array" aca="1" ref="Q97" ca="1">INDEX($D$2:$D$129, RANDBETWEEN(1,128))</f>
        <v>12</v>
      </c>
      <c r="R97" s="5" cm="1">
        <f t="array" aca="1" ref="R97" ca="1">INDEX($F$2:$F$129, RANDBETWEEN(1,129))</f>
        <v>0.85</v>
      </c>
      <c r="S97" s="5"/>
      <c r="T97" s="5"/>
      <c r="U97" s="5"/>
      <c r="V97" s="5"/>
      <c r="W97" s="5"/>
    </row>
    <row r="98" spans="1:23" x14ac:dyDescent="0.35">
      <c r="A98" s="5" t="s">
        <v>8</v>
      </c>
      <c r="B98" s="5">
        <v>551616</v>
      </c>
      <c r="C98" s="5">
        <v>10125</v>
      </c>
      <c r="D98" s="5">
        <v>1</v>
      </c>
      <c r="E98" s="6">
        <v>40666.486111111109</v>
      </c>
      <c r="F98" s="8">
        <v>0.85</v>
      </c>
      <c r="G98" s="5">
        <v>15048</v>
      </c>
      <c r="H98" s="5">
        <f t="shared" ref="H98:H128" si="21">(D98-1)/(48-1)</f>
        <v>0</v>
      </c>
      <c r="I98" s="5">
        <f t="shared" ref="I98:I128" si="22">(D98-$Z$21)/$Z$44</f>
        <v>-0.93394825253809688</v>
      </c>
      <c r="J98" s="5" t="str">
        <f t="shared" ref="J98:J128" si="23">IF(D98&gt;$Z$6, "HIGH", "LOW")</f>
        <v>LOW</v>
      </c>
      <c r="K98" s="8">
        <f t="shared" ref="K98:K128" si="24">(F98-0.75)/(1.66-0.75)</f>
        <v>0.10989010989010987</v>
      </c>
      <c r="L98" s="8">
        <f t="shared" ref="L98:L128" si="25">(F98-$Z$22)/$Z$45</f>
        <v>-0.43118590185092137</v>
      </c>
      <c r="M98" s="5" t="str">
        <f t="shared" ref="M98:M128" si="26">IF(F98&gt;$Z$7, "HIGH", "LOW")</f>
        <v>LOW</v>
      </c>
      <c r="N98" s="5">
        <v>13</v>
      </c>
      <c r="O98" s="5">
        <v>2</v>
      </c>
      <c r="P98" s="5">
        <f t="shared" ref="P98:P128" si="27">AVERAGE(B98:O98)</f>
        <v>51455.923405588874</v>
      </c>
      <c r="Q98" s="5" cm="1">
        <f t="array" aca="1" ref="Q98" ca="1">INDEX($D$2:$D$129, RANDBETWEEN(1,128))</f>
        <v>1</v>
      </c>
      <c r="R98" s="5" cm="1">
        <f t="array" aca="1" ref="R98" ca="1">INDEX($F$2:$F$129, RANDBETWEEN(1,129))</f>
        <v>0.75</v>
      </c>
      <c r="S98" s="5"/>
      <c r="T98" s="5"/>
      <c r="U98" s="5"/>
      <c r="V98" s="5"/>
      <c r="W98" s="5"/>
    </row>
    <row r="99" spans="1:23" x14ac:dyDescent="0.35">
      <c r="A99" s="5" t="s">
        <v>8</v>
      </c>
      <c r="B99" s="5">
        <v>552269</v>
      </c>
      <c r="C99" s="5">
        <v>10125</v>
      </c>
      <c r="D99" s="5">
        <v>1</v>
      </c>
      <c r="E99" s="6">
        <v>40671.494444444441</v>
      </c>
      <c r="F99" s="8">
        <v>0.85</v>
      </c>
      <c r="G99" s="5">
        <v>16121</v>
      </c>
      <c r="H99" s="5">
        <f t="shared" si="21"/>
        <v>0</v>
      </c>
      <c r="I99" s="5">
        <f t="shared" si="22"/>
        <v>-0.93394825253809688</v>
      </c>
      <c r="J99" s="5" t="str">
        <f t="shared" si="23"/>
        <v>LOW</v>
      </c>
      <c r="K99" s="8">
        <f t="shared" si="24"/>
        <v>0.10989010989010987</v>
      </c>
      <c r="L99" s="8">
        <f t="shared" si="25"/>
        <v>-0.43118590185092137</v>
      </c>
      <c r="M99" s="5" t="str">
        <f t="shared" si="26"/>
        <v>LOW</v>
      </c>
      <c r="N99" s="5" cm="1">
        <f t="array" aca="1" ref="N99" ca="1">INDEX($N$2:$N$15,RANDBETWEEN(1, ROWS($N$2:$N$15)))</f>
        <v>4</v>
      </c>
      <c r="O99" s="5" cm="1">
        <f t="array" aca="1" ref="O99" ca="1">INDEX($O$2:$O$15,RANDBETWEEN(1, ROWS($O$2:$O$15)))</f>
        <v>7</v>
      </c>
      <c r="P99" s="5">
        <f t="shared" ca="1" si="27"/>
        <v>51599.840766699985</v>
      </c>
      <c r="Q99" s="5" cm="1">
        <f t="array" aca="1" ref="Q99" ca="1">INDEX($D$2:$D$129, RANDBETWEEN(1,128))</f>
        <v>20</v>
      </c>
      <c r="R99" s="5" cm="1">
        <f t="array" aca="1" ref="R99" ca="1">INDEX($F$2:$F$129, RANDBETWEEN(1,129))</f>
        <v>0.85</v>
      </c>
      <c r="S99" s="5"/>
      <c r="T99" s="5"/>
      <c r="U99" s="5"/>
      <c r="V99" s="5"/>
      <c r="W99" s="5"/>
    </row>
    <row r="100" spans="1:23" x14ac:dyDescent="0.35">
      <c r="A100" s="5" t="s">
        <v>8</v>
      </c>
      <c r="B100" s="5">
        <v>552310</v>
      </c>
      <c r="C100" s="5">
        <v>10125</v>
      </c>
      <c r="D100" s="5">
        <v>3</v>
      </c>
      <c r="E100" s="6">
        <v>40671.640277777777</v>
      </c>
      <c r="F100" s="8">
        <v>0.85</v>
      </c>
      <c r="G100" s="5">
        <v>17323</v>
      </c>
      <c r="H100" s="5">
        <f t="shared" si="21"/>
        <v>4.2553191489361701E-2</v>
      </c>
      <c r="I100" s="5">
        <f t="shared" si="22"/>
        <v>-0.75230747447938584</v>
      </c>
      <c r="J100" s="5" t="str">
        <f t="shared" si="23"/>
        <v>LOW</v>
      </c>
      <c r="K100" s="8">
        <f t="shared" si="24"/>
        <v>0.10989010989010987</v>
      </c>
      <c r="L100" s="8">
        <f t="shared" si="25"/>
        <v>-0.43118590185092137</v>
      </c>
      <c r="M100" s="5" t="str">
        <f t="shared" si="26"/>
        <v>LOW</v>
      </c>
      <c r="N100" s="5" cm="1">
        <f t="array" aca="1" ref="N100" ca="1">INDEX($N$2:$N$15,RANDBETWEEN(1, ROWS($N$2:$N$15)))</f>
        <v>9</v>
      </c>
      <c r="O100" s="5" cm="1">
        <f t="array" aca="1" ref="O100" ca="1">INDEX($O$2:$O$15,RANDBETWEEN(1, ROWS($O$2:$O$15)))</f>
        <v>4</v>
      </c>
      <c r="P100" s="5">
        <f t="shared" ca="1" si="27"/>
        <v>51703.788268975237</v>
      </c>
      <c r="Q100" s="5" cm="1">
        <f t="array" aca="1" ref="Q100" ca="1">INDEX($D$2:$D$129, RANDBETWEEN(1,128))</f>
        <v>20</v>
      </c>
      <c r="R100" s="5" cm="1">
        <f t="array" aca="1" ref="R100" ca="1">INDEX($F$2:$F$129, RANDBETWEEN(1,129))</f>
        <v>0.75</v>
      </c>
      <c r="S100" s="5"/>
      <c r="T100" s="5"/>
      <c r="U100" s="5"/>
      <c r="V100" s="5"/>
      <c r="W100" s="5"/>
    </row>
    <row r="101" spans="1:23" x14ac:dyDescent="0.35">
      <c r="A101" s="5" t="s">
        <v>8</v>
      </c>
      <c r="B101" s="5">
        <v>553385</v>
      </c>
      <c r="C101" s="5">
        <v>10125</v>
      </c>
      <c r="D101" s="5">
        <v>1</v>
      </c>
      <c r="E101" s="6">
        <v>40679.661805555559</v>
      </c>
      <c r="F101" s="8">
        <v>0.85</v>
      </c>
      <c r="G101" s="5">
        <v>16710</v>
      </c>
      <c r="H101" s="5">
        <f t="shared" si="21"/>
        <v>0</v>
      </c>
      <c r="I101" s="5">
        <f t="shared" si="22"/>
        <v>-0.93394825253809688</v>
      </c>
      <c r="J101" s="5" t="str">
        <f t="shared" si="23"/>
        <v>LOW</v>
      </c>
      <c r="K101" s="8">
        <f t="shared" si="24"/>
        <v>0.10989010989010987</v>
      </c>
      <c r="L101" s="8">
        <f t="shared" si="25"/>
        <v>-0.43118590185092137</v>
      </c>
      <c r="M101" s="5" t="str">
        <f t="shared" si="26"/>
        <v>LOW</v>
      </c>
      <c r="N101" s="5" cm="1">
        <f t="array" aca="1" ref="N101" ca="1">INDEX($N$2:$N$15,RANDBETWEEN(1, ROWS($N$2:$N$15)))</f>
        <v>9</v>
      </c>
      <c r="O101" s="5" cm="1">
        <f t="array" aca="1" ref="O101" ca="1">INDEX($O$2:$O$15,RANDBETWEEN(1, ROWS($O$2:$O$15)))</f>
        <v>5</v>
      </c>
      <c r="P101" s="5">
        <f t="shared" ca="1" si="27"/>
        <v>51742.854713459245</v>
      </c>
      <c r="Q101" s="5" cm="1">
        <f t="array" aca="1" ref="Q101" ca="1">INDEX($D$2:$D$129, RANDBETWEEN(1,128))</f>
        <v>5</v>
      </c>
      <c r="R101" s="5" cm="1">
        <f t="array" aca="1" ref="R101" ca="1">INDEX($F$2:$F$129, RANDBETWEEN(1,129))</f>
        <v>0.85</v>
      </c>
      <c r="S101" s="5"/>
      <c r="T101" s="5"/>
      <c r="U101" s="5"/>
      <c r="V101" s="5"/>
      <c r="W101" s="5"/>
    </row>
    <row r="102" spans="1:23" x14ac:dyDescent="0.35">
      <c r="A102" s="5" t="s">
        <v>8</v>
      </c>
      <c r="B102" s="5">
        <v>554117</v>
      </c>
      <c r="C102" s="5">
        <v>10125</v>
      </c>
      <c r="D102" s="5">
        <v>1</v>
      </c>
      <c r="E102" s="6">
        <v>40685.633333333331</v>
      </c>
      <c r="F102" s="8">
        <v>0.85</v>
      </c>
      <c r="G102" s="5">
        <v>13758</v>
      </c>
      <c r="H102" s="5">
        <f t="shared" si="21"/>
        <v>0</v>
      </c>
      <c r="I102" s="5">
        <f t="shared" si="22"/>
        <v>-0.93394825253809688</v>
      </c>
      <c r="J102" s="5" t="str">
        <f t="shared" si="23"/>
        <v>LOW</v>
      </c>
      <c r="K102" s="8">
        <f t="shared" si="24"/>
        <v>0.10989010989010987</v>
      </c>
      <c r="L102" s="8">
        <f t="shared" si="25"/>
        <v>-0.43118590185092137</v>
      </c>
      <c r="M102" s="5" t="str">
        <f t="shared" si="26"/>
        <v>LOW</v>
      </c>
      <c r="N102" s="5" cm="1">
        <f t="array" aca="1" ref="N102" ca="1">INDEX($N$2:$N$15,RANDBETWEEN(1, ROWS($N$2:$N$15)))</f>
        <v>2</v>
      </c>
      <c r="O102" s="5" cm="1">
        <f t="array" aca="1" ref="O102" ca="1">INDEX($O$2:$O$15,RANDBETWEEN(1, ROWS($O$2:$O$15)))</f>
        <v>1</v>
      </c>
      <c r="P102" s="5">
        <f t="shared" ca="1" si="27"/>
        <v>51557.435674107393</v>
      </c>
      <c r="Q102" s="5" cm="1">
        <f t="array" aca="1" ref="Q102" ca="1">INDEX($D$2:$D$129, RANDBETWEEN(1,128))</f>
        <v>12</v>
      </c>
      <c r="R102" s="5" cm="1">
        <f t="array" aca="1" ref="R102" ca="1">INDEX($F$2:$F$129, RANDBETWEEN(1,129))</f>
        <v>0.83</v>
      </c>
      <c r="S102" s="5"/>
      <c r="T102" s="5"/>
      <c r="U102" s="5"/>
      <c r="V102" s="5"/>
      <c r="W102" s="5"/>
    </row>
    <row r="103" spans="1:23" x14ac:dyDescent="0.35">
      <c r="A103" s="5" t="s">
        <v>8</v>
      </c>
      <c r="B103" s="5">
        <v>555579</v>
      </c>
      <c r="C103" s="5">
        <v>10125</v>
      </c>
      <c r="D103" s="5">
        <v>1</v>
      </c>
      <c r="E103" s="6">
        <v>40699.668055555558</v>
      </c>
      <c r="F103" s="8">
        <v>0.85</v>
      </c>
      <c r="G103" s="5">
        <v>13983</v>
      </c>
      <c r="H103" s="5">
        <f t="shared" si="21"/>
        <v>0</v>
      </c>
      <c r="I103" s="5">
        <f t="shared" si="22"/>
        <v>-0.93394825253809688</v>
      </c>
      <c r="J103" s="5" t="str">
        <f t="shared" si="23"/>
        <v>LOW</v>
      </c>
      <c r="K103" s="8">
        <f t="shared" si="24"/>
        <v>0.10989010989010987</v>
      </c>
      <c r="L103" s="8">
        <f t="shared" si="25"/>
        <v>-0.43118590185092137</v>
      </c>
      <c r="M103" s="5" t="str">
        <f t="shared" si="26"/>
        <v>LOW</v>
      </c>
      <c r="N103" s="5" cm="1">
        <f t="array" aca="1" ref="N103" ca="1">INDEX($N$2:$N$15,RANDBETWEEN(1, ROWS($N$2:$N$15)))</f>
        <v>9</v>
      </c>
      <c r="O103" s="5" cm="1">
        <f t="array" aca="1" ref="O103" ca="1">INDEX($O$2:$O$15,RANDBETWEEN(1, ROWS($O$2:$O$15)))</f>
        <v>1</v>
      </c>
      <c r="P103" s="5">
        <f t="shared" ca="1" si="27"/>
        <v>51699.771900959247</v>
      </c>
      <c r="Q103" s="5" cm="1">
        <f t="array" aca="1" ref="Q103" ca="1">INDEX($D$2:$D$129, RANDBETWEEN(1,128))</f>
        <v>3</v>
      </c>
      <c r="R103" s="5" cm="1">
        <f t="array" aca="1" ref="R103" ca="1">INDEX($F$2:$F$129, RANDBETWEEN(1,129))</f>
        <v>0.85</v>
      </c>
      <c r="S103" s="5"/>
      <c r="T103" s="5"/>
      <c r="U103" s="5"/>
      <c r="V103" s="5"/>
      <c r="W103" s="5"/>
    </row>
    <row r="104" spans="1:23" x14ac:dyDescent="0.35">
      <c r="A104" s="5" t="s">
        <v>8</v>
      </c>
      <c r="B104" s="5">
        <v>556222</v>
      </c>
      <c r="C104" s="5">
        <v>10125</v>
      </c>
      <c r="D104" s="5">
        <v>12</v>
      </c>
      <c r="E104" s="6">
        <v>40703.599305555559</v>
      </c>
      <c r="F104" s="8">
        <v>0.85</v>
      </c>
      <c r="G104" s="5">
        <v>17522</v>
      </c>
      <c r="H104" s="5">
        <f t="shared" si="21"/>
        <v>0.23404255319148937</v>
      </c>
      <c r="I104" s="5">
        <f t="shared" si="22"/>
        <v>6.5076026784813848E-2</v>
      </c>
      <c r="J104" s="5" t="str">
        <f t="shared" si="23"/>
        <v>HIGH</v>
      </c>
      <c r="K104" s="8">
        <f t="shared" si="24"/>
        <v>0.10989010989010987</v>
      </c>
      <c r="L104" s="8">
        <f t="shared" si="25"/>
        <v>-0.43118590185092137</v>
      </c>
      <c r="M104" s="5" t="str">
        <f t="shared" si="26"/>
        <v>LOW</v>
      </c>
      <c r="N104" s="5" cm="1">
        <f t="array" aca="1" ref="N104" ca="1">INDEX($N$2:$N$15,RANDBETWEEN(1, ROWS($N$2:$N$15)))</f>
        <v>12</v>
      </c>
      <c r="O104" s="5" cm="1">
        <f t="array" aca="1" ref="O104" ca="1">INDEX($O$2:$O$15,RANDBETWEEN(1, ROWS($O$2:$O$15)))</f>
        <v>4</v>
      </c>
      <c r="P104" s="5">
        <f t="shared" ca="1" si="27"/>
        <v>52050.118927361968</v>
      </c>
      <c r="Q104" s="5" cm="1">
        <f t="array" aca="1" ref="Q104" ca="1">INDEX($D$2:$D$129, RANDBETWEEN(1,128))</f>
        <v>1</v>
      </c>
      <c r="R104" s="5" cm="1">
        <f t="array" aca="1" ref="R104" ca="1">INDEX($F$2:$F$129, RANDBETWEEN(1,129))</f>
        <v>0.81</v>
      </c>
      <c r="S104" s="5"/>
      <c r="T104" s="5"/>
      <c r="U104" s="5"/>
      <c r="V104" s="5"/>
      <c r="W104" s="5"/>
    </row>
    <row r="105" spans="1:23" x14ac:dyDescent="0.35">
      <c r="A105" s="5" t="s">
        <v>8</v>
      </c>
      <c r="B105" s="5">
        <v>557938</v>
      </c>
      <c r="C105" s="5">
        <v>10125</v>
      </c>
      <c r="D105" s="5">
        <v>2</v>
      </c>
      <c r="E105" s="6">
        <v>40717.649305555555</v>
      </c>
      <c r="F105" s="8">
        <v>1.63</v>
      </c>
      <c r="G105" s="5" t="s">
        <v>1331</v>
      </c>
      <c r="H105" s="5">
        <f t="shared" si="21"/>
        <v>2.1276595744680851E-2</v>
      </c>
      <c r="I105" s="5">
        <f t="shared" si="22"/>
        <v>-0.84312786350874136</v>
      </c>
      <c r="J105" s="5" t="str">
        <f t="shared" si="23"/>
        <v>LOW</v>
      </c>
      <c r="K105" s="8">
        <f t="shared" si="24"/>
        <v>0.96703296703296704</v>
      </c>
      <c r="L105" s="8">
        <f t="shared" si="25"/>
        <v>1.9352005489719497</v>
      </c>
      <c r="M105" s="5" t="str">
        <f t="shared" si="26"/>
        <v>HIGH</v>
      </c>
      <c r="N105" s="5" cm="1">
        <f t="array" aca="1" ref="N105" ca="1">INDEX($N$2:$N$15,RANDBETWEEN(1, ROWS($N$2:$N$15)))</f>
        <v>4</v>
      </c>
      <c r="O105" s="5" cm="1">
        <f t="array" aca="1" ref="O105" ca="1">INDEX($O$2:$O$15,RANDBETWEEN(1, ROWS($O$2:$O$15)))</f>
        <v>5</v>
      </c>
      <c r="P105" s="5">
        <f t="shared" ca="1" si="27"/>
        <v>55345.032698891249</v>
      </c>
      <c r="Q105" s="5" cm="1">
        <f t="array" aca="1" ref="Q105" ca="1">INDEX($D$2:$D$129, RANDBETWEEN(1,128))</f>
        <v>1</v>
      </c>
      <c r="R105" s="5" cm="1">
        <f t="array" aca="1" ref="R105" ca="1">INDEX($F$2:$F$129, RANDBETWEEN(1,129))</f>
        <v>0.85</v>
      </c>
      <c r="S105" s="5"/>
      <c r="T105" s="5"/>
      <c r="U105" s="5"/>
      <c r="V105" s="5"/>
      <c r="W105" s="5"/>
    </row>
    <row r="106" spans="1:23" x14ac:dyDescent="0.35">
      <c r="A106" s="5" t="s">
        <v>8</v>
      </c>
      <c r="B106" s="5">
        <v>558700</v>
      </c>
      <c r="C106" s="5">
        <v>10125</v>
      </c>
      <c r="D106" s="5">
        <v>1</v>
      </c>
      <c r="E106" s="6">
        <v>40725.522916666669</v>
      </c>
      <c r="F106" s="8">
        <v>0.85</v>
      </c>
      <c r="G106" s="5">
        <v>17920</v>
      </c>
      <c r="H106" s="5">
        <f t="shared" si="21"/>
        <v>0</v>
      </c>
      <c r="I106" s="5">
        <f t="shared" si="22"/>
        <v>-0.93394825253809688</v>
      </c>
      <c r="J106" s="5" t="str">
        <f t="shared" si="23"/>
        <v>LOW</v>
      </c>
      <c r="K106" s="8">
        <f t="shared" si="24"/>
        <v>0.10989010989010987</v>
      </c>
      <c r="L106" s="8">
        <f t="shared" si="25"/>
        <v>-0.43118590185092137</v>
      </c>
      <c r="M106" s="5" t="str">
        <f t="shared" si="26"/>
        <v>LOW</v>
      </c>
      <c r="N106" s="5" cm="1">
        <f t="array" aca="1" ref="N106" ca="1">INDEX($N$2:$N$15,RANDBETWEEN(1, ROWS($N$2:$N$15)))</f>
        <v>4</v>
      </c>
      <c r="O106" s="5" cm="1">
        <f t="array" aca="1" ref="O106" ca="1">INDEX($O$2:$O$15,RANDBETWEEN(1, ROWS($O$2:$O$15)))</f>
        <v>3</v>
      </c>
      <c r="P106" s="5">
        <f t="shared" ca="1" si="27"/>
        <v>52289.843139385172</v>
      </c>
      <c r="Q106" s="5" cm="1">
        <f t="array" aca="1" ref="Q106" ca="1">INDEX($D$2:$D$129, RANDBETWEEN(1,128))</f>
        <v>24</v>
      </c>
      <c r="R106" s="5" cm="1">
        <f t="array" aca="1" ref="R106" ca="1">INDEX($F$2:$F$129, RANDBETWEEN(1,129))</f>
        <v>0.83</v>
      </c>
      <c r="S106" s="5"/>
      <c r="T106" s="5"/>
      <c r="U106" s="5"/>
      <c r="V106" s="5"/>
      <c r="W106" s="5"/>
    </row>
    <row r="107" spans="1:23" x14ac:dyDescent="0.35">
      <c r="A107" s="5" t="s">
        <v>8</v>
      </c>
      <c r="B107" s="5">
        <v>558700</v>
      </c>
      <c r="C107" s="5">
        <v>10125</v>
      </c>
      <c r="D107" s="5">
        <v>3</v>
      </c>
      <c r="E107" s="6">
        <v>40725.522916666669</v>
      </c>
      <c r="F107" s="8">
        <v>0.85</v>
      </c>
      <c r="G107" s="5">
        <v>17920</v>
      </c>
      <c r="H107" s="5">
        <f t="shared" si="21"/>
        <v>4.2553191489361701E-2</v>
      </c>
      <c r="I107" s="5">
        <f t="shared" si="22"/>
        <v>-0.75230747447938584</v>
      </c>
      <c r="J107" s="5" t="str">
        <f t="shared" si="23"/>
        <v>LOW</v>
      </c>
      <c r="K107" s="8">
        <f t="shared" si="24"/>
        <v>0.10989010989010987</v>
      </c>
      <c r="L107" s="8">
        <f t="shared" si="25"/>
        <v>-0.43118590185092137</v>
      </c>
      <c r="M107" s="5" t="str">
        <f t="shared" si="26"/>
        <v>LOW</v>
      </c>
      <c r="N107" s="5" cm="1">
        <f t="array" aca="1" ref="N107" ca="1">INDEX($N$2:$N$15,RANDBETWEEN(1, ROWS($N$2:$N$15)))</f>
        <v>12</v>
      </c>
      <c r="O107" s="5" cm="1">
        <f t="array" aca="1" ref="O107" ca="1">INDEX($O$2:$O$15,RANDBETWEEN(1, ROWS($O$2:$O$15)))</f>
        <v>5</v>
      </c>
      <c r="P107" s="5">
        <f t="shared" ca="1" si="27"/>
        <v>52290.861822215978</v>
      </c>
      <c r="Q107" s="5" cm="1">
        <f t="array" aca="1" ref="Q107" ca="1">INDEX($D$2:$D$129, RANDBETWEEN(1,128))</f>
        <v>20</v>
      </c>
      <c r="R107" s="5" cm="1">
        <f t="array" aca="1" ref="R107" ca="1">INDEX($F$2:$F$129, RANDBETWEEN(1,129))</f>
        <v>0.85</v>
      </c>
      <c r="S107" s="5"/>
      <c r="T107" s="5"/>
      <c r="U107" s="5"/>
      <c r="V107" s="5"/>
      <c r="W107" s="5"/>
    </row>
    <row r="108" spans="1:23" x14ac:dyDescent="0.35">
      <c r="A108" s="5" t="s">
        <v>8</v>
      </c>
      <c r="B108" s="5">
        <v>558860</v>
      </c>
      <c r="C108" s="5">
        <v>10125</v>
      </c>
      <c r="D108" s="5">
        <v>1</v>
      </c>
      <c r="E108" s="6">
        <v>40728.512499999997</v>
      </c>
      <c r="F108" s="8">
        <v>0.85</v>
      </c>
      <c r="G108" s="5">
        <v>17975</v>
      </c>
      <c r="H108" s="5">
        <f t="shared" si="21"/>
        <v>0</v>
      </c>
      <c r="I108" s="5">
        <f t="shared" si="22"/>
        <v>-0.93394825253809688</v>
      </c>
      <c r="J108" s="5" t="str">
        <f t="shared" si="23"/>
        <v>LOW</v>
      </c>
      <c r="K108" s="8">
        <f t="shared" si="24"/>
        <v>0.10989010989010987</v>
      </c>
      <c r="L108" s="8">
        <f t="shared" si="25"/>
        <v>-0.43118590185092137</v>
      </c>
      <c r="M108" s="5" t="str">
        <f t="shared" si="26"/>
        <v>LOW</v>
      </c>
      <c r="N108" s="5" cm="1">
        <f t="array" aca="1" ref="N108" ca="1">INDEX($N$2:$N$15,RANDBETWEEN(1, ROWS($N$2:$N$15)))</f>
        <v>9</v>
      </c>
      <c r="O108" s="5" cm="1">
        <f t="array" aca="1" ref="O108" ca="1">INDEX($O$2:$O$15,RANDBETWEEN(1, ROWS($O$2:$O$15)))</f>
        <v>1</v>
      </c>
      <c r="P108" s="5">
        <f t="shared" ca="1" si="27"/>
        <v>52308.258937996281</v>
      </c>
      <c r="Q108" s="5" cm="1">
        <f t="array" aca="1" ref="Q108" ca="1">INDEX($D$2:$D$129, RANDBETWEEN(1,128))</f>
        <v>48</v>
      </c>
      <c r="R108" s="5" cm="1">
        <f t="array" aca="1" ref="R108" ca="1">INDEX($F$2:$F$129, RANDBETWEEN(1,129))</f>
        <v>1.66</v>
      </c>
      <c r="S108" s="5"/>
      <c r="T108" s="5"/>
      <c r="U108" s="5"/>
      <c r="V108" s="5"/>
      <c r="W108" s="5"/>
    </row>
    <row r="109" spans="1:23" x14ac:dyDescent="0.35">
      <c r="A109" s="5" t="s">
        <v>8</v>
      </c>
      <c r="B109" s="5">
        <v>558868</v>
      </c>
      <c r="C109" s="5">
        <v>10125</v>
      </c>
      <c r="D109" s="5">
        <v>20</v>
      </c>
      <c r="E109" s="6">
        <v>40728.532638888886</v>
      </c>
      <c r="F109" s="8">
        <v>0.85</v>
      </c>
      <c r="G109" s="5">
        <v>13266</v>
      </c>
      <c r="H109" s="5">
        <f t="shared" si="21"/>
        <v>0.40425531914893614</v>
      </c>
      <c r="I109" s="5">
        <f t="shared" si="22"/>
        <v>0.79163913901965799</v>
      </c>
      <c r="J109" s="5" t="str">
        <f t="shared" si="23"/>
        <v>HIGH</v>
      </c>
      <c r="K109" s="8">
        <f t="shared" si="24"/>
        <v>0.10989010989010987</v>
      </c>
      <c r="L109" s="8">
        <f t="shared" si="25"/>
        <v>-0.43118590185092137</v>
      </c>
      <c r="M109" s="5" t="str">
        <f t="shared" si="26"/>
        <v>LOW</v>
      </c>
      <c r="N109" s="5" cm="1">
        <f t="array" aca="1" ref="N109" ca="1">INDEX($N$2:$N$15,RANDBETWEEN(1, ROWS($N$2:$N$15)))</f>
        <v>8</v>
      </c>
      <c r="O109" s="5" cm="1">
        <f t="array" aca="1" ref="O109" ca="1">INDEX($O$2:$O$15,RANDBETWEEN(1, ROWS($O$2:$O$15)))</f>
        <v>5</v>
      </c>
      <c r="P109" s="5">
        <f t="shared" ca="1" si="27"/>
        <v>51918.521436462928</v>
      </c>
      <c r="Q109" s="5" cm="1">
        <f t="array" aca="1" ref="Q109" ca="1">INDEX($D$2:$D$129, RANDBETWEEN(1,128))</f>
        <v>1</v>
      </c>
      <c r="R109" s="5" cm="1">
        <f t="array" aca="1" ref="R109" ca="1">INDEX($F$2:$F$129, RANDBETWEEN(1,129))</f>
        <v>0.83</v>
      </c>
      <c r="S109" s="5"/>
      <c r="T109" s="5"/>
      <c r="U109" s="5"/>
      <c r="V109" s="5"/>
      <c r="W109" s="5"/>
    </row>
    <row r="110" spans="1:23" x14ac:dyDescent="0.35">
      <c r="A110" s="5" t="s">
        <v>8</v>
      </c>
      <c r="B110" s="5">
        <v>559337</v>
      </c>
      <c r="C110" s="5">
        <v>10125</v>
      </c>
      <c r="D110" s="5">
        <v>1</v>
      </c>
      <c r="E110" s="6">
        <v>40731.685416666667</v>
      </c>
      <c r="F110" s="8">
        <v>1.63</v>
      </c>
      <c r="G110" s="5" t="s">
        <v>1331</v>
      </c>
      <c r="H110" s="5">
        <f t="shared" si="21"/>
        <v>0</v>
      </c>
      <c r="I110" s="5">
        <f t="shared" si="22"/>
        <v>-0.93394825253809688</v>
      </c>
      <c r="J110" s="5" t="str">
        <f t="shared" si="23"/>
        <v>LOW</v>
      </c>
      <c r="K110" s="8">
        <f t="shared" si="24"/>
        <v>0.96703296703296704</v>
      </c>
      <c r="L110" s="8">
        <f t="shared" si="25"/>
        <v>1.9352005489719497</v>
      </c>
      <c r="M110" s="5" t="str">
        <f t="shared" si="26"/>
        <v>HIGH</v>
      </c>
      <c r="N110" s="5" cm="1">
        <f t="array" aca="1" ref="N110" ca="1">INDEX($N$2:$N$15,RANDBETWEEN(1, ROWS($N$2:$N$15)))</f>
        <v>4</v>
      </c>
      <c r="O110" s="5" cm="1">
        <f t="array" aca="1" ref="O110" ca="1">INDEX($O$2:$O$15,RANDBETWEEN(1, ROWS($O$2:$O$15)))</f>
        <v>1</v>
      </c>
      <c r="P110" s="5">
        <f t="shared" ca="1" si="27"/>
        <v>55473.025791084554</v>
      </c>
      <c r="Q110" s="5" cm="1">
        <f t="array" aca="1" ref="Q110" ca="1">INDEX($D$2:$D$129, RANDBETWEEN(1,128))</f>
        <v>3</v>
      </c>
      <c r="R110" s="5" cm="1">
        <f t="array" aca="1" ref="R110" ca="1">INDEX($F$2:$F$129, RANDBETWEEN(1,129))</f>
        <v>0.83</v>
      </c>
      <c r="S110" s="5"/>
      <c r="T110" s="5"/>
      <c r="U110" s="5"/>
      <c r="V110" s="5"/>
      <c r="W110" s="5"/>
    </row>
    <row r="111" spans="1:23" x14ac:dyDescent="0.35">
      <c r="A111" s="5" t="s">
        <v>8</v>
      </c>
      <c r="B111" s="5">
        <v>559536</v>
      </c>
      <c r="C111" s="5">
        <v>10125</v>
      </c>
      <c r="D111" s="5">
        <v>5</v>
      </c>
      <c r="E111" s="6">
        <v>40734.511805555558</v>
      </c>
      <c r="F111" s="8">
        <v>0.85</v>
      </c>
      <c r="G111" s="5">
        <v>16283</v>
      </c>
      <c r="H111" s="5">
        <f t="shared" si="21"/>
        <v>8.5106382978723402E-2</v>
      </c>
      <c r="I111" s="5">
        <f t="shared" si="22"/>
        <v>-0.5706666964206748</v>
      </c>
      <c r="J111" s="5" t="str">
        <f t="shared" si="23"/>
        <v>LOW</v>
      </c>
      <c r="K111" s="8">
        <f t="shared" si="24"/>
        <v>0.10989010989010987</v>
      </c>
      <c r="L111" s="8">
        <f t="shared" si="25"/>
        <v>-0.43118590185092137</v>
      </c>
      <c r="M111" s="5" t="str">
        <f t="shared" si="26"/>
        <v>LOW</v>
      </c>
      <c r="N111" s="5" cm="1">
        <f t="array" aca="1" ref="N111" ca="1">INDEX($N$2:$N$15,RANDBETWEEN(1, ROWS($N$2:$N$15)))</f>
        <v>11</v>
      </c>
      <c r="O111" s="5" cm="1">
        <f t="array" aca="1" ref="O111" ca="1">INDEX($O$2:$O$15,RANDBETWEEN(1, ROWS($O$2:$O$15)))</f>
        <v>3</v>
      </c>
      <c r="P111" s="5">
        <f t="shared" ca="1" si="27"/>
        <v>52224.796245787504</v>
      </c>
      <c r="Q111" s="5" cm="1">
        <f t="array" aca="1" ref="Q111" ca="1">INDEX($D$2:$D$129, RANDBETWEEN(1,128))</f>
        <v>5</v>
      </c>
      <c r="R111" s="5" cm="1">
        <f t="array" aca="1" ref="R111" ca="1">INDEX($F$2:$F$129, RANDBETWEEN(1,129))</f>
        <v>0.75</v>
      </c>
      <c r="S111" s="5"/>
      <c r="T111" s="5"/>
      <c r="U111" s="5"/>
      <c r="V111" s="5"/>
      <c r="W111" s="5"/>
    </row>
    <row r="112" spans="1:23" x14ac:dyDescent="0.35">
      <c r="A112" s="5" t="s">
        <v>8</v>
      </c>
      <c r="B112" s="5">
        <v>559979</v>
      </c>
      <c r="C112" s="5">
        <v>10125</v>
      </c>
      <c r="D112" s="5">
        <v>20</v>
      </c>
      <c r="E112" s="6">
        <v>40738.472222222219</v>
      </c>
      <c r="F112" s="8">
        <v>0.85</v>
      </c>
      <c r="G112" s="5">
        <v>14862</v>
      </c>
      <c r="H112" s="5">
        <f t="shared" si="21"/>
        <v>0.40425531914893614</v>
      </c>
      <c r="I112" s="5">
        <f t="shared" si="22"/>
        <v>0.79163913901965799</v>
      </c>
      <c r="J112" s="5" t="str">
        <f t="shared" si="23"/>
        <v>HIGH</v>
      </c>
      <c r="K112" s="8">
        <f t="shared" si="24"/>
        <v>0.10989010989010987</v>
      </c>
      <c r="L112" s="8">
        <f t="shared" si="25"/>
        <v>-0.43118590185092137</v>
      </c>
      <c r="M112" s="5" t="str">
        <f t="shared" si="26"/>
        <v>LOW</v>
      </c>
      <c r="N112" s="5" cm="1">
        <f t="array" aca="1" ref="N112" ca="1">INDEX($N$2:$N$15,RANDBETWEEN(1, ROWS($N$2:$N$15)))</f>
        <v>8</v>
      </c>
      <c r="O112" s="5" cm="1">
        <f t="array" aca="1" ref="O112" ca="1">INDEX($O$2:$O$15,RANDBETWEEN(1, ROWS($O$2:$O$15)))</f>
        <v>5</v>
      </c>
      <c r="P112" s="5">
        <f t="shared" ca="1" si="27"/>
        <v>52144.933068407372</v>
      </c>
      <c r="Q112" s="5" cm="1">
        <f t="array" aca="1" ref="Q112" ca="1">INDEX($D$2:$D$129, RANDBETWEEN(1,128))</f>
        <v>6</v>
      </c>
      <c r="R112" s="5" cm="1">
        <f t="array" aca="1" ref="R112" ca="1">INDEX($F$2:$F$129, RANDBETWEEN(1,129))</f>
        <v>0.75</v>
      </c>
      <c r="S112" s="5"/>
      <c r="T112" s="5"/>
      <c r="U112" s="5"/>
      <c r="V112" s="5"/>
      <c r="W112" s="5"/>
    </row>
    <row r="113" spans="1:23" x14ac:dyDescent="0.35">
      <c r="A113" s="5" t="s">
        <v>8</v>
      </c>
      <c r="B113" s="5">
        <v>559984</v>
      </c>
      <c r="C113" s="5">
        <v>10125</v>
      </c>
      <c r="D113" s="5">
        <v>5</v>
      </c>
      <c r="E113" s="6">
        <v>40738.489583333336</v>
      </c>
      <c r="F113" s="8">
        <v>0.85</v>
      </c>
      <c r="G113" s="5">
        <v>16657</v>
      </c>
      <c r="H113" s="5">
        <f t="shared" si="21"/>
        <v>8.5106382978723402E-2</v>
      </c>
      <c r="I113" s="5">
        <f t="shared" si="22"/>
        <v>-0.5706666964206748</v>
      </c>
      <c r="J113" s="5" t="str">
        <f t="shared" si="23"/>
        <v>LOW</v>
      </c>
      <c r="K113" s="8">
        <f t="shared" si="24"/>
        <v>0.10989010989010987</v>
      </c>
      <c r="L113" s="8">
        <f t="shared" si="25"/>
        <v>-0.43118590185092137</v>
      </c>
      <c r="M113" s="5" t="str">
        <f t="shared" si="26"/>
        <v>LOW</v>
      </c>
      <c r="N113" s="5" cm="1">
        <f t="array" aca="1" ref="N113" ca="1">INDEX($N$2:$N$15,RANDBETWEEN(1, ROWS($N$2:$N$15)))</f>
        <v>12</v>
      </c>
      <c r="O113" s="5" cm="1">
        <f t="array" aca="1" ref="O113" ca="1">INDEX($O$2:$O$15,RANDBETWEEN(1, ROWS($O$2:$O$15)))</f>
        <v>3</v>
      </c>
      <c r="P113" s="5">
        <f t="shared" ca="1" si="27"/>
        <v>52293.711060602327</v>
      </c>
      <c r="Q113" s="5" cm="1">
        <f t="array" aca="1" ref="Q113" ca="1">INDEX($D$2:$D$129, RANDBETWEEN(1,128))</f>
        <v>10</v>
      </c>
      <c r="R113" s="5" cm="1">
        <f t="array" aca="1" ref="R113" ca="1">INDEX($F$2:$F$129, RANDBETWEEN(1,129))</f>
        <v>0.85</v>
      </c>
      <c r="S113" s="5"/>
      <c r="T113" s="5"/>
      <c r="U113" s="5"/>
      <c r="V113" s="5"/>
      <c r="W113" s="5"/>
    </row>
    <row r="114" spans="1:23" x14ac:dyDescent="0.35">
      <c r="A114" s="5" t="s">
        <v>8</v>
      </c>
      <c r="B114" s="5">
        <v>560366</v>
      </c>
      <c r="C114" s="5">
        <v>10125</v>
      </c>
      <c r="D114" s="5">
        <v>20</v>
      </c>
      <c r="E114" s="6">
        <v>40742.513194444444</v>
      </c>
      <c r="F114" s="8">
        <v>0.85</v>
      </c>
      <c r="G114" s="5">
        <v>16859</v>
      </c>
      <c r="H114" s="5">
        <f t="shared" si="21"/>
        <v>0.40425531914893614</v>
      </c>
      <c r="I114" s="5">
        <f t="shared" si="22"/>
        <v>0.79163913901965799</v>
      </c>
      <c r="J114" s="5" t="str">
        <f t="shared" si="23"/>
        <v>HIGH</v>
      </c>
      <c r="K114" s="8">
        <f t="shared" si="24"/>
        <v>0.10989010989010987</v>
      </c>
      <c r="L114" s="8">
        <f t="shared" si="25"/>
        <v>-0.43118590185092137</v>
      </c>
      <c r="M114" s="5" t="str">
        <f t="shared" si="26"/>
        <v>LOW</v>
      </c>
      <c r="N114" s="5" cm="1">
        <f t="array" aca="1" ref="N114" ca="1">INDEX($N$2:$N$15,RANDBETWEEN(1, ROWS($N$2:$N$15)))</f>
        <v>8</v>
      </c>
      <c r="O114" s="5" cm="1">
        <f t="array" aca="1" ref="O114" ca="1">INDEX($O$2:$O$15,RANDBETWEEN(1, ROWS($O$2:$O$15)))</f>
        <v>5</v>
      </c>
      <c r="P114" s="5">
        <f t="shared" ca="1" si="27"/>
        <v>52343.936482759222</v>
      </c>
      <c r="Q114" s="5" cm="1">
        <f t="array" aca="1" ref="Q114" ca="1">INDEX($D$2:$D$129, RANDBETWEEN(1,128))</f>
        <v>12</v>
      </c>
      <c r="R114" s="5" cm="1">
        <f t="array" aca="1" ref="R114" ca="1">INDEX($F$2:$F$129, RANDBETWEEN(1,129))</f>
        <v>0.85</v>
      </c>
      <c r="S114" s="5"/>
      <c r="T114" s="5"/>
      <c r="U114" s="5"/>
      <c r="V114" s="5"/>
      <c r="W114" s="5"/>
    </row>
    <row r="115" spans="1:23" x14ac:dyDescent="0.35">
      <c r="A115" s="5" t="s">
        <v>8</v>
      </c>
      <c r="B115" s="5">
        <v>563034</v>
      </c>
      <c r="C115" s="5">
        <v>10125</v>
      </c>
      <c r="D115" s="5">
        <v>40</v>
      </c>
      <c r="E115" s="6">
        <v>40766.620138888888</v>
      </c>
      <c r="F115" s="8">
        <v>0.85</v>
      </c>
      <c r="G115" s="5">
        <v>17644</v>
      </c>
      <c r="H115" s="5">
        <f t="shared" si="21"/>
        <v>0.82978723404255317</v>
      </c>
      <c r="I115" s="5">
        <f t="shared" si="22"/>
        <v>2.6080469196067684</v>
      </c>
      <c r="J115" s="5" t="str">
        <f t="shared" si="23"/>
        <v>HIGH</v>
      </c>
      <c r="K115" s="8">
        <f t="shared" si="24"/>
        <v>0.10989010989010987</v>
      </c>
      <c r="L115" s="8">
        <f t="shared" si="25"/>
        <v>-0.43118590185092137</v>
      </c>
      <c r="M115" s="5" t="str">
        <f t="shared" si="26"/>
        <v>LOW</v>
      </c>
      <c r="N115" s="5" cm="1">
        <f t="array" aca="1" ref="N115" ca="1">INDEX($N$2:$N$15,RANDBETWEEN(1, ROWS($N$2:$N$15)))</f>
        <v>9</v>
      </c>
      <c r="O115" s="5" cm="1">
        <f t="array" aca="1" ref="O115" ca="1">INDEX($O$2:$O$15,RANDBETWEEN(1, ROWS($O$2:$O$15)))</f>
        <v>1</v>
      </c>
      <c r="P115" s="5">
        <f t="shared" ca="1" si="27"/>
        <v>52635.298889770878</v>
      </c>
      <c r="Q115" s="5" cm="1">
        <f t="array" aca="1" ref="Q115" ca="1">INDEX($D$2:$D$129, RANDBETWEEN(1,128))</f>
        <v>1</v>
      </c>
      <c r="R115" s="5" cm="1">
        <f t="array" aca="1" ref="R115" ca="1">INDEX($F$2:$F$129, RANDBETWEEN(1,129))</f>
        <v>0.85</v>
      </c>
      <c r="S115" s="5"/>
      <c r="T115" s="5"/>
      <c r="U115" s="5"/>
      <c r="V115" s="5"/>
      <c r="W115" s="5"/>
    </row>
    <row r="116" spans="1:23" x14ac:dyDescent="0.35">
      <c r="A116" s="5" t="s">
        <v>8</v>
      </c>
      <c r="B116" s="5">
        <v>563744</v>
      </c>
      <c r="C116" s="5">
        <v>10125</v>
      </c>
      <c r="D116" s="5">
        <v>20</v>
      </c>
      <c r="E116" s="6">
        <v>40774.399305555555</v>
      </c>
      <c r="F116" s="8">
        <v>0.85</v>
      </c>
      <c r="G116" s="5">
        <v>13266</v>
      </c>
      <c r="H116" s="5">
        <f t="shared" si="21"/>
        <v>0.40425531914893614</v>
      </c>
      <c r="I116" s="5">
        <f t="shared" si="22"/>
        <v>0.79163913901965799</v>
      </c>
      <c r="J116" s="5" t="str">
        <f t="shared" si="23"/>
        <v>HIGH</v>
      </c>
      <c r="K116" s="8">
        <f t="shared" si="24"/>
        <v>0.10989010989010987</v>
      </c>
      <c r="L116" s="8">
        <f t="shared" si="25"/>
        <v>-0.43118590185092137</v>
      </c>
      <c r="M116" s="5" t="str">
        <f t="shared" si="26"/>
        <v>LOW</v>
      </c>
      <c r="N116" s="5" cm="1">
        <f t="array" aca="1" ref="N116" ca="1">INDEX($N$2:$N$15,RANDBETWEEN(1, ROWS($N$2:$N$15)))</f>
        <v>11</v>
      </c>
      <c r="O116" s="5" cm="1">
        <f t="array" aca="1" ref="O116" ca="1">INDEX($O$2:$O$15,RANDBETWEEN(1, ROWS($O$2:$O$15)))</f>
        <v>5</v>
      </c>
      <c r="P116" s="5">
        <f t="shared" ca="1" si="27"/>
        <v>52328.926992018474</v>
      </c>
      <c r="Q116" s="5" cm="1">
        <f t="array" aca="1" ref="Q116" ca="1">INDEX($D$2:$D$129, RANDBETWEEN(1,128))</f>
        <v>12</v>
      </c>
      <c r="R116" s="5" cm="1">
        <f t="array" aca="1" ref="R116" ca="1">INDEX($F$2:$F$129, RANDBETWEEN(1,129))</f>
        <v>1.66</v>
      </c>
      <c r="S116" s="5"/>
      <c r="T116" s="5"/>
      <c r="U116" s="5"/>
      <c r="V116" s="5"/>
      <c r="W116" s="5"/>
    </row>
    <row r="117" spans="1:23" x14ac:dyDescent="0.35">
      <c r="A117" s="5" t="s">
        <v>8</v>
      </c>
      <c r="B117" s="5">
        <v>564300</v>
      </c>
      <c r="C117" s="5">
        <v>10125</v>
      </c>
      <c r="D117" s="5">
        <v>5</v>
      </c>
      <c r="E117" s="6">
        <v>40779.479861111111</v>
      </c>
      <c r="F117" s="8">
        <v>0.85</v>
      </c>
      <c r="G117" s="5">
        <v>16723</v>
      </c>
      <c r="H117" s="5">
        <f t="shared" si="21"/>
        <v>8.5106382978723402E-2</v>
      </c>
      <c r="I117" s="5">
        <f t="shared" si="22"/>
        <v>-0.5706666964206748</v>
      </c>
      <c r="J117" s="5" t="str">
        <f t="shared" si="23"/>
        <v>LOW</v>
      </c>
      <c r="K117" s="8">
        <f t="shared" si="24"/>
        <v>0.10989010989010987</v>
      </c>
      <c r="L117" s="8">
        <f t="shared" si="25"/>
        <v>-0.43118590185092137</v>
      </c>
      <c r="M117" s="5" t="str">
        <f t="shared" si="26"/>
        <v>LOW</v>
      </c>
      <c r="N117" s="5" cm="1">
        <f t="array" aca="1" ref="N117" ca="1">INDEX($N$2:$N$15,RANDBETWEEN(1, ROWS($N$2:$N$15)))</f>
        <v>8</v>
      </c>
      <c r="O117" s="5" cm="1">
        <f t="array" aca="1" ref="O117" ca="1">INDEX($O$2:$O$15,RANDBETWEEN(1, ROWS($O$2:$O$15)))</f>
        <v>4</v>
      </c>
      <c r="P117" s="5">
        <f t="shared" ca="1" si="27"/>
        <v>52662.04358375047</v>
      </c>
      <c r="Q117" s="5" cm="1">
        <f t="array" aca="1" ref="Q117" ca="1">INDEX($D$2:$D$129, RANDBETWEEN(1,128))</f>
        <v>4</v>
      </c>
      <c r="R117" s="5" cm="1">
        <f t="array" aca="1" ref="R117" ca="1">INDEX($F$2:$F$129, RANDBETWEEN(1,129))</f>
        <v>0.75</v>
      </c>
      <c r="S117" s="5"/>
      <c r="T117" s="5"/>
      <c r="U117" s="5"/>
      <c r="V117" s="5"/>
      <c r="W117" s="5"/>
    </row>
    <row r="118" spans="1:23" x14ac:dyDescent="0.35">
      <c r="A118" s="5" t="s">
        <v>21</v>
      </c>
      <c r="B118" s="5">
        <v>564337</v>
      </c>
      <c r="C118" s="5">
        <v>10125</v>
      </c>
      <c r="D118" s="5">
        <v>20</v>
      </c>
      <c r="E118" s="6">
        <v>40779.611111111109</v>
      </c>
      <c r="F118" s="8">
        <v>0.85</v>
      </c>
      <c r="G118" s="5">
        <v>12649</v>
      </c>
      <c r="H118" s="5">
        <f t="shared" si="21"/>
        <v>0.40425531914893614</v>
      </c>
      <c r="I118" s="5">
        <f t="shared" si="22"/>
        <v>0.79163913901965799</v>
      </c>
      <c r="J118" s="5" t="str">
        <f t="shared" si="23"/>
        <v>HIGH</v>
      </c>
      <c r="K118" s="8">
        <f t="shared" si="24"/>
        <v>0.10989010989010987</v>
      </c>
      <c r="L118" s="8">
        <f t="shared" si="25"/>
        <v>-0.43118590185092137</v>
      </c>
      <c r="M118" s="5" t="str">
        <f t="shared" si="26"/>
        <v>LOW</v>
      </c>
      <c r="N118" s="5" cm="1">
        <f t="array" aca="1" ref="N118" ca="1">INDEX($N$2:$N$15,RANDBETWEEN(1, ROWS($N$2:$N$15)))</f>
        <v>2</v>
      </c>
      <c r="O118" s="5" cm="1">
        <f t="array" aca="1" ref="O118" ca="1">INDEX($O$2:$O$15,RANDBETWEEN(1, ROWS($O$2:$O$15)))</f>
        <v>5</v>
      </c>
      <c r="P118" s="5">
        <f t="shared" ca="1" si="27"/>
        <v>52326.611309148109</v>
      </c>
      <c r="Q118" s="5" cm="1">
        <f t="array" aca="1" ref="Q118" ca="1">INDEX($D$2:$D$129, RANDBETWEEN(1,128))</f>
        <v>1</v>
      </c>
      <c r="R118" s="5" cm="1">
        <f t="array" aca="1" ref="R118" ca="1">INDEX($F$2:$F$129, RANDBETWEEN(1,129))</f>
        <v>0.81</v>
      </c>
      <c r="S118" s="5"/>
      <c r="T118" s="5"/>
      <c r="U118" s="5"/>
      <c r="V118" s="5"/>
      <c r="W118" s="5"/>
    </row>
    <row r="119" spans="1:23" x14ac:dyDescent="0.35">
      <c r="A119" s="5" t="s">
        <v>8</v>
      </c>
      <c r="B119" s="5">
        <v>565585</v>
      </c>
      <c r="C119" s="5">
        <v>10125</v>
      </c>
      <c r="D119" s="5">
        <v>20</v>
      </c>
      <c r="E119" s="6">
        <v>40791.556944444441</v>
      </c>
      <c r="F119" s="8">
        <v>0.85</v>
      </c>
      <c r="G119" s="5">
        <v>16172</v>
      </c>
      <c r="H119" s="5">
        <f t="shared" si="21"/>
        <v>0.40425531914893614</v>
      </c>
      <c r="I119" s="5">
        <f t="shared" si="22"/>
        <v>0.79163913901965799</v>
      </c>
      <c r="J119" s="5" t="str">
        <f t="shared" si="23"/>
        <v>HIGH</v>
      </c>
      <c r="K119" s="8">
        <f t="shared" si="24"/>
        <v>0.10989010989010987</v>
      </c>
      <c r="L119" s="8">
        <f t="shared" si="25"/>
        <v>-0.43118590185092137</v>
      </c>
      <c r="M119" s="5" t="str">
        <f t="shared" si="26"/>
        <v>LOW</v>
      </c>
      <c r="N119" s="5" cm="1">
        <f t="array" aca="1" ref="N119" ca="1">INDEX($N$2:$N$15,RANDBETWEEN(1, ROWS($N$2:$N$15)))</f>
        <v>9</v>
      </c>
      <c r="O119" s="5" cm="1">
        <f t="array" aca="1" ref="O119" ca="1">INDEX($O$2:$O$15,RANDBETWEEN(1, ROWS($O$2:$O$15)))</f>
        <v>5</v>
      </c>
      <c r="P119" s="5">
        <f t="shared" ca="1" si="27"/>
        <v>52725.773461925884</v>
      </c>
      <c r="Q119" s="5" cm="1">
        <f t="array" aca="1" ref="Q119" ca="1">INDEX($D$2:$D$129, RANDBETWEEN(1,128))</f>
        <v>5</v>
      </c>
      <c r="R119" s="5" cm="1">
        <f t="array" aca="1" ref="R119" ca="1">INDEX($F$2:$F$129, RANDBETWEEN(1,129))</f>
        <v>0.81</v>
      </c>
      <c r="S119" s="5"/>
      <c r="T119" s="5"/>
      <c r="U119" s="5"/>
      <c r="V119" s="5"/>
      <c r="W119" s="5"/>
    </row>
    <row r="120" spans="1:23" x14ac:dyDescent="0.35">
      <c r="A120" s="5" t="s">
        <v>8</v>
      </c>
      <c r="B120" s="5">
        <v>568568</v>
      </c>
      <c r="C120" s="5">
        <v>10125</v>
      </c>
      <c r="D120" s="5">
        <v>20</v>
      </c>
      <c r="E120" s="6">
        <v>40814.366666666669</v>
      </c>
      <c r="F120" s="8">
        <v>0.85</v>
      </c>
      <c r="G120" s="5">
        <v>14412</v>
      </c>
      <c r="H120" s="5">
        <f t="shared" si="21"/>
        <v>0.40425531914893614</v>
      </c>
      <c r="I120" s="5">
        <f t="shared" si="22"/>
        <v>0.79163913901965799</v>
      </c>
      <c r="J120" s="5" t="str">
        <f t="shared" si="23"/>
        <v>HIGH</v>
      </c>
      <c r="K120" s="8">
        <f t="shared" si="24"/>
        <v>0.10989010989010987</v>
      </c>
      <c r="L120" s="8">
        <f t="shared" si="25"/>
        <v>-0.43118590185092137</v>
      </c>
      <c r="M120" s="5" t="str">
        <f t="shared" si="26"/>
        <v>LOW</v>
      </c>
      <c r="N120" s="5" cm="1">
        <f t="array" aca="1" ref="N120" ca="1">INDEX($N$2:$N$15,RANDBETWEEN(1, ROWS($N$2:$N$15)))</f>
        <v>2</v>
      </c>
      <c r="O120" s="5" cm="1">
        <f t="array" aca="1" ref="O120" ca="1">INDEX($O$2:$O$15,RANDBETWEEN(1, ROWS($O$2:$O$15)))</f>
        <v>3</v>
      </c>
      <c r="P120" s="5">
        <f t="shared" ca="1" si="27"/>
        <v>52828.840938777743</v>
      </c>
      <c r="Q120" s="5" cm="1">
        <f t="array" aca="1" ref="Q120" ca="1">INDEX($D$2:$D$129, RANDBETWEEN(1,128))</f>
        <v>2</v>
      </c>
      <c r="R120" s="5" cm="1">
        <f t="array" aca="1" ref="R120" ca="1">INDEX($F$2:$F$129, RANDBETWEEN(1,129))</f>
        <v>1.63</v>
      </c>
      <c r="S120" s="5"/>
      <c r="T120" s="5"/>
      <c r="U120" s="5"/>
      <c r="V120" s="5"/>
      <c r="W120" s="5"/>
    </row>
    <row r="121" spans="1:23" x14ac:dyDescent="0.35">
      <c r="A121" s="5" t="s">
        <v>16</v>
      </c>
      <c r="B121" s="5">
        <v>568650</v>
      </c>
      <c r="C121" s="5">
        <v>10125</v>
      </c>
      <c r="D121" s="5">
        <v>20</v>
      </c>
      <c r="E121" s="6">
        <v>40814.49722222222</v>
      </c>
      <c r="F121" s="8">
        <v>0.85</v>
      </c>
      <c r="G121" s="5">
        <v>13505</v>
      </c>
      <c r="H121" s="5">
        <f t="shared" si="21"/>
        <v>0.40425531914893614</v>
      </c>
      <c r="I121" s="5">
        <f t="shared" si="22"/>
        <v>0.79163913901965799</v>
      </c>
      <c r="J121" s="5" t="str">
        <f t="shared" si="23"/>
        <v>HIGH</v>
      </c>
      <c r="K121" s="8">
        <f t="shared" si="24"/>
        <v>0.10989010989010987</v>
      </c>
      <c r="L121" s="8">
        <f t="shared" si="25"/>
        <v>-0.43118590185092137</v>
      </c>
      <c r="M121" s="5" t="str">
        <f t="shared" si="26"/>
        <v>LOW</v>
      </c>
      <c r="N121" s="5" cm="1">
        <f t="array" aca="1" ref="N121" ca="1">INDEX($N$2:$N$15,RANDBETWEEN(1, ROWS($N$2:$N$15)))</f>
        <v>4</v>
      </c>
      <c r="O121" s="5" cm="1">
        <f t="array" aca="1" ref="O121" ca="1">INDEX($O$2:$O$15,RANDBETWEEN(1, ROWS($O$2:$O$15)))</f>
        <v>5</v>
      </c>
      <c r="P121" s="5">
        <f t="shared" ca="1" si="27"/>
        <v>52760.435151740705</v>
      </c>
      <c r="Q121" s="5" cm="1">
        <f t="array" aca="1" ref="Q121" ca="1">INDEX($D$2:$D$129, RANDBETWEEN(1,128))</f>
        <v>1</v>
      </c>
      <c r="R121" s="5" cm="1">
        <f t="array" aca="1" ref="R121" ca="1">INDEX($F$2:$F$129, RANDBETWEEN(1,129))</f>
        <v>0.85</v>
      </c>
      <c r="S121" s="5"/>
      <c r="T121" s="5"/>
      <c r="U121" s="5"/>
      <c r="V121" s="5"/>
      <c r="W121" s="5"/>
    </row>
    <row r="122" spans="1:23" x14ac:dyDescent="0.35">
      <c r="A122" s="5" t="s">
        <v>8</v>
      </c>
      <c r="B122" s="5">
        <v>569223</v>
      </c>
      <c r="C122" s="5">
        <v>10125</v>
      </c>
      <c r="D122" s="5">
        <v>7</v>
      </c>
      <c r="E122" s="6">
        <v>40818.575694444444</v>
      </c>
      <c r="F122" s="8">
        <v>0.85</v>
      </c>
      <c r="G122" s="5">
        <v>16283</v>
      </c>
      <c r="H122" s="5">
        <f t="shared" si="21"/>
        <v>0.1276595744680851</v>
      </c>
      <c r="I122" s="5">
        <f t="shared" si="22"/>
        <v>-0.38902591836196376</v>
      </c>
      <c r="J122" s="5" t="str">
        <f t="shared" si="23"/>
        <v>LOW</v>
      </c>
      <c r="K122" s="8">
        <f t="shared" si="24"/>
        <v>0.10989010989010987</v>
      </c>
      <c r="L122" s="8">
        <f t="shared" si="25"/>
        <v>-0.43118590185092137</v>
      </c>
      <c r="M122" s="5" t="str">
        <f t="shared" si="26"/>
        <v>LOW</v>
      </c>
      <c r="N122" s="5" cm="1">
        <f t="array" aca="1" ref="N122" ca="1">INDEX($N$2:$N$15,RANDBETWEEN(1, ROWS($N$2:$N$15)))</f>
        <v>4</v>
      </c>
      <c r="O122" s="5" cm="1">
        <f t="array" aca="1" ref="O122" ca="1">INDEX($O$2:$O$15,RANDBETWEEN(1, ROWS($O$2:$O$15)))</f>
        <v>1</v>
      </c>
      <c r="P122" s="5">
        <f t="shared" ca="1" si="27"/>
        <v>53038.486919359049</v>
      </c>
      <c r="Q122" s="5" cm="1">
        <f t="array" aca="1" ref="Q122" ca="1">INDEX($D$2:$D$129, RANDBETWEEN(1,128))</f>
        <v>1</v>
      </c>
      <c r="R122" s="5" cm="1">
        <f t="array" aca="1" ref="R122" ca="1">INDEX($F$2:$F$129, RANDBETWEEN(1,129))</f>
        <v>0.85</v>
      </c>
      <c r="S122" s="5"/>
      <c r="T122" s="5"/>
      <c r="U122" s="5"/>
      <c r="V122" s="5"/>
      <c r="W122" s="5"/>
    </row>
    <row r="123" spans="1:23" x14ac:dyDescent="0.35">
      <c r="A123" s="5" t="s">
        <v>8</v>
      </c>
      <c r="B123" s="5">
        <v>569897</v>
      </c>
      <c r="C123" s="5">
        <v>10125</v>
      </c>
      <c r="D123" s="5">
        <v>3</v>
      </c>
      <c r="E123" s="6">
        <v>40822.667361111111</v>
      </c>
      <c r="F123" s="8">
        <v>0.85</v>
      </c>
      <c r="G123" s="5">
        <v>17813</v>
      </c>
      <c r="H123" s="5">
        <f t="shared" si="21"/>
        <v>4.2553191489361701E-2</v>
      </c>
      <c r="I123" s="5">
        <f t="shared" si="22"/>
        <v>-0.75230747447938584</v>
      </c>
      <c r="J123" s="5" t="str">
        <f t="shared" si="23"/>
        <v>LOW</v>
      </c>
      <c r="K123" s="8">
        <f t="shared" si="24"/>
        <v>0.10989010989010987</v>
      </c>
      <c r="L123" s="8">
        <f t="shared" si="25"/>
        <v>-0.43118590185092137</v>
      </c>
      <c r="M123" s="5" t="str">
        <f t="shared" si="26"/>
        <v>LOW</v>
      </c>
      <c r="N123" s="5" cm="1">
        <f t="array" aca="1" ref="N123" ca="1">INDEX($N$2:$N$15,RANDBETWEEN(1, ROWS($N$2:$N$15)))</f>
        <v>2</v>
      </c>
      <c r="O123" s="5" cm="1">
        <f t="array" aca="1" ref="O123" ca="1">INDEX($O$2:$O$15,RANDBETWEEN(1, ROWS($O$2:$O$15)))</f>
        <v>1</v>
      </c>
      <c r="P123" s="5">
        <f t="shared" ca="1" si="27"/>
        <v>53221.957192586349</v>
      </c>
      <c r="Q123" s="5" cm="1">
        <f t="array" aca="1" ref="Q123" ca="1">INDEX($D$2:$D$129, RANDBETWEEN(1,128))</f>
        <v>5</v>
      </c>
      <c r="R123" s="5" cm="1">
        <f t="array" aca="1" ref="R123" ca="1">INDEX($F$2:$F$129, RANDBETWEEN(1,129))</f>
        <v>0.75</v>
      </c>
      <c r="S123" s="5"/>
      <c r="T123" s="5"/>
      <c r="U123" s="5"/>
      <c r="V123" s="5"/>
      <c r="W123" s="5"/>
    </row>
    <row r="124" spans="1:23" x14ac:dyDescent="0.35">
      <c r="A124" s="5" t="s">
        <v>8</v>
      </c>
      <c r="B124" s="5">
        <v>570187</v>
      </c>
      <c r="C124" s="5">
        <v>10125</v>
      </c>
      <c r="D124" s="5">
        <v>1</v>
      </c>
      <c r="E124" s="6">
        <v>40823.631249999999</v>
      </c>
      <c r="F124" s="8">
        <v>1.63</v>
      </c>
      <c r="G124" s="5" t="s">
        <v>1331</v>
      </c>
      <c r="H124" s="5">
        <f t="shared" si="21"/>
        <v>0</v>
      </c>
      <c r="I124" s="5">
        <f t="shared" si="22"/>
        <v>-0.93394825253809688</v>
      </c>
      <c r="J124" s="5" t="str">
        <f t="shared" si="23"/>
        <v>LOW</v>
      </c>
      <c r="K124" s="8">
        <f t="shared" si="24"/>
        <v>0.96703296703296704</v>
      </c>
      <c r="L124" s="8">
        <f t="shared" si="25"/>
        <v>1.9352005489719497</v>
      </c>
      <c r="M124" s="5" t="str">
        <f t="shared" si="26"/>
        <v>HIGH</v>
      </c>
      <c r="N124" s="5" cm="1">
        <f t="array" aca="1" ref="N124" ca="1">INDEX($N$2:$N$15,RANDBETWEEN(1, ROWS($N$2:$N$15)))</f>
        <v>9</v>
      </c>
      <c r="O124" s="5" cm="1">
        <f t="array" aca="1" ref="O124" ca="1">INDEX($O$2:$O$15,RANDBETWEEN(1, ROWS($O$2:$O$15)))</f>
        <v>3</v>
      </c>
      <c r="P124" s="5">
        <f t="shared" ca="1" si="27"/>
        <v>56468.384503205765</v>
      </c>
      <c r="Q124" s="5" cm="1">
        <f t="array" aca="1" ref="Q124" ca="1">INDEX($D$2:$D$129, RANDBETWEEN(1,128))</f>
        <v>12</v>
      </c>
      <c r="R124" s="5" cm="1">
        <f t="array" aca="1" ref="R124" ca="1">INDEX($F$2:$F$129, RANDBETWEEN(1,129))</f>
        <v>0.83</v>
      </c>
      <c r="S124" s="5"/>
      <c r="T124" s="5"/>
      <c r="U124" s="5"/>
      <c r="V124" s="5"/>
      <c r="W124" s="5"/>
    </row>
    <row r="125" spans="1:23" x14ac:dyDescent="0.35">
      <c r="A125" s="5" t="s">
        <v>21</v>
      </c>
      <c r="B125" s="5">
        <v>571328</v>
      </c>
      <c r="C125" s="5">
        <v>10125</v>
      </c>
      <c r="D125" s="5">
        <v>20</v>
      </c>
      <c r="E125" s="6">
        <v>40833.477083333331</v>
      </c>
      <c r="F125" s="8">
        <v>0.85</v>
      </c>
      <c r="G125" s="5">
        <v>12473</v>
      </c>
      <c r="H125" s="5">
        <f t="shared" si="21"/>
        <v>0.40425531914893614</v>
      </c>
      <c r="I125" s="5">
        <f t="shared" si="22"/>
        <v>0.79163913901965799</v>
      </c>
      <c r="J125" s="5" t="str">
        <f t="shared" si="23"/>
        <v>HIGH</v>
      </c>
      <c r="K125" s="8">
        <f t="shared" si="24"/>
        <v>0.10989010989010987</v>
      </c>
      <c r="L125" s="8">
        <f t="shared" si="25"/>
        <v>-0.43118590185092137</v>
      </c>
      <c r="M125" s="5" t="str">
        <f t="shared" si="26"/>
        <v>LOW</v>
      </c>
      <c r="N125" s="5" cm="1">
        <f t="array" aca="1" ref="N125" ca="1">INDEX($N$2:$N$15,RANDBETWEEN(1, ROWS($N$2:$N$15)))</f>
        <v>4</v>
      </c>
      <c r="O125" s="5" cm="1">
        <f t="array" aca="1" ref="O125" ca="1">INDEX($O$2:$O$15,RANDBETWEEN(1, ROWS($O$2:$O$15)))</f>
        <v>5</v>
      </c>
      <c r="P125" s="5">
        <f t="shared" ca="1" si="27"/>
        <v>52899.183473499957</v>
      </c>
      <c r="Q125" s="5" cm="1">
        <f t="array" aca="1" ref="Q125" ca="1">INDEX($D$2:$D$129, RANDBETWEEN(1,128))</f>
        <v>1</v>
      </c>
      <c r="R125" s="5" cm="1">
        <f t="array" aca="1" ref="R125" ca="1">INDEX($F$2:$F$129, RANDBETWEEN(1,129))</f>
        <v>0.85</v>
      </c>
      <c r="S125" s="5"/>
      <c r="T125" s="5"/>
      <c r="U125" s="5"/>
      <c r="V125" s="5"/>
      <c r="W125" s="5"/>
    </row>
    <row r="126" spans="1:23" x14ac:dyDescent="0.35">
      <c r="A126" s="5" t="s">
        <v>8</v>
      </c>
      <c r="B126" s="5">
        <v>572558</v>
      </c>
      <c r="C126" s="5">
        <v>10125</v>
      </c>
      <c r="D126" s="5">
        <v>20</v>
      </c>
      <c r="E126" s="6">
        <v>40841.351388888892</v>
      </c>
      <c r="F126" s="8">
        <v>0.85</v>
      </c>
      <c r="G126" s="5">
        <v>14286</v>
      </c>
      <c r="H126" s="5">
        <f t="shared" si="21"/>
        <v>0.40425531914893614</v>
      </c>
      <c r="I126" s="5">
        <f t="shared" si="22"/>
        <v>0.79163913901965799</v>
      </c>
      <c r="J126" s="5" t="str">
        <f t="shared" si="23"/>
        <v>HIGH</v>
      </c>
      <c r="K126" s="8">
        <f t="shared" si="24"/>
        <v>0.10989010989010987</v>
      </c>
      <c r="L126" s="8">
        <f t="shared" si="25"/>
        <v>-0.43118590185092137</v>
      </c>
      <c r="M126" s="5" t="str">
        <f t="shared" si="26"/>
        <v>LOW</v>
      </c>
      <c r="N126" s="5" cm="1">
        <f t="array" aca="1" ref="N126" ca="1">INDEX($N$2:$N$15,RANDBETWEEN(1, ROWS($N$2:$N$15)))</f>
        <v>4</v>
      </c>
      <c r="O126" s="5" cm="1">
        <f t="array" aca="1" ref="O126" ca="1">INDEX($O$2:$O$15,RANDBETWEEN(1, ROWS($O$2:$O$15)))</f>
        <v>4</v>
      </c>
      <c r="P126" s="5">
        <f t="shared" ca="1" si="27"/>
        <v>53153.339665629588</v>
      </c>
      <c r="Q126" s="5" cm="1">
        <f t="array" aca="1" ref="Q126" ca="1">INDEX($D$2:$D$129, RANDBETWEEN(1,128))</f>
        <v>10</v>
      </c>
      <c r="R126" s="5" cm="1">
        <f t="array" aca="1" ref="R126" ca="1">INDEX($F$2:$F$129, RANDBETWEEN(1,129))</f>
        <v>0.99</v>
      </c>
      <c r="S126" s="5"/>
      <c r="T126" s="5"/>
      <c r="U126" s="5"/>
      <c r="V126" s="5"/>
      <c r="W126" s="5"/>
    </row>
    <row r="127" spans="1:23" x14ac:dyDescent="0.35">
      <c r="A127" s="5" t="s">
        <v>8</v>
      </c>
      <c r="B127" s="5">
        <v>574530</v>
      </c>
      <c r="C127" s="5">
        <v>10125</v>
      </c>
      <c r="D127" s="5">
        <v>2</v>
      </c>
      <c r="E127" s="6">
        <v>40851.588194444441</v>
      </c>
      <c r="F127" s="8">
        <v>0.85</v>
      </c>
      <c r="G127" s="5">
        <v>16887</v>
      </c>
      <c r="H127" s="5">
        <f t="shared" si="21"/>
        <v>2.1276595744680851E-2</v>
      </c>
      <c r="I127" s="5">
        <f t="shared" si="22"/>
        <v>-0.84312786350874136</v>
      </c>
      <c r="J127" s="5" t="str">
        <f t="shared" si="23"/>
        <v>LOW</v>
      </c>
      <c r="K127" s="8">
        <f t="shared" si="24"/>
        <v>0.10989010989010987</v>
      </c>
      <c r="L127" s="8">
        <f t="shared" si="25"/>
        <v>-0.43118590185092137</v>
      </c>
      <c r="M127" s="5" t="str">
        <f t="shared" si="26"/>
        <v>LOW</v>
      </c>
      <c r="N127" s="5" cm="1">
        <f t="array" aca="1" ref="N127" ca="1">INDEX($N$2:$N$15,RANDBETWEEN(1, ROWS($N$2:$N$15)))</f>
        <v>9</v>
      </c>
      <c r="O127" s="5" cm="1">
        <f t="array" aca="1" ref="O127" ca="1">INDEX($O$2:$O$15,RANDBETWEEN(1, ROWS($O$2:$O$15)))</f>
        <v>4</v>
      </c>
      <c r="P127" s="5">
        <f t="shared" ca="1" si="27"/>
        <v>53534.02458728206</v>
      </c>
      <c r="Q127" s="5" cm="1">
        <f t="array" aca="1" ref="Q127" ca="1">INDEX($D$2:$D$129, RANDBETWEEN(1,128))</f>
        <v>20</v>
      </c>
      <c r="R127" s="5" cm="1">
        <f t="array" aca="1" ref="R127" ca="1">INDEX($F$2:$F$129, RANDBETWEEN(1,129))</f>
        <v>1.63</v>
      </c>
      <c r="S127" s="5"/>
      <c r="T127" s="5"/>
      <c r="U127" s="5"/>
      <c r="V127" s="5"/>
      <c r="W127" s="5"/>
    </row>
    <row r="128" spans="1:23" x14ac:dyDescent="0.35">
      <c r="A128" s="5" t="s">
        <v>21</v>
      </c>
      <c r="B128" s="5">
        <v>581494</v>
      </c>
      <c r="C128" s="5">
        <v>10125</v>
      </c>
      <c r="D128" s="5">
        <v>20</v>
      </c>
      <c r="E128" s="6">
        <v>40886.425694444442</v>
      </c>
      <c r="F128" s="8">
        <v>0.85</v>
      </c>
      <c r="G128" s="5">
        <v>12518</v>
      </c>
      <c r="H128" s="5">
        <f t="shared" si="21"/>
        <v>0.40425531914893614</v>
      </c>
      <c r="I128" s="5">
        <f t="shared" si="22"/>
        <v>0.79163913901965799</v>
      </c>
      <c r="J128" s="5" t="str">
        <f t="shared" si="23"/>
        <v>HIGH</v>
      </c>
      <c r="K128" s="8">
        <f t="shared" si="24"/>
        <v>0.10989010989010987</v>
      </c>
      <c r="L128" s="8">
        <f t="shared" si="25"/>
        <v>-0.43118590185092137</v>
      </c>
      <c r="M128" s="5" t="str">
        <f t="shared" si="26"/>
        <v>LOW</v>
      </c>
      <c r="N128" s="5" cm="1">
        <f t="array" aca="1" ref="N128" ca="1">INDEX($N$2:$N$15,RANDBETWEEN(1, ROWS($N$2:$N$15)))</f>
        <v>4</v>
      </c>
      <c r="O128" s="5" cm="1">
        <f t="array" aca="1" ref="O128" ca="1">INDEX($O$2:$O$15,RANDBETWEEN(1, ROWS($O$2:$O$15)))</f>
        <v>5</v>
      </c>
      <c r="P128" s="5">
        <f t="shared" ca="1" si="27"/>
        <v>53754.512524425889</v>
      </c>
      <c r="Q128" s="5" cm="1">
        <f t="array" aca="1" ref="Q128" ca="1">INDEX($D$2:$D$129, RANDBETWEEN(1,128))</f>
        <v>10</v>
      </c>
      <c r="R128" s="5" cm="1">
        <f t="array" aca="1" ref="R128" ca="1">INDEX($F$2:$F$129, RANDBETWEEN(1,129))</f>
        <v>0</v>
      </c>
      <c r="S128" s="5"/>
      <c r="T128" s="5"/>
      <c r="U128" s="5"/>
      <c r="V128" s="5"/>
      <c r="W128" s="5"/>
    </row>
    <row r="133" spans="2:5" customFormat="1" x14ac:dyDescent="0.35">
      <c r="B133" s="5"/>
      <c r="C133" s="5"/>
      <c r="D133" s="5"/>
      <c r="E133" s="5"/>
    </row>
    <row r="134" spans="2:5" customFormat="1" x14ac:dyDescent="0.35">
      <c r="B134" s="5"/>
      <c r="C134" s="5"/>
      <c r="D134" s="5"/>
      <c r="E134" s="5"/>
    </row>
    <row r="135" spans="2:5" customFormat="1" x14ac:dyDescent="0.35">
      <c r="B135" s="5"/>
      <c r="C135" s="5"/>
      <c r="D135" s="5"/>
      <c r="E135" s="5"/>
    </row>
    <row r="136" spans="2:5" customFormat="1" x14ac:dyDescent="0.35">
      <c r="B136" s="5"/>
      <c r="C136" s="5"/>
      <c r="D136" s="5"/>
      <c r="E136" s="5"/>
    </row>
    <row r="137" spans="2:5" customFormat="1" x14ac:dyDescent="0.35">
      <c r="B137" s="5"/>
      <c r="C137" s="5"/>
      <c r="D137" s="5"/>
      <c r="E137" s="5"/>
    </row>
    <row r="138" spans="2:5" customFormat="1" x14ac:dyDescent="0.35">
      <c r="B138" s="5"/>
      <c r="C138" s="5"/>
      <c r="D138" s="5"/>
      <c r="E138" s="5"/>
    </row>
  </sheetData>
  <conditionalFormatting sqref="D1:D1048576">
    <cfRule type="colorScale" priority="5">
      <colorScale>
        <cfvo type="num" val="-28.5"/>
        <cfvo type="num" val="55.5"/>
        <color theme="8" tint="0.79998168889431442"/>
        <color theme="8" tint="-0.249977111117893"/>
      </colorScale>
    </cfRule>
    <cfRule type="colorScale" priority="7">
      <colorScale>
        <cfvo type="min"/>
        <cfvo type="max"/>
        <color theme="8" tint="0.79998168889431442"/>
        <color theme="8"/>
      </colorScale>
    </cfRule>
  </conditionalFormatting>
  <conditionalFormatting sqref="D2:D128">
    <cfRule type="colorScale" priority="6">
      <colorScale>
        <cfvo type="min"/>
        <cfvo type="max"/>
        <color theme="8" tint="0.79998168889431442"/>
        <color theme="8" tint="-0.249977111117893"/>
      </colorScale>
    </cfRule>
    <cfRule type="colorScale" priority="8">
      <colorScale>
        <cfvo type="num" val="0"/>
        <cfvo type="num" val="100"/>
        <color theme="8" tint="0.79998168889431442"/>
        <color theme="8" tint="-0.249977111117893"/>
      </colorScale>
    </cfRule>
  </conditionalFormatting>
  <conditionalFormatting sqref="D3">
    <cfRule type="duplicateValues" dxfId="1" priority="2"/>
  </conditionalFormatting>
  <conditionalFormatting sqref="F1:F1048576">
    <cfRule type="colorScale" priority="3">
      <colorScale>
        <cfvo type="num" val="0.48"/>
        <cfvo type="num" val="1.57"/>
        <color theme="8" tint="0.79998168889431442"/>
        <color theme="8" tint="-0.249977111117893"/>
      </colorScale>
    </cfRule>
  </conditionalFormatting>
  <conditionalFormatting sqref="F139:F1048576 F1:F132">
    <cfRule type="colorScale" priority="4">
      <colorScale>
        <cfvo type="min"/>
        <cfvo type="max"/>
        <color theme="8" tint="0.79998168889431442"/>
        <color theme="8" tint="-0.249977111117893"/>
      </colorScale>
    </cfRule>
  </conditionalFormatting>
  <conditionalFormatting sqref="X69:Z71">
    <cfRule type="colorScale" priority="1">
      <colorScale>
        <cfvo type="min"/>
        <cfvo type="percentile" val="50"/>
        <cfvo type="max"/>
        <color rgb="FFF8696B"/>
        <color rgb="FFFCFCFF"/>
        <color rgb="FF63BE7B"/>
      </colorScale>
    </cfRule>
  </conditionalFormatting>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011495-B554-4E71-AA23-C0C1AA396452}">
  <dimension ref="A1:AC138"/>
  <sheetViews>
    <sheetView topLeftCell="T50" workbookViewId="0">
      <selection activeCell="F2" sqref="F2:F128"/>
    </sheetView>
  </sheetViews>
  <sheetFormatPr defaultRowHeight="14.5" x14ac:dyDescent="0.35"/>
  <cols>
    <col min="1" max="1" width="13.54296875" style="5" bestFit="1" customWidth="1"/>
    <col min="2" max="2" width="14.08984375" style="5" customWidth="1"/>
    <col min="3" max="3" width="13.453125" style="5" customWidth="1"/>
    <col min="4" max="4" width="16.08984375" style="5" customWidth="1"/>
    <col min="5" max="5" width="22.453125" style="5" bestFit="1" customWidth="1"/>
    <col min="6" max="6" width="13.6328125" style="8" bestFit="1" customWidth="1"/>
    <col min="7" max="7" width="12.90625" style="5" customWidth="1"/>
    <col min="8" max="12" width="13.54296875" style="5" customWidth="1"/>
    <col min="13" max="15" width="12.08984375" customWidth="1"/>
    <col min="16" max="16" width="20.26953125" bestFit="1" customWidth="1"/>
    <col min="17" max="17" width="27.81640625" bestFit="1" customWidth="1"/>
    <col min="18" max="18" width="27.81640625" customWidth="1"/>
    <col min="19" max="19" width="12.08984375" customWidth="1"/>
    <col min="20" max="20" width="24.1796875" bestFit="1" customWidth="1"/>
    <col min="21" max="21" width="25.26953125" bestFit="1" customWidth="1"/>
    <col min="22" max="22" width="12.08984375" customWidth="1"/>
    <col min="23" max="23" width="19.54296875" bestFit="1" customWidth="1"/>
    <col min="24" max="24" width="14.81640625" bestFit="1" customWidth="1"/>
    <col min="25" max="25" width="30.08984375" customWidth="1"/>
    <col min="26" max="26" width="24.08984375" bestFit="1" customWidth="1"/>
    <col min="27" max="27" width="11.81640625" customWidth="1"/>
  </cols>
  <sheetData>
    <row r="1" spans="1:29" s="7" customFormat="1" x14ac:dyDescent="0.35">
      <c r="A1" s="7" t="s">
        <v>6</v>
      </c>
      <c r="B1" s="7" t="s">
        <v>0</v>
      </c>
      <c r="C1" s="7" t="s">
        <v>1</v>
      </c>
      <c r="D1" s="7" t="s">
        <v>2</v>
      </c>
      <c r="E1" s="7" t="s">
        <v>3</v>
      </c>
      <c r="F1" s="8" t="s">
        <v>4</v>
      </c>
      <c r="G1" s="7" t="s">
        <v>5</v>
      </c>
      <c r="H1" s="7" t="s">
        <v>48</v>
      </c>
      <c r="I1" s="7" t="s">
        <v>49</v>
      </c>
      <c r="J1" s="7" t="s">
        <v>50</v>
      </c>
      <c r="K1" s="7" t="s">
        <v>51</v>
      </c>
      <c r="L1" s="7" t="s">
        <v>52</v>
      </c>
      <c r="M1" s="7" t="s">
        <v>53</v>
      </c>
      <c r="N1" s="7" t="s">
        <v>93</v>
      </c>
      <c r="O1" s="7" t="s">
        <v>950</v>
      </c>
      <c r="P1" s="7" t="s">
        <v>1343</v>
      </c>
      <c r="Q1" s="7" t="s">
        <v>1344</v>
      </c>
      <c r="R1" s="7" t="s">
        <v>1345</v>
      </c>
    </row>
    <row r="2" spans="1:29" x14ac:dyDescent="0.35">
      <c r="A2" s="5" t="s">
        <v>7</v>
      </c>
      <c r="B2" s="5">
        <v>536370</v>
      </c>
      <c r="C2" s="5">
        <v>10002</v>
      </c>
      <c r="D2" s="5">
        <v>48</v>
      </c>
      <c r="E2" s="6">
        <v>40513.364583333336</v>
      </c>
      <c r="F2" s="8">
        <v>0.85</v>
      </c>
      <c r="G2" s="5">
        <v>12583</v>
      </c>
      <c r="H2" s="5">
        <f t="shared" ref="H2:H33" si="0">(D2-1)/(48-1)</f>
        <v>1</v>
      </c>
      <c r="I2" s="5">
        <f t="shared" ref="I2:I33" si="1">(D2-$Z$21)/$Z$44</f>
        <v>3.3346100318416125</v>
      </c>
      <c r="J2" s="5" t="str">
        <f t="shared" ref="J2:J33" si="2">IF(D2&gt;$Z$6, "HIGH", "LOW")</f>
        <v>HIGH</v>
      </c>
      <c r="K2" s="8">
        <f t="shared" ref="K2:K33" si="3">(F2-0.75)/(1.66-0.75)</f>
        <v>0.10989010989010987</v>
      </c>
      <c r="L2" s="8">
        <f t="shared" ref="L2:L33" si="4">(F2-$Z$22)/$Z$45</f>
        <v>-0.43118590185092137</v>
      </c>
      <c r="M2" s="5" t="str">
        <f t="shared" ref="M2:M33" si="5">IF(F2&gt;$Z$7, "HIGH", "LOW")</f>
        <v>LOW</v>
      </c>
      <c r="N2" s="5">
        <v>12</v>
      </c>
      <c r="O2" s="5">
        <v>4</v>
      </c>
      <c r="P2" s="5">
        <f t="shared" ref="P2:P33" si="6">AVERAGE(B2:O2)</f>
        <v>49961.435658131093</v>
      </c>
      <c r="Q2" s="5" cm="1">
        <f t="array" aca="1" ref="Q2" ca="1">INDEX($D$2:$D$129, RANDBETWEEN(1,128))</f>
        <v>11</v>
      </c>
      <c r="R2" s="5" cm="1">
        <f t="array" aca="1" ref="R2" ca="1">INDEX($F$2:$F$129, RANDBETWEEN(1,129))</f>
        <v>0.85</v>
      </c>
      <c r="S2" s="5"/>
      <c r="T2" s="5"/>
      <c r="U2" s="5"/>
      <c r="V2" s="5"/>
      <c r="W2" s="5"/>
    </row>
    <row r="3" spans="1:29" x14ac:dyDescent="0.35">
      <c r="A3" s="5" t="s">
        <v>8</v>
      </c>
      <c r="B3" s="5">
        <v>536382</v>
      </c>
      <c r="C3" s="5">
        <v>10002</v>
      </c>
      <c r="D3" s="5">
        <v>12</v>
      </c>
      <c r="E3" s="6">
        <v>40513.40625</v>
      </c>
      <c r="F3" s="8">
        <v>0.85</v>
      </c>
      <c r="G3" s="5">
        <v>16098</v>
      </c>
      <c r="H3" s="5">
        <f t="shared" si="0"/>
        <v>0.23404255319148937</v>
      </c>
      <c r="I3" s="5">
        <f t="shared" si="1"/>
        <v>6.5076026784813848E-2</v>
      </c>
      <c r="J3" s="5" t="str">
        <f t="shared" si="2"/>
        <v>HIGH</v>
      </c>
      <c r="K3" s="8">
        <f t="shared" si="3"/>
        <v>0.10989010989010987</v>
      </c>
      <c r="L3" s="8">
        <f t="shared" si="4"/>
        <v>-0.43118590185092137</v>
      </c>
      <c r="M3" s="5" t="str">
        <f t="shared" si="5"/>
        <v>LOW</v>
      </c>
      <c r="N3" s="5">
        <v>4</v>
      </c>
      <c r="O3" s="5">
        <v>1</v>
      </c>
      <c r="P3" s="5">
        <f t="shared" si="6"/>
        <v>50251.102839399005</v>
      </c>
      <c r="Q3" s="5" cm="1">
        <f t="array" aca="1" ref="Q3" ca="1">INDEX($D$2:$D$129, RANDBETWEEN(1,128))</f>
        <v>12</v>
      </c>
      <c r="R3" s="5" cm="1">
        <f t="array" aca="1" ref="R3" ca="1">INDEX($F$2:$F$129, RANDBETWEEN(1,129))</f>
        <v>0.85</v>
      </c>
      <c r="S3" s="5"/>
      <c r="T3" s="5"/>
      <c r="U3" s="5"/>
      <c r="V3" s="5"/>
      <c r="W3" s="5"/>
    </row>
    <row r="4" spans="1:29" x14ac:dyDescent="0.35">
      <c r="A4" s="5" t="s">
        <v>8</v>
      </c>
      <c r="B4" s="5">
        <v>536446</v>
      </c>
      <c r="C4" s="5">
        <v>10133</v>
      </c>
      <c r="D4" s="5">
        <v>5</v>
      </c>
      <c r="E4" s="6">
        <v>40513.510416666664</v>
      </c>
      <c r="F4" s="8">
        <v>0.85</v>
      </c>
      <c r="G4" s="5">
        <v>15983</v>
      </c>
      <c r="H4" s="5">
        <f t="shared" si="0"/>
        <v>8.5106382978723402E-2</v>
      </c>
      <c r="I4" s="5">
        <f t="shared" si="1"/>
        <v>-0.5706666964206748</v>
      </c>
      <c r="J4" s="5" t="str">
        <f t="shared" si="2"/>
        <v>LOW</v>
      </c>
      <c r="K4" s="8">
        <f t="shared" si="3"/>
        <v>0.10989010989010987</v>
      </c>
      <c r="L4" s="8">
        <f t="shared" si="4"/>
        <v>-0.43118590185092137</v>
      </c>
      <c r="M4" s="5" t="str">
        <f t="shared" si="5"/>
        <v>LOW</v>
      </c>
      <c r="N4" s="5" cm="1">
        <f t="array" aca="1" ref="N4" ca="1">INDEX($N$2:$N$15,RANDBETWEEN(1, ROWS($N$2:$N$15)))</f>
        <v>2</v>
      </c>
      <c r="O4" s="5" cm="1">
        <f t="array" aca="1" ref="O4" ca="1">INDEX($O$2:$O$15,RANDBETWEEN(1, ROWS($O$2:$O$15)))</f>
        <v>3</v>
      </c>
      <c r="P4" s="5">
        <f t="shared" ca="1" si="6"/>
        <v>50257.129463380094</v>
      </c>
      <c r="Q4" s="5" cm="1">
        <f t="array" aca="1" ref="Q4" ca="1">INDEX($D$2:$D$129, RANDBETWEEN(1,128))</f>
        <v>24</v>
      </c>
      <c r="R4" s="5" cm="1">
        <f t="array" aca="1" ref="R4" ca="1">INDEX($F$2:$F$129, RANDBETWEEN(1,129))</f>
        <v>1.63</v>
      </c>
      <c r="S4" s="5"/>
      <c r="T4" s="29" t="s">
        <v>1268</v>
      </c>
      <c r="U4" s="20"/>
      <c r="V4" s="5"/>
      <c r="W4" s="5"/>
      <c r="Y4" s="7"/>
    </row>
    <row r="5" spans="1:29" x14ac:dyDescent="0.35">
      <c r="A5" s="5" t="s">
        <v>8</v>
      </c>
      <c r="B5" s="5">
        <v>536756</v>
      </c>
      <c r="C5" s="5">
        <v>10002</v>
      </c>
      <c r="D5" s="5">
        <v>1</v>
      </c>
      <c r="E5" s="6">
        <v>40514.599305555559</v>
      </c>
      <c r="F5" s="8">
        <v>0.85</v>
      </c>
      <c r="G5" s="5" t="s">
        <v>1331</v>
      </c>
      <c r="H5" s="5">
        <f t="shared" si="0"/>
        <v>0</v>
      </c>
      <c r="I5" s="5">
        <f t="shared" si="1"/>
        <v>-0.93394825253809688</v>
      </c>
      <c r="J5" s="5" t="str">
        <f t="shared" si="2"/>
        <v>LOW</v>
      </c>
      <c r="K5" s="8">
        <f t="shared" si="3"/>
        <v>0.10989010989010987</v>
      </c>
      <c r="L5" s="8">
        <f t="shared" si="4"/>
        <v>-0.43118590185092137</v>
      </c>
      <c r="M5" s="5" t="str">
        <f t="shared" si="5"/>
        <v>LOW</v>
      </c>
      <c r="N5" s="5">
        <v>9</v>
      </c>
      <c r="O5" s="5">
        <v>5</v>
      </c>
      <c r="P5" s="5">
        <f t="shared" si="6"/>
        <v>53389.744914682815</v>
      </c>
      <c r="Q5" s="5" cm="1">
        <f t="array" aca="1" ref="Q5" ca="1">INDEX($D$2:$D$129, RANDBETWEEN(1,128))</f>
        <v>12</v>
      </c>
      <c r="R5" s="5" cm="1">
        <f t="array" aca="1" ref="R5" ca="1">INDEX($F$2:$F$129, RANDBETWEEN(1,129))</f>
        <v>0.85</v>
      </c>
      <c r="S5" s="5"/>
      <c r="T5" s="20" t="s">
        <v>1269</v>
      </c>
      <c r="U5" s="20" t="s">
        <v>2</v>
      </c>
      <c r="V5" s="5"/>
      <c r="W5" s="5"/>
      <c r="X5" s="7"/>
      <c r="Z5" s="7"/>
      <c r="AA5" s="7"/>
      <c r="AB5" s="7"/>
      <c r="AC5" s="7"/>
    </row>
    <row r="6" spans="1:29" x14ac:dyDescent="0.35">
      <c r="A6" s="5" t="s">
        <v>8</v>
      </c>
      <c r="B6" s="5">
        <v>536863</v>
      </c>
      <c r="C6" s="5">
        <v>10002</v>
      </c>
      <c r="D6" s="5">
        <v>1</v>
      </c>
      <c r="E6" s="6">
        <v>40515.47152777778</v>
      </c>
      <c r="F6" s="8">
        <v>0.85</v>
      </c>
      <c r="G6" s="5">
        <v>17967</v>
      </c>
      <c r="H6" s="5">
        <f t="shared" si="0"/>
        <v>0</v>
      </c>
      <c r="I6" s="5">
        <f t="shared" si="1"/>
        <v>-0.93394825253809688</v>
      </c>
      <c r="J6" s="5" t="str">
        <f t="shared" si="2"/>
        <v>LOW</v>
      </c>
      <c r="K6" s="8">
        <f t="shared" si="3"/>
        <v>0.10989010989010987</v>
      </c>
      <c r="L6" s="8">
        <f t="shared" si="4"/>
        <v>-0.43118590185092137</v>
      </c>
      <c r="M6" s="5" t="str">
        <f t="shared" si="5"/>
        <v>LOW</v>
      </c>
      <c r="N6" s="5">
        <v>9</v>
      </c>
      <c r="O6" s="5">
        <v>1</v>
      </c>
      <c r="P6" s="5">
        <f t="shared" si="6"/>
        <v>50446.505523644424</v>
      </c>
      <c r="Q6" s="5" cm="1">
        <f t="array" aca="1" ref="Q6" ca="1">INDEX($D$2:$D$129, RANDBETWEEN(1,128))</f>
        <v>1</v>
      </c>
      <c r="R6" s="5" cm="1">
        <f t="array" aca="1" ref="R6" ca="1">INDEX($F$2:$F$129, RANDBETWEEN(1,129))</f>
        <v>1.63</v>
      </c>
      <c r="S6" s="5"/>
      <c r="T6" s="20" t="s">
        <v>1270</v>
      </c>
      <c r="U6" s="20">
        <f>COUNT(D:D)</f>
        <v>127</v>
      </c>
      <c r="V6" s="5"/>
      <c r="W6" s="5"/>
      <c r="Y6" s="20" t="s">
        <v>26</v>
      </c>
      <c r="Z6" s="20">
        <f>AVERAGE(D:D)</f>
        <v>11.283464566929133</v>
      </c>
    </row>
    <row r="7" spans="1:29" x14ac:dyDescent="0.35">
      <c r="A7" s="5" t="s">
        <v>8</v>
      </c>
      <c r="B7" s="5">
        <v>536865</v>
      </c>
      <c r="C7" s="5">
        <v>10002</v>
      </c>
      <c r="D7" s="11">
        <v>11</v>
      </c>
      <c r="E7" s="6">
        <v>40515.477777777778</v>
      </c>
      <c r="F7" s="8">
        <v>1.66</v>
      </c>
      <c r="G7" s="5" t="s">
        <v>1331</v>
      </c>
      <c r="H7" s="5">
        <f t="shared" si="0"/>
        <v>0.21276595744680851</v>
      </c>
      <c r="I7" s="5">
        <f t="shared" si="1"/>
        <v>-2.5744362244541675E-2</v>
      </c>
      <c r="J7" s="5" t="str">
        <f t="shared" si="2"/>
        <v>LOW</v>
      </c>
      <c r="K7" s="8">
        <f t="shared" si="3"/>
        <v>1</v>
      </c>
      <c r="L7" s="8">
        <f t="shared" si="4"/>
        <v>2.0262154124651373</v>
      </c>
      <c r="M7" s="5" t="str">
        <f t="shared" si="5"/>
        <v>HIGH</v>
      </c>
      <c r="N7" s="5">
        <v>11</v>
      </c>
      <c r="O7" s="5">
        <v>4</v>
      </c>
      <c r="P7" s="5">
        <f t="shared" si="6"/>
        <v>53401.213728616858</v>
      </c>
      <c r="Q7" s="5" cm="1">
        <f t="array" aca="1" ref="Q7" ca="1">INDEX($D$2:$D$129, RANDBETWEEN(1,128))</f>
        <v>1</v>
      </c>
      <c r="R7" s="5" cm="1">
        <f t="array" aca="1" ref="R7" ca="1">INDEX($F$2:$F$129, RANDBETWEEN(1,129))</f>
        <v>0.75</v>
      </c>
      <c r="S7" s="5"/>
      <c r="T7" s="20" t="s">
        <v>1271</v>
      </c>
      <c r="U7" s="20">
        <f>AVERAGE(D:D)</f>
        <v>11.283464566929133</v>
      </c>
      <c r="V7" s="5"/>
      <c r="W7" s="5"/>
      <c r="Y7" s="20" t="s">
        <v>27</v>
      </c>
      <c r="Z7" s="21">
        <f>AVERAGE(F:F)</f>
        <v>0.99212598425196663</v>
      </c>
    </row>
    <row r="8" spans="1:29" x14ac:dyDescent="0.35">
      <c r="A8" s="5" t="s">
        <v>8</v>
      </c>
      <c r="B8" s="5">
        <v>536876</v>
      </c>
      <c r="C8" s="5">
        <v>10002</v>
      </c>
      <c r="D8" s="5">
        <v>2</v>
      </c>
      <c r="E8" s="6">
        <v>40515.48333333333</v>
      </c>
      <c r="F8" s="8">
        <v>1.66</v>
      </c>
      <c r="G8" s="5" t="s">
        <v>1331</v>
      </c>
      <c r="H8" s="5">
        <f t="shared" si="0"/>
        <v>2.1276595744680851E-2</v>
      </c>
      <c r="I8" s="5">
        <f t="shared" si="1"/>
        <v>-0.84312786350874136</v>
      </c>
      <c r="J8" s="5" t="str">
        <f t="shared" si="2"/>
        <v>LOW</v>
      </c>
      <c r="K8" s="8">
        <f t="shared" si="3"/>
        <v>1</v>
      </c>
      <c r="L8" s="8">
        <f t="shared" si="4"/>
        <v>2.0262154124651373</v>
      </c>
      <c r="M8" s="5" t="str">
        <f t="shared" si="5"/>
        <v>HIGH</v>
      </c>
      <c r="N8" s="5">
        <v>8</v>
      </c>
      <c r="O8" s="5">
        <v>3</v>
      </c>
      <c r="P8" s="5">
        <f t="shared" si="6"/>
        <v>53400.940699770726</v>
      </c>
      <c r="Q8" s="5" cm="1">
        <f t="array" aca="1" ref="Q8" ca="1">INDEX($D$2:$D$129, RANDBETWEEN(1,128))</f>
        <v>6</v>
      </c>
      <c r="R8" s="5" cm="1">
        <f t="array" aca="1" ref="R8" ca="1">INDEX($F$2:$F$129, RANDBETWEEN(1,129))</f>
        <v>0.81</v>
      </c>
      <c r="S8" s="5"/>
      <c r="T8" s="20" t="s">
        <v>1272</v>
      </c>
      <c r="U8" s="20">
        <f>_xlfn.STDEV.S(D:D)</f>
        <v>11.010743410015277</v>
      </c>
      <c r="V8" s="5"/>
      <c r="W8" s="5"/>
      <c r="Y8" s="20"/>
      <c r="Z8" s="20"/>
    </row>
    <row r="9" spans="1:29" x14ac:dyDescent="0.35">
      <c r="A9" s="5" t="s">
        <v>8</v>
      </c>
      <c r="B9" s="5">
        <v>536876</v>
      </c>
      <c r="C9" s="5">
        <v>10133</v>
      </c>
      <c r="D9" s="5">
        <v>1</v>
      </c>
      <c r="E9" s="6">
        <v>40515.48333333333</v>
      </c>
      <c r="F9" s="8">
        <v>1.66</v>
      </c>
      <c r="G9" s="5" t="s">
        <v>1331</v>
      </c>
      <c r="H9" s="5">
        <f t="shared" si="0"/>
        <v>0</v>
      </c>
      <c r="I9" s="5">
        <f t="shared" si="1"/>
        <v>-0.93394825253809688</v>
      </c>
      <c r="J9" s="5" t="str">
        <f t="shared" si="2"/>
        <v>LOW</v>
      </c>
      <c r="K9" s="8">
        <f t="shared" si="3"/>
        <v>1</v>
      </c>
      <c r="L9" s="8">
        <f t="shared" si="4"/>
        <v>2.0262154124651373</v>
      </c>
      <c r="M9" s="5" t="str">
        <f t="shared" si="5"/>
        <v>HIGH</v>
      </c>
      <c r="N9" s="5" cm="1">
        <f t="array" aca="1" ref="N9" ca="1">INDEX($N$2:$N$15,RANDBETWEEN(1, ROWS($N$2:$N$15)))</f>
        <v>9</v>
      </c>
      <c r="O9" s="5" cm="1">
        <f t="array" aca="1" ref="O9" ca="1">INDEX($O$2:$O$15,RANDBETWEEN(1, ROWS($O$2:$O$15)))</f>
        <v>7</v>
      </c>
      <c r="P9" s="5">
        <f t="shared" ca="1" si="6"/>
        <v>53413.203236408466</v>
      </c>
      <c r="Q9" s="5" cm="1">
        <f t="array" aca="1" ref="Q9" ca="1">INDEX($D$2:$D$129, RANDBETWEEN(1,128))</f>
        <v>12</v>
      </c>
      <c r="R9" s="5" cm="1">
        <f t="array" aca="1" ref="R9" ca="1">INDEX($F$2:$F$129, RANDBETWEEN(1,129))</f>
        <v>0.85</v>
      </c>
      <c r="S9" s="5"/>
      <c r="T9" s="20" t="s">
        <v>1273</v>
      </c>
      <c r="U9" s="20">
        <v>0.95</v>
      </c>
      <c r="V9" s="5"/>
      <c r="W9" s="5"/>
      <c r="Y9" s="20"/>
      <c r="Z9" s="20"/>
    </row>
    <row r="10" spans="1:29" x14ac:dyDescent="0.35">
      <c r="A10" s="5" t="s">
        <v>8</v>
      </c>
      <c r="B10" s="5">
        <v>537225</v>
      </c>
      <c r="C10" s="5">
        <v>10133</v>
      </c>
      <c r="D10" s="5">
        <v>10</v>
      </c>
      <c r="E10" s="10">
        <v>40517</v>
      </c>
      <c r="F10" s="8">
        <v>0.85</v>
      </c>
      <c r="G10" s="5">
        <v>12748</v>
      </c>
      <c r="H10" s="5">
        <f t="shared" si="0"/>
        <v>0.19148936170212766</v>
      </c>
      <c r="I10" s="5">
        <f t="shared" si="1"/>
        <v>-0.11656475127389719</v>
      </c>
      <c r="J10" s="5" t="str">
        <f t="shared" si="2"/>
        <v>LOW</v>
      </c>
      <c r="K10" s="8">
        <f t="shared" si="3"/>
        <v>0.10989010989010987</v>
      </c>
      <c r="L10" s="8">
        <f t="shared" si="4"/>
        <v>-0.43118590185092137</v>
      </c>
      <c r="M10" s="5" t="str">
        <f t="shared" si="5"/>
        <v>LOW</v>
      </c>
      <c r="N10" s="5" cm="1">
        <f t="array" aca="1" ref="N10" ca="1">INDEX($N$2:$N$15,RANDBETWEEN(1, ROWS($N$2:$N$15)))</f>
        <v>2</v>
      </c>
      <c r="O10" s="5" cm="1">
        <f t="array" aca="1" ref="O10" ca="1">INDEX($O$2:$O$15,RANDBETWEEN(1, ROWS($O$2:$O$15)))</f>
        <v>7</v>
      </c>
      <c r="P10" s="5">
        <f t="shared" ca="1" si="6"/>
        <v>50053.550302401534</v>
      </c>
      <c r="Q10" s="5" cm="1">
        <f t="array" aca="1" ref="Q10" ca="1">INDEX($D$2:$D$129, RANDBETWEEN(1,128))</f>
        <v>1</v>
      </c>
      <c r="R10" s="5" cm="1">
        <f t="array" aca="1" ref="R10" ca="1">INDEX($F$2:$F$129, RANDBETWEEN(1,129))</f>
        <v>1.63</v>
      </c>
      <c r="S10" s="5"/>
      <c r="T10" s="20" t="s">
        <v>1274</v>
      </c>
      <c r="U10" s="20">
        <f>1-0.95</f>
        <v>5.0000000000000044E-2</v>
      </c>
      <c r="V10" s="5"/>
      <c r="W10" s="5"/>
      <c r="Y10" s="20" t="s">
        <v>28</v>
      </c>
      <c r="Z10" s="20">
        <f>MAX(D:D)</f>
        <v>48</v>
      </c>
    </row>
    <row r="11" spans="1:29" x14ac:dyDescent="0.35">
      <c r="A11" s="5" t="s">
        <v>8</v>
      </c>
      <c r="B11" s="5">
        <v>537047</v>
      </c>
      <c r="C11" s="5">
        <v>10002</v>
      </c>
      <c r="D11" s="5">
        <v>1</v>
      </c>
      <c r="E11" s="6">
        <v>40517.459722222222</v>
      </c>
      <c r="F11" s="8">
        <v>0.85</v>
      </c>
      <c r="G11" s="5">
        <v>13069</v>
      </c>
      <c r="H11" s="5">
        <f t="shared" si="0"/>
        <v>0</v>
      </c>
      <c r="I11" s="5">
        <f t="shared" si="1"/>
        <v>-0.93394825253809688</v>
      </c>
      <c r="J11" s="5" t="str">
        <f t="shared" si="2"/>
        <v>LOW</v>
      </c>
      <c r="K11" s="8">
        <f t="shared" si="3"/>
        <v>0.10989010989010987</v>
      </c>
      <c r="L11" s="8">
        <f t="shared" si="4"/>
        <v>-0.43118590185092137</v>
      </c>
      <c r="M11" s="5" t="str">
        <f t="shared" si="5"/>
        <v>LOW</v>
      </c>
      <c r="N11" s="5">
        <v>4</v>
      </c>
      <c r="O11" s="5">
        <v>5</v>
      </c>
      <c r="P11" s="5">
        <f t="shared" si="6"/>
        <v>50053.754539848131</v>
      </c>
      <c r="Q11" s="5" cm="1">
        <f t="array" aca="1" ref="Q11" ca="1">INDEX($D$2:$D$129, RANDBETWEEN(1,128))</f>
        <v>3</v>
      </c>
      <c r="R11" s="5" cm="1">
        <f t="array" aca="1" ref="R11" ca="1">INDEX($F$2:$F$129, RANDBETWEEN(1,129))</f>
        <v>0.81</v>
      </c>
      <c r="S11" s="5"/>
      <c r="T11" s="20" t="s">
        <v>1275</v>
      </c>
      <c r="U11" s="20">
        <f>_xlfn.CONFIDENCE.NORM(0.05,$U$8,129)</f>
        <v>1.900071211978728</v>
      </c>
      <c r="V11" s="5"/>
      <c r="W11" s="5"/>
      <c r="Y11" s="20" t="s">
        <v>29</v>
      </c>
      <c r="Z11" s="20">
        <f>MIN(D:D)</f>
        <v>1</v>
      </c>
    </row>
    <row r="12" spans="1:29" x14ac:dyDescent="0.35">
      <c r="A12" s="5" t="s">
        <v>8</v>
      </c>
      <c r="B12" s="5">
        <v>537126</v>
      </c>
      <c r="C12" s="5">
        <v>10133</v>
      </c>
      <c r="D12" s="5">
        <v>1</v>
      </c>
      <c r="E12" s="6">
        <v>40517.509027777778</v>
      </c>
      <c r="F12" s="8">
        <v>0.85</v>
      </c>
      <c r="G12" s="5">
        <v>18118</v>
      </c>
      <c r="H12" s="5">
        <f t="shared" si="0"/>
        <v>0</v>
      </c>
      <c r="I12" s="5">
        <f t="shared" si="1"/>
        <v>-0.93394825253809688</v>
      </c>
      <c r="J12" s="5" t="str">
        <f t="shared" si="2"/>
        <v>LOW</v>
      </c>
      <c r="K12" s="8">
        <f t="shared" si="3"/>
        <v>0.10989010989010987</v>
      </c>
      <c r="L12" s="8">
        <f t="shared" si="4"/>
        <v>-0.43118590185092137</v>
      </c>
      <c r="M12" s="5" t="str">
        <f t="shared" si="5"/>
        <v>LOW</v>
      </c>
      <c r="N12" s="5" cm="1">
        <f t="array" aca="1" ref="N12" ca="1">INDEX($N$2:$N$15,RANDBETWEEN(1, ROWS($N$2:$N$15)))</f>
        <v>12</v>
      </c>
      <c r="O12" s="5" cm="1">
        <f t="array" aca="1" ref="O12" ca="1">INDEX($O$2:$O$15,RANDBETWEEN(1, ROWS($O$2:$O$15)))</f>
        <v>7</v>
      </c>
      <c r="P12" s="5">
        <f t="shared" ca="1" si="6"/>
        <v>50492.84198197777</v>
      </c>
      <c r="Q12" s="5" cm="1">
        <f t="array" aca="1" ref="Q12" ca="1">INDEX($D$2:$D$129, RANDBETWEEN(1,128))</f>
        <v>12</v>
      </c>
      <c r="R12" s="5" cm="1">
        <f t="array" aca="1" ref="R12" ca="1">INDEX($F$2:$F$129, RANDBETWEEN(1,129))</f>
        <v>0.83</v>
      </c>
      <c r="S12" s="5"/>
      <c r="T12" s="20" t="s">
        <v>1276</v>
      </c>
      <c r="U12" s="20">
        <f>U7-U11</f>
        <v>9.3833933549504049</v>
      </c>
      <c r="V12" s="5"/>
      <c r="W12" s="5"/>
      <c r="Y12" s="20"/>
      <c r="Z12" s="20"/>
    </row>
    <row r="13" spans="1:29" x14ac:dyDescent="0.35">
      <c r="A13" s="5" t="s">
        <v>8</v>
      </c>
      <c r="B13" s="5">
        <v>537155</v>
      </c>
      <c r="C13" s="5">
        <v>10133</v>
      </c>
      <c r="D13" s="5">
        <v>3</v>
      </c>
      <c r="E13" s="6">
        <v>40517.545138888891</v>
      </c>
      <c r="F13" s="8">
        <v>0.85</v>
      </c>
      <c r="G13" s="5">
        <v>12748</v>
      </c>
      <c r="H13" s="5">
        <f t="shared" si="0"/>
        <v>4.2553191489361701E-2</v>
      </c>
      <c r="I13" s="5">
        <f t="shared" si="1"/>
        <v>-0.75230747447938584</v>
      </c>
      <c r="J13" s="5" t="str">
        <f t="shared" si="2"/>
        <v>LOW</v>
      </c>
      <c r="K13" s="8">
        <f t="shared" si="3"/>
        <v>0.10989010989010987</v>
      </c>
      <c r="L13" s="8">
        <f t="shared" si="4"/>
        <v>-0.43118590185092137</v>
      </c>
      <c r="M13" s="5" t="str">
        <f t="shared" si="5"/>
        <v>LOW</v>
      </c>
      <c r="N13" s="5" cm="1">
        <f t="array" aca="1" ref="N13" ca="1">INDEX($N$2:$N$15,RANDBETWEEN(1, ROWS($N$2:$N$15)))</f>
        <v>8</v>
      </c>
      <c r="O13" s="5" cm="1">
        <f t="array" aca="1" ref="O13" ca="1">INDEX($O$2:$O$15,RANDBETWEEN(1, ROWS($O$2:$O$15)))</f>
        <v>5</v>
      </c>
      <c r="P13" s="5">
        <f t="shared" ca="1" si="6"/>
        <v>50047.447007401155</v>
      </c>
      <c r="Q13" s="5" cm="1">
        <f t="array" aca="1" ref="Q13" ca="1">INDEX($D$2:$D$129, RANDBETWEEN(1,128))</f>
        <v>1</v>
      </c>
      <c r="R13" s="5" cm="1">
        <f t="array" aca="1" ref="R13" ca="1">INDEX($F$2:$F$129, RANDBETWEEN(1,129))</f>
        <v>0.99</v>
      </c>
      <c r="S13" s="5"/>
      <c r="T13" s="20" t="s">
        <v>1277</v>
      </c>
      <c r="U13" s="20">
        <f>U7+U11</f>
        <v>13.183535778907862</v>
      </c>
      <c r="V13" s="5"/>
      <c r="W13" s="5"/>
      <c r="Y13" s="20" t="s">
        <v>30</v>
      </c>
      <c r="Z13" s="20">
        <f>_xlfn.STDEV.S(D:D)</f>
        <v>11.010743410015277</v>
      </c>
    </row>
    <row r="14" spans="1:29" x14ac:dyDescent="0.35">
      <c r="A14" s="5" t="s">
        <v>8</v>
      </c>
      <c r="B14" s="5">
        <v>537227</v>
      </c>
      <c r="C14" s="5">
        <v>10002</v>
      </c>
      <c r="D14" s="5">
        <v>24</v>
      </c>
      <c r="E14" s="6">
        <v>40518.362500000003</v>
      </c>
      <c r="F14" s="8">
        <v>0.85</v>
      </c>
      <c r="G14" s="5">
        <v>17677</v>
      </c>
      <c r="H14" s="5">
        <f t="shared" si="0"/>
        <v>0.48936170212765956</v>
      </c>
      <c r="I14" s="5">
        <f t="shared" si="1"/>
        <v>1.1549206951370801</v>
      </c>
      <c r="J14" s="5" t="str">
        <f t="shared" si="2"/>
        <v>HIGH</v>
      </c>
      <c r="K14" s="8">
        <f t="shared" si="3"/>
        <v>0.10989010989010987</v>
      </c>
      <c r="L14" s="8">
        <f t="shared" si="4"/>
        <v>-0.43118590185092137</v>
      </c>
      <c r="M14" s="5" t="str">
        <f t="shared" si="5"/>
        <v>LOW</v>
      </c>
      <c r="N14" s="5">
        <v>2</v>
      </c>
      <c r="O14" s="5">
        <v>5</v>
      </c>
      <c r="P14" s="5">
        <f t="shared" si="6"/>
        <v>50454.794623883769</v>
      </c>
      <c r="Q14" s="5" cm="1">
        <f t="array" aca="1" ref="Q14" ca="1">INDEX($D$2:$D$129, RANDBETWEEN(1,128))</f>
        <v>5</v>
      </c>
      <c r="R14" s="5" cm="1">
        <f t="array" aca="1" ref="R14" ca="1">INDEX($F$2:$F$129, RANDBETWEEN(1,129))</f>
        <v>0.81</v>
      </c>
      <c r="S14" s="5"/>
      <c r="T14" s="5"/>
      <c r="U14" s="5"/>
      <c r="V14" s="5"/>
      <c r="W14" s="5"/>
      <c r="Y14" s="20" t="s">
        <v>31</v>
      </c>
      <c r="Z14" s="20">
        <f>_xlfn.STDEV.S(F:F)</f>
        <v>0.32961649173099689</v>
      </c>
    </row>
    <row r="15" spans="1:29" x14ac:dyDescent="0.35">
      <c r="A15" s="5" t="s">
        <v>8</v>
      </c>
      <c r="B15" s="5">
        <v>537240</v>
      </c>
      <c r="C15" s="5">
        <v>10002</v>
      </c>
      <c r="D15" s="5">
        <v>1</v>
      </c>
      <c r="E15" s="6">
        <v>40518.422222222223</v>
      </c>
      <c r="F15" s="8">
        <v>1.66</v>
      </c>
      <c r="G15" s="5" t="s">
        <v>1331</v>
      </c>
      <c r="H15" s="5">
        <f t="shared" si="0"/>
        <v>0</v>
      </c>
      <c r="I15" s="5">
        <f t="shared" si="1"/>
        <v>-0.93394825253809688</v>
      </c>
      <c r="J15" s="5" t="str">
        <f t="shared" si="2"/>
        <v>LOW</v>
      </c>
      <c r="K15" s="8">
        <f t="shared" si="3"/>
        <v>1</v>
      </c>
      <c r="L15" s="8">
        <f t="shared" si="4"/>
        <v>2.0262154124651373</v>
      </c>
      <c r="M15" s="5" t="str">
        <f t="shared" si="5"/>
        <v>HIGH</v>
      </c>
      <c r="N15" s="5">
        <v>12</v>
      </c>
      <c r="O15" s="5">
        <v>7</v>
      </c>
      <c r="P15" s="5">
        <f t="shared" si="6"/>
        <v>53434.924953580186</v>
      </c>
      <c r="Q15" s="5" cm="1">
        <f t="array" aca="1" ref="Q15" ca="1">INDEX($D$2:$D$129, RANDBETWEEN(1,128))</f>
        <v>2</v>
      </c>
      <c r="R15" s="5" t="e" cm="1">
        <f t="array" aca="1" ref="R15" ca="1">INDEX($F$2:$F$129, RANDBETWEEN(1,129))</f>
        <v>#REF!</v>
      </c>
      <c r="S15" s="5"/>
      <c r="T15" s="5"/>
      <c r="U15" s="5"/>
      <c r="V15" s="5"/>
      <c r="W15" s="5"/>
    </row>
    <row r="16" spans="1:29" x14ac:dyDescent="0.35">
      <c r="A16" s="5" t="s">
        <v>8</v>
      </c>
      <c r="B16" s="5">
        <v>537374</v>
      </c>
      <c r="C16" s="5">
        <v>10133</v>
      </c>
      <c r="D16" s="5">
        <v>2</v>
      </c>
      <c r="E16" s="6">
        <v>40518.538194444445</v>
      </c>
      <c r="F16" s="8">
        <v>0.85</v>
      </c>
      <c r="G16" s="5">
        <v>17259</v>
      </c>
      <c r="H16" s="5">
        <f t="shared" si="0"/>
        <v>2.1276595744680851E-2</v>
      </c>
      <c r="I16" s="5">
        <f t="shared" si="1"/>
        <v>-0.84312786350874136</v>
      </c>
      <c r="J16" s="5" t="str">
        <f t="shared" si="2"/>
        <v>LOW</v>
      </c>
      <c r="K16" s="8">
        <f t="shared" si="3"/>
        <v>0.10989010989010987</v>
      </c>
      <c r="L16" s="8">
        <f t="shared" si="4"/>
        <v>-0.43118590185092137</v>
      </c>
      <c r="M16" s="5" t="str">
        <f t="shared" si="5"/>
        <v>LOW</v>
      </c>
      <c r="N16" s="5" cm="1">
        <f t="array" aca="1" ref="N16" ca="1">INDEX($N$2:$N$15,RANDBETWEEN(1, ROWS($N$2:$N$15)))</f>
        <v>9</v>
      </c>
      <c r="O16" s="5" cm="1">
        <f t="array" aca="1" ref="O16" ca="1">INDEX($O$2:$O$15,RANDBETWEEN(1, ROWS($O$2:$O$15)))</f>
        <v>3</v>
      </c>
      <c r="P16" s="5">
        <f t="shared" ca="1" si="6"/>
        <v>50441.520420615394</v>
      </c>
      <c r="Q16" s="5" cm="1">
        <f t="array" aca="1" ref="Q16" ca="1">INDEX($D$2:$D$129, RANDBETWEEN(1,128))</f>
        <v>5</v>
      </c>
      <c r="R16" s="5" cm="1">
        <f t="array" aca="1" ref="R16" ca="1">INDEX($F$2:$F$129, RANDBETWEEN(1,129))</f>
        <v>0.85</v>
      </c>
      <c r="S16" s="5"/>
      <c r="T16" s="5"/>
      <c r="U16" s="5"/>
      <c r="V16" s="5"/>
      <c r="W16" s="5"/>
    </row>
    <row r="17" spans="1:26" x14ac:dyDescent="0.35">
      <c r="A17" s="5" t="s">
        <v>8</v>
      </c>
      <c r="B17" s="5">
        <v>537638</v>
      </c>
      <c r="C17" s="5">
        <v>10002</v>
      </c>
      <c r="D17" s="5">
        <v>5</v>
      </c>
      <c r="E17" s="6">
        <v>40519.644444444442</v>
      </c>
      <c r="F17" s="8">
        <v>1.66</v>
      </c>
      <c r="G17" s="5" t="s">
        <v>1331</v>
      </c>
      <c r="H17" s="5">
        <f t="shared" si="0"/>
        <v>8.5106382978723402E-2</v>
      </c>
      <c r="I17" s="5">
        <f t="shared" si="1"/>
        <v>-0.5706666964206748</v>
      </c>
      <c r="J17" s="5" t="str">
        <f t="shared" si="2"/>
        <v>LOW</v>
      </c>
      <c r="K17" s="8">
        <f t="shared" si="3"/>
        <v>1</v>
      </c>
      <c r="L17" s="8">
        <f t="shared" si="4"/>
        <v>2.0262154124651373</v>
      </c>
      <c r="M17" s="5" t="str">
        <f t="shared" si="5"/>
        <v>HIGH</v>
      </c>
      <c r="N17" s="5">
        <v>3</v>
      </c>
      <c r="O17" s="5">
        <v>5</v>
      </c>
      <c r="P17" s="5">
        <f t="shared" si="6"/>
        <v>53470.622281776676</v>
      </c>
      <c r="Q17" s="5" cm="1">
        <f t="array" aca="1" ref="Q17" ca="1">INDEX($D$2:$D$129, RANDBETWEEN(1,128))</f>
        <v>12</v>
      </c>
      <c r="R17" s="5" cm="1">
        <f t="array" aca="1" ref="R17" ca="1">INDEX($F$2:$F$129, RANDBETWEEN(1,129))</f>
        <v>1.63</v>
      </c>
      <c r="S17" s="5"/>
      <c r="T17" s="29" t="s">
        <v>1361</v>
      </c>
      <c r="U17" s="20"/>
      <c r="V17" s="5"/>
      <c r="W17" s="5"/>
    </row>
    <row r="18" spans="1:26" x14ac:dyDescent="0.35">
      <c r="A18" s="5" t="s">
        <v>8</v>
      </c>
      <c r="B18" s="5">
        <v>538064</v>
      </c>
      <c r="C18" s="5">
        <v>10133</v>
      </c>
      <c r="D18" s="5">
        <v>2</v>
      </c>
      <c r="E18" s="6">
        <v>40521.574305555558</v>
      </c>
      <c r="F18" s="8">
        <v>0.85</v>
      </c>
      <c r="G18" s="5">
        <v>15271</v>
      </c>
      <c r="H18" s="5">
        <f t="shared" si="0"/>
        <v>2.1276595744680851E-2</v>
      </c>
      <c r="I18" s="5">
        <f t="shared" si="1"/>
        <v>-0.84312786350874136</v>
      </c>
      <c r="J18" s="5" t="str">
        <f t="shared" si="2"/>
        <v>LOW</v>
      </c>
      <c r="K18" s="8">
        <f t="shared" si="3"/>
        <v>0.10989010989010987</v>
      </c>
      <c r="L18" s="8">
        <f t="shared" si="4"/>
        <v>-0.43118590185092137</v>
      </c>
      <c r="M18" s="5" t="str">
        <f t="shared" si="5"/>
        <v>LOW</v>
      </c>
      <c r="N18" s="5" cm="1">
        <f t="array" aca="1" ref="N18" ca="1">INDEX($N$2:$N$15,RANDBETWEEN(1, ROWS($N$2:$N$15)))</f>
        <v>4</v>
      </c>
      <c r="O18" s="5" cm="1">
        <f t="array" aca="1" ref="O18" ca="1">INDEX($O$2:$O$15,RANDBETWEEN(1, ROWS($O$2:$O$15)))</f>
        <v>1</v>
      </c>
      <c r="P18" s="5">
        <f t="shared" ca="1" si="6"/>
        <v>50333.023429874651</v>
      </c>
      <c r="Q18" s="5" cm="1">
        <f t="array" aca="1" ref="Q18" ca="1">INDEX($D$2:$D$129, RANDBETWEEN(1,128))</f>
        <v>24</v>
      </c>
      <c r="R18" s="5" cm="1">
        <f t="array" aca="1" ref="R18" ca="1">INDEX($F$2:$F$129, RANDBETWEEN(1,129))</f>
        <v>1.66</v>
      </c>
      <c r="S18" s="5"/>
      <c r="T18" s="20" t="s">
        <v>1269</v>
      </c>
      <c r="U18" s="20" t="s">
        <v>4</v>
      </c>
      <c r="V18" s="5"/>
      <c r="W18" s="5"/>
    </row>
    <row r="19" spans="1:26" x14ac:dyDescent="0.35">
      <c r="A19" s="5" t="s">
        <v>8</v>
      </c>
      <c r="B19" s="5">
        <v>538070</v>
      </c>
      <c r="C19" s="5">
        <v>10133</v>
      </c>
      <c r="D19" s="5">
        <v>10</v>
      </c>
      <c r="E19" s="6">
        <v>40521.588888888888</v>
      </c>
      <c r="F19" s="8">
        <v>0.85</v>
      </c>
      <c r="G19" s="5">
        <v>16519</v>
      </c>
      <c r="H19" s="5">
        <f t="shared" si="0"/>
        <v>0.19148936170212766</v>
      </c>
      <c r="I19" s="5">
        <f t="shared" si="1"/>
        <v>-0.11656475127389719</v>
      </c>
      <c r="J19" s="5" t="str">
        <f t="shared" si="2"/>
        <v>LOW</v>
      </c>
      <c r="K19" s="8">
        <f t="shared" si="3"/>
        <v>0.10989010989010987</v>
      </c>
      <c r="L19" s="8">
        <f t="shared" si="4"/>
        <v>-0.43118590185092137</v>
      </c>
      <c r="M19" s="5" t="str">
        <f t="shared" si="5"/>
        <v>LOW</v>
      </c>
      <c r="N19" s="5" cm="1">
        <f t="array" aca="1" ref="N19" ca="1">INDEX($N$2:$N$15,RANDBETWEEN(1, ROWS($N$2:$N$15)))</f>
        <v>9</v>
      </c>
      <c r="O19" s="5" cm="1">
        <f t="array" aca="1" ref="O19" ca="1">INDEX($O$2:$O$15,RANDBETWEEN(1, ROWS($O$2:$O$15)))</f>
        <v>4</v>
      </c>
      <c r="P19" s="5">
        <f t="shared" ca="1" si="6"/>
        <v>50438.932709808949</v>
      </c>
      <c r="Q19" s="5" cm="1">
        <f t="array" aca="1" ref="Q19" ca="1">INDEX($D$2:$D$129, RANDBETWEEN(1,128))</f>
        <v>12</v>
      </c>
      <c r="R19" s="5" cm="1">
        <f t="array" aca="1" ref="R19" ca="1">INDEX($F$2:$F$129, RANDBETWEEN(1,129))</f>
        <v>0.85</v>
      </c>
      <c r="S19" s="5"/>
      <c r="T19" s="20" t="s">
        <v>1270</v>
      </c>
      <c r="U19" s="20">
        <f>COUNT(F:F)</f>
        <v>127</v>
      </c>
      <c r="V19" s="5"/>
      <c r="W19" s="5"/>
    </row>
    <row r="20" spans="1:26" x14ac:dyDescent="0.35">
      <c r="A20" s="5" t="s">
        <v>1331</v>
      </c>
      <c r="B20" s="5">
        <v>539222</v>
      </c>
      <c r="C20" s="5">
        <v>10133</v>
      </c>
      <c r="D20" s="5">
        <v>10</v>
      </c>
      <c r="E20" s="6">
        <v>40528.541666666664</v>
      </c>
      <c r="F20" s="8">
        <v>0.85</v>
      </c>
      <c r="G20" s="5">
        <v>14621</v>
      </c>
      <c r="H20" s="5">
        <f t="shared" si="0"/>
        <v>0.19148936170212766</v>
      </c>
      <c r="I20" s="5">
        <f t="shared" si="1"/>
        <v>-0.11656475127389719</v>
      </c>
      <c r="J20" s="5" t="str">
        <f t="shared" si="2"/>
        <v>LOW</v>
      </c>
      <c r="K20" s="8">
        <f t="shared" si="3"/>
        <v>0.10989010989010987</v>
      </c>
      <c r="L20" s="8">
        <f t="shared" si="4"/>
        <v>-0.43118590185092137</v>
      </c>
      <c r="M20" s="5" t="str">
        <f t="shared" si="5"/>
        <v>LOW</v>
      </c>
      <c r="N20" s="5" cm="1">
        <f t="array" aca="1" ref="N20" ca="1">INDEX($N$2:$N$15,RANDBETWEEN(1, ROWS($N$2:$N$15)))</f>
        <v>8</v>
      </c>
      <c r="O20" s="5" cm="1">
        <f t="array" aca="1" ref="O20" ca="1">INDEX($O$2:$O$15,RANDBETWEEN(1, ROWS($O$2:$O$15)))</f>
        <v>5</v>
      </c>
      <c r="P20" s="5">
        <f t="shared" ca="1" si="6"/>
        <v>50377.345441290418</v>
      </c>
      <c r="Q20" s="5" cm="1">
        <f t="array" aca="1" ref="Q20" ca="1">INDEX($D$2:$D$129, RANDBETWEEN(1,128))</f>
        <v>24</v>
      </c>
      <c r="R20" s="5" cm="1">
        <f t="array" aca="1" ref="R20" ca="1">INDEX($F$2:$F$129, RANDBETWEEN(1,129))</f>
        <v>1.63</v>
      </c>
      <c r="S20" s="5"/>
      <c r="T20" s="20" t="s">
        <v>1271</v>
      </c>
      <c r="U20" s="21">
        <f>AVERAGE(F:F)</f>
        <v>0.99212598425196663</v>
      </c>
      <c r="V20" s="5"/>
      <c r="W20" s="5"/>
    </row>
    <row r="21" spans="1:26" x14ac:dyDescent="0.35">
      <c r="A21" s="5" t="s">
        <v>8</v>
      </c>
      <c r="B21" s="5">
        <v>539477</v>
      </c>
      <c r="C21" s="5">
        <v>10133</v>
      </c>
      <c r="D21" s="5">
        <v>10</v>
      </c>
      <c r="E21" s="6">
        <v>40531.623611111114</v>
      </c>
      <c r="F21" s="8">
        <v>0.85</v>
      </c>
      <c r="G21" s="5">
        <v>18245</v>
      </c>
      <c r="H21" s="5">
        <f t="shared" si="0"/>
        <v>0.19148936170212766</v>
      </c>
      <c r="I21" s="5">
        <f t="shared" si="1"/>
        <v>-0.11656475127389719</v>
      </c>
      <c r="J21" s="5" t="str">
        <f t="shared" si="2"/>
        <v>LOW</v>
      </c>
      <c r="K21" s="8">
        <f t="shared" si="3"/>
        <v>0.10989010989010987</v>
      </c>
      <c r="L21" s="8">
        <f t="shared" si="4"/>
        <v>-0.43118590185092137</v>
      </c>
      <c r="M21" s="5" t="str">
        <f t="shared" si="5"/>
        <v>LOW</v>
      </c>
      <c r="N21" s="5" cm="1">
        <f t="array" aca="1" ref="N21" ca="1">INDEX($N$2:$N$15,RANDBETWEEN(1, ROWS($N$2:$N$15)))</f>
        <v>2</v>
      </c>
      <c r="O21" s="5" cm="1">
        <f t="array" aca="1" ref="O21" ca="1">INDEX($O$2:$O$15,RANDBETWEEN(1, ROWS($O$2:$O$15)))</f>
        <v>5</v>
      </c>
      <c r="P21" s="5">
        <f t="shared" ca="1" si="6"/>
        <v>50700.352269994124</v>
      </c>
      <c r="Q21" s="5" cm="1">
        <f t="array" aca="1" ref="Q21" ca="1">INDEX($D$2:$D$129, RANDBETWEEN(1,128))</f>
        <v>1</v>
      </c>
      <c r="R21" s="5" cm="1">
        <f t="array" aca="1" ref="R21" ca="1">INDEX($F$2:$F$129, RANDBETWEEN(1,129))</f>
        <v>0.83</v>
      </c>
      <c r="S21" s="5"/>
      <c r="T21" s="20" t="s">
        <v>1272</v>
      </c>
      <c r="U21" s="20">
        <f>_xlfn.STDEV.S(F:F)</f>
        <v>0.32961649173099689</v>
      </c>
      <c r="V21" s="5"/>
      <c r="W21" s="5"/>
      <c r="Y21" s="30" t="s">
        <v>32</v>
      </c>
      <c r="Z21" s="19">
        <f>AVERAGE(D:D)</f>
        <v>11.283464566929133</v>
      </c>
    </row>
    <row r="22" spans="1:26" x14ac:dyDescent="0.35">
      <c r="A22" s="5" t="s">
        <v>8</v>
      </c>
      <c r="B22" s="5">
        <v>539933</v>
      </c>
      <c r="C22" s="5">
        <v>10133</v>
      </c>
      <c r="D22" s="5">
        <v>10</v>
      </c>
      <c r="E22" s="6">
        <v>40535.474999999999</v>
      </c>
      <c r="F22" s="8">
        <v>0.85</v>
      </c>
      <c r="G22" s="5">
        <v>15235</v>
      </c>
      <c r="H22" s="5">
        <f t="shared" si="0"/>
        <v>0.19148936170212766</v>
      </c>
      <c r="I22" s="5">
        <f t="shared" si="1"/>
        <v>-0.11656475127389719</v>
      </c>
      <c r="J22" s="5" t="str">
        <f t="shared" si="2"/>
        <v>LOW</v>
      </c>
      <c r="K22" s="8">
        <f t="shared" si="3"/>
        <v>0.10989010989010987</v>
      </c>
      <c r="L22" s="8">
        <f t="shared" si="4"/>
        <v>-0.43118590185092137</v>
      </c>
      <c r="M22" s="5" t="str">
        <f t="shared" si="5"/>
        <v>LOW</v>
      </c>
      <c r="N22" s="5" cm="1">
        <f t="array" aca="1" ref="N22" ca="1">INDEX($N$2:$N$15,RANDBETWEEN(1, ROWS($N$2:$N$15)))</f>
        <v>9</v>
      </c>
      <c r="O22" s="5" cm="1">
        <f t="array" aca="1" ref="O22" ca="1">INDEX($O$2:$O$15,RANDBETWEEN(1, ROWS($O$2:$O$15)))</f>
        <v>5</v>
      </c>
      <c r="P22" s="5">
        <f t="shared" ca="1" si="6"/>
        <v>50488.423219068201</v>
      </c>
      <c r="Q22" s="5" cm="1">
        <f t="array" aca="1" ref="Q22" ca="1">INDEX($D$2:$D$129, RANDBETWEEN(1,128))</f>
        <v>7</v>
      </c>
      <c r="R22" s="5" cm="1">
        <f t="array" aca="1" ref="R22" ca="1">INDEX($F$2:$F$129, RANDBETWEEN(1,129))</f>
        <v>0.85</v>
      </c>
      <c r="S22" s="5"/>
      <c r="T22" s="20" t="s">
        <v>1273</v>
      </c>
      <c r="U22" s="20">
        <v>0.95</v>
      </c>
      <c r="V22" s="5"/>
      <c r="W22" s="5"/>
      <c r="Y22" s="30" t="s">
        <v>33</v>
      </c>
      <c r="Z22" s="31">
        <f>AVERAGE(F:F)</f>
        <v>0.99212598425196663</v>
      </c>
    </row>
    <row r="23" spans="1:26" x14ac:dyDescent="0.35">
      <c r="A23" s="5" t="s">
        <v>8</v>
      </c>
      <c r="B23" s="5">
        <v>539958</v>
      </c>
      <c r="C23" s="5">
        <v>10133</v>
      </c>
      <c r="D23" s="5">
        <v>6</v>
      </c>
      <c r="E23" s="6">
        <v>40535.55972222222</v>
      </c>
      <c r="F23" s="8">
        <v>0.81</v>
      </c>
      <c r="G23" s="5" t="s">
        <v>1331</v>
      </c>
      <c r="H23" s="5">
        <f t="shared" si="0"/>
        <v>0.10638297872340426</v>
      </c>
      <c r="I23" s="5">
        <f t="shared" si="1"/>
        <v>-0.47984630739131928</v>
      </c>
      <c r="J23" s="5" t="str">
        <f t="shared" si="2"/>
        <v>LOW</v>
      </c>
      <c r="K23" s="8">
        <f t="shared" si="3"/>
        <v>6.5934065934066005E-2</v>
      </c>
      <c r="L23" s="8">
        <f t="shared" si="4"/>
        <v>-0.55253905317517094</v>
      </c>
      <c r="M23" s="5" t="str">
        <f t="shared" si="5"/>
        <v>LOW</v>
      </c>
      <c r="N23" s="5" cm="1">
        <f t="array" aca="1" ref="N23" ca="1">INDEX($N$2:$N$15,RANDBETWEEN(1, ROWS($N$2:$N$15)))</f>
        <v>4</v>
      </c>
      <c r="O23" s="5" cm="1">
        <f t="array" aca="1" ref="O23" ca="1">INDEX($O$2:$O$15,RANDBETWEEN(1, ROWS($O$2:$O$15)))</f>
        <v>1</v>
      </c>
      <c r="P23" s="5">
        <f t="shared" ca="1" si="6"/>
        <v>53694.319059446039</v>
      </c>
      <c r="Q23" s="5" cm="1">
        <f t="array" aca="1" ref="Q23" ca="1">INDEX($D$2:$D$129, RANDBETWEEN(1,128))</f>
        <v>11</v>
      </c>
      <c r="R23" s="5" cm="1">
        <f t="array" aca="1" ref="R23" ca="1">INDEX($F$2:$F$129, RANDBETWEEN(1,129))</f>
        <v>0.83</v>
      </c>
      <c r="S23" s="5"/>
      <c r="T23" s="20" t="s">
        <v>1274</v>
      </c>
      <c r="U23" s="20">
        <f>1-0.95</f>
        <v>5.0000000000000044E-2</v>
      </c>
      <c r="V23" s="5"/>
      <c r="W23" s="5"/>
      <c r="Y23" s="13"/>
      <c r="Z23" s="5"/>
    </row>
    <row r="24" spans="1:26" x14ac:dyDescent="0.35">
      <c r="A24" s="5" t="s">
        <v>8</v>
      </c>
      <c r="B24" s="5">
        <v>540026</v>
      </c>
      <c r="C24" s="5">
        <v>10133</v>
      </c>
      <c r="D24" s="5">
        <v>1</v>
      </c>
      <c r="E24" s="6">
        <v>40547.559027777781</v>
      </c>
      <c r="F24" s="8">
        <v>0.81</v>
      </c>
      <c r="G24" s="5" t="s">
        <v>1331</v>
      </c>
      <c r="H24" s="5">
        <f t="shared" si="0"/>
        <v>0</v>
      </c>
      <c r="I24" s="5">
        <f t="shared" si="1"/>
        <v>-0.93394825253809688</v>
      </c>
      <c r="J24" s="5" t="str">
        <f t="shared" si="2"/>
        <v>LOW</v>
      </c>
      <c r="K24" s="8">
        <f t="shared" si="3"/>
        <v>6.5934065934066005E-2</v>
      </c>
      <c r="L24" s="8">
        <f t="shared" si="4"/>
        <v>-0.55253905317517094</v>
      </c>
      <c r="M24" s="5" t="str">
        <f t="shared" si="5"/>
        <v>LOW</v>
      </c>
      <c r="N24" s="5" cm="1">
        <f t="array" aca="1" ref="N24" ca="1">INDEX($N$2:$N$15,RANDBETWEEN(1, ROWS($N$2:$N$15)))</f>
        <v>11</v>
      </c>
      <c r="O24" s="5" cm="1">
        <f t="array" aca="1" ref="O24" ca="1">INDEX($O$2:$O$15,RANDBETWEEN(1, ROWS($O$2:$O$15)))</f>
        <v>5</v>
      </c>
      <c r="P24" s="5">
        <f t="shared" ca="1" si="6"/>
        <v>53702.086224958002</v>
      </c>
      <c r="Q24" s="5" cm="1">
        <f t="array" aca="1" ref="Q24" ca="1">INDEX($D$2:$D$129, RANDBETWEEN(1,128))</f>
        <v>24</v>
      </c>
      <c r="R24" s="5" cm="1">
        <f t="array" aca="1" ref="R24" ca="1">INDEX($F$2:$F$129, RANDBETWEEN(1,129))</f>
        <v>0.85</v>
      </c>
      <c r="S24" s="5"/>
      <c r="T24" s="20" t="s">
        <v>1275</v>
      </c>
      <c r="U24" s="20">
        <f>_xlfn.CONFIDENCE.NORM(0.05,$U$21,129)</f>
        <v>5.6880338012583173E-2</v>
      </c>
      <c r="V24" s="5"/>
      <c r="W24" s="5"/>
      <c r="Y24" s="13"/>
      <c r="Z24" s="5"/>
    </row>
    <row r="25" spans="1:26" x14ac:dyDescent="0.35">
      <c r="A25" s="5" t="s">
        <v>8</v>
      </c>
      <c r="B25" s="5">
        <v>540154</v>
      </c>
      <c r="C25" s="5">
        <v>10133</v>
      </c>
      <c r="D25" s="5">
        <v>1</v>
      </c>
      <c r="E25" s="6">
        <v>40548.479166666664</v>
      </c>
      <c r="F25" s="8">
        <v>0.81</v>
      </c>
      <c r="G25" s="5" t="s">
        <v>1331</v>
      </c>
      <c r="H25" s="5">
        <f t="shared" si="0"/>
        <v>0</v>
      </c>
      <c r="I25" s="5">
        <f t="shared" si="1"/>
        <v>-0.93394825253809688</v>
      </c>
      <c r="J25" s="5" t="str">
        <f t="shared" si="2"/>
        <v>LOW</v>
      </c>
      <c r="K25" s="8">
        <f t="shared" si="3"/>
        <v>6.5934065934066005E-2</v>
      </c>
      <c r="L25" s="8">
        <f t="shared" si="4"/>
        <v>-0.55253905317517094</v>
      </c>
      <c r="M25" s="5" t="str">
        <f t="shared" si="5"/>
        <v>LOW</v>
      </c>
      <c r="N25" s="5" cm="1">
        <f t="array" aca="1" ref="N25" ca="1">INDEX($N$2:$N$15,RANDBETWEEN(1, ROWS($N$2:$N$15)))</f>
        <v>4</v>
      </c>
      <c r="O25" s="5" cm="1">
        <f t="array" aca="1" ref="O25" ca="1">INDEX($O$2:$O$15,RANDBETWEEN(1, ROWS($O$2:$O$15)))</f>
        <v>1</v>
      </c>
      <c r="P25" s="5">
        <f t="shared" ca="1" si="6"/>
        <v>53712.806237584264</v>
      </c>
      <c r="Q25" s="5" cm="1">
        <f t="array" aca="1" ref="Q25" ca="1">INDEX($D$2:$D$129, RANDBETWEEN(1,128))</f>
        <v>1</v>
      </c>
      <c r="R25" s="5" cm="1">
        <f t="array" aca="1" ref="R25" ca="1">INDEX($F$2:$F$129, RANDBETWEEN(1,129))</f>
        <v>0.75</v>
      </c>
      <c r="S25" s="5"/>
      <c r="T25" s="20" t="s">
        <v>1276</v>
      </c>
      <c r="U25" s="21">
        <f>U20-U24</f>
        <v>0.93524564623938344</v>
      </c>
      <c r="V25" s="5"/>
      <c r="W25" s="5"/>
      <c r="Y25" s="13"/>
      <c r="Z25" s="5"/>
    </row>
    <row r="26" spans="1:26" x14ac:dyDescent="0.35">
      <c r="A26" s="5" t="s">
        <v>8</v>
      </c>
      <c r="B26" s="5">
        <v>540352</v>
      </c>
      <c r="C26" s="5">
        <v>10133</v>
      </c>
      <c r="D26" s="5">
        <v>1</v>
      </c>
      <c r="E26" s="6">
        <v>40549.602083333331</v>
      </c>
      <c r="F26" s="8">
        <v>0.81</v>
      </c>
      <c r="G26" s="5" t="s">
        <v>1331</v>
      </c>
      <c r="H26" s="5">
        <f t="shared" si="0"/>
        <v>0</v>
      </c>
      <c r="I26" s="5">
        <f t="shared" si="1"/>
        <v>-0.93394825253809688</v>
      </c>
      <c r="J26" s="5" t="str">
        <f t="shared" si="2"/>
        <v>LOW</v>
      </c>
      <c r="K26" s="8">
        <f t="shared" si="3"/>
        <v>6.5934065934066005E-2</v>
      </c>
      <c r="L26" s="8">
        <f t="shared" si="4"/>
        <v>-0.55253905317517094</v>
      </c>
      <c r="M26" s="5" t="str">
        <f t="shared" si="5"/>
        <v>LOW</v>
      </c>
      <c r="N26" s="5" cm="1">
        <f t="array" aca="1" ref="N26" ca="1">INDEX($N$2:$N$15,RANDBETWEEN(1, ROWS($N$2:$N$15)))</f>
        <v>4</v>
      </c>
      <c r="O26" s="5" cm="1">
        <f t="array" aca="1" ref="O26" ca="1">INDEX($O$2:$O$15,RANDBETWEEN(1, ROWS($O$2:$O$15)))</f>
        <v>4</v>
      </c>
      <c r="P26" s="5">
        <f t="shared" ca="1" si="6"/>
        <v>53731.18104819033</v>
      </c>
      <c r="Q26" s="5" cm="1">
        <f t="array" aca="1" ref="Q26" ca="1">INDEX($D$2:$D$129, RANDBETWEEN(1,128))</f>
        <v>5</v>
      </c>
      <c r="R26" s="5" cm="1">
        <f t="array" aca="1" ref="R26" ca="1">INDEX($F$2:$F$129, RANDBETWEEN(1,129))</f>
        <v>0.79</v>
      </c>
      <c r="S26" s="5"/>
      <c r="T26" s="20" t="s">
        <v>1277</v>
      </c>
      <c r="U26" s="21">
        <f>U20+U24</f>
        <v>1.0490063222645498</v>
      </c>
      <c r="V26" s="5"/>
      <c r="W26" s="5"/>
      <c r="Y26" s="30" t="s">
        <v>34</v>
      </c>
      <c r="Z26" s="19">
        <f>AVERAGE(D:D)</f>
        <v>11.283464566929133</v>
      </c>
    </row>
    <row r="27" spans="1:26" x14ac:dyDescent="0.35">
      <c r="A27" s="5" t="s">
        <v>8</v>
      </c>
      <c r="B27" s="5">
        <v>540468</v>
      </c>
      <c r="C27" s="5">
        <v>10133</v>
      </c>
      <c r="D27" s="5">
        <v>5</v>
      </c>
      <c r="E27" s="10">
        <v>40550</v>
      </c>
      <c r="F27" s="8">
        <v>0.81</v>
      </c>
      <c r="G27" s="5" t="s">
        <v>1331</v>
      </c>
      <c r="H27" s="5">
        <f t="shared" si="0"/>
        <v>8.5106382978723402E-2</v>
      </c>
      <c r="I27" s="5">
        <f t="shared" si="1"/>
        <v>-0.5706666964206748</v>
      </c>
      <c r="J27" s="5" t="str">
        <f t="shared" si="2"/>
        <v>LOW</v>
      </c>
      <c r="K27" s="8">
        <f t="shared" si="3"/>
        <v>6.5934065934066005E-2</v>
      </c>
      <c r="L27" s="8">
        <f t="shared" si="4"/>
        <v>-0.55253905317517094</v>
      </c>
      <c r="M27" s="5" t="str">
        <f t="shared" si="5"/>
        <v>LOW</v>
      </c>
      <c r="N27" s="5" cm="1">
        <f t="array" aca="1" ref="N27" ca="1">INDEX($N$2:$N$15,RANDBETWEEN(1, ROWS($N$2:$N$15)))</f>
        <v>9</v>
      </c>
      <c r="O27" s="5" cm="1">
        <f t="array" aca="1" ref="O27" ca="1">INDEX($O$2:$O$15,RANDBETWEEN(1, ROWS($O$2:$O$15)))</f>
        <v>4</v>
      </c>
      <c r="P27" s="5">
        <f t="shared" ca="1" si="6"/>
        <v>53742.621621336315</v>
      </c>
      <c r="Q27" s="5" cm="1">
        <f t="array" aca="1" ref="Q27" ca="1">INDEX($D$2:$D$129, RANDBETWEEN(1,128))</f>
        <v>12</v>
      </c>
      <c r="R27" s="5" cm="1">
        <f t="array" aca="1" ref="R27" ca="1">INDEX($F$2:$F$129, RANDBETWEEN(1,129))</f>
        <v>1.63</v>
      </c>
      <c r="S27" s="5"/>
      <c r="T27" s="5"/>
      <c r="U27" s="5"/>
      <c r="V27" s="5"/>
      <c r="W27" s="5"/>
      <c r="Y27" s="30" t="s">
        <v>35</v>
      </c>
      <c r="Z27" s="32">
        <f>AVERAGE(F:F)</f>
        <v>0.99212598425196663</v>
      </c>
    </row>
    <row r="28" spans="1:26" x14ac:dyDescent="0.35">
      <c r="A28" s="5" t="s">
        <v>8</v>
      </c>
      <c r="B28" s="5">
        <v>540418</v>
      </c>
      <c r="C28" s="5">
        <v>10133</v>
      </c>
      <c r="D28" s="5">
        <v>3</v>
      </c>
      <c r="E28" s="6">
        <v>40550.461111111108</v>
      </c>
      <c r="F28" s="8">
        <v>0.81</v>
      </c>
      <c r="G28" s="5" t="s">
        <v>1331</v>
      </c>
      <c r="H28" s="5">
        <f t="shared" si="0"/>
        <v>4.2553191489361701E-2</v>
      </c>
      <c r="I28" s="5">
        <f t="shared" si="1"/>
        <v>-0.75230747447938584</v>
      </c>
      <c r="J28" s="5" t="str">
        <f t="shared" si="2"/>
        <v>LOW</v>
      </c>
      <c r="K28" s="8">
        <f t="shared" si="3"/>
        <v>6.5934065934066005E-2</v>
      </c>
      <c r="L28" s="8">
        <f t="shared" si="4"/>
        <v>-0.55253905317517094</v>
      </c>
      <c r="M28" s="5" t="str">
        <f t="shared" si="5"/>
        <v>LOW</v>
      </c>
      <c r="N28" s="5" cm="1">
        <f t="array" aca="1" ref="N28" ca="1">INDEX($N$2:$N$15,RANDBETWEEN(1, ROWS($N$2:$N$15)))</f>
        <v>9</v>
      </c>
      <c r="O28" s="5" cm="1">
        <f t="array" aca="1" ref="O28" ca="1">INDEX($O$2:$O$15,RANDBETWEEN(1, ROWS($O$2:$O$15)))</f>
        <v>5</v>
      </c>
      <c r="P28" s="5">
        <f t="shared" ca="1" si="6"/>
        <v>53738.006795621914</v>
      </c>
      <c r="Q28" s="5" cm="1">
        <f t="array" aca="1" ref="Q28" ca="1">INDEX($D$2:$D$129, RANDBETWEEN(1,128))</f>
        <v>15</v>
      </c>
      <c r="R28" s="5" cm="1">
        <f t="array" aca="1" ref="R28" ca="1">INDEX($F$2:$F$129, RANDBETWEEN(1,129))</f>
        <v>0.85</v>
      </c>
      <c r="S28" s="5"/>
      <c r="T28" s="5"/>
      <c r="U28" s="5"/>
      <c r="V28" s="5"/>
      <c r="W28" s="5"/>
      <c r="Y28" s="13"/>
      <c r="Z28" s="5"/>
    </row>
    <row r="29" spans="1:26" x14ac:dyDescent="0.35">
      <c r="A29" s="5" t="s">
        <v>8</v>
      </c>
      <c r="B29" s="5">
        <v>540551</v>
      </c>
      <c r="C29" s="5">
        <v>10133</v>
      </c>
      <c r="D29" s="5">
        <v>1</v>
      </c>
      <c r="E29" s="6">
        <v>40553.404861111114</v>
      </c>
      <c r="F29" s="8">
        <v>0.81</v>
      </c>
      <c r="G29" s="5" t="s">
        <v>1331</v>
      </c>
      <c r="H29" s="5">
        <f t="shared" si="0"/>
        <v>0</v>
      </c>
      <c r="I29" s="5">
        <f t="shared" si="1"/>
        <v>-0.93394825253809688</v>
      </c>
      <c r="J29" s="5" t="str">
        <f t="shared" si="2"/>
        <v>LOW</v>
      </c>
      <c r="K29" s="8">
        <f t="shared" si="3"/>
        <v>6.5934065934066005E-2</v>
      </c>
      <c r="L29" s="8">
        <f t="shared" si="4"/>
        <v>-0.55253905317517094</v>
      </c>
      <c r="M29" s="5" t="str">
        <f t="shared" si="5"/>
        <v>LOW</v>
      </c>
      <c r="N29" s="5" cm="1">
        <f t="array" aca="1" ref="N29" ca="1">INDEX($N$2:$N$15,RANDBETWEEN(1, ROWS($N$2:$N$15)))</f>
        <v>9</v>
      </c>
      <c r="O29" s="5" cm="1">
        <f t="array" aca="1" ref="O29" ca="1">INDEX($O$2:$O$15,RANDBETWEEN(1, ROWS($O$2:$O$15)))</f>
        <v>5</v>
      </c>
      <c r="P29" s="5">
        <f t="shared" ca="1" si="6"/>
        <v>53750.163118897399</v>
      </c>
      <c r="Q29" s="5" cm="1">
        <f t="array" aca="1" ref="Q29" ca="1">INDEX($D$2:$D$129, RANDBETWEEN(1,128))</f>
        <v>10</v>
      </c>
      <c r="R29" s="5" cm="1">
        <f t="array" aca="1" ref="R29" ca="1">INDEX($F$2:$F$129, RANDBETWEEN(1,129))</f>
        <v>0.85</v>
      </c>
      <c r="S29" s="5"/>
      <c r="T29" s="5"/>
      <c r="U29" s="5"/>
      <c r="V29" s="5"/>
      <c r="W29" s="5"/>
      <c r="Y29" s="30" t="s">
        <v>36</v>
      </c>
      <c r="Z29" s="19">
        <f>MIN(D:D)</f>
        <v>1</v>
      </c>
    </row>
    <row r="30" spans="1:26" x14ac:dyDescent="0.35">
      <c r="A30" s="5" t="s">
        <v>8</v>
      </c>
      <c r="B30" s="5">
        <v>540646</v>
      </c>
      <c r="C30" s="5">
        <v>10133</v>
      </c>
      <c r="D30" s="5">
        <v>6</v>
      </c>
      <c r="E30" s="6">
        <v>40553.605555555558</v>
      </c>
      <c r="F30" s="8">
        <v>0.81</v>
      </c>
      <c r="G30" s="5" t="s">
        <v>1331</v>
      </c>
      <c r="H30" s="5">
        <f t="shared" si="0"/>
        <v>0.10638297872340426</v>
      </c>
      <c r="I30" s="5">
        <f t="shared" si="1"/>
        <v>-0.47984630739131928</v>
      </c>
      <c r="J30" s="5" t="str">
        <f t="shared" si="2"/>
        <v>LOW</v>
      </c>
      <c r="K30" s="8">
        <f t="shared" si="3"/>
        <v>6.5934065934066005E-2</v>
      </c>
      <c r="L30" s="8">
        <f t="shared" si="4"/>
        <v>-0.55253905317517094</v>
      </c>
      <c r="M30" s="5" t="str">
        <f t="shared" si="5"/>
        <v>LOW</v>
      </c>
      <c r="N30" s="5" cm="1">
        <f t="array" aca="1" ref="N30" ca="1">INDEX($N$2:$N$15,RANDBETWEEN(1, ROWS($N$2:$N$15)))</f>
        <v>12</v>
      </c>
      <c r="O30" s="5" cm="1">
        <f t="array" aca="1" ref="O30" ca="1">INDEX($O$2:$O$15,RANDBETWEEN(1, ROWS($O$2:$O$15)))</f>
        <v>4</v>
      </c>
      <c r="P30" s="5">
        <f t="shared" ca="1" si="6"/>
        <v>53759.505044294521</v>
      </c>
      <c r="Q30" s="5" cm="1">
        <f t="array" aca="1" ref="Q30" ca="1">INDEX($D$2:$D$129, RANDBETWEEN(1,128))</f>
        <v>3</v>
      </c>
      <c r="R30" s="5" cm="1">
        <f t="array" aca="1" ref="R30" ca="1">INDEX($F$2:$F$129, RANDBETWEEN(1,129))</f>
        <v>0.85</v>
      </c>
      <c r="S30" s="5"/>
      <c r="T30" s="29" t="s">
        <v>1362</v>
      </c>
      <c r="U30" s="20"/>
      <c r="V30" s="5"/>
      <c r="W30" s="5"/>
      <c r="Y30" s="30" t="s">
        <v>37</v>
      </c>
      <c r="Z30" s="19">
        <f>MAX(D:D)</f>
        <v>48</v>
      </c>
    </row>
    <row r="31" spans="1:26" x14ac:dyDescent="0.35">
      <c r="A31" s="5" t="s">
        <v>8</v>
      </c>
      <c r="B31" s="5">
        <v>540821</v>
      </c>
      <c r="C31" s="5">
        <v>10133</v>
      </c>
      <c r="D31" s="5">
        <v>3</v>
      </c>
      <c r="E31" s="6">
        <v>40554.552777777775</v>
      </c>
      <c r="F31" s="8">
        <v>0.81</v>
      </c>
      <c r="G31" s="5" t="s">
        <v>1331</v>
      </c>
      <c r="H31" s="5">
        <f t="shared" si="0"/>
        <v>4.2553191489361701E-2</v>
      </c>
      <c r="I31" s="5">
        <f t="shared" si="1"/>
        <v>-0.75230747447938584</v>
      </c>
      <c r="J31" s="5" t="str">
        <f t="shared" si="2"/>
        <v>LOW</v>
      </c>
      <c r="K31" s="8">
        <f t="shared" si="3"/>
        <v>6.5934065934066005E-2</v>
      </c>
      <c r="L31" s="8">
        <f t="shared" si="4"/>
        <v>-0.55253905317517094</v>
      </c>
      <c r="M31" s="5" t="str">
        <f t="shared" si="5"/>
        <v>LOW</v>
      </c>
      <c r="N31" s="5" cm="1">
        <f t="array" aca="1" ref="N31" ca="1">INDEX($N$2:$N$15,RANDBETWEEN(1, ROWS($N$2:$N$15)))</f>
        <v>4</v>
      </c>
      <c r="O31" s="5" cm="1">
        <f t="array" aca="1" ref="O31" ca="1">INDEX($O$2:$O$15,RANDBETWEEN(1, ROWS($O$2:$O$15)))</f>
        <v>3</v>
      </c>
      <c r="P31" s="5">
        <f t="shared" ca="1" si="6"/>
        <v>53774.378765318885</v>
      </c>
      <c r="Q31" s="5" cm="1">
        <f t="array" aca="1" ref="Q31" ca="1">INDEX($D$2:$D$129, RANDBETWEEN(1,128))</f>
        <v>12</v>
      </c>
      <c r="R31" s="5" cm="1">
        <f t="array" aca="1" ref="R31" ca="1">INDEX($F$2:$F$129, RANDBETWEEN(1,129))</f>
        <v>0.81</v>
      </c>
      <c r="S31" s="5"/>
      <c r="T31" s="20" t="s">
        <v>1278</v>
      </c>
      <c r="U31" s="20" t="s">
        <v>1279</v>
      </c>
      <c r="V31" s="5"/>
      <c r="W31" s="5"/>
      <c r="Y31" s="13"/>
      <c r="Z31" s="5"/>
    </row>
    <row r="32" spans="1:26" x14ac:dyDescent="0.35">
      <c r="A32" s="5" t="s">
        <v>8</v>
      </c>
      <c r="B32" s="5">
        <v>540848</v>
      </c>
      <c r="C32" s="5">
        <v>10133</v>
      </c>
      <c r="D32" s="5">
        <v>7</v>
      </c>
      <c r="E32" s="6">
        <v>40555.393055555556</v>
      </c>
      <c r="F32" s="8">
        <v>0.81</v>
      </c>
      <c r="G32" s="5" t="s">
        <v>1331</v>
      </c>
      <c r="H32" s="5">
        <f t="shared" si="0"/>
        <v>0.1276595744680851</v>
      </c>
      <c r="I32" s="5">
        <f t="shared" si="1"/>
        <v>-0.38902591836196376</v>
      </c>
      <c r="J32" s="5" t="str">
        <f t="shared" si="2"/>
        <v>LOW</v>
      </c>
      <c r="K32" s="8">
        <f t="shared" si="3"/>
        <v>6.5934065934066005E-2</v>
      </c>
      <c r="L32" s="8">
        <f t="shared" si="4"/>
        <v>-0.55253905317517094</v>
      </c>
      <c r="M32" s="5" t="str">
        <f t="shared" si="5"/>
        <v>LOW</v>
      </c>
      <c r="N32" s="5" cm="1">
        <f t="array" aca="1" ref="N32" ca="1">INDEX($N$2:$N$15,RANDBETWEEN(1, ROWS($N$2:$N$15)))</f>
        <v>12</v>
      </c>
      <c r="O32" s="5" cm="1">
        <f t="array" aca="1" ref="O32" ca="1">INDEX($O$2:$O$15,RANDBETWEEN(1, ROWS($O$2:$O$15)))</f>
        <v>3</v>
      </c>
      <c r="P32" s="5">
        <f t="shared" ca="1" si="6"/>
        <v>53778.04137129314</v>
      </c>
      <c r="Q32" s="5" cm="1">
        <f t="array" aca="1" ref="Q32" ca="1">INDEX($D$2:$D$129, RANDBETWEEN(1,128))</f>
        <v>20</v>
      </c>
      <c r="R32" s="5" cm="1">
        <f t="array" aca="1" ref="R32" ca="1">INDEX($F$2:$F$129, RANDBETWEEN(1,129))</f>
        <v>0.75</v>
      </c>
      <c r="S32" s="5"/>
      <c r="T32" s="20" t="s">
        <v>1280</v>
      </c>
      <c r="U32" s="20" t="s">
        <v>1281</v>
      </c>
      <c r="V32" s="5"/>
      <c r="W32" s="5"/>
      <c r="Y32" s="13"/>
      <c r="Z32" s="5"/>
    </row>
    <row r="33" spans="1:26" x14ac:dyDescent="0.35">
      <c r="A33" s="5" t="s">
        <v>8</v>
      </c>
      <c r="B33" s="5">
        <v>540977</v>
      </c>
      <c r="C33" s="5">
        <v>10133</v>
      </c>
      <c r="D33" s="5">
        <v>1</v>
      </c>
      <c r="E33" s="6">
        <v>40555.625694444447</v>
      </c>
      <c r="F33" s="8">
        <v>0.81</v>
      </c>
      <c r="G33" s="5" t="s">
        <v>1331</v>
      </c>
      <c r="H33" s="5">
        <f t="shared" si="0"/>
        <v>0</v>
      </c>
      <c r="I33" s="5">
        <f t="shared" si="1"/>
        <v>-0.93394825253809688</v>
      </c>
      <c r="J33" s="5" t="str">
        <f t="shared" si="2"/>
        <v>LOW</v>
      </c>
      <c r="K33" s="8">
        <f t="shared" si="3"/>
        <v>6.5934065934066005E-2</v>
      </c>
      <c r="L33" s="8">
        <f t="shared" si="4"/>
        <v>-0.55253905317517094</v>
      </c>
      <c r="M33" s="5" t="str">
        <f t="shared" si="5"/>
        <v>LOW</v>
      </c>
      <c r="N33" s="5" cm="1">
        <f t="array" aca="1" ref="N33" ca="1">INDEX($N$2:$N$15,RANDBETWEEN(1, ROWS($N$2:$N$15)))</f>
        <v>2</v>
      </c>
      <c r="O33" s="5" cm="1">
        <f t="array" aca="1" ref="O33" ca="1">INDEX($O$2:$O$15,RANDBETWEEN(1, ROWS($O$2:$O$15)))</f>
        <v>3</v>
      </c>
      <c r="P33" s="5">
        <f t="shared" ca="1" si="6"/>
        <v>53788.274103745884</v>
      </c>
      <c r="Q33" s="5" cm="1">
        <f t="array" aca="1" ref="Q33" ca="1">INDEX($D$2:$D$129, RANDBETWEEN(1,128))</f>
        <v>2</v>
      </c>
      <c r="R33" s="5" cm="1">
        <f t="array" aca="1" ref="R33" ca="1">INDEX($F$2:$F$129, RANDBETWEEN(1,129))</f>
        <v>0.75</v>
      </c>
      <c r="S33" s="5"/>
      <c r="T33" s="20" t="s">
        <v>1282</v>
      </c>
      <c r="U33" s="20" t="s">
        <v>1283</v>
      </c>
      <c r="V33" s="5"/>
      <c r="W33" s="5"/>
      <c r="Y33" s="30" t="s">
        <v>38</v>
      </c>
      <c r="Z33" s="32">
        <f>MIN(F:F)</f>
        <v>0.75</v>
      </c>
    </row>
    <row r="34" spans="1:26" x14ac:dyDescent="0.35">
      <c r="A34" s="5" t="s">
        <v>8</v>
      </c>
      <c r="B34" s="5">
        <v>541104</v>
      </c>
      <c r="C34" s="5">
        <v>10133</v>
      </c>
      <c r="D34" s="5">
        <v>4</v>
      </c>
      <c r="E34" s="6">
        <v>40556.603472222225</v>
      </c>
      <c r="F34" s="8">
        <v>0.79</v>
      </c>
      <c r="G34" s="5" t="s">
        <v>1331</v>
      </c>
      <c r="H34" s="5">
        <f t="shared" ref="H34:H65" si="7">(D34-1)/(48-1)</f>
        <v>6.3829787234042548E-2</v>
      </c>
      <c r="I34" s="5">
        <f t="shared" ref="I34:I65" si="8">(D34-$Z$21)/$Z$44</f>
        <v>-0.66148708545003032</v>
      </c>
      <c r="J34" s="5" t="str">
        <f t="shared" ref="J34:J65" si="9">IF(D34&gt;$Z$6, "HIGH", "LOW")</f>
        <v>LOW</v>
      </c>
      <c r="K34" s="8">
        <f t="shared" ref="K34:K65" si="10">(F34-0.75)/(1.66-0.75)</f>
        <v>4.3956043956044001E-2</v>
      </c>
      <c r="L34" s="8">
        <f t="shared" ref="L34:L65" si="11">(F34-$Z$22)/$Z$45</f>
        <v>-0.61321562883729586</v>
      </c>
      <c r="M34" s="5" t="str">
        <f t="shared" ref="M34:M65" si="12">IF(F34&gt;$Z$7, "HIGH", "LOW")</f>
        <v>LOW</v>
      </c>
      <c r="N34" s="5" cm="1">
        <f t="array" aca="1" ref="N34" ca="1">INDEX($N$2:$N$15,RANDBETWEEN(1, ROWS($N$2:$N$15)))</f>
        <v>2</v>
      </c>
      <c r="O34" s="5" cm="1">
        <f t="array" aca="1" ref="O34" ca="1">INDEX($O$2:$O$15,RANDBETWEEN(1, ROWS($O$2:$O$15)))</f>
        <v>5</v>
      </c>
      <c r="P34" s="5">
        <f t="shared" ref="P34:P65" ca="1" si="13">AVERAGE(B34:O34)</f>
        <v>53800.384232303564</v>
      </c>
      <c r="Q34" s="5" cm="1">
        <f t="array" aca="1" ref="Q34" ca="1">INDEX($D$2:$D$129, RANDBETWEEN(1,128))</f>
        <v>1</v>
      </c>
      <c r="R34" s="5" cm="1">
        <f t="array" aca="1" ref="R34" ca="1">INDEX($F$2:$F$129, RANDBETWEEN(1,129))</f>
        <v>0.85</v>
      </c>
      <c r="S34" s="5"/>
      <c r="T34" s="20" t="s">
        <v>1284</v>
      </c>
      <c r="U34" s="20" t="s">
        <v>1285</v>
      </c>
      <c r="V34" s="5"/>
      <c r="W34" s="5"/>
      <c r="Y34" s="30" t="s">
        <v>39</v>
      </c>
      <c r="Z34" s="33">
        <f>MAX(F:F)</f>
        <v>1.66</v>
      </c>
    </row>
    <row r="35" spans="1:26" x14ac:dyDescent="0.35">
      <c r="A35" s="5" t="s">
        <v>8</v>
      </c>
      <c r="B35" s="5">
        <v>541219</v>
      </c>
      <c r="C35" s="5">
        <v>10133</v>
      </c>
      <c r="D35" s="5">
        <v>22</v>
      </c>
      <c r="E35" s="6">
        <v>40557.587500000001</v>
      </c>
      <c r="F35" s="8">
        <v>0.79</v>
      </c>
      <c r="G35" s="5" t="s">
        <v>1331</v>
      </c>
      <c r="H35" s="5">
        <f t="shared" si="7"/>
        <v>0.44680851063829785</v>
      </c>
      <c r="I35" s="5">
        <f t="shared" si="8"/>
        <v>0.97327991707836903</v>
      </c>
      <c r="J35" s="5" t="str">
        <f t="shared" si="9"/>
        <v>HIGH</v>
      </c>
      <c r="K35" s="8">
        <f t="shared" si="10"/>
        <v>4.3956043956044001E-2</v>
      </c>
      <c r="L35" s="8">
        <f t="shared" si="11"/>
        <v>-0.61321562883729586</v>
      </c>
      <c r="M35" s="5" t="str">
        <f t="shared" si="12"/>
        <v>LOW</v>
      </c>
      <c r="N35" s="5" cm="1">
        <f t="array" aca="1" ref="N35" ca="1">INDEX($N$2:$N$15,RANDBETWEEN(1, ROWS($N$2:$N$15)))</f>
        <v>9</v>
      </c>
      <c r="O35" s="5" cm="1">
        <f t="array" aca="1" ref="O35" ca="1">INDEX($O$2:$O$15,RANDBETWEEN(1, ROWS($O$2:$O$15)))</f>
        <v>1</v>
      </c>
      <c r="P35" s="5">
        <f t="shared" ca="1" si="13"/>
        <v>53813.020757167535</v>
      </c>
      <c r="Q35" s="5" cm="1">
        <f t="array" aca="1" ref="Q35" ca="1">INDEX($D$2:$D$129, RANDBETWEEN(1,128))</f>
        <v>1</v>
      </c>
      <c r="R35" s="5" cm="1">
        <f t="array" aca="1" ref="R35" ca="1">INDEX($F$2:$F$129, RANDBETWEEN(1,129))</f>
        <v>0.85</v>
      </c>
      <c r="S35" s="5"/>
      <c r="T35" s="20" t="s">
        <v>1286</v>
      </c>
      <c r="U35" s="20">
        <v>0.05</v>
      </c>
      <c r="V35" s="5"/>
      <c r="W35" s="5"/>
      <c r="Y35" s="13"/>
      <c r="Z35" s="5"/>
    </row>
    <row r="36" spans="1:26" x14ac:dyDescent="0.35">
      <c r="A36" s="5" t="s">
        <v>8</v>
      </c>
      <c r="B36" s="5">
        <v>541422</v>
      </c>
      <c r="C36" s="5">
        <v>10133</v>
      </c>
      <c r="D36" s="5">
        <v>12</v>
      </c>
      <c r="E36" s="6">
        <v>40560.741666666669</v>
      </c>
      <c r="F36" s="8">
        <v>0.79</v>
      </c>
      <c r="G36" s="5" t="s">
        <v>1331</v>
      </c>
      <c r="H36" s="5">
        <f t="shared" si="7"/>
        <v>0.23404255319148937</v>
      </c>
      <c r="I36" s="5">
        <f t="shared" si="8"/>
        <v>6.5076026784813848E-2</v>
      </c>
      <c r="J36" s="5" t="str">
        <f t="shared" si="9"/>
        <v>HIGH</v>
      </c>
      <c r="K36" s="8">
        <f t="shared" si="10"/>
        <v>4.3956043956044001E-2</v>
      </c>
      <c r="L36" s="8">
        <f t="shared" si="11"/>
        <v>-0.61321562883729586</v>
      </c>
      <c r="M36" s="5" t="str">
        <f t="shared" si="12"/>
        <v>LOW</v>
      </c>
      <c r="N36" s="5" cm="1">
        <f t="array" aca="1" ref="N36" ca="1">INDEX($N$2:$N$15,RANDBETWEEN(1, ROWS($N$2:$N$15)))</f>
        <v>11</v>
      </c>
      <c r="O36" s="5" cm="1">
        <f t="array" aca="1" ref="O36" ca="1">INDEX($O$2:$O$15,RANDBETWEEN(1, ROWS($O$2:$O$15)))</f>
        <v>5</v>
      </c>
      <c r="P36" s="5">
        <f t="shared" ca="1" si="13"/>
        <v>53831.296502332902</v>
      </c>
      <c r="Q36" s="5" cm="1">
        <f t="array" aca="1" ref="Q36" ca="1">INDEX($D$2:$D$129, RANDBETWEEN(1,128))</f>
        <v>12</v>
      </c>
      <c r="R36" s="5" cm="1">
        <f t="array" aca="1" ref="R36" ca="1">INDEX($F$2:$F$129, RANDBETWEEN(1,129))</f>
        <v>1.63</v>
      </c>
      <c r="S36" s="5"/>
      <c r="T36" s="20" t="s">
        <v>1287</v>
      </c>
      <c r="U36" s="20">
        <v>30</v>
      </c>
      <c r="V36" s="5"/>
      <c r="W36" s="5"/>
      <c r="Y36" s="13"/>
      <c r="Z36" s="5"/>
    </row>
    <row r="37" spans="1:26" x14ac:dyDescent="0.35">
      <c r="A37" s="5" t="s">
        <v>8</v>
      </c>
      <c r="B37" s="5">
        <v>545060</v>
      </c>
      <c r="C37" s="5">
        <v>10080</v>
      </c>
      <c r="D37" s="5">
        <v>2</v>
      </c>
      <c r="E37" s="6">
        <v>40601.574305555558</v>
      </c>
      <c r="F37" s="8">
        <v>0.85</v>
      </c>
      <c r="G37" s="5">
        <v>15547</v>
      </c>
      <c r="H37" s="5">
        <f t="shared" si="7"/>
        <v>2.1276595744680851E-2</v>
      </c>
      <c r="I37" s="5">
        <f t="shared" si="8"/>
        <v>-0.84312786350874136</v>
      </c>
      <c r="J37" s="5" t="str">
        <f t="shared" si="9"/>
        <v>LOW</v>
      </c>
      <c r="K37" s="8">
        <f t="shared" si="10"/>
        <v>0.10989010989010987</v>
      </c>
      <c r="L37" s="8">
        <f t="shared" si="11"/>
        <v>-0.43118590185092137</v>
      </c>
      <c r="M37" s="5" t="str">
        <f t="shared" si="12"/>
        <v>LOW</v>
      </c>
      <c r="N37" s="5">
        <v>4</v>
      </c>
      <c r="O37" s="5">
        <v>3</v>
      </c>
      <c r="P37" s="5">
        <f t="shared" si="13"/>
        <v>50941.440096541315</v>
      </c>
      <c r="Q37" s="5" cm="1">
        <f t="array" aca="1" ref="Q37" ca="1">INDEX($D$2:$D$129, RANDBETWEEN(1,128))</f>
        <v>24</v>
      </c>
      <c r="R37" s="5" cm="1">
        <f t="array" aca="1" ref="R37" ca="1">INDEX($F$2:$F$129, RANDBETWEEN(1,129))</f>
        <v>0.75</v>
      </c>
      <c r="S37" s="5"/>
      <c r="T37" s="20" t="s">
        <v>1288</v>
      </c>
      <c r="U37" s="20">
        <f>COUNT(D:D)</f>
        <v>127</v>
      </c>
      <c r="V37" s="5"/>
      <c r="W37" s="5"/>
      <c r="Y37" s="30" t="s">
        <v>40</v>
      </c>
      <c r="Z37" s="19" t="s">
        <v>1339</v>
      </c>
    </row>
    <row r="38" spans="1:26" x14ac:dyDescent="0.35">
      <c r="A38" s="5" t="s">
        <v>8</v>
      </c>
      <c r="B38" s="5">
        <v>546429</v>
      </c>
      <c r="C38" s="5">
        <v>15036</v>
      </c>
      <c r="D38" s="5">
        <v>12</v>
      </c>
      <c r="E38" s="6">
        <v>40615.642361111109</v>
      </c>
      <c r="F38" s="8">
        <v>0.75</v>
      </c>
      <c r="G38" s="5">
        <v>17611</v>
      </c>
      <c r="H38" s="5">
        <f t="shared" si="7"/>
        <v>0.23404255319148937</v>
      </c>
      <c r="I38" s="5">
        <f t="shared" si="8"/>
        <v>6.5076026784813848E-2</v>
      </c>
      <c r="J38" s="5" t="str">
        <f t="shared" si="9"/>
        <v>HIGH</v>
      </c>
      <c r="K38" s="8">
        <f t="shared" si="10"/>
        <v>0</v>
      </c>
      <c r="L38" s="8">
        <f t="shared" si="11"/>
        <v>-0.73456878016154581</v>
      </c>
      <c r="M38" s="5" t="str">
        <f t="shared" si="12"/>
        <v>LOW</v>
      </c>
      <c r="N38" s="5" cm="1">
        <f t="array" aca="1" ref="N38" ca="1">INDEX($N$2:$N$15,RANDBETWEEN(1, ROWS($N$2:$N$15)))</f>
        <v>2</v>
      </c>
      <c r="O38" s="5" cm="1">
        <f t="array" aca="1" ref="O38" ca="1">INDEX($O$2:$O$15,RANDBETWEEN(1, ROWS($O$2:$O$15)))</f>
        <v>7</v>
      </c>
      <c r="P38" s="5">
        <f t="shared" ca="1" si="13"/>
        <v>51642.746409242587</v>
      </c>
      <c r="Q38" s="5" cm="1">
        <f t="array" aca="1" ref="Q38" ca="1">INDEX($D$2:$D$129, RANDBETWEEN(1,128))</f>
        <v>1</v>
      </c>
      <c r="R38" s="5" cm="1">
        <f t="array" aca="1" ref="R38" ca="1">INDEX($F$2:$F$129, RANDBETWEEN(1,129))</f>
        <v>0.79</v>
      </c>
      <c r="S38" s="5"/>
      <c r="T38" s="20" t="s">
        <v>1289</v>
      </c>
      <c r="U38" s="20">
        <f>AVERAGE(D:D)</f>
        <v>11.283464566929133</v>
      </c>
      <c r="V38" s="5"/>
      <c r="W38" s="5"/>
      <c r="Y38" s="30" t="s">
        <v>41</v>
      </c>
      <c r="Z38" s="19" t="s">
        <v>1340</v>
      </c>
    </row>
    <row r="39" spans="1:26" x14ac:dyDescent="0.35">
      <c r="A39" s="5" t="s">
        <v>18</v>
      </c>
      <c r="B39" s="5">
        <v>546530</v>
      </c>
      <c r="C39" s="5">
        <v>15036</v>
      </c>
      <c r="D39" s="5">
        <v>12</v>
      </c>
      <c r="E39" s="6">
        <v>40616.559027777781</v>
      </c>
      <c r="F39" s="8">
        <v>0.75</v>
      </c>
      <c r="G39" s="5">
        <v>17404</v>
      </c>
      <c r="H39" s="5">
        <f t="shared" si="7"/>
        <v>0.23404255319148937</v>
      </c>
      <c r="I39" s="5">
        <f t="shared" si="8"/>
        <v>6.5076026784813848E-2</v>
      </c>
      <c r="J39" s="5" t="str">
        <f t="shared" si="9"/>
        <v>HIGH</v>
      </c>
      <c r="K39" s="8">
        <f t="shared" si="10"/>
        <v>0</v>
      </c>
      <c r="L39" s="8">
        <f t="shared" si="11"/>
        <v>-0.73456878016154581</v>
      </c>
      <c r="M39" s="5" t="str">
        <f t="shared" si="12"/>
        <v>LOW</v>
      </c>
      <c r="N39" s="5" cm="1">
        <f t="array" aca="1" ref="N39" ca="1">INDEX($N$2:$N$15,RANDBETWEEN(1, ROWS($N$2:$N$15)))</f>
        <v>12</v>
      </c>
      <c r="O39" s="5" cm="1">
        <f t="array" aca="1" ref="O39" ca="1">INDEX($O$2:$O$15,RANDBETWEEN(1, ROWS($O$2:$O$15)))</f>
        <v>7</v>
      </c>
      <c r="P39" s="5">
        <f t="shared" ca="1" si="13"/>
        <v>51634.82279813147</v>
      </c>
      <c r="Q39" s="5" cm="1">
        <f t="array" aca="1" ref="Q39" ca="1">INDEX($D$2:$D$129, RANDBETWEEN(1,128))</f>
        <v>6</v>
      </c>
      <c r="R39" s="5" cm="1">
        <f t="array" aca="1" ref="R39" ca="1">INDEX($F$2:$F$129, RANDBETWEEN(1,129))</f>
        <v>0.83</v>
      </c>
      <c r="S39" s="5"/>
      <c r="T39" s="20" t="s">
        <v>1290</v>
      </c>
      <c r="U39" s="20">
        <f>_xlfn.STDEV.S(D:D)</f>
        <v>11.010743410015277</v>
      </c>
      <c r="V39" s="5"/>
      <c r="W39" s="5"/>
      <c r="Y39" s="13"/>
      <c r="Z39" s="5"/>
    </row>
    <row r="40" spans="1:26" x14ac:dyDescent="0.35">
      <c r="A40" s="5" t="s">
        <v>8</v>
      </c>
      <c r="B40" s="5">
        <v>546731</v>
      </c>
      <c r="C40" s="5">
        <v>15036</v>
      </c>
      <c r="D40" s="5">
        <v>12</v>
      </c>
      <c r="E40" s="6">
        <v>40618.48541666667</v>
      </c>
      <c r="F40" s="8">
        <v>0.75</v>
      </c>
      <c r="G40" s="5">
        <v>13089</v>
      </c>
      <c r="H40" s="5">
        <f t="shared" si="7"/>
        <v>0.23404255319148937</v>
      </c>
      <c r="I40" s="5">
        <f t="shared" si="8"/>
        <v>6.5076026784813848E-2</v>
      </c>
      <c r="J40" s="5" t="str">
        <f t="shared" si="9"/>
        <v>HIGH</v>
      </c>
      <c r="K40" s="8">
        <f t="shared" si="10"/>
        <v>0</v>
      </c>
      <c r="L40" s="8">
        <f t="shared" si="11"/>
        <v>-0.73456878016154581</v>
      </c>
      <c r="M40" s="5" t="str">
        <f t="shared" si="12"/>
        <v>LOW</v>
      </c>
      <c r="N40" s="5" cm="1">
        <f t="array" aca="1" ref="N40" ca="1">INDEX($N$2:$N$15,RANDBETWEEN(1, ROWS($N$2:$N$15)))</f>
        <v>4</v>
      </c>
      <c r="O40" s="5" cm="1">
        <f t="array" aca="1" ref="O40" ca="1">INDEX($O$2:$O$15,RANDBETWEEN(1, ROWS($O$2:$O$15)))</f>
        <v>5</v>
      </c>
      <c r="P40" s="5">
        <f t="shared" ca="1" si="13"/>
        <v>51291.316663872218</v>
      </c>
      <c r="Q40" s="5" cm="1">
        <f t="array" aca="1" ref="Q40" ca="1">INDEX($D$2:$D$129, RANDBETWEEN(1,128))</f>
        <v>1</v>
      </c>
      <c r="R40" s="5" cm="1">
        <f t="array" aca="1" ref="R40" ca="1">INDEX($F$2:$F$129, RANDBETWEEN(1,129))</f>
        <v>0.85</v>
      </c>
      <c r="S40" s="5"/>
      <c r="T40" s="20" t="s">
        <v>1275</v>
      </c>
      <c r="U40" s="20">
        <f>U39/SQRT(U37)</f>
        <v>0.97704548383876344</v>
      </c>
      <c r="V40" s="5"/>
      <c r="W40" s="5"/>
      <c r="Y40" s="30" t="s">
        <v>42</v>
      </c>
      <c r="Z40" s="19" t="s">
        <v>1341</v>
      </c>
    </row>
    <row r="41" spans="1:26" x14ac:dyDescent="0.35">
      <c r="A41" s="5" t="s">
        <v>8</v>
      </c>
      <c r="B41" s="5">
        <v>546731</v>
      </c>
      <c r="C41" s="5">
        <v>15036</v>
      </c>
      <c r="D41" s="5">
        <v>24</v>
      </c>
      <c r="E41" s="6">
        <v>40618.48541666667</v>
      </c>
      <c r="F41" s="8">
        <v>0.75</v>
      </c>
      <c r="G41" s="5">
        <v>13089</v>
      </c>
      <c r="H41" s="5">
        <f t="shared" si="7"/>
        <v>0.48936170212765956</v>
      </c>
      <c r="I41" s="5">
        <f t="shared" si="8"/>
        <v>1.1549206951370801</v>
      </c>
      <c r="J41" s="5" t="str">
        <f t="shared" si="9"/>
        <v>HIGH</v>
      </c>
      <c r="K41" s="8">
        <f t="shared" si="10"/>
        <v>0</v>
      </c>
      <c r="L41" s="8">
        <f t="shared" si="11"/>
        <v>-0.73456878016154581</v>
      </c>
      <c r="M41" s="5" t="str">
        <f t="shared" si="12"/>
        <v>LOW</v>
      </c>
      <c r="N41" s="5" cm="1">
        <f t="array" aca="1" ref="N41" ca="1">INDEX($N$2:$N$15,RANDBETWEEN(1, ROWS($N$2:$N$15)))</f>
        <v>2</v>
      </c>
      <c r="O41" s="5" cm="1">
        <f t="array" aca="1" ref="O41" ca="1">INDEX($O$2:$O$15,RANDBETWEEN(1, ROWS($O$2:$O$15)))</f>
        <v>5</v>
      </c>
      <c r="P41" s="5">
        <f t="shared" ca="1" si="13"/>
        <v>51292.262094190315</v>
      </c>
      <c r="Q41" s="5" cm="1">
        <f t="array" aca="1" ref="Q41" ca="1">INDEX($D$2:$D$129, RANDBETWEEN(1,128))</f>
        <v>20</v>
      </c>
      <c r="R41" s="5" cm="1">
        <f t="array" aca="1" ref="R41" ca="1">INDEX($F$2:$F$129, RANDBETWEEN(1,129))</f>
        <v>0.81</v>
      </c>
      <c r="S41" s="5"/>
      <c r="T41" s="20" t="s">
        <v>1291</v>
      </c>
      <c r="U41" s="20">
        <f>(U39-U36)/U40</f>
        <v>-19.435386483111177</v>
      </c>
      <c r="V41" s="5"/>
      <c r="W41" s="5"/>
      <c r="Y41" s="30" t="s">
        <v>43</v>
      </c>
      <c r="Z41" s="19" t="s">
        <v>1342</v>
      </c>
    </row>
    <row r="42" spans="1:26" x14ac:dyDescent="0.35">
      <c r="A42" s="5" t="s">
        <v>8</v>
      </c>
      <c r="B42" s="5">
        <v>546774</v>
      </c>
      <c r="C42" s="5">
        <v>15036</v>
      </c>
      <c r="D42" s="5">
        <v>12</v>
      </c>
      <c r="E42" s="6">
        <v>40618.65625</v>
      </c>
      <c r="F42" s="8">
        <v>0.75</v>
      </c>
      <c r="G42" s="5">
        <v>14505</v>
      </c>
      <c r="H42" s="5">
        <f t="shared" si="7"/>
        <v>0.23404255319148937</v>
      </c>
      <c r="I42" s="5">
        <f t="shared" si="8"/>
        <v>6.5076026784813848E-2</v>
      </c>
      <c r="J42" s="5" t="str">
        <f t="shared" si="9"/>
        <v>HIGH</v>
      </c>
      <c r="K42" s="8">
        <f t="shared" si="10"/>
        <v>0</v>
      </c>
      <c r="L42" s="8">
        <f t="shared" si="11"/>
        <v>-0.73456878016154581</v>
      </c>
      <c r="M42" s="5" t="str">
        <f t="shared" si="12"/>
        <v>LOW</v>
      </c>
      <c r="N42" s="5" cm="1">
        <f t="array" aca="1" ref="N42" ca="1">INDEX($N$2:$N$15,RANDBETWEEN(1, ROWS($N$2:$N$15)))</f>
        <v>2</v>
      </c>
      <c r="O42" s="5" cm="1">
        <f t="array" aca="1" ref="O42" ca="1">INDEX($O$2:$O$15,RANDBETWEEN(1, ROWS($O$2:$O$15)))</f>
        <v>7</v>
      </c>
      <c r="P42" s="5">
        <f t="shared" ca="1" si="13"/>
        <v>51412.91423331666</v>
      </c>
      <c r="Q42" s="5" cm="1">
        <f t="array" aca="1" ref="Q42" ca="1">INDEX($D$2:$D$129, RANDBETWEEN(1,128))</f>
        <v>6</v>
      </c>
      <c r="R42" s="5" cm="1">
        <f t="array" aca="1" ref="R42" ca="1">INDEX($F$2:$F$129, RANDBETWEEN(1,129))</f>
        <v>0.85</v>
      </c>
      <c r="S42" s="5"/>
      <c r="T42" s="20" t="s">
        <v>1292</v>
      </c>
      <c r="U42" s="20">
        <f>_xlfn.Z.TEST(D:D, 30)</f>
        <v>1</v>
      </c>
      <c r="V42" s="5"/>
      <c r="W42" s="5"/>
      <c r="Y42" s="13"/>
      <c r="Z42" s="5"/>
    </row>
    <row r="43" spans="1:26" x14ac:dyDescent="0.35">
      <c r="A43" s="5" t="s">
        <v>8</v>
      </c>
      <c r="B43" s="5">
        <v>546884</v>
      </c>
      <c r="C43" s="5">
        <v>15036</v>
      </c>
      <c r="D43" s="5">
        <v>1</v>
      </c>
      <c r="E43" s="6">
        <v>40619.755555555559</v>
      </c>
      <c r="F43" s="8">
        <v>1.63</v>
      </c>
      <c r="G43" s="5" t="s">
        <v>1331</v>
      </c>
      <c r="H43" s="5">
        <f t="shared" si="7"/>
        <v>0</v>
      </c>
      <c r="I43" s="5">
        <f t="shared" si="8"/>
        <v>-0.93394825253809688</v>
      </c>
      <c r="J43" s="5" t="str">
        <f t="shared" si="9"/>
        <v>LOW</v>
      </c>
      <c r="K43" s="8">
        <f t="shared" si="10"/>
        <v>0.96703296703296704</v>
      </c>
      <c r="L43" s="8">
        <f t="shared" si="11"/>
        <v>1.9352005489719497</v>
      </c>
      <c r="M43" s="5" t="str">
        <f t="shared" si="12"/>
        <v>HIGH</v>
      </c>
      <c r="N43" s="5" cm="1">
        <f t="array" aca="1" ref="N43" ca="1">INDEX($N$2:$N$15,RANDBETWEEN(1, ROWS($N$2:$N$15)))</f>
        <v>12</v>
      </c>
      <c r="O43" s="5" cm="1">
        <f t="array" aca="1" ref="O43" ca="1">INDEX($O$2:$O$15,RANDBETWEEN(1, ROWS($O$2:$O$15)))</f>
        <v>3</v>
      </c>
      <c r="P43" s="5">
        <f t="shared" ca="1" si="13"/>
        <v>54778.123076438089</v>
      </c>
      <c r="Q43" s="5" cm="1">
        <f t="array" aca="1" ref="Q43" ca="1">INDEX($D$2:$D$129, RANDBETWEEN(1,128))</f>
        <v>24</v>
      </c>
      <c r="R43" s="5" cm="1">
        <f t="array" aca="1" ref="R43" ca="1">INDEX($F$2:$F$129, RANDBETWEEN(1,129))</f>
        <v>0.85</v>
      </c>
      <c r="S43" s="5"/>
      <c r="T43" s="20" t="s">
        <v>1293</v>
      </c>
      <c r="U43" s="20" t="str">
        <f>IF(U42&lt;U35,"Reject H₀","Fail to Reject H₀")</f>
        <v>Fail to Reject H₀</v>
      </c>
      <c r="V43" s="5"/>
      <c r="W43" s="5"/>
      <c r="Y43" s="13"/>
      <c r="Z43" s="5"/>
    </row>
    <row r="44" spans="1:26" x14ac:dyDescent="0.35">
      <c r="A44" s="5" t="s">
        <v>8</v>
      </c>
      <c r="B44" s="5">
        <v>546891</v>
      </c>
      <c r="C44" s="5">
        <v>15036</v>
      </c>
      <c r="D44" s="5">
        <v>12</v>
      </c>
      <c r="E44" s="6">
        <v>40619.762499999997</v>
      </c>
      <c r="F44" s="8">
        <v>1.63</v>
      </c>
      <c r="G44" s="5" t="s">
        <v>1331</v>
      </c>
      <c r="H44" s="5">
        <f t="shared" si="7"/>
        <v>0.23404255319148937</v>
      </c>
      <c r="I44" s="5">
        <f t="shared" si="8"/>
        <v>6.5076026784813848E-2</v>
      </c>
      <c r="J44" s="5" t="str">
        <f t="shared" si="9"/>
        <v>HIGH</v>
      </c>
      <c r="K44" s="8">
        <f t="shared" si="10"/>
        <v>0.96703296703296704</v>
      </c>
      <c r="L44" s="8">
        <f t="shared" si="11"/>
        <v>1.9352005489719497</v>
      </c>
      <c r="M44" s="5" t="str">
        <f t="shared" si="12"/>
        <v>HIGH</v>
      </c>
      <c r="N44" s="5" cm="1">
        <f t="array" aca="1" ref="N44" ca="1">INDEX($N$2:$N$15,RANDBETWEEN(1, ROWS($N$2:$N$15)))</f>
        <v>12</v>
      </c>
      <c r="O44" s="5" cm="1">
        <f t="array" aca="1" ref="O44" ca="1">INDEX($O$2:$O$15,RANDBETWEEN(1, ROWS($O$2:$O$15)))</f>
        <v>5</v>
      </c>
      <c r="P44" s="5">
        <f t="shared" ca="1" si="13"/>
        <v>54780.05398655418</v>
      </c>
      <c r="Q44" s="5" cm="1">
        <f t="array" aca="1" ref="Q44" ca="1">INDEX($D$2:$D$129, RANDBETWEEN(1,128))</f>
        <v>5</v>
      </c>
      <c r="R44" s="5" cm="1">
        <f t="array" aca="1" ref="R44" ca="1">INDEX($F$2:$F$129, RANDBETWEEN(1,129))</f>
        <v>1.63</v>
      </c>
      <c r="S44" s="5"/>
      <c r="T44" s="5"/>
      <c r="U44" s="5"/>
      <c r="V44" s="5"/>
      <c r="W44" s="5"/>
      <c r="Y44" s="30" t="s">
        <v>44</v>
      </c>
      <c r="Z44" s="19">
        <f>_xlfn.STDEV.S(D:D)</f>
        <v>11.010743410015277</v>
      </c>
    </row>
    <row r="45" spans="1:26" x14ac:dyDescent="0.35">
      <c r="A45" s="5" t="s">
        <v>8</v>
      </c>
      <c r="B45" s="5">
        <v>546892</v>
      </c>
      <c r="C45" s="5">
        <v>15036</v>
      </c>
      <c r="D45" s="5">
        <v>4</v>
      </c>
      <c r="E45" s="6">
        <v>40619.763888888891</v>
      </c>
      <c r="F45" s="8">
        <v>1.63</v>
      </c>
      <c r="G45" s="5" t="s">
        <v>1331</v>
      </c>
      <c r="H45" s="5">
        <f t="shared" si="7"/>
        <v>6.3829787234042548E-2</v>
      </c>
      <c r="I45" s="5">
        <f t="shared" si="8"/>
        <v>-0.66148708545003032</v>
      </c>
      <c r="J45" s="5" t="str">
        <f t="shared" si="9"/>
        <v>LOW</v>
      </c>
      <c r="K45" s="8">
        <f t="shared" si="10"/>
        <v>0.96703296703296704</v>
      </c>
      <c r="L45" s="8">
        <f t="shared" si="11"/>
        <v>1.9352005489719497</v>
      </c>
      <c r="M45" s="5" t="str">
        <f t="shared" si="12"/>
        <v>HIGH</v>
      </c>
      <c r="N45" s="5" cm="1">
        <f t="array" aca="1" ref="N45" ca="1">INDEX($N$2:$N$15,RANDBETWEEN(1, ROWS($N$2:$N$15)))</f>
        <v>8</v>
      </c>
      <c r="O45" s="5" cm="1">
        <f t="array" aca="1" ref="O45" ca="1">INDEX($O$2:$O$15,RANDBETWEEN(1, ROWS($O$2:$O$15)))</f>
        <v>4</v>
      </c>
      <c r="P45" s="5">
        <f t="shared" ca="1" si="13"/>
        <v>54778.881678646059</v>
      </c>
      <c r="Q45" s="5" cm="1">
        <f t="array" aca="1" ref="Q45" ca="1">INDEX($D$2:$D$129, RANDBETWEEN(1,128))</f>
        <v>12</v>
      </c>
      <c r="R45" s="5" cm="1">
        <f t="array" aca="1" ref="R45" ca="1">INDEX($F$2:$F$129, RANDBETWEEN(1,129))</f>
        <v>0.83</v>
      </c>
      <c r="S45" s="5"/>
      <c r="T45" s="5"/>
      <c r="U45" s="5"/>
      <c r="V45" s="5"/>
      <c r="W45" s="5"/>
      <c r="Y45" s="30" t="s">
        <v>45</v>
      </c>
      <c r="Z45" s="19">
        <f>_xlfn.STDEV.S(F:F)</f>
        <v>0.32961649173099689</v>
      </c>
    </row>
    <row r="46" spans="1:26" x14ac:dyDescent="0.35">
      <c r="A46" s="5" t="s">
        <v>8</v>
      </c>
      <c r="B46" s="5">
        <v>546896</v>
      </c>
      <c r="C46" s="5">
        <v>15036</v>
      </c>
      <c r="D46" s="5">
        <v>17</v>
      </c>
      <c r="E46" s="6">
        <v>40619.76666666667</v>
      </c>
      <c r="F46" s="12">
        <v>0.99</v>
      </c>
      <c r="G46" s="5" t="s">
        <v>1331</v>
      </c>
      <c r="H46" s="5">
        <f t="shared" si="7"/>
        <v>0.34042553191489361</v>
      </c>
      <c r="I46" s="5">
        <f t="shared" si="8"/>
        <v>0.51917797193159143</v>
      </c>
      <c r="J46" s="5" t="str">
        <f t="shared" si="9"/>
        <v>HIGH</v>
      </c>
      <c r="K46" s="8">
        <f t="shared" si="10"/>
        <v>0.26373626373626374</v>
      </c>
      <c r="L46" s="8">
        <f t="shared" si="11"/>
        <v>-6.4498722160469908E-3</v>
      </c>
      <c r="M46" s="5" t="str">
        <f t="shared" si="12"/>
        <v>LOW</v>
      </c>
      <c r="N46" s="5" cm="1">
        <f t="array" aca="1" ref="N46" ca="1">INDEX($N$2:$N$15,RANDBETWEEN(1, ROWS($N$2:$N$15)))</f>
        <v>4</v>
      </c>
      <c r="O46" s="5" cm="1">
        <f t="array" aca="1" ref="O46" ca="1">INDEX($O$2:$O$15,RANDBETWEEN(1, ROWS($O$2:$O$15)))</f>
        <v>7</v>
      </c>
      <c r="P46" s="5">
        <f t="shared" ca="1" si="13"/>
        <v>54780.17032332383</v>
      </c>
      <c r="Q46" s="5" cm="1">
        <f t="array" aca="1" ref="Q46" ca="1">INDEX($D$2:$D$129, RANDBETWEEN(1,128))</f>
        <v>12</v>
      </c>
      <c r="R46" s="5" cm="1">
        <f t="array" aca="1" ref="R46" ca="1">INDEX($F$2:$F$129, RANDBETWEEN(1,129))</f>
        <v>0.85</v>
      </c>
      <c r="S46" s="5"/>
      <c r="T46" s="5"/>
      <c r="U46" s="5"/>
      <c r="V46" s="5"/>
      <c r="W46" s="5"/>
      <c r="Y46" s="13"/>
      <c r="Z46" s="5"/>
    </row>
    <row r="47" spans="1:26" x14ac:dyDescent="0.35">
      <c r="A47" s="5" t="s">
        <v>8</v>
      </c>
      <c r="B47" s="5">
        <v>547000</v>
      </c>
      <c r="C47" s="5">
        <v>15036</v>
      </c>
      <c r="D47" s="5">
        <v>12</v>
      </c>
      <c r="E47" s="6">
        <v>40620.57708333333</v>
      </c>
      <c r="F47" s="8">
        <v>0.75</v>
      </c>
      <c r="G47" s="5">
        <v>14282</v>
      </c>
      <c r="H47" s="5">
        <f t="shared" si="7"/>
        <v>0.23404255319148937</v>
      </c>
      <c r="I47" s="5">
        <f t="shared" si="8"/>
        <v>6.5076026784813848E-2</v>
      </c>
      <c r="J47" s="5" t="str">
        <f t="shared" si="9"/>
        <v>HIGH</v>
      </c>
      <c r="K47" s="8">
        <f t="shared" si="10"/>
        <v>0</v>
      </c>
      <c r="L47" s="8">
        <f t="shared" si="11"/>
        <v>-0.73456878016154581</v>
      </c>
      <c r="M47" s="5" t="str">
        <f t="shared" si="12"/>
        <v>LOW</v>
      </c>
      <c r="N47" s="5" cm="1">
        <f t="array" aca="1" ref="N47" ca="1">INDEX($N$2:$N$15,RANDBETWEEN(1, ROWS($N$2:$N$15)))</f>
        <v>4</v>
      </c>
      <c r="O47" s="5" cm="1">
        <f t="array" aca="1" ref="O47" ca="1">INDEX($O$2:$O$15,RANDBETWEEN(1, ROWS($O$2:$O$15)))</f>
        <v>1</v>
      </c>
      <c r="P47" s="5">
        <f t="shared" ca="1" si="13"/>
        <v>51412.990969427767</v>
      </c>
      <c r="Q47" s="5" cm="1">
        <f t="array" aca="1" ref="Q47" ca="1">INDEX($D$2:$D$129, RANDBETWEEN(1,128))</f>
        <v>12</v>
      </c>
      <c r="R47" s="5" cm="1">
        <f t="array" aca="1" ref="R47" ca="1">INDEX($F$2:$F$129, RANDBETWEEN(1,129))</f>
        <v>1.63</v>
      </c>
      <c r="S47" s="5"/>
      <c r="T47" s="5"/>
      <c r="U47" s="5"/>
      <c r="V47" s="5"/>
      <c r="W47" s="5"/>
      <c r="Y47" s="30" t="s">
        <v>46</v>
      </c>
      <c r="Z47" s="19">
        <f>($D$2-$Z$21)/$Z$44</f>
        <v>3.3346100318416125</v>
      </c>
    </row>
    <row r="48" spans="1:26" x14ac:dyDescent="0.35">
      <c r="A48" s="5" t="s">
        <v>8</v>
      </c>
      <c r="B48" s="5">
        <v>547062</v>
      </c>
      <c r="C48" s="5">
        <v>15036</v>
      </c>
      <c r="D48" s="5">
        <v>12</v>
      </c>
      <c r="E48" s="6">
        <v>40622.561111111114</v>
      </c>
      <c r="F48" s="8">
        <v>0.75</v>
      </c>
      <c r="G48" s="5">
        <v>16728</v>
      </c>
      <c r="H48" s="5">
        <f t="shared" si="7"/>
        <v>0.23404255319148937</v>
      </c>
      <c r="I48" s="5">
        <f t="shared" si="8"/>
        <v>6.5076026784813848E-2</v>
      </c>
      <c r="J48" s="5" t="str">
        <f t="shared" si="9"/>
        <v>HIGH</v>
      </c>
      <c r="K48" s="8">
        <f t="shared" si="10"/>
        <v>0</v>
      </c>
      <c r="L48" s="8">
        <f t="shared" si="11"/>
        <v>-0.73456878016154581</v>
      </c>
      <c r="M48" s="5" t="str">
        <f t="shared" si="12"/>
        <v>LOW</v>
      </c>
      <c r="N48" s="5" cm="1">
        <f t="array" aca="1" ref="N48" ca="1">INDEX($N$2:$N$15,RANDBETWEEN(1, ROWS($N$2:$N$15)))</f>
        <v>12</v>
      </c>
      <c r="O48" s="5" cm="1">
        <f t="array" aca="1" ref="O48" ca="1">INDEX($O$2:$O$15,RANDBETWEEN(1, ROWS($O$2:$O$15)))</f>
        <v>4</v>
      </c>
      <c r="P48" s="5">
        <f t="shared" ca="1" si="13"/>
        <v>51623.072971742578</v>
      </c>
      <c r="Q48" s="5" cm="1">
        <f t="array" aca="1" ref="Q48" ca="1">INDEX($D$2:$D$129, RANDBETWEEN(1,128))</f>
        <v>0</v>
      </c>
      <c r="R48" s="5" cm="1">
        <f t="array" aca="1" ref="R48" ca="1">INDEX($F$2:$F$129, RANDBETWEEN(1,129))</f>
        <v>1.63</v>
      </c>
      <c r="S48" s="5"/>
      <c r="T48" s="29" t="s">
        <v>1363</v>
      </c>
      <c r="U48" s="20"/>
      <c r="V48" s="5"/>
      <c r="W48" s="5"/>
      <c r="Y48" s="30" t="s">
        <v>47</v>
      </c>
      <c r="Z48" s="31">
        <f>($F$2-$Z$22)/$Z$45</f>
        <v>-0.43118590185092137</v>
      </c>
    </row>
    <row r="49" spans="1:23" x14ac:dyDescent="0.35">
      <c r="A49" s="5" t="s">
        <v>8</v>
      </c>
      <c r="B49" s="5">
        <v>547078</v>
      </c>
      <c r="C49" s="5">
        <v>15036</v>
      </c>
      <c r="D49" s="5">
        <v>24</v>
      </c>
      <c r="E49" s="6">
        <v>40622.611805555556</v>
      </c>
      <c r="F49" s="8">
        <v>0.75</v>
      </c>
      <c r="G49" s="5">
        <v>14408</v>
      </c>
      <c r="H49" s="5">
        <f t="shared" si="7"/>
        <v>0.48936170212765956</v>
      </c>
      <c r="I49" s="5">
        <f t="shared" si="8"/>
        <v>1.1549206951370801</v>
      </c>
      <c r="J49" s="5" t="str">
        <f t="shared" si="9"/>
        <v>HIGH</v>
      </c>
      <c r="K49" s="8">
        <f t="shared" si="10"/>
        <v>0</v>
      </c>
      <c r="L49" s="8">
        <f t="shared" si="11"/>
        <v>-0.73456878016154581</v>
      </c>
      <c r="M49" s="5" t="str">
        <f t="shared" si="12"/>
        <v>LOW</v>
      </c>
      <c r="N49" s="5" cm="1">
        <f t="array" aca="1" ref="N49" ca="1">INDEX($N$2:$N$15,RANDBETWEEN(1, ROWS($N$2:$N$15)))</f>
        <v>9</v>
      </c>
      <c r="O49" s="5" cm="1">
        <f t="array" aca="1" ref="O49" ca="1">INDEX($O$2:$O$15,RANDBETWEEN(1, ROWS($O$2:$O$15)))</f>
        <v>7</v>
      </c>
      <c r="P49" s="5">
        <f t="shared" ca="1" si="13"/>
        <v>51432.189293264382</v>
      </c>
      <c r="Q49" s="5" cm="1">
        <f t="array" aca="1" ref="Q49" ca="1">INDEX($D$2:$D$129, RANDBETWEEN(1,128))</f>
        <v>1</v>
      </c>
      <c r="R49" s="5" cm="1">
        <f t="array" aca="1" ref="R49" ca="1">INDEX($F$2:$F$129, RANDBETWEEN(1,129))</f>
        <v>0.85</v>
      </c>
      <c r="S49" s="5"/>
      <c r="T49" s="20" t="s">
        <v>1278</v>
      </c>
      <c r="U49" s="20" t="s">
        <v>1364</v>
      </c>
      <c r="V49" s="5"/>
      <c r="W49" s="5"/>
    </row>
    <row r="50" spans="1:23" x14ac:dyDescent="0.35">
      <c r="A50" s="5" t="s">
        <v>8</v>
      </c>
      <c r="B50" s="5">
        <v>547200</v>
      </c>
      <c r="C50" s="5">
        <v>15036</v>
      </c>
      <c r="D50" s="5">
        <v>24</v>
      </c>
      <c r="E50" s="6">
        <v>40623.542361111111</v>
      </c>
      <c r="F50" s="8">
        <v>0.75</v>
      </c>
      <c r="G50" s="5">
        <v>16036</v>
      </c>
      <c r="H50" s="5">
        <f t="shared" si="7"/>
        <v>0.48936170212765956</v>
      </c>
      <c r="I50" s="5">
        <f t="shared" si="8"/>
        <v>1.1549206951370801</v>
      </c>
      <c r="J50" s="5" t="str">
        <f t="shared" si="9"/>
        <v>HIGH</v>
      </c>
      <c r="K50" s="8">
        <f t="shared" si="10"/>
        <v>0</v>
      </c>
      <c r="L50" s="8">
        <f t="shared" si="11"/>
        <v>-0.73456878016154581</v>
      </c>
      <c r="M50" s="5" t="str">
        <f t="shared" si="12"/>
        <v>LOW</v>
      </c>
      <c r="N50" s="5" cm="1">
        <f t="array" aca="1" ref="N50" ca="1">INDEX($N$2:$N$15,RANDBETWEEN(1, ROWS($N$2:$N$15)))</f>
        <v>11</v>
      </c>
      <c r="O50" s="5" cm="1">
        <f t="array" aca="1" ref="O50" ca="1">INDEX($O$2:$O$15,RANDBETWEEN(1, ROWS($O$2:$O$15)))</f>
        <v>7</v>
      </c>
      <c r="P50" s="5">
        <f t="shared" ca="1" si="13"/>
        <v>51578.266839560682</v>
      </c>
      <c r="Q50" s="5" cm="1">
        <f t="array" aca="1" ref="Q50" ca="1">INDEX($D$2:$D$129, RANDBETWEEN(1,128))</f>
        <v>0</v>
      </c>
      <c r="R50" s="5" cm="1">
        <f t="array" aca="1" ref="R50" ca="1">INDEX($F$2:$F$129, RANDBETWEEN(1,129))</f>
        <v>1.63</v>
      </c>
      <c r="S50" s="5"/>
      <c r="T50" s="20" t="s">
        <v>1280</v>
      </c>
      <c r="U50" s="20" t="s">
        <v>1365</v>
      </c>
      <c r="V50" s="5"/>
      <c r="W50" s="5"/>
    </row>
    <row r="51" spans="1:23" x14ac:dyDescent="0.35">
      <c r="A51" s="5" t="s">
        <v>8</v>
      </c>
      <c r="B51" s="5">
        <v>547248</v>
      </c>
      <c r="C51" s="5">
        <v>15036</v>
      </c>
      <c r="D51" s="5">
        <v>11</v>
      </c>
      <c r="E51" s="6">
        <v>40624.390972222223</v>
      </c>
      <c r="F51" s="8">
        <v>1.63</v>
      </c>
      <c r="G51" s="5" t="s">
        <v>1331</v>
      </c>
      <c r="H51" s="5">
        <f t="shared" si="7"/>
        <v>0.21276595744680851</v>
      </c>
      <c r="I51" s="5">
        <f t="shared" si="8"/>
        <v>-2.5744362244541675E-2</v>
      </c>
      <c r="J51" s="5" t="str">
        <f t="shared" si="9"/>
        <v>LOW</v>
      </c>
      <c r="K51" s="8">
        <f t="shared" si="10"/>
        <v>0.96703296703296704</v>
      </c>
      <c r="L51" s="8">
        <f t="shared" si="11"/>
        <v>1.9352005489719497</v>
      </c>
      <c r="M51" s="5" t="str">
        <f t="shared" si="12"/>
        <v>HIGH</v>
      </c>
      <c r="N51" s="5" cm="1">
        <f t="array" aca="1" ref="N51" ca="1">INDEX($N$2:$N$15,RANDBETWEEN(1, ROWS($N$2:$N$15)))</f>
        <v>9</v>
      </c>
      <c r="O51" s="5" cm="1">
        <f t="array" aca="1" ref="O51" ca="1">INDEX($O$2:$O$15,RANDBETWEEN(1, ROWS($O$2:$O$15)))</f>
        <v>1</v>
      </c>
      <c r="P51" s="5">
        <f t="shared" ca="1" si="13"/>
        <v>54812.191838848492</v>
      </c>
      <c r="Q51" s="5" cm="1">
        <f t="array" aca="1" ref="Q51" ca="1">INDEX($D$2:$D$129, RANDBETWEEN(1,128))</f>
        <v>12</v>
      </c>
      <c r="R51" s="5" cm="1">
        <f t="array" aca="1" ref="R51" ca="1">INDEX($F$2:$F$129, RANDBETWEEN(1,129))</f>
        <v>0.85</v>
      </c>
      <c r="S51" s="5"/>
      <c r="T51" s="20" t="s">
        <v>1282</v>
      </c>
      <c r="U51" s="20" t="s">
        <v>1366</v>
      </c>
      <c r="V51" s="5"/>
      <c r="W51" s="5"/>
    </row>
    <row r="52" spans="1:23" x14ac:dyDescent="0.35">
      <c r="A52" s="5" t="s">
        <v>8</v>
      </c>
      <c r="B52" s="5">
        <v>547249</v>
      </c>
      <c r="C52" s="5">
        <v>15036</v>
      </c>
      <c r="D52" s="5">
        <v>12</v>
      </c>
      <c r="E52" s="6">
        <v>40624.393750000003</v>
      </c>
      <c r="F52" s="8">
        <v>1.63</v>
      </c>
      <c r="G52" s="5" t="s">
        <v>1331</v>
      </c>
      <c r="H52" s="5">
        <f t="shared" si="7"/>
        <v>0.23404255319148937</v>
      </c>
      <c r="I52" s="5">
        <f t="shared" si="8"/>
        <v>6.5076026784813848E-2</v>
      </c>
      <c r="J52" s="5" t="str">
        <f t="shared" si="9"/>
        <v>HIGH</v>
      </c>
      <c r="K52" s="8">
        <f t="shared" si="10"/>
        <v>0.96703296703296704</v>
      </c>
      <c r="L52" s="8">
        <f t="shared" si="11"/>
        <v>1.9352005489719497</v>
      </c>
      <c r="M52" s="5" t="str">
        <f t="shared" si="12"/>
        <v>HIGH</v>
      </c>
      <c r="N52" s="5" cm="1">
        <f t="array" aca="1" ref="N52" ca="1">INDEX($N$2:$N$15,RANDBETWEEN(1, ROWS($N$2:$N$15)))</f>
        <v>2</v>
      </c>
      <c r="O52" s="5" cm="1">
        <f t="array" aca="1" ref="O52" ca="1">INDEX($O$2:$O$15,RANDBETWEEN(1, ROWS($O$2:$O$15)))</f>
        <v>4</v>
      </c>
      <c r="P52" s="5">
        <f t="shared" ca="1" si="13"/>
        <v>54812.020463826921</v>
      </c>
      <c r="Q52" s="5" cm="1">
        <f t="array" aca="1" ref="Q52" ca="1">INDEX($D$2:$D$129, RANDBETWEEN(1,128))</f>
        <v>4</v>
      </c>
      <c r="R52" s="5" cm="1">
        <f t="array" aca="1" ref="R52" ca="1">INDEX($F$2:$F$129, RANDBETWEEN(1,129))</f>
        <v>0.85</v>
      </c>
      <c r="S52" s="5"/>
      <c r="T52" s="20" t="s">
        <v>1284</v>
      </c>
      <c r="U52" s="20" t="s">
        <v>1285</v>
      </c>
      <c r="V52" s="5"/>
      <c r="W52" s="5"/>
    </row>
    <row r="53" spans="1:23" x14ac:dyDescent="0.35">
      <c r="A53" s="5" t="s">
        <v>8</v>
      </c>
      <c r="B53" s="5">
        <v>547385</v>
      </c>
      <c r="C53" s="5">
        <v>15036</v>
      </c>
      <c r="D53" s="5">
        <v>22</v>
      </c>
      <c r="E53" s="6">
        <v>40624.658333333333</v>
      </c>
      <c r="F53" s="8">
        <v>1.63</v>
      </c>
      <c r="G53" s="5" t="s">
        <v>1331</v>
      </c>
      <c r="H53" s="5">
        <f t="shared" si="7"/>
        <v>0.44680851063829785</v>
      </c>
      <c r="I53" s="5">
        <f t="shared" si="8"/>
        <v>0.97327991707836903</v>
      </c>
      <c r="J53" s="5" t="str">
        <f t="shared" si="9"/>
        <v>HIGH</v>
      </c>
      <c r="K53" s="8">
        <f t="shared" si="10"/>
        <v>0.96703296703296704</v>
      </c>
      <c r="L53" s="8">
        <f t="shared" si="11"/>
        <v>1.9352005489719497</v>
      </c>
      <c r="M53" s="5" t="str">
        <f t="shared" si="12"/>
        <v>HIGH</v>
      </c>
      <c r="N53" s="5" cm="1">
        <f t="array" aca="1" ref="N53" ca="1">INDEX($N$2:$N$15,RANDBETWEEN(1, ROWS($N$2:$N$15)))</f>
        <v>4</v>
      </c>
      <c r="O53" s="5" cm="1">
        <f t="array" aca="1" ref="O53" ca="1">INDEX($O$2:$O$15,RANDBETWEEN(1, ROWS($O$2:$O$15)))</f>
        <v>1</v>
      </c>
      <c r="P53" s="5">
        <f t="shared" ca="1" si="13"/>
        <v>54825.328241388823</v>
      </c>
      <c r="Q53" s="5" cm="1">
        <f t="array" aca="1" ref="Q53" ca="1">INDEX($D$2:$D$129, RANDBETWEEN(1,128))</f>
        <v>1</v>
      </c>
      <c r="R53" s="5" cm="1">
        <f t="array" aca="1" ref="R53" ca="1">INDEX($F$2:$F$129, RANDBETWEEN(1,129))</f>
        <v>1.63</v>
      </c>
      <c r="S53" s="5"/>
      <c r="T53" s="20" t="s">
        <v>1286</v>
      </c>
      <c r="U53" s="20">
        <v>0.05</v>
      </c>
      <c r="V53" s="5"/>
      <c r="W53" s="5"/>
    </row>
    <row r="54" spans="1:23" x14ac:dyDescent="0.35">
      <c r="A54" s="5" t="s">
        <v>8</v>
      </c>
      <c r="B54" s="5">
        <v>547386</v>
      </c>
      <c r="C54" s="5">
        <v>15036</v>
      </c>
      <c r="D54" s="5">
        <v>6</v>
      </c>
      <c r="E54" s="6">
        <v>40624.661111111112</v>
      </c>
      <c r="F54" s="8">
        <v>1.63</v>
      </c>
      <c r="G54" s="5" t="s">
        <v>1331</v>
      </c>
      <c r="H54" s="5">
        <f t="shared" si="7"/>
        <v>0.10638297872340426</v>
      </c>
      <c r="I54" s="5">
        <f t="shared" si="8"/>
        <v>-0.47984630739131928</v>
      </c>
      <c r="J54" s="5" t="str">
        <f t="shared" si="9"/>
        <v>LOW</v>
      </c>
      <c r="K54" s="8">
        <f t="shared" si="10"/>
        <v>0.96703296703296704</v>
      </c>
      <c r="L54" s="8">
        <f t="shared" si="11"/>
        <v>1.9352005489719497</v>
      </c>
      <c r="M54" s="5" t="str">
        <f t="shared" si="12"/>
        <v>HIGH</v>
      </c>
      <c r="N54" s="5" cm="1">
        <f t="array" aca="1" ref="N54" ca="1">INDEX($N$2:$N$15,RANDBETWEEN(1, ROWS($N$2:$N$15)))</f>
        <v>9</v>
      </c>
      <c r="O54" s="5" cm="1">
        <f t="array" aca="1" ref="O54" ca="1">INDEX($O$2:$O$15,RANDBETWEEN(1, ROWS($O$2:$O$15)))</f>
        <v>5</v>
      </c>
      <c r="P54" s="5">
        <f t="shared" ca="1" si="13"/>
        <v>54824.619989208943</v>
      </c>
      <c r="Q54" s="5" cm="1">
        <f t="array" aca="1" ref="Q54" ca="1">INDEX($D$2:$D$129, RANDBETWEEN(1,128))</f>
        <v>20</v>
      </c>
      <c r="R54" s="5" cm="1">
        <f t="array" aca="1" ref="R54" ca="1">INDEX($F$2:$F$129, RANDBETWEEN(1,129))</f>
        <v>0.85</v>
      </c>
      <c r="S54" s="5"/>
      <c r="T54" s="20" t="s">
        <v>1287</v>
      </c>
      <c r="U54" s="20">
        <v>1.5</v>
      </c>
      <c r="V54" s="5"/>
      <c r="W54" s="5"/>
    </row>
    <row r="55" spans="1:23" x14ac:dyDescent="0.35">
      <c r="A55" s="5" t="s">
        <v>8</v>
      </c>
      <c r="B55" s="5">
        <v>547862</v>
      </c>
      <c r="C55" s="5" t="s">
        <v>1331</v>
      </c>
      <c r="D55" s="5">
        <v>12</v>
      </c>
      <c r="E55" s="6">
        <v>40629.537499999999</v>
      </c>
      <c r="F55" s="8">
        <v>0.75</v>
      </c>
      <c r="G55" s="5">
        <v>12841</v>
      </c>
      <c r="H55" s="5">
        <f t="shared" si="7"/>
        <v>0.23404255319148937</v>
      </c>
      <c r="I55" s="5">
        <f t="shared" si="8"/>
        <v>6.5076026784813848E-2</v>
      </c>
      <c r="J55" s="5" t="str">
        <f t="shared" si="9"/>
        <v>HIGH</v>
      </c>
      <c r="K55" s="8">
        <f t="shared" si="10"/>
        <v>0</v>
      </c>
      <c r="L55" s="8">
        <f t="shared" si="11"/>
        <v>-0.73456878016154581</v>
      </c>
      <c r="M55" s="5" t="str">
        <f t="shared" si="12"/>
        <v>LOW</v>
      </c>
      <c r="N55" s="5" cm="1">
        <f t="array" aca="1" ref="N55" ca="1">INDEX($N$2:$N$15,RANDBETWEEN(1, ROWS($N$2:$N$15)))</f>
        <v>4</v>
      </c>
      <c r="O55" s="5" cm="1">
        <f t="array" aca="1" ref="O55" ca="1">INDEX($O$2:$O$15,RANDBETWEEN(1, ROWS($O$2:$O$15)))</f>
        <v>4</v>
      </c>
      <c r="P55" s="5">
        <f t="shared" ca="1" si="13"/>
        <v>54668.441095436348</v>
      </c>
      <c r="Q55" s="5" cm="1">
        <f t="array" aca="1" ref="Q55" ca="1">INDEX($D$2:$D$129, RANDBETWEEN(1,128))</f>
        <v>12</v>
      </c>
      <c r="R55" s="5" cm="1">
        <f t="array" aca="1" ref="R55" ca="1">INDEX($F$2:$F$129, RANDBETWEEN(1,129))</f>
        <v>0.85</v>
      </c>
      <c r="S55" s="5"/>
      <c r="T55" s="20" t="s">
        <v>1288</v>
      </c>
      <c r="U55" s="20">
        <f>COUNT(F:F)</f>
        <v>127</v>
      </c>
      <c r="V55" s="5"/>
      <c r="W55" s="5"/>
    </row>
    <row r="56" spans="1:23" x14ac:dyDescent="0.35">
      <c r="A56" s="5" t="s">
        <v>8</v>
      </c>
      <c r="B56" s="5">
        <v>547879</v>
      </c>
      <c r="C56" s="5">
        <v>15036</v>
      </c>
      <c r="D56" s="5">
        <v>12</v>
      </c>
      <c r="E56" s="6">
        <v>40629.668749999997</v>
      </c>
      <c r="F56" s="8">
        <v>0.75</v>
      </c>
      <c r="G56" s="5">
        <v>12877</v>
      </c>
      <c r="H56" s="5">
        <f t="shared" si="7"/>
        <v>0.23404255319148937</v>
      </c>
      <c r="I56" s="5">
        <f t="shared" si="8"/>
        <v>6.5076026784813848E-2</v>
      </c>
      <c r="J56" s="5" t="str">
        <f t="shared" si="9"/>
        <v>HIGH</v>
      </c>
      <c r="K56" s="8">
        <f t="shared" si="10"/>
        <v>0</v>
      </c>
      <c r="L56" s="8">
        <f t="shared" si="11"/>
        <v>-0.73456878016154581</v>
      </c>
      <c r="M56" s="5" t="str">
        <f t="shared" si="12"/>
        <v>LOW</v>
      </c>
      <c r="N56" s="5" cm="1">
        <f t="array" aca="1" ref="N56" ca="1">INDEX($N$2:$N$15,RANDBETWEEN(1, ROWS($N$2:$N$15)))</f>
        <v>9</v>
      </c>
      <c r="O56" s="5" cm="1">
        <f t="array" aca="1" ref="O56" ca="1">INDEX($O$2:$O$15,RANDBETWEEN(1, ROWS($O$2:$O$15)))</f>
        <v>4</v>
      </c>
      <c r="P56" s="5">
        <f t="shared" ca="1" si="13"/>
        <v>51370.581941649987</v>
      </c>
      <c r="Q56" s="5" cm="1">
        <f t="array" aca="1" ref="Q56" ca="1">INDEX($D$2:$D$129, RANDBETWEEN(1,128))</f>
        <v>12</v>
      </c>
      <c r="R56" s="5" cm="1">
        <f t="array" aca="1" ref="R56" ca="1">INDEX($F$2:$F$129, RANDBETWEEN(1,129))</f>
        <v>0.85</v>
      </c>
      <c r="S56" s="5"/>
      <c r="T56" s="20" t="s">
        <v>1289</v>
      </c>
      <c r="U56" s="21">
        <f>AVERAGE(F:F)</f>
        <v>0.99212598425196663</v>
      </c>
      <c r="V56" s="5"/>
      <c r="W56" s="5"/>
    </row>
    <row r="57" spans="1:23" x14ac:dyDescent="0.35">
      <c r="A57" s="5" t="s">
        <v>21</v>
      </c>
      <c r="B57" s="5">
        <v>547925</v>
      </c>
      <c r="C57" s="5">
        <v>15036</v>
      </c>
      <c r="D57" s="5">
        <v>24</v>
      </c>
      <c r="E57" s="6">
        <v>40630.581250000003</v>
      </c>
      <c r="F57" s="8">
        <v>0.75</v>
      </c>
      <c r="G57" s="5">
        <v>12481</v>
      </c>
      <c r="H57" s="5">
        <f t="shared" si="7"/>
        <v>0.48936170212765956</v>
      </c>
      <c r="I57" s="5">
        <f t="shared" si="8"/>
        <v>1.1549206951370801</v>
      </c>
      <c r="J57" s="5" t="str">
        <f t="shared" si="9"/>
        <v>HIGH</v>
      </c>
      <c r="K57" s="8">
        <f t="shared" si="10"/>
        <v>0</v>
      </c>
      <c r="L57" s="8">
        <f t="shared" si="11"/>
        <v>-0.73456878016154581</v>
      </c>
      <c r="M57" s="5" t="str">
        <f t="shared" si="12"/>
        <v>LOW</v>
      </c>
      <c r="N57" s="5" cm="1">
        <f t="array" aca="1" ref="N57" ca="1">INDEX($N$2:$N$15,RANDBETWEEN(1, ROWS($N$2:$N$15)))</f>
        <v>9</v>
      </c>
      <c r="O57" s="5" cm="1">
        <f t="array" aca="1" ref="O57" ca="1">INDEX($O$2:$O$15,RANDBETWEEN(1, ROWS($O$2:$O$15)))</f>
        <v>3</v>
      </c>
      <c r="P57" s="5">
        <f t="shared" ca="1" si="13"/>
        <v>51342.520080301423</v>
      </c>
      <c r="Q57" s="5" cm="1">
        <f t="array" aca="1" ref="Q57" ca="1">INDEX($D$2:$D$129, RANDBETWEEN(1,128))</f>
        <v>20</v>
      </c>
      <c r="R57" s="5" cm="1">
        <f t="array" aca="1" ref="R57" ca="1">INDEX($F$2:$F$129, RANDBETWEEN(1,129))</f>
        <v>0.83</v>
      </c>
      <c r="S57" s="5"/>
      <c r="T57" s="20" t="s">
        <v>1290</v>
      </c>
      <c r="U57" s="20">
        <f>_xlfn.STDEV.S(F:F)</f>
        <v>0.32961649173099689</v>
      </c>
      <c r="V57" s="5"/>
      <c r="W57" s="5"/>
    </row>
    <row r="58" spans="1:23" x14ac:dyDescent="0.35">
      <c r="A58" s="5" t="s">
        <v>8</v>
      </c>
      <c r="B58" s="5">
        <v>547967</v>
      </c>
      <c r="C58" s="5">
        <v>15036</v>
      </c>
      <c r="D58" s="5">
        <v>4</v>
      </c>
      <c r="E58" s="6">
        <v>40630.65902777778</v>
      </c>
      <c r="F58" s="8">
        <v>1.63</v>
      </c>
      <c r="G58" s="5" t="s">
        <v>1331</v>
      </c>
      <c r="H58" s="5">
        <f t="shared" si="7"/>
        <v>6.3829787234042548E-2</v>
      </c>
      <c r="I58" s="5">
        <f t="shared" si="8"/>
        <v>-0.66148708545003032</v>
      </c>
      <c r="J58" s="5" t="str">
        <f t="shared" si="9"/>
        <v>LOW</v>
      </c>
      <c r="K58" s="8">
        <f t="shared" si="10"/>
        <v>0.96703296703296704</v>
      </c>
      <c r="L58" s="8">
        <f t="shared" si="11"/>
        <v>1.9352005489719497</v>
      </c>
      <c r="M58" s="5" t="str">
        <f t="shared" si="12"/>
        <v>HIGH</v>
      </c>
      <c r="N58" s="5" cm="1">
        <f t="array" aca="1" ref="N58" ca="1">INDEX($N$2:$N$15,RANDBETWEEN(1, ROWS($N$2:$N$15)))</f>
        <v>2</v>
      </c>
      <c r="O58" s="5" cm="1">
        <f t="array" aca="1" ref="O58" ca="1">INDEX($O$2:$O$15,RANDBETWEEN(1, ROWS($O$2:$O$15)))</f>
        <v>7</v>
      </c>
      <c r="P58" s="5">
        <f t="shared" ca="1" si="13"/>
        <v>54877.326691272319</v>
      </c>
      <c r="Q58" s="5" cm="1">
        <f t="array" aca="1" ref="Q58" ca="1">INDEX($D$2:$D$129, RANDBETWEEN(1,128))</f>
        <v>12</v>
      </c>
      <c r="R58" s="5" cm="1">
        <f t="array" aca="1" ref="R58" ca="1">INDEX($F$2:$F$129, RANDBETWEEN(1,129))</f>
        <v>0.81</v>
      </c>
      <c r="S58" s="5"/>
      <c r="T58" s="20" t="s">
        <v>1275</v>
      </c>
      <c r="U58" s="20">
        <f>U57/SQRT(U55)</f>
        <v>2.9248733954840275E-2</v>
      </c>
      <c r="V58" s="5"/>
      <c r="W58" s="5"/>
    </row>
    <row r="59" spans="1:23" x14ac:dyDescent="0.35">
      <c r="A59" s="5" t="s">
        <v>8</v>
      </c>
      <c r="B59" s="5">
        <v>548310</v>
      </c>
      <c r="C59" s="5">
        <v>15036</v>
      </c>
      <c r="D59" s="5">
        <v>12</v>
      </c>
      <c r="E59" s="6">
        <v>40632.50277777778</v>
      </c>
      <c r="F59" s="8">
        <v>0.83</v>
      </c>
      <c r="G59" s="5" t="s">
        <v>1331</v>
      </c>
      <c r="H59" s="5">
        <f t="shared" si="7"/>
        <v>0.23404255319148937</v>
      </c>
      <c r="I59" s="5">
        <f t="shared" si="8"/>
        <v>6.5076026784813848E-2</v>
      </c>
      <c r="J59" s="5" t="str">
        <f t="shared" si="9"/>
        <v>HIGH</v>
      </c>
      <c r="K59" s="8">
        <f t="shared" si="10"/>
        <v>8.7912087912087877E-2</v>
      </c>
      <c r="L59" s="8">
        <f t="shared" si="11"/>
        <v>-0.49186247751304629</v>
      </c>
      <c r="M59" s="5" t="str">
        <f t="shared" si="12"/>
        <v>LOW</v>
      </c>
      <c r="N59" s="5" cm="1">
        <f t="array" aca="1" ref="N59" ca="1">INDEX($N$2:$N$15,RANDBETWEEN(1, ROWS($N$2:$N$15)))</f>
        <v>12</v>
      </c>
      <c r="O59" s="5" cm="1">
        <f t="array" aca="1" ref="O59" ca="1">INDEX($O$2:$O$15,RANDBETWEEN(1, ROWS($O$2:$O$15)))</f>
        <v>1</v>
      </c>
      <c r="P59" s="5">
        <f t="shared" ca="1" si="13"/>
        <v>54909.475267815287</v>
      </c>
      <c r="Q59" s="5" cm="1">
        <f t="array" aca="1" ref="Q59" ca="1">INDEX($D$2:$D$129, RANDBETWEEN(1,128))</f>
        <v>12</v>
      </c>
      <c r="R59" s="5" cm="1">
        <f t="array" aca="1" ref="R59" ca="1">INDEX($F$2:$F$129, RANDBETWEEN(1,129))</f>
        <v>1.63</v>
      </c>
      <c r="S59" s="5"/>
      <c r="T59" s="20" t="s">
        <v>1291</v>
      </c>
      <c r="U59" s="20">
        <f>(U57-U54)/U58</f>
        <v>-40.014843380095094</v>
      </c>
      <c r="V59" s="5"/>
      <c r="W59" s="5"/>
    </row>
    <row r="60" spans="1:23" x14ac:dyDescent="0.35">
      <c r="A60" s="5" t="s">
        <v>8</v>
      </c>
      <c r="B60" s="5">
        <v>548522</v>
      </c>
      <c r="C60" s="5">
        <v>15036</v>
      </c>
      <c r="D60" s="5">
        <v>1</v>
      </c>
      <c r="E60" s="6">
        <v>40633.696527777778</v>
      </c>
      <c r="F60" s="8">
        <v>1.63</v>
      </c>
      <c r="G60" s="5" t="s">
        <v>1331</v>
      </c>
      <c r="H60" s="5">
        <f t="shared" si="7"/>
        <v>0</v>
      </c>
      <c r="I60" s="5">
        <f t="shared" si="8"/>
        <v>-0.93394825253809688</v>
      </c>
      <c r="J60" s="5" t="str">
        <f t="shared" si="9"/>
        <v>LOW</v>
      </c>
      <c r="K60" s="8">
        <f t="shared" si="10"/>
        <v>0.96703296703296704</v>
      </c>
      <c r="L60" s="8">
        <f t="shared" si="11"/>
        <v>1.9352005489719497</v>
      </c>
      <c r="M60" s="5" t="str">
        <f t="shared" si="12"/>
        <v>HIGH</v>
      </c>
      <c r="N60" s="5" cm="1">
        <f t="array" aca="1" ref="N60" ca="1">INDEX($N$2:$N$15,RANDBETWEEN(1, ROWS($N$2:$N$15)))</f>
        <v>2</v>
      </c>
      <c r="O60" s="5" cm="1">
        <f t="array" aca="1" ref="O60" ca="1">INDEX($O$2:$O$15,RANDBETWEEN(1, ROWS($O$2:$O$15)))</f>
        <v>4</v>
      </c>
      <c r="P60" s="5">
        <f t="shared" ca="1" si="13"/>
        <v>54927.48134664011</v>
      </c>
      <c r="Q60" s="5" cm="1">
        <f t="array" aca="1" ref="Q60" ca="1">INDEX($D$2:$D$129, RANDBETWEEN(1,128))</f>
        <v>17</v>
      </c>
      <c r="R60" s="5" cm="1">
        <f t="array" aca="1" ref="R60" ca="1">INDEX($F$2:$F$129, RANDBETWEEN(1,129))</f>
        <v>0.85</v>
      </c>
      <c r="S60" s="5"/>
      <c r="T60" s="20" t="s">
        <v>1292</v>
      </c>
      <c r="U60" s="20">
        <f>_xlfn.Z.TEST(F:F, 1.5)</f>
        <v>1</v>
      </c>
      <c r="V60" s="5"/>
      <c r="W60" s="5"/>
    </row>
    <row r="61" spans="1:23" x14ac:dyDescent="0.35">
      <c r="A61" s="5" t="s">
        <v>8</v>
      </c>
      <c r="B61" s="5">
        <v>548617</v>
      </c>
      <c r="C61" s="5">
        <v>15036</v>
      </c>
      <c r="D61" s="5">
        <v>12</v>
      </c>
      <c r="E61" s="6">
        <v>40634.493055555555</v>
      </c>
      <c r="F61" s="8">
        <v>0.83</v>
      </c>
      <c r="G61" s="5">
        <v>16592</v>
      </c>
      <c r="H61" s="5">
        <f t="shared" si="7"/>
        <v>0.23404255319148937</v>
      </c>
      <c r="I61" s="5">
        <f t="shared" si="8"/>
        <v>6.5076026784813848E-2</v>
      </c>
      <c r="J61" s="5" t="str">
        <f t="shared" si="9"/>
        <v>HIGH</v>
      </c>
      <c r="K61" s="8">
        <f t="shared" si="10"/>
        <v>8.7912087912087877E-2</v>
      </c>
      <c r="L61" s="8">
        <f t="shared" si="11"/>
        <v>-0.49186247751304629</v>
      </c>
      <c r="M61" s="5" t="str">
        <f t="shared" si="12"/>
        <v>LOW</v>
      </c>
      <c r="N61" s="5" cm="1">
        <f t="array" aca="1" ref="N61" ca="1">INDEX($N$2:$N$15,RANDBETWEEN(1, ROWS($N$2:$N$15)))</f>
        <v>4</v>
      </c>
      <c r="O61" s="5" cm="1">
        <f t="array" aca="1" ref="O61" ca="1">INDEX($O$2:$O$15,RANDBETWEEN(1, ROWS($O$2:$O$15)))</f>
        <v>3</v>
      </c>
      <c r="P61" s="5">
        <f t="shared" ca="1" si="13"/>
        <v>51741.601518645497</v>
      </c>
      <c r="Q61" s="5" cm="1">
        <f t="array" aca="1" ref="Q61" ca="1">INDEX($D$2:$D$129, RANDBETWEEN(1,128))</f>
        <v>12</v>
      </c>
      <c r="R61" s="5" cm="1">
        <f t="array" aca="1" ref="R61" ca="1">INDEX($F$2:$F$129, RANDBETWEEN(1,129))</f>
        <v>0.83</v>
      </c>
      <c r="S61" s="5"/>
      <c r="T61" s="20" t="s">
        <v>1293</v>
      </c>
      <c r="U61" s="20" t="str">
        <f>IF(U60&lt;U53,"Reject H₀","Fail to Reject H₀")</f>
        <v>Fail to Reject H₀</v>
      </c>
      <c r="V61" s="5"/>
      <c r="W61" s="5"/>
    </row>
    <row r="62" spans="1:23" x14ac:dyDescent="0.35">
      <c r="A62" s="5" t="s">
        <v>8</v>
      </c>
      <c r="B62" s="5">
        <v>548893</v>
      </c>
      <c r="C62" s="5">
        <v>15036</v>
      </c>
      <c r="D62" s="5">
        <v>6</v>
      </c>
      <c r="E62" s="6">
        <v>40637.662499999999</v>
      </c>
      <c r="F62" s="8">
        <v>1.63</v>
      </c>
      <c r="G62" s="5" t="s">
        <v>1331</v>
      </c>
      <c r="H62" s="5">
        <f t="shared" si="7"/>
        <v>0.10638297872340426</v>
      </c>
      <c r="I62" s="5">
        <f t="shared" si="8"/>
        <v>-0.47984630739131928</v>
      </c>
      <c r="J62" s="5" t="str">
        <f t="shared" si="9"/>
        <v>LOW</v>
      </c>
      <c r="K62" s="8">
        <f t="shared" si="10"/>
        <v>0.96703296703296704</v>
      </c>
      <c r="L62" s="8">
        <f t="shared" si="11"/>
        <v>1.9352005489719497</v>
      </c>
      <c r="M62" s="5" t="str">
        <f t="shared" si="12"/>
        <v>HIGH</v>
      </c>
      <c r="N62" s="5" cm="1">
        <f t="array" aca="1" ref="N62" ca="1">INDEX($N$2:$N$15,RANDBETWEEN(1, ROWS($N$2:$N$15)))</f>
        <v>11</v>
      </c>
      <c r="O62" s="5" cm="1">
        <f t="array" aca="1" ref="O62" ca="1">INDEX($O$2:$O$15,RANDBETWEEN(1, ROWS($O$2:$O$15)))</f>
        <v>5</v>
      </c>
      <c r="P62" s="5">
        <f t="shared" ca="1" si="13"/>
        <v>54962.983751835207</v>
      </c>
      <c r="Q62" s="5" cm="1">
        <f t="array" aca="1" ref="Q62" ca="1">INDEX($D$2:$D$129, RANDBETWEEN(1,128))</f>
        <v>1</v>
      </c>
      <c r="R62" s="5" cm="1">
        <f t="array" aca="1" ref="R62" ca="1">INDEX($F$2:$F$129, RANDBETWEEN(1,129))</f>
        <v>0.83</v>
      </c>
      <c r="S62" s="5"/>
      <c r="T62" s="5"/>
      <c r="U62" s="5"/>
      <c r="V62" s="5"/>
      <c r="W62" s="5"/>
    </row>
    <row r="63" spans="1:23" x14ac:dyDescent="0.35">
      <c r="A63" s="5" t="s">
        <v>8</v>
      </c>
      <c r="B63" s="5">
        <v>549259</v>
      </c>
      <c r="C63" s="5">
        <v>15036</v>
      </c>
      <c r="D63" s="5">
        <v>48</v>
      </c>
      <c r="E63" s="6">
        <v>40640.522916666669</v>
      </c>
      <c r="F63" s="8">
        <v>0.75</v>
      </c>
      <c r="G63" s="5">
        <v>13712</v>
      </c>
      <c r="H63" s="5">
        <f t="shared" si="7"/>
        <v>1</v>
      </c>
      <c r="I63" s="5">
        <f t="shared" si="8"/>
        <v>3.3346100318416125</v>
      </c>
      <c r="J63" s="5" t="str">
        <f t="shared" si="9"/>
        <v>HIGH</v>
      </c>
      <c r="K63" s="8">
        <f t="shared" si="10"/>
        <v>0</v>
      </c>
      <c r="L63" s="8">
        <f t="shared" si="11"/>
        <v>-0.73456878016154581</v>
      </c>
      <c r="M63" s="5" t="str">
        <f t="shared" si="12"/>
        <v>LOW</v>
      </c>
      <c r="N63" s="5" cm="1">
        <f t="array" aca="1" ref="N63" ca="1">INDEX($N$2:$N$15,RANDBETWEEN(1, ROWS($N$2:$N$15)))</f>
        <v>4</v>
      </c>
      <c r="O63" s="5" cm="1">
        <f t="array" aca="1" ref="O63" ca="1">INDEX($O$2:$O$15,RANDBETWEEN(1, ROWS($O$2:$O$15)))</f>
        <v>1</v>
      </c>
      <c r="P63" s="5">
        <f t="shared" ca="1" si="13"/>
        <v>51558.739413159863</v>
      </c>
      <c r="Q63" s="5" cm="1">
        <f t="array" aca="1" ref="Q63" ca="1">INDEX($D$2:$D$129, RANDBETWEEN(1,128))</f>
        <v>1</v>
      </c>
      <c r="R63" s="5" cm="1">
        <f t="array" aca="1" ref="R63" ca="1">INDEX($F$2:$F$129, RANDBETWEEN(1,129))</f>
        <v>0.75</v>
      </c>
      <c r="S63" s="5"/>
      <c r="T63" s="5"/>
      <c r="U63" s="5"/>
      <c r="V63" s="5"/>
      <c r="W63" s="5"/>
    </row>
    <row r="64" spans="1:23" x14ac:dyDescent="0.35">
      <c r="A64" s="5" t="s">
        <v>21</v>
      </c>
      <c r="B64" s="5">
        <v>549316</v>
      </c>
      <c r="C64" s="5">
        <v>15036</v>
      </c>
      <c r="D64" s="5">
        <v>36</v>
      </c>
      <c r="E64" s="6">
        <v>40641.412499999999</v>
      </c>
      <c r="F64" s="8">
        <v>0.75</v>
      </c>
      <c r="G64" s="5">
        <v>12705</v>
      </c>
      <c r="H64" s="5">
        <f t="shared" si="7"/>
        <v>0.74468085106382975</v>
      </c>
      <c r="I64" s="5">
        <f t="shared" si="8"/>
        <v>2.2447653634893463</v>
      </c>
      <c r="J64" s="5" t="str">
        <f t="shared" si="9"/>
        <v>HIGH</v>
      </c>
      <c r="K64" s="8">
        <f t="shared" si="10"/>
        <v>0</v>
      </c>
      <c r="L64" s="8">
        <f t="shared" si="11"/>
        <v>-0.73456878016154581</v>
      </c>
      <c r="M64" s="5" t="str">
        <f t="shared" si="12"/>
        <v>LOW</v>
      </c>
      <c r="N64" s="5" cm="1">
        <f t="array" aca="1" ref="N64" ca="1">INDEX($N$2:$N$15,RANDBETWEEN(1, ROWS($N$2:$N$15)))</f>
        <v>11</v>
      </c>
      <c r="O64" s="5" cm="1">
        <f t="array" aca="1" ref="O64" ca="1">INDEX($O$2:$O$15,RANDBETWEEN(1, ROWS($O$2:$O$15)))</f>
        <v>4</v>
      </c>
      <c r="P64" s="5">
        <f t="shared" ca="1" si="13"/>
        <v>51479.368114786201</v>
      </c>
      <c r="Q64" s="5" cm="1">
        <f t="array" aca="1" ref="Q64" ca="1">INDEX($D$2:$D$129, RANDBETWEEN(1,128))</f>
        <v>1</v>
      </c>
      <c r="R64" s="5" cm="1">
        <f t="array" aca="1" ref="R64" ca="1">INDEX($F$2:$F$129, RANDBETWEEN(1,129))</f>
        <v>0.83</v>
      </c>
      <c r="S64" s="5"/>
      <c r="T64" s="5"/>
      <c r="U64" s="5"/>
      <c r="V64" s="5"/>
      <c r="W64" s="5"/>
    </row>
    <row r="65" spans="1:26" x14ac:dyDescent="0.35">
      <c r="A65" s="5" t="s">
        <v>8</v>
      </c>
      <c r="B65" s="5">
        <v>549431</v>
      </c>
      <c r="C65" s="5">
        <v>15036</v>
      </c>
      <c r="D65" s="5">
        <v>36</v>
      </c>
      <c r="E65" s="6">
        <v>40641.511805555558</v>
      </c>
      <c r="F65" s="8">
        <v>0.83</v>
      </c>
      <c r="G65" s="5">
        <v>15874</v>
      </c>
      <c r="H65" s="5">
        <f t="shared" si="7"/>
        <v>0.74468085106382975</v>
      </c>
      <c r="I65" s="5">
        <f t="shared" si="8"/>
        <v>2.2447653634893463</v>
      </c>
      <c r="J65" s="5" t="str">
        <f t="shared" si="9"/>
        <v>HIGH</v>
      </c>
      <c r="K65" s="8">
        <f t="shared" si="10"/>
        <v>8.7912087912087877E-2</v>
      </c>
      <c r="L65" s="8">
        <f t="shared" si="11"/>
        <v>-0.49186247751304629</v>
      </c>
      <c r="M65" s="5" t="str">
        <f t="shared" si="12"/>
        <v>LOW</v>
      </c>
      <c r="N65" s="5" cm="1">
        <f t="array" aca="1" ref="N65" ca="1">INDEX($N$2:$N$15,RANDBETWEEN(1, ROWS($N$2:$N$15)))</f>
        <v>4</v>
      </c>
      <c r="O65" s="5" cm="1">
        <f t="array" aca="1" ref="O65" ca="1">INDEX($O$2:$O$15,RANDBETWEEN(1, ROWS($O$2:$O$15)))</f>
        <v>3</v>
      </c>
      <c r="P65" s="5">
        <f t="shared" ca="1" si="13"/>
        <v>51752.410608448379</v>
      </c>
      <c r="Q65" s="5" cm="1">
        <f t="array" aca="1" ref="Q65" ca="1">INDEX($D$2:$D$129, RANDBETWEEN(1,128))</f>
        <v>1</v>
      </c>
      <c r="R65" s="5" cm="1">
        <f t="array" aca="1" ref="R65" ca="1">INDEX($F$2:$F$129, RANDBETWEEN(1,129))</f>
        <v>0.85</v>
      </c>
      <c r="S65" s="5"/>
      <c r="T65" s="5"/>
      <c r="U65" s="5"/>
      <c r="V65" s="5"/>
      <c r="W65" s="5"/>
    </row>
    <row r="66" spans="1:26" x14ac:dyDescent="0.35">
      <c r="A66" s="5" t="s">
        <v>8</v>
      </c>
      <c r="B66" s="5">
        <v>549524</v>
      </c>
      <c r="C66" s="5">
        <v>15036</v>
      </c>
      <c r="D66" s="5">
        <v>1</v>
      </c>
      <c r="E66" s="6">
        <v>40641.65347222222</v>
      </c>
      <c r="F66" s="8">
        <v>1.63</v>
      </c>
      <c r="G66" s="5" t="s">
        <v>1331</v>
      </c>
      <c r="H66" s="5">
        <f t="shared" ref="H66:H97" si="14">(D66-1)/(48-1)</f>
        <v>0</v>
      </c>
      <c r="I66" s="5">
        <f t="shared" ref="I66:I97" si="15">(D66-$Z$21)/$Z$44</f>
        <v>-0.93394825253809688</v>
      </c>
      <c r="J66" s="5" t="str">
        <f t="shared" ref="J66:J97" si="16">IF(D66&gt;$Z$6, "HIGH", "LOW")</f>
        <v>LOW</v>
      </c>
      <c r="K66" s="8">
        <f t="shared" ref="K66:K97" si="17">(F66-0.75)/(1.66-0.75)</f>
        <v>0.96703296703296704</v>
      </c>
      <c r="L66" s="8">
        <f t="shared" ref="L66:L97" si="18">(F66-$Z$22)/$Z$45</f>
        <v>1.9352005489719497</v>
      </c>
      <c r="M66" s="5" t="str">
        <f t="shared" ref="M66:M97" si="19">IF(F66&gt;$Z$7, "HIGH", "LOW")</f>
        <v>HIGH</v>
      </c>
      <c r="N66" s="5" cm="1">
        <f t="array" aca="1" ref="N66" ca="1">INDEX($N$2:$N$15,RANDBETWEEN(1, ROWS($N$2:$N$15)))</f>
        <v>8</v>
      </c>
      <c r="O66" s="5" cm="1">
        <f t="array" aca="1" ref="O66" ca="1">INDEX($O$2:$O$15,RANDBETWEEN(1, ROWS($O$2:$O$15)))</f>
        <v>3</v>
      </c>
      <c r="P66" s="5">
        <f t="shared" ref="P66:P97" ca="1" si="20">AVERAGE(B66:O66)</f>
        <v>55019.750159771422</v>
      </c>
      <c r="Q66" s="5" cm="1">
        <f t="array" aca="1" ref="Q66" ca="1">INDEX($D$2:$D$129, RANDBETWEEN(1,128))</f>
        <v>12</v>
      </c>
      <c r="R66" s="5" cm="1">
        <f t="array" aca="1" ref="R66" ca="1">INDEX($F$2:$F$129, RANDBETWEEN(1,129))</f>
        <v>0.83</v>
      </c>
      <c r="S66" s="5"/>
      <c r="T66" s="34" t="s">
        <v>1296</v>
      </c>
      <c r="U66" s="35"/>
      <c r="V66" s="5"/>
      <c r="W66" s="5"/>
    </row>
    <row r="67" spans="1:26" ht="15" thickBot="1" x14ac:dyDescent="0.4">
      <c r="A67" s="5" t="s">
        <v>8</v>
      </c>
      <c r="B67" s="5">
        <v>549525</v>
      </c>
      <c r="C67" s="5">
        <v>15036</v>
      </c>
      <c r="D67" s="5">
        <v>17</v>
      </c>
      <c r="E67" s="6">
        <v>40641.655555555553</v>
      </c>
      <c r="F67" s="8">
        <v>1.63</v>
      </c>
      <c r="G67" s="5" t="s">
        <v>1331</v>
      </c>
      <c r="H67" s="5">
        <f t="shared" si="14"/>
        <v>0.34042553191489361</v>
      </c>
      <c r="I67" s="5">
        <f t="shared" si="15"/>
        <v>0.51917797193159143</v>
      </c>
      <c r="J67" s="5" t="str">
        <f t="shared" si="16"/>
        <v>HIGH</v>
      </c>
      <c r="K67" s="8">
        <f t="shared" si="17"/>
        <v>0.96703296703296704</v>
      </c>
      <c r="L67" s="8">
        <f t="shared" si="18"/>
        <v>1.9352005489719497</v>
      </c>
      <c r="M67" s="5" t="str">
        <f t="shared" si="19"/>
        <v>HIGH</v>
      </c>
      <c r="N67" s="5" cm="1">
        <f t="array" aca="1" ref="N67" ca="1">INDEX($N$2:$N$15,RANDBETWEEN(1, ROWS($N$2:$N$15)))</f>
        <v>8</v>
      </c>
      <c r="O67" s="5" cm="1">
        <f t="array" aca="1" ref="O67" ca="1">INDEX($O$2:$O$15,RANDBETWEEN(1, ROWS($O$2:$O$15)))</f>
        <v>5</v>
      </c>
      <c r="P67" s="5">
        <f t="shared" ca="1" si="20"/>
        <v>55021.640672052308</v>
      </c>
      <c r="Q67" s="5" cm="1">
        <f t="array" aca="1" ref="Q67" ca="1">INDEX($D$2:$D$129, RANDBETWEEN(1,128))</f>
        <v>20</v>
      </c>
      <c r="R67" s="5" cm="1">
        <f t="array" aca="1" ref="R67" ca="1">INDEX($F$2:$F$129, RANDBETWEEN(1,129))</f>
        <v>1.63</v>
      </c>
      <c r="S67" s="5"/>
      <c r="T67" s="35" t="s">
        <v>1294</v>
      </c>
      <c r="U67" s="35" t="s">
        <v>1295</v>
      </c>
      <c r="V67" s="5"/>
      <c r="W67" s="5"/>
    </row>
    <row r="68" spans="1:26" x14ac:dyDescent="0.35">
      <c r="A68" s="5" t="s">
        <v>8</v>
      </c>
      <c r="B68" s="5">
        <v>549538</v>
      </c>
      <c r="C68" s="5">
        <v>15036</v>
      </c>
      <c r="D68" s="5">
        <v>3</v>
      </c>
      <c r="E68" s="6">
        <v>40641.725694444445</v>
      </c>
      <c r="F68" s="8">
        <v>0.83</v>
      </c>
      <c r="G68" s="5">
        <v>17961</v>
      </c>
      <c r="H68" s="5">
        <f t="shared" si="14"/>
        <v>4.2553191489361701E-2</v>
      </c>
      <c r="I68" s="5">
        <f t="shared" si="15"/>
        <v>-0.75230747447938584</v>
      </c>
      <c r="J68" s="5" t="str">
        <f t="shared" si="16"/>
        <v>LOW</v>
      </c>
      <c r="K68" s="8">
        <f t="shared" si="17"/>
        <v>8.7912087912087877E-2</v>
      </c>
      <c r="L68" s="8">
        <f t="shared" si="18"/>
        <v>-0.49186247751304629</v>
      </c>
      <c r="M68" s="5" t="str">
        <f t="shared" si="19"/>
        <v>LOW</v>
      </c>
      <c r="N68" s="5" cm="1">
        <f t="array" aca="1" ref="N68" ca="1">INDEX($N$2:$N$15,RANDBETWEEN(1, ROWS($N$2:$N$15)))</f>
        <v>12</v>
      </c>
      <c r="O68" s="5" cm="1">
        <f t="array" aca="1" ref="O68" ca="1">INDEX($O$2:$O$15,RANDBETWEEN(1, ROWS($O$2:$O$15)))</f>
        <v>4</v>
      </c>
      <c r="P68" s="5">
        <f t="shared" ca="1" si="20"/>
        <v>51932.953499147661</v>
      </c>
      <c r="Q68" s="5" cm="1">
        <f t="array" aca="1" ref="Q68" ca="1">INDEX($D$2:$D$129, RANDBETWEEN(1,128))</f>
        <v>24</v>
      </c>
      <c r="R68" s="5" cm="1">
        <f t="array" aca="1" ref="R68" ca="1">INDEX($F$2:$F$129, RANDBETWEEN(1,129))</f>
        <v>0.81</v>
      </c>
      <c r="S68" s="5"/>
      <c r="T68" s="35" t="s">
        <v>1296</v>
      </c>
      <c r="U68" s="35">
        <f>CORREL(D:D, F:F)</f>
        <v>-0.29212354794221923</v>
      </c>
      <c r="V68" s="5"/>
      <c r="W68" s="28"/>
      <c r="X68" s="28" t="s">
        <v>2</v>
      </c>
      <c r="Y68" s="28" t="s">
        <v>3</v>
      </c>
      <c r="Z68" s="28" t="s">
        <v>4</v>
      </c>
    </row>
    <row r="69" spans="1:26" x14ac:dyDescent="0.35">
      <c r="A69" s="5" t="s">
        <v>8</v>
      </c>
      <c r="B69" s="5">
        <v>549711</v>
      </c>
      <c r="C69" s="5">
        <v>15036</v>
      </c>
      <c r="D69" s="5">
        <v>12</v>
      </c>
      <c r="E69" s="6">
        <v>40644.588194444441</v>
      </c>
      <c r="F69" s="8">
        <v>0.83</v>
      </c>
      <c r="G69" s="5">
        <v>13654</v>
      </c>
      <c r="H69" s="5">
        <f t="shared" si="14"/>
        <v>0.23404255319148937</v>
      </c>
      <c r="I69" s="5">
        <f t="shared" si="15"/>
        <v>6.5076026784813848E-2</v>
      </c>
      <c r="J69" s="5" t="str">
        <f t="shared" si="16"/>
        <v>HIGH</v>
      </c>
      <c r="K69" s="8">
        <f t="shared" si="17"/>
        <v>8.7912087912087877E-2</v>
      </c>
      <c r="L69" s="8">
        <f t="shared" si="18"/>
        <v>-0.49186247751304629</v>
      </c>
      <c r="M69" s="5" t="str">
        <f t="shared" si="19"/>
        <v>LOW</v>
      </c>
      <c r="N69" s="5" cm="1">
        <f t="array" aca="1" ref="N69" ca="1">INDEX($N$2:$N$15,RANDBETWEEN(1, ROWS($N$2:$N$15)))</f>
        <v>12</v>
      </c>
      <c r="O69" s="5" cm="1">
        <f t="array" aca="1" ref="O69" ca="1">INDEX($O$2:$O$15,RANDBETWEEN(1, ROWS($O$2:$O$15)))</f>
        <v>4</v>
      </c>
      <c r="P69" s="5">
        <f t="shared" ca="1" si="20"/>
        <v>51589.526113552907</v>
      </c>
      <c r="Q69" s="5" cm="1">
        <f t="array" aca="1" ref="Q69" ca="1">INDEX($D$2:$D$129, RANDBETWEEN(1,128))</f>
        <v>48</v>
      </c>
      <c r="R69" s="5" cm="1">
        <f t="array" aca="1" ref="R69" ca="1">INDEX($F$2:$F$129, RANDBETWEEN(1,129))</f>
        <v>0.85</v>
      </c>
      <c r="S69" s="5"/>
      <c r="T69" s="35"/>
      <c r="U69" s="35"/>
      <c r="V69" s="5"/>
      <c r="W69" t="s">
        <v>2</v>
      </c>
      <c r="X69">
        <v>1</v>
      </c>
    </row>
    <row r="70" spans="1:26" x14ac:dyDescent="0.35">
      <c r="A70" s="5" t="s">
        <v>8</v>
      </c>
      <c r="B70" s="5">
        <v>549743</v>
      </c>
      <c r="C70" s="5">
        <v>15036</v>
      </c>
      <c r="D70" s="5">
        <v>12</v>
      </c>
      <c r="E70" s="6">
        <v>40645.420138888891</v>
      </c>
      <c r="F70" s="8">
        <v>0.83</v>
      </c>
      <c r="G70" s="5">
        <v>16186</v>
      </c>
      <c r="H70" s="5">
        <f t="shared" si="14"/>
        <v>0.23404255319148937</v>
      </c>
      <c r="I70" s="5">
        <f t="shared" si="15"/>
        <v>6.5076026784813848E-2</v>
      </c>
      <c r="J70" s="5" t="str">
        <f t="shared" si="16"/>
        <v>HIGH</v>
      </c>
      <c r="K70" s="8">
        <f t="shared" si="17"/>
        <v>8.7912087912087877E-2</v>
      </c>
      <c r="L70" s="8">
        <f t="shared" si="18"/>
        <v>-0.49186247751304629</v>
      </c>
      <c r="M70" s="5" t="str">
        <f t="shared" si="19"/>
        <v>LOW</v>
      </c>
      <c r="N70" s="5" cm="1">
        <f t="array" aca="1" ref="N70" ca="1">INDEX($N$2:$N$15,RANDBETWEEN(1, ROWS($N$2:$N$15)))</f>
        <v>4</v>
      </c>
      <c r="O70" s="5" cm="1">
        <f t="array" aca="1" ref="O70" ca="1">INDEX($O$2:$O$15,RANDBETWEEN(1, ROWS($O$2:$O$15)))</f>
        <v>1</v>
      </c>
      <c r="P70" s="5">
        <f t="shared" ca="1" si="20"/>
        <v>51802.345442256606</v>
      </c>
      <c r="Q70" s="5" cm="1">
        <f t="array" aca="1" ref="Q70" ca="1">INDEX($D$2:$D$129, RANDBETWEEN(1,128))</f>
        <v>1</v>
      </c>
      <c r="R70" s="5" cm="1">
        <f t="array" aca="1" ref="R70" ca="1">INDEX($F$2:$F$129, RANDBETWEEN(1,129))</f>
        <v>0.85</v>
      </c>
      <c r="S70" s="5"/>
      <c r="T70" s="35" t="s">
        <v>1297</v>
      </c>
      <c r="U70" s="35">
        <f>U68^2</f>
        <v>8.5336167262350063E-2</v>
      </c>
      <c r="V70" s="5"/>
      <c r="W70" t="s">
        <v>3</v>
      </c>
      <c r="X70">
        <v>0.16621564504592642</v>
      </c>
      <c r="Y70">
        <v>1</v>
      </c>
    </row>
    <row r="71" spans="1:26" ht="15" thickBot="1" x14ac:dyDescent="0.4">
      <c r="A71" s="5" t="s">
        <v>8</v>
      </c>
      <c r="B71" s="5">
        <v>549964</v>
      </c>
      <c r="C71" s="5">
        <v>15036</v>
      </c>
      <c r="D71" s="5">
        <v>12</v>
      </c>
      <c r="E71" s="6">
        <v>40646.591666666667</v>
      </c>
      <c r="F71" s="8">
        <v>0.83</v>
      </c>
      <c r="G71" s="5">
        <v>13122</v>
      </c>
      <c r="H71" s="5">
        <f t="shared" si="14"/>
        <v>0.23404255319148937</v>
      </c>
      <c r="I71" s="5">
        <f t="shared" si="15"/>
        <v>6.5076026784813848E-2</v>
      </c>
      <c r="J71" s="5" t="str">
        <f t="shared" si="16"/>
        <v>HIGH</v>
      </c>
      <c r="K71" s="8">
        <f t="shared" si="17"/>
        <v>8.7912087912087877E-2</v>
      </c>
      <c r="L71" s="8">
        <f t="shared" si="18"/>
        <v>-0.49186247751304629</v>
      </c>
      <c r="M71" s="5" t="str">
        <f t="shared" si="19"/>
        <v>LOW</v>
      </c>
      <c r="N71" s="5" cm="1">
        <f t="array" aca="1" ref="N71" ca="1">INDEX($N$2:$N$15,RANDBETWEEN(1, ROWS($N$2:$N$15)))</f>
        <v>8</v>
      </c>
      <c r="O71" s="5" cm="1">
        <f t="array" aca="1" ref="O71" ca="1">INDEX($O$2:$O$15,RANDBETWEEN(1, ROWS($O$2:$O$15)))</f>
        <v>1</v>
      </c>
      <c r="P71" s="5">
        <f t="shared" ca="1" si="20"/>
        <v>51565.85973623809</v>
      </c>
      <c r="Q71" s="5" cm="1">
        <f t="array" aca="1" ref="Q71" ca="1">INDEX($D$2:$D$129, RANDBETWEEN(1,128))</f>
        <v>0</v>
      </c>
      <c r="R71" s="5" cm="1">
        <f t="array" aca="1" ref="R71" ca="1">INDEX($F$2:$F$129, RANDBETWEEN(1,129))</f>
        <v>0.83</v>
      </c>
      <c r="S71" s="5"/>
      <c r="T71" s="35" t="s">
        <v>1298</v>
      </c>
      <c r="U71" s="35" t="str">
        <f>IF(ABS(U68)&lt;0.1,"No correlation",IF(ABS(U68)&lt;0.4,"Weak",IF(ABS(U68)&lt;0.7,"Moderate","Strong")))</f>
        <v>Weak</v>
      </c>
      <c r="V71" s="5"/>
      <c r="W71" s="27" t="s">
        <v>4</v>
      </c>
      <c r="X71" s="27">
        <v>-0.29212354794221923</v>
      </c>
      <c r="Y71" s="27">
        <v>-4.9239241139023074E-2</v>
      </c>
      <c r="Z71" s="27">
        <v>1</v>
      </c>
    </row>
    <row r="72" spans="1:26" x14ac:dyDescent="0.35">
      <c r="A72" s="5" t="s">
        <v>8</v>
      </c>
      <c r="B72" s="5">
        <v>549975</v>
      </c>
      <c r="C72" s="5">
        <v>15036</v>
      </c>
      <c r="D72" s="5">
        <v>12</v>
      </c>
      <c r="E72" s="6">
        <v>40646.609722222223</v>
      </c>
      <c r="F72" s="8">
        <v>0.83</v>
      </c>
      <c r="G72" s="5">
        <v>16175</v>
      </c>
      <c r="H72" s="5">
        <f t="shared" si="14"/>
        <v>0.23404255319148937</v>
      </c>
      <c r="I72" s="5">
        <f t="shared" si="15"/>
        <v>6.5076026784813848E-2</v>
      </c>
      <c r="J72" s="5" t="str">
        <f t="shared" si="16"/>
        <v>HIGH</v>
      </c>
      <c r="K72" s="8">
        <f t="shared" si="17"/>
        <v>8.7912087912087877E-2</v>
      </c>
      <c r="L72" s="8">
        <f t="shared" si="18"/>
        <v>-0.49186247751304629</v>
      </c>
      <c r="M72" s="5" t="str">
        <f t="shared" si="19"/>
        <v>LOW</v>
      </c>
      <c r="N72" s="5" cm="1">
        <f t="array" aca="1" ref="N72" ca="1">INDEX($N$2:$N$15,RANDBETWEEN(1, ROWS($N$2:$N$15)))</f>
        <v>12</v>
      </c>
      <c r="O72" s="5" cm="1">
        <f t="array" aca="1" ref="O72" ca="1">INDEX($O$2:$O$15,RANDBETWEEN(1, ROWS($O$2:$O$15)))</f>
        <v>5</v>
      </c>
      <c r="P72" s="5">
        <f t="shared" ca="1" si="20"/>
        <v>51821.861240867722</v>
      </c>
      <c r="Q72" s="5" cm="1">
        <f t="array" aca="1" ref="Q72" ca="1">INDEX($D$2:$D$129, RANDBETWEEN(1,128))</f>
        <v>6</v>
      </c>
      <c r="R72" s="5" cm="1">
        <f t="array" aca="1" ref="R72" ca="1">INDEX($F$2:$F$129, RANDBETWEEN(1,129))</f>
        <v>0.85</v>
      </c>
      <c r="S72" s="5"/>
      <c r="T72" s="5"/>
      <c r="U72" s="5"/>
      <c r="V72" s="5"/>
      <c r="W72" s="5"/>
    </row>
    <row r="73" spans="1:26" x14ac:dyDescent="0.35">
      <c r="A73" s="5" t="s">
        <v>8</v>
      </c>
      <c r="B73" s="5">
        <v>550138</v>
      </c>
      <c r="C73" s="5">
        <v>15036</v>
      </c>
      <c r="D73" s="5">
        <v>24</v>
      </c>
      <c r="E73" s="6">
        <v>40647.584722222222</v>
      </c>
      <c r="F73" s="8">
        <v>0.83</v>
      </c>
      <c r="G73" s="5">
        <v>12841</v>
      </c>
      <c r="H73" s="5">
        <f t="shared" si="14"/>
        <v>0.48936170212765956</v>
      </c>
      <c r="I73" s="5">
        <f t="shared" si="15"/>
        <v>1.1549206951370801</v>
      </c>
      <c r="J73" s="5" t="str">
        <f t="shared" si="16"/>
        <v>HIGH</v>
      </c>
      <c r="K73" s="8">
        <f t="shared" si="17"/>
        <v>8.7912087912087877E-2</v>
      </c>
      <c r="L73" s="8">
        <f t="shared" si="18"/>
        <v>-0.49186247751304629</v>
      </c>
      <c r="M73" s="5" t="str">
        <f t="shared" si="19"/>
        <v>LOW</v>
      </c>
      <c r="N73" s="5" cm="1">
        <f t="array" aca="1" ref="N73" ca="1">INDEX($N$2:$N$15,RANDBETWEEN(1, ROWS($N$2:$N$15)))</f>
        <v>8</v>
      </c>
      <c r="O73" s="5" cm="1">
        <f t="array" aca="1" ref="O73" ca="1">INDEX($O$2:$O$15,RANDBETWEEN(1, ROWS($O$2:$O$15)))</f>
        <v>4</v>
      </c>
      <c r="P73" s="5">
        <f t="shared" ca="1" si="20"/>
        <v>51558.387921185815</v>
      </c>
      <c r="Q73" s="5" cm="1">
        <f t="array" aca="1" ref="Q73" ca="1">INDEX($D$2:$D$129, RANDBETWEEN(1,128))</f>
        <v>20</v>
      </c>
      <c r="R73" s="5" cm="1">
        <f t="array" aca="1" ref="R73" ca="1">INDEX($F$2:$F$129, RANDBETWEEN(1,129))</f>
        <v>0.81</v>
      </c>
      <c r="S73" s="5"/>
      <c r="T73" s="5"/>
      <c r="U73" s="5"/>
      <c r="V73" s="5"/>
      <c r="W73" s="5"/>
    </row>
    <row r="74" spans="1:26" x14ac:dyDescent="0.35">
      <c r="A74" s="5" t="s">
        <v>1331</v>
      </c>
      <c r="B74" s="5">
        <v>550218</v>
      </c>
      <c r="C74" s="5">
        <v>15036</v>
      </c>
      <c r="D74" s="5">
        <v>12</v>
      </c>
      <c r="E74" s="6">
        <v>40648.46875</v>
      </c>
      <c r="F74" s="8">
        <v>0.83</v>
      </c>
      <c r="G74" s="5">
        <v>14408</v>
      </c>
      <c r="H74" s="5">
        <f t="shared" si="14"/>
        <v>0.23404255319148937</v>
      </c>
      <c r="I74" s="5">
        <f t="shared" si="15"/>
        <v>6.5076026784813848E-2</v>
      </c>
      <c r="J74" s="5" t="str">
        <f t="shared" si="16"/>
        <v>HIGH</v>
      </c>
      <c r="K74" s="8">
        <f t="shared" si="17"/>
        <v>8.7912087912087877E-2</v>
      </c>
      <c r="L74" s="8">
        <f t="shared" si="18"/>
        <v>-0.49186247751304629</v>
      </c>
      <c r="M74" s="5" t="str">
        <f t="shared" si="19"/>
        <v>LOW</v>
      </c>
      <c r="N74" s="5" cm="1">
        <f t="array" aca="1" ref="N74" ca="1">INDEX($N$2:$N$15,RANDBETWEEN(1, ROWS($N$2:$N$15)))</f>
        <v>4</v>
      </c>
      <c r="O74" s="5" cm="1">
        <f t="array" aca="1" ref="O74" ca="1">INDEX($O$2:$O$15,RANDBETWEEN(1, ROWS($O$2:$O$15)))</f>
        <v>5</v>
      </c>
      <c r="P74" s="5">
        <f t="shared" ca="1" si="20"/>
        <v>51694.349493182533</v>
      </c>
      <c r="Q74" s="5" cm="1">
        <f t="array" aca="1" ref="Q74" ca="1">INDEX($D$2:$D$129, RANDBETWEEN(1,128))</f>
        <v>1</v>
      </c>
      <c r="R74" s="5" cm="1">
        <f t="array" aca="1" ref="R74" ca="1">INDEX($F$2:$F$129, RANDBETWEEN(1,129))</f>
        <v>0.83</v>
      </c>
      <c r="S74" s="5"/>
      <c r="T74" s="5"/>
      <c r="U74" s="5"/>
      <c r="V74" s="5"/>
      <c r="W74" s="5"/>
    </row>
    <row r="75" spans="1:26" x14ac:dyDescent="0.35">
      <c r="A75" s="5" t="s">
        <v>1331</v>
      </c>
      <c r="B75" s="5">
        <v>550315</v>
      </c>
      <c r="C75" s="5">
        <v>15036</v>
      </c>
      <c r="D75" s="5">
        <v>24</v>
      </c>
      <c r="E75" s="6">
        <v>40650.488888888889</v>
      </c>
      <c r="F75" s="8">
        <v>0.83</v>
      </c>
      <c r="G75" s="5">
        <v>17990</v>
      </c>
      <c r="H75" s="5">
        <f t="shared" si="14"/>
        <v>0.48936170212765956</v>
      </c>
      <c r="I75" s="5">
        <f t="shared" si="15"/>
        <v>1.1549206951370801</v>
      </c>
      <c r="J75" s="5" t="str">
        <f t="shared" si="16"/>
        <v>HIGH</v>
      </c>
      <c r="K75" s="8">
        <f t="shared" si="17"/>
        <v>8.7912087912087877E-2</v>
      </c>
      <c r="L75" s="8">
        <f t="shared" si="18"/>
        <v>-0.49186247751304629</v>
      </c>
      <c r="M75" s="5" t="str">
        <f t="shared" si="19"/>
        <v>LOW</v>
      </c>
      <c r="N75" s="5" cm="1">
        <f t="array" aca="1" ref="N75" ca="1">INDEX($N$2:$N$15,RANDBETWEEN(1, ROWS($N$2:$N$15)))</f>
        <v>8</v>
      </c>
      <c r="O75" s="5" cm="1">
        <f t="array" aca="1" ref="O75" ca="1">INDEX($O$2:$O$15,RANDBETWEEN(1, ROWS($O$2:$O$15)))</f>
        <v>4</v>
      </c>
      <c r="P75" s="5">
        <f t="shared" ca="1" si="20"/>
        <v>52002.463268408035</v>
      </c>
      <c r="Q75" s="5" cm="1">
        <f t="array" aca="1" ref="Q75" ca="1">INDEX($D$2:$D$129, RANDBETWEEN(1,128))</f>
        <v>10</v>
      </c>
      <c r="R75" s="5" cm="1">
        <f t="array" aca="1" ref="R75" ca="1">INDEX($F$2:$F$129, RANDBETWEEN(1,129))</f>
        <v>1.66</v>
      </c>
      <c r="S75" s="5"/>
      <c r="T75" s="5"/>
      <c r="U75" s="5"/>
      <c r="V75" s="5"/>
      <c r="W75" s="5"/>
    </row>
    <row r="76" spans="1:26" x14ac:dyDescent="0.35">
      <c r="A76" s="5" t="s">
        <v>8</v>
      </c>
      <c r="B76" s="5">
        <v>550323</v>
      </c>
      <c r="C76" s="5">
        <v>15036</v>
      </c>
      <c r="D76" s="5">
        <v>48</v>
      </c>
      <c r="E76" s="6">
        <v>40650.539583333331</v>
      </c>
      <c r="F76" s="8">
        <v>0.83</v>
      </c>
      <c r="G76" s="5">
        <v>13692</v>
      </c>
      <c r="H76" s="5">
        <f t="shared" si="14"/>
        <v>1</v>
      </c>
      <c r="I76" s="5">
        <f t="shared" si="15"/>
        <v>3.3346100318416125</v>
      </c>
      <c r="J76" s="5" t="str">
        <f t="shared" si="16"/>
        <v>HIGH</v>
      </c>
      <c r="K76" s="8">
        <f t="shared" si="17"/>
        <v>8.7912087912087877E-2</v>
      </c>
      <c r="L76" s="8">
        <f t="shared" si="18"/>
        <v>-0.49186247751304629</v>
      </c>
      <c r="M76" s="5" t="str">
        <f t="shared" si="19"/>
        <v>LOW</v>
      </c>
      <c r="N76" s="5" cm="1">
        <f t="array" aca="1" ref="N76" ca="1">INDEX($N$2:$N$15,RANDBETWEEN(1, ROWS($N$2:$N$15)))</f>
        <v>9</v>
      </c>
      <c r="O76" s="5" cm="1">
        <f t="array" aca="1" ref="O76" ca="1">INDEX($O$2:$O$15,RANDBETWEEN(1, ROWS($O$2:$O$15)))</f>
        <v>5</v>
      </c>
      <c r="P76" s="5">
        <f t="shared" ca="1" si="20"/>
        <v>51647.358353581287</v>
      </c>
      <c r="Q76" s="5" cm="1">
        <f t="array" aca="1" ref="Q76" ca="1">INDEX($D$2:$D$129, RANDBETWEEN(1,128))</f>
        <v>1</v>
      </c>
      <c r="R76" s="5" cm="1">
        <f t="array" aca="1" ref="R76" ca="1">INDEX($F$2:$F$129, RANDBETWEEN(1,129))</f>
        <v>0.83</v>
      </c>
      <c r="S76" s="5"/>
      <c r="T76" s="5"/>
      <c r="U76" s="5"/>
      <c r="V76" s="5"/>
      <c r="W76" s="5"/>
    </row>
    <row r="77" spans="1:26" x14ac:dyDescent="0.35">
      <c r="A77" s="5" t="s">
        <v>8</v>
      </c>
      <c r="B77" s="5">
        <v>550336</v>
      </c>
      <c r="C77" s="5">
        <v>15036</v>
      </c>
      <c r="D77" s="5">
        <v>48</v>
      </c>
      <c r="E77" s="6">
        <v>40650.621527777781</v>
      </c>
      <c r="F77" s="8">
        <v>0.83</v>
      </c>
      <c r="G77" s="5">
        <v>13089</v>
      </c>
      <c r="H77" s="5">
        <f t="shared" si="14"/>
        <v>1</v>
      </c>
      <c r="I77" s="5">
        <f t="shared" si="15"/>
        <v>3.3346100318416125</v>
      </c>
      <c r="J77" s="5" t="str">
        <f t="shared" si="16"/>
        <v>HIGH</v>
      </c>
      <c r="K77" s="8">
        <f t="shared" si="17"/>
        <v>8.7912087912087877E-2</v>
      </c>
      <c r="L77" s="8">
        <f t="shared" si="18"/>
        <v>-0.49186247751304629</v>
      </c>
      <c r="M77" s="5" t="str">
        <f t="shared" si="19"/>
        <v>LOW</v>
      </c>
      <c r="N77" s="5" cm="1">
        <f t="array" aca="1" ref="N77" ca="1">INDEX($N$2:$N$15,RANDBETWEEN(1, ROWS($N$2:$N$15)))</f>
        <v>12</v>
      </c>
      <c r="O77" s="5" cm="1">
        <f t="array" aca="1" ref="O77" ca="1">INDEX($O$2:$O$15,RANDBETWEEN(1, ROWS($O$2:$O$15)))</f>
        <v>5</v>
      </c>
      <c r="P77" s="5">
        <f t="shared" ca="1" si="20"/>
        <v>51598.448515618329</v>
      </c>
      <c r="Q77" s="5" cm="1">
        <f t="array" aca="1" ref="Q77" ca="1">INDEX($D$2:$D$129, RANDBETWEEN(1,128))</f>
        <v>10</v>
      </c>
      <c r="R77" s="5" cm="1">
        <f t="array" aca="1" ref="R77" ca="1">INDEX($F$2:$F$129, RANDBETWEEN(1,129))</f>
        <v>0.85</v>
      </c>
      <c r="S77" s="5"/>
      <c r="T77" s="5"/>
      <c r="U77" s="5"/>
      <c r="V77" s="5"/>
      <c r="W77" s="5"/>
    </row>
    <row r="78" spans="1:26" x14ac:dyDescent="0.35">
      <c r="A78" s="5" t="s">
        <v>8</v>
      </c>
      <c r="B78" s="5">
        <v>550452</v>
      </c>
      <c r="C78" s="5">
        <v>10002</v>
      </c>
      <c r="D78" s="5">
        <v>1</v>
      </c>
      <c r="E78" s="6">
        <v>40651.538888888892</v>
      </c>
      <c r="F78" s="8">
        <v>0.85</v>
      </c>
      <c r="G78" s="5">
        <v>14525</v>
      </c>
      <c r="H78" s="5">
        <f t="shared" si="14"/>
        <v>0</v>
      </c>
      <c r="I78" s="5">
        <f t="shared" si="15"/>
        <v>-0.93394825253809688</v>
      </c>
      <c r="J78" s="5" t="str">
        <f t="shared" si="16"/>
        <v>LOW</v>
      </c>
      <c r="K78" s="8">
        <f t="shared" si="17"/>
        <v>0.10989010989010987</v>
      </c>
      <c r="L78" s="8">
        <f t="shared" si="18"/>
        <v>-0.43118590185092137</v>
      </c>
      <c r="M78" s="5" t="str">
        <f t="shared" si="19"/>
        <v>LOW</v>
      </c>
      <c r="N78" s="5">
        <v>9</v>
      </c>
      <c r="O78" s="5">
        <v>1</v>
      </c>
      <c r="P78" s="5">
        <f t="shared" si="20"/>
        <v>51303.427803737024</v>
      </c>
      <c r="Q78" s="5" cm="1">
        <f t="array" aca="1" ref="Q78" ca="1">INDEX($D$2:$D$129, RANDBETWEEN(1,128))</f>
        <v>36</v>
      </c>
      <c r="R78" s="5" cm="1">
        <f t="array" aca="1" ref="R78" ca="1">INDEX($F$2:$F$129, RANDBETWEEN(1,129))</f>
        <v>0.81</v>
      </c>
      <c r="S78" s="5"/>
      <c r="T78" s="5"/>
      <c r="U78" s="5"/>
      <c r="V78" s="5"/>
      <c r="W78" s="5"/>
    </row>
    <row r="79" spans="1:26" x14ac:dyDescent="0.35">
      <c r="A79" s="5" t="s">
        <v>8</v>
      </c>
      <c r="B79" s="5">
        <v>550458</v>
      </c>
      <c r="C79" s="5">
        <v>15036</v>
      </c>
      <c r="D79" s="5">
        <v>2</v>
      </c>
      <c r="E79" s="6">
        <v>40651.550694444442</v>
      </c>
      <c r="F79" s="8">
        <v>1.63</v>
      </c>
      <c r="G79" s="5" t="s">
        <v>1331</v>
      </c>
      <c r="H79" s="5">
        <f t="shared" si="14"/>
        <v>2.1276595744680851E-2</v>
      </c>
      <c r="I79" s="5">
        <f t="shared" si="15"/>
        <v>-0.84312786350874136</v>
      </c>
      <c r="J79" s="5" t="str">
        <f t="shared" si="16"/>
        <v>LOW</v>
      </c>
      <c r="K79" s="8">
        <f t="shared" si="17"/>
        <v>0.96703296703296704</v>
      </c>
      <c r="L79" s="8">
        <f t="shared" si="18"/>
        <v>1.9352005489719497</v>
      </c>
      <c r="M79" s="5" t="str">
        <f t="shared" si="19"/>
        <v>HIGH</v>
      </c>
      <c r="N79" s="5" cm="1">
        <f t="array" aca="1" ref="N79" ca="1">INDEX($N$2:$N$15,RANDBETWEEN(1, ROWS($N$2:$N$15)))</f>
        <v>8</v>
      </c>
      <c r="O79" s="5" cm="1">
        <f t="array" aca="1" ref="O79" ca="1">INDEX($O$2:$O$15,RANDBETWEEN(1, ROWS($O$2:$O$15)))</f>
        <v>5</v>
      </c>
      <c r="P79" s="5">
        <f t="shared" ca="1" si="20"/>
        <v>55105.841916062978</v>
      </c>
      <c r="Q79" s="5" cm="1">
        <f t="array" aca="1" ref="Q79" ca="1">INDEX($D$2:$D$129, RANDBETWEEN(1,128))</f>
        <v>20</v>
      </c>
      <c r="R79" s="5" cm="1">
        <f t="array" aca="1" ref="R79" ca="1">INDEX($F$2:$F$129, RANDBETWEEN(1,129))</f>
        <v>0.85</v>
      </c>
      <c r="S79" s="5"/>
      <c r="T79" s="5"/>
      <c r="U79" s="5"/>
      <c r="V79" s="5"/>
      <c r="W79" s="5"/>
    </row>
    <row r="80" spans="1:26" x14ac:dyDescent="0.35">
      <c r="A80" s="5" t="s">
        <v>8</v>
      </c>
      <c r="B80" s="5">
        <v>550468</v>
      </c>
      <c r="C80" s="5">
        <v>15036</v>
      </c>
      <c r="D80" s="5">
        <v>12</v>
      </c>
      <c r="E80" s="6">
        <v>40651.571527777778</v>
      </c>
      <c r="F80" s="8">
        <v>0.83</v>
      </c>
      <c r="G80" s="5">
        <v>16700</v>
      </c>
      <c r="H80" s="5">
        <f t="shared" si="14"/>
        <v>0.23404255319148937</v>
      </c>
      <c r="I80" s="5">
        <f t="shared" si="15"/>
        <v>6.5076026784813848E-2</v>
      </c>
      <c r="J80" s="5" t="str">
        <f t="shared" si="16"/>
        <v>HIGH</v>
      </c>
      <c r="K80" s="8">
        <f t="shared" si="17"/>
        <v>8.7912087912087877E-2</v>
      </c>
      <c r="L80" s="8">
        <f t="shared" si="18"/>
        <v>-0.49186247751304629</v>
      </c>
      <c r="M80" s="5" t="str">
        <f t="shared" si="19"/>
        <v>LOW</v>
      </c>
      <c r="N80" s="5" cm="1">
        <f t="array" aca="1" ref="N80" ca="1">INDEX($N$2:$N$15,RANDBETWEEN(1, ROWS($N$2:$N$15)))</f>
        <v>2</v>
      </c>
      <c r="O80" s="5" cm="1">
        <f t="array" aca="1" ref="O80" ca="1">INDEX($O$2:$O$15,RANDBETWEEN(1, ROWS($O$2:$O$15)))</f>
        <v>4</v>
      </c>
      <c r="P80" s="5">
        <f t="shared" ca="1" si="20"/>
        <v>51906.191391330685</v>
      </c>
      <c r="Q80" s="5" cm="1">
        <f t="array" aca="1" ref="Q80" ca="1">INDEX($D$2:$D$129, RANDBETWEEN(1,128))</f>
        <v>1</v>
      </c>
      <c r="R80" s="5" cm="1">
        <f t="array" aca="1" ref="R80" ca="1">INDEX($F$2:$F$129, RANDBETWEEN(1,129))</f>
        <v>1.63</v>
      </c>
      <c r="S80" s="5"/>
      <c r="T80" s="5"/>
      <c r="U80" s="5"/>
      <c r="V80" s="5"/>
      <c r="W80" s="5"/>
    </row>
    <row r="81" spans="1:23" x14ac:dyDescent="0.35">
      <c r="A81" s="5" t="s">
        <v>8</v>
      </c>
      <c r="B81" s="5">
        <v>550470</v>
      </c>
      <c r="C81" s="5">
        <v>15036</v>
      </c>
      <c r="D81" s="5">
        <v>4</v>
      </c>
      <c r="E81" s="6">
        <v>40651.575694444444</v>
      </c>
      <c r="F81" s="8">
        <v>1.63</v>
      </c>
      <c r="G81" s="5" t="s">
        <v>1331</v>
      </c>
      <c r="H81" s="5">
        <f t="shared" si="14"/>
        <v>6.3829787234042548E-2</v>
      </c>
      <c r="I81" s="5">
        <f t="shared" si="15"/>
        <v>-0.66148708545003032</v>
      </c>
      <c r="J81" s="5" t="str">
        <f t="shared" si="16"/>
        <v>LOW</v>
      </c>
      <c r="K81" s="8">
        <f t="shared" si="17"/>
        <v>0.96703296703296704</v>
      </c>
      <c r="L81" s="8">
        <f t="shared" si="18"/>
        <v>1.9352005489719497</v>
      </c>
      <c r="M81" s="5" t="str">
        <f t="shared" si="19"/>
        <v>HIGH</v>
      </c>
      <c r="N81" s="5" cm="1">
        <f t="array" aca="1" ref="N81" ca="1">INDEX($N$2:$N$15,RANDBETWEEN(1, ROWS($N$2:$N$15)))</f>
        <v>9</v>
      </c>
      <c r="O81" s="5" cm="1">
        <f t="array" aca="1" ref="O81" ca="1">INDEX($O$2:$O$15,RANDBETWEEN(1, ROWS($O$2:$O$15)))</f>
        <v>4</v>
      </c>
      <c r="P81" s="5">
        <f t="shared" ca="1" si="20"/>
        <v>55107.137297332934</v>
      </c>
      <c r="Q81" s="5" cm="1">
        <f t="array" aca="1" ref="Q81" ca="1">INDEX($D$2:$D$129, RANDBETWEEN(1,128))</f>
        <v>20</v>
      </c>
      <c r="R81" s="5" cm="1">
        <f t="array" aca="1" ref="R81" ca="1">INDEX($F$2:$F$129, RANDBETWEEN(1,129))</f>
        <v>0.85</v>
      </c>
      <c r="S81" s="5"/>
      <c r="T81" s="5"/>
      <c r="U81" s="5"/>
      <c r="V81" s="5"/>
      <c r="W81" s="5"/>
    </row>
    <row r="82" spans="1:23" x14ac:dyDescent="0.35">
      <c r="A82" s="5" t="s">
        <v>8</v>
      </c>
      <c r="B82" s="5">
        <v>550471</v>
      </c>
      <c r="C82" s="5">
        <v>15036</v>
      </c>
      <c r="D82" s="5">
        <v>3</v>
      </c>
      <c r="E82" s="6">
        <v>40651.577777777777</v>
      </c>
      <c r="F82" s="8">
        <v>1.63</v>
      </c>
      <c r="G82" s="5" t="s">
        <v>1331</v>
      </c>
      <c r="H82" s="5">
        <f t="shared" si="14"/>
        <v>4.2553191489361701E-2</v>
      </c>
      <c r="I82" s="5">
        <f t="shared" si="15"/>
        <v>-0.75230747447938584</v>
      </c>
      <c r="J82" s="5" t="str">
        <f t="shared" si="16"/>
        <v>LOW</v>
      </c>
      <c r="K82" s="8">
        <f t="shared" si="17"/>
        <v>0.96703296703296704</v>
      </c>
      <c r="L82" s="8">
        <f t="shared" si="18"/>
        <v>1.9352005489719497</v>
      </c>
      <c r="M82" s="5" t="str">
        <f t="shared" si="19"/>
        <v>HIGH</v>
      </c>
      <c r="N82" s="5" cm="1">
        <f t="array" aca="1" ref="N82" ca="1">INDEX($N$2:$N$15,RANDBETWEEN(1, ROWS($N$2:$N$15)))</f>
        <v>9</v>
      </c>
      <c r="O82" s="5" cm="1">
        <f t="array" aca="1" ref="O82" ca="1">INDEX($O$2:$O$15,RANDBETWEEN(1, ROWS($O$2:$O$15)))</f>
        <v>4</v>
      </c>
      <c r="P82" s="5">
        <f t="shared" ca="1" si="20"/>
        <v>55107.127296091894</v>
      </c>
      <c r="Q82" s="5" cm="1">
        <f t="array" aca="1" ref="Q82" ca="1">INDEX($D$2:$D$129, RANDBETWEEN(1,128))</f>
        <v>24</v>
      </c>
      <c r="R82" s="5" cm="1">
        <f t="array" aca="1" ref="R82" ca="1">INDEX($F$2:$F$129, RANDBETWEEN(1,129))</f>
        <v>0.81</v>
      </c>
      <c r="S82" s="5"/>
      <c r="T82" s="5"/>
      <c r="U82" s="5"/>
      <c r="V82" s="5"/>
      <c r="W82" s="5"/>
    </row>
    <row r="83" spans="1:23" x14ac:dyDescent="0.35">
      <c r="A83" s="5" t="s">
        <v>8</v>
      </c>
      <c r="B83" s="5">
        <v>550474</v>
      </c>
      <c r="C83" s="5">
        <v>15036</v>
      </c>
      <c r="D83" s="5">
        <v>2</v>
      </c>
      <c r="E83" s="6">
        <v>40651.581944444442</v>
      </c>
      <c r="F83" s="8">
        <v>1.63</v>
      </c>
      <c r="G83" s="5" t="s">
        <v>1331</v>
      </c>
      <c r="H83" s="5">
        <f t="shared" si="14"/>
        <v>2.1276595744680851E-2</v>
      </c>
      <c r="I83" s="5">
        <f t="shared" si="15"/>
        <v>-0.84312786350874136</v>
      </c>
      <c r="J83" s="5" t="str">
        <f t="shared" si="16"/>
        <v>LOW</v>
      </c>
      <c r="K83" s="8">
        <f t="shared" si="17"/>
        <v>0.96703296703296704</v>
      </c>
      <c r="L83" s="8">
        <f t="shared" si="18"/>
        <v>1.9352005489719497</v>
      </c>
      <c r="M83" s="5" t="str">
        <f t="shared" si="19"/>
        <v>HIGH</v>
      </c>
      <c r="N83" s="5" cm="1">
        <f t="array" aca="1" ref="N83" ca="1">INDEX($N$2:$N$15,RANDBETWEEN(1, ROWS($N$2:$N$15)))</f>
        <v>12</v>
      </c>
      <c r="O83" s="5" cm="1">
        <f t="array" aca="1" ref="O83" ca="1">INDEX($O$2:$O$15,RANDBETWEEN(1, ROWS($O$2:$O$15)))</f>
        <v>1</v>
      </c>
      <c r="P83" s="5">
        <f t="shared" ca="1" si="20"/>
        <v>55107.299302426611</v>
      </c>
      <c r="Q83" s="5" cm="1">
        <f t="array" aca="1" ref="Q83" ca="1">INDEX($D$2:$D$129, RANDBETWEEN(1,128))</f>
        <v>1</v>
      </c>
      <c r="R83" s="5" cm="1">
        <f t="array" aca="1" ref="R83" ca="1">INDEX($F$2:$F$129, RANDBETWEEN(1,129))</f>
        <v>0.85</v>
      </c>
      <c r="S83" s="5"/>
      <c r="T83" s="5"/>
      <c r="U83" s="5"/>
      <c r="V83" s="5"/>
      <c r="W83" s="5"/>
    </row>
    <row r="84" spans="1:23" x14ac:dyDescent="0.35">
      <c r="A84" s="5" t="s">
        <v>8</v>
      </c>
      <c r="B84" s="5">
        <v>550479</v>
      </c>
      <c r="C84" s="5">
        <v>15036</v>
      </c>
      <c r="D84" s="5">
        <v>24</v>
      </c>
      <c r="E84" s="6">
        <v>40651.584027777775</v>
      </c>
      <c r="F84" s="8">
        <v>0.83</v>
      </c>
      <c r="G84" s="5">
        <v>15625</v>
      </c>
      <c r="H84" s="5">
        <f t="shared" si="14"/>
        <v>0.48936170212765956</v>
      </c>
      <c r="I84" s="5">
        <f t="shared" si="15"/>
        <v>1.1549206951370801</v>
      </c>
      <c r="J84" s="5" t="str">
        <f t="shared" si="16"/>
        <v>HIGH</v>
      </c>
      <c r="K84" s="8">
        <f t="shared" si="17"/>
        <v>8.7912087912087877E-2</v>
      </c>
      <c r="L84" s="8">
        <f t="shared" si="18"/>
        <v>-0.49186247751304629</v>
      </c>
      <c r="M84" s="5" t="str">
        <f t="shared" si="19"/>
        <v>LOW</v>
      </c>
      <c r="N84" s="5" cm="1">
        <f t="array" aca="1" ref="N84" ca="1">INDEX($N$2:$N$15,RANDBETWEEN(1, ROWS($N$2:$N$15)))</f>
        <v>9</v>
      </c>
      <c r="O84" s="5" cm="1">
        <f t="array" aca="1" ref="O84" ca="1">INDEX($O$2:$O$15,RANDBETWEEN(1, ROWS($O$2:$O$15)))</f>
        <v>3</v>
      </c>
      <c r="P84" s="5">
        <f t="shared" ca="1" si="20"/>
        <v>51819.137863315445</v>
      </c>
      <c r="Q84" s="5" cm="1">
        <f t="array" aca="1" ref="Q84" ca="1">INDEX($D$2:$D$129, RANDBETWEEN(1,128))</f>
        <v>36</v>
      </c>
      <c r="R84" s="5" cm="1">
        <f t="array" aca="1" ref="R84" ca="1">INDEX($F$2:$F$129, RANDBETWEEN(1,129))</f>
        <v>1.63</v>
      </c>
      <c r="S84" s="5"/>
      <c r="T84" s="5"/>
      <c r="U84" s="5"/>
      <c r="V84" s="5"/>
      <c r="W84" s="5"/>
    </row>
    <row r="85" spans="1:23" x14ac:dyDescent="0.35">
      <c r="A85" s="5" t="s">
        <v>8</v>
      </c>
      <c r="B85" s="5">
        <v>550517</v>
      </c>
      <c r="C85" s="5">
        <v>15036</v>
      </c>
      <c r="D85" s="5">
        <v>24</v>
      </c>
      <c r="E85" s="6">
        <v>40652.345138888886</v>
      </c>
      <c r="F85" s="8">
        <v>0.83</v>
      </c>
      <c r="G85" s="5">
        <v>14352</v>
      </c>
      <c r="H85" s="5">
        <f t="shared" si="14"/>
        <v>0.48936170212765956</v>
      </c>
      <c r="I85" s="5">
        <f t="shared" si="15"/>
        <v>1.1549206951370801</v>
      </c>
      <c r="J85" s="5" t="str">
        <f t="shared" si="16"/>
        <v>HIGH</v>
      </c>
      <c r="K85" s="8">
        <f t="shared" si="17"/>
        <v>8.7912087912087877E-2</v>
      </c>
      <c r="L85" s="8">
        <f t="shared" si="18"/>
        <v>-0.49186247751304629</v>
      </c>
      <c r="M85" s="5" t="str">
        <f t="shared" si="19"/>
        <v>LOW</v>
      </c>
      <c r="N85" s="5" cm="1">
        <f t="array" aca="1" ref="N85" ca="1">INDEX($N$2:$N$15,RANDBETWEEN(1, ROWS($N$2:$N$15)))</f>
        <v>12</v>
      </c>
      <c r="O85" s="5" cm="1">
        <f t="array" aca="1" ref="O85" ca="1">INDEX($O$2:$O$15,RANDBETWEEN(1, ROWS($O$2:$O$15)))</f>
        <v>5</v>
      </c>
      <c r="P85" s="5">
        <f t="shared" ca="1" si="20"/>
        <v>51716.701289241377</v>
      </c>
      <c r="Q85" s="5" cm="1">
        <f t="array" aca="1" ref="Q85" ca="1">INDEX($D$2:$D$129, RANDBETWEEN(1,128))</f>
        <v>20</v>
      </c>
      <c r="R85" s="5" cm="1">
        <f t="array" aca="1" ref="R85" ca="1">INDEX($F$2:$F$129, RANDBETWEEN(1,129))</f>
        <v>1.63</v>
      </c>
      <c r="S85" s="5"/>
      <c r="T85" s="5"/>
      <c r="U85" s="5"/>
      <c r="V85" s="5"/>
      <c r="W85" s="5"/>
    </row>
    <row r="86" spans="1:23" x14ac:dyDescent="0.35">
      <c r="A86" s="5" t="s">
        <v>8</v>
      </c>
      <c r="B86" s="5">
        <v>550519</v>
      </c>
      <c r="C86" s="5">
        <v>15036</v>
      </c>
      <c r="D86" s="5">
        <v>24</v>
      </c>
      <c r="E86" s="6">
        <v>40652.396527777775</v>
      </c>
      <c r="F86" s="8">
        <v>0.83</v>
      </c>
      <c r="G86" s="5">
        <v>13141</v>
      </c>
      <c r="H86" s="5">
        <f t="shared" si="14"/>
        <v>0.48936170212765956</v>
      </c>
      <c r="I86" s="5">
        <f t="shared" si="15"/>
        <v>1.1549206951370801</v>
      </c>
      <c r="J86" s="5" t="str">
        <f t="shared" si="16"/>
        <v>HIGH</v>
      </c>
      <c r="K86" s="8">
        <f t="shared" si="17"/>
        <v>8.7912087912087877E-2</v>
      </c>
      <c r="L86" s="8">
        <f t="shared" si="18"/>
        <v>-0.49186247751304629</v>
      </c>
      <c r="M86" s="5" t="str">
        <f t="shared" si="19"/>
        <v>LOW</v>
      </c>
      <c r="N86" s="5" cm="1">
        <f t="array" aca="1" ref="N86" ca="1">INDEX($N$2:$N$15,RANDBETWEEN(1, ROWS($N$2:$N$15)))</f>
        <v>9</v>
      </c>
      <c r="O86" s="5" cm="1">
        <f t="array" aca="1" ref="O86" ca="1">INDEX($O$2:$O$15,RANDBETWEEN(1, ROWS($O$2:$O$15)))</f>
        <v>7</v>
      </c>
      <c r="P86" s="5">
        <f t="shared" ca="1" si="20"/>
        <v>51615.872238315445</v>
      </c>
      <c r="Q86" s="5" cm="1">
        <f t="array" aca="1" ref="Q86" ca="1">INDEX($D$2:$D$129, RANDBETWEEN(1,128))</f>
        <v>20</v>
      </c>
      <c r="R86" s="5" cm="1">
        <f t="array" aca="1" ref="R86" ca="1">INDEX($F$2:$F$129, RANDBETWEEN(1,129))</f>
        <v>1.66</v>
      </c>
      <c r="S86" s="5"/>
      <c r="T86" s="5"/>
      <c r="U86" s="5"/>
      <c r="V86" s="5"/>
      <c r="W86" s="5"/>
    </row>
    <row r="87" spans="1:23" x14ac:dyDescent="0.35">
      <c r="A87" s="5" t="s">
        <v>8</v>
      </c>
      <c r="B87" s="5">
        <v>550521</v>
      </c>
      <c r="C87" s="5">
        <v>15036</v>
      </c>
      <c r="D87" s="5">
        <v>24</v>
      </c>
      <c r="E87" s="6">
        <v>40652.40902777778</v>
      </c>
      <c r="F87" s="8">
        <v>0.83</v>
      </c>
      <c r="G87" s="5">
        <v>13647</v>
      </c>
      <c r="H87" s="5">
        <f t="shared" si="14"/>
        <v>0.48936170212765956</v>
      </c>
      <c r="I87" s="5">
        <f t="shared" si="15"/>
        <v>1.1549206951370801</v>
      </c>
      <c r="J87" s="5" t="str">
        <f t="shared" si="16"/>
        <v>HIGH</v>
      </c>
      <c r="K87" s="8">
        <f t="shared" si="17"/>
        <v>8.7912087912087877E-2</v>
      </c>
      <c r="L87" s="8">
        <f t="shared" si="18"/>
        <v>-0.49186247751304629</v>
      </c>
      <c r="M87" s="5" t="str">
        <f t="shared" si="19"/>
        <v>LOW</v>
      </c>
      <c r="N87" s="5" cm="1">
        <f t="array" aca="1" ref="N87" ca="1">INDEX($N$2:$N$15,RANDBETWEEN(1, ROWS($N$2:$N$15)))</f>
        <v>2</v>
      </c>
      <c r="O87" s="5" cm="1">
        <f t="array" aca="1" ref="O87" ca="1">INDEX($O$2:$O$15,RANDBETWEEN(1, ROWS($O$2:$O$15)))</f>
        <v>7</v>
      </c>
      <c r="P87" s="5">
        <f t="shared" ca="1" si="20"/>
        <v>51657.623279982108</v>
      </c>
      <c r="Q87" s="5" cm="1">
        <f t="array" aca="1" ref="Q87" ca="1">INDEX($D$2:$D$129, RANDBETWEEN(1,128))</f>
        <v>10</v>
      </c>
      <c r="R87" s="5" cm="1">
        <f t="array" aca="1" ref="R87" ca="1">INDEX($F$2:$F$129, RANDBETWEEN(1,129))</f>
        <v>1.63</v>
      </c>
      <c r="S87" s="5"/>
      <c r="T87" s="5"/>
      <c r="U87" s="5"/>
      <c r="V87" s="5"/>
      <c r="W87" s="5"/>
    </row>
    <row r="88" spans="1:23" x14ac:dyDescent="0.35">
      <c r="A88" s="5" t="s">
        <v>8</v>
      </c>
      <c r="B88" s="5">
        <v>550542</v>
      </c>
      <c r="C88" s="5">
        <v>15036</v>
      </c>
      <c r="D88" s="5">
        <v>5</v>
      </c>
      <c r="E88" s="6">
        <v>40652.484027777777</v>
      </c>
      <c r="F88" s="8">
        <v>1.63</v>
      </c>
      <c r="G88" s="5" t="s">
        <v>1331</v>
      </c>
      <c r="H88" s="5">
        <f t="shared" si="14"/>
        <v>8.5106382978723402E-2</v>
      </c>
      <c r="I88" s="5">
        <f t="shared" si="15"/>
        <v>-0.5706666964206748</v>
      </c>
      <c r="J88" s="5" t="str">
        <f t="shared" si="16"/>
        <v>LOW</v>
      </c>
      <c r="K88" s="8">
        <f t="shared" si="17"/>
        <v>0.96703296703296704</v>
      </c>
      <c r="L88" s="8">
        <f t="shared" si="18"/>
        <v>1.9352005489719497</v>
      </c>
      <c r="M88" s="5" t="str">
        <f t="shared" si="19"/>
        <v>HIGH</v>
      </c>
      <c r="N88" s="5" cm="1">
        <f t="array" aca="1" ref="N88" ca="1">INDEX($N$2:$N$15,RANDBETWEEN(1, ROWS($N$2:$N$15)))</f>
        <v>4</v>
      </c>
      <c r="O88" s="5" cm="1">
        <f t="array" aca="1" ref="O88" ca="1">INDEX($O$2:$O$15,RANDBETWEEN(1, ROWS($O$2:$O$15)))</f>
        <v>5</v>
      </c>
      <c r="P88" s="5">
        <f t="shared" ca="1" si="20"/>
        <v>55113.502790998209</v>
      </c>
      <c r="Q88" s="5" cm="1">
        <f t="array" aca="1" ref="Q88" ca="1">INDEX($D$2:$D$129, RANDBETWEEN(1,128))</f>
        <v>7</v>
      </c>
      <c r="R88" s="5" cm="1">
        <f t="array" aca="1" ref="R88" ca="1">INDEX($F$2:$F$129, RANDBETWEEN(1,129))</f>
        <v>0.85</v>
      </c>
      <c r="S88" s="5"/>
      <c r="T88" s="5"/>
      <c r="U88" s="5"/>
      <c r="V88" s="5"/>
      <c r="W88" s="5"/>
    </row>
    <row r="89" spans="1:23" x14ac:dyDescent="0.35">
      <c r="A89" s="5" t="s">
        <v>8</v>
      </c>
      <c r="B89" s="5">
        <v>550636</v>
      </c>
      <c r="C89" s="5">
        <v>15036</v>
      </c>
      <c r="D89" s="5">
        <v>1</v>
      </c>
      <c r="E89" s="6">
        <v>40652.650694444441</v>
      </c>
      <c r="F89" s="8">
        <v>1.63</v>
      </c>
      <c r="G89" s="5" t="s">
        <v>1331</v>
      </c>
      <c r="H89" s="5">
        <f t="shared" si="14"/>
        <v>0</v>
      </c>
      <c r="I89" s="5">
        <f t="shared" si="15"/>
        <v>-0.93394825253809688</v>
      </c>
      <c r="J89" s="5" t="str">
        <f t="shared" si="16"/>
        <v>LOW</v>
      </c>
      <c r="K89" s="8">
        <f t="shared" si="17"/>
        <v>0.96703296703296704</v>
      </c>
      <c r="L89" s="8">
        <f t="shared" si="18"/>
        <v>1.9352005489719497</v>
      </c>
      <c r="M89" s="5" t="str">
        <f t="shared" si="19"/>
        <v>HIGH</v>
      </c>
      <c r="N89" s="5" cm="1">
        <f t="array" aca="1" ref="N89" ca="1">INDEX($N$2:$N$15,RANDBETWEEN(1, ROWS($N$2:$N$15)))</f>
        <v>8</v>
      </c>
      <c r="O89" s="5" cm="1">
        <f t="array" aca="1" ref="O89" ca="1">INDEX($O$2:$O$15,RANDBETWEEN(1, ROWS($O$2:$O$15)))</f>
        <v>5</v>
      </c>
      <c r="P89" s="5">
        <f t="shared" ca="1" si="20"/>
        <v>55122.022634518893</v>
      </c>
      <c r="Q89" s="5" cm="1">
        <f t="array" aca="1" ref="Q89" ca="1">INDEX($D$2:$D$129, RANDBETWEEN(1,128))</f>
        <v>48</v>
      </c>
      <c r="R89" s="5" cm="1">
        <f t="array" aca="1" ref="R89" ca="1">INDEX($F$2:$F$129, RANDBETWEEN(1,129))</f>
        <v>0.83</v>
      </c>
      <c r="S89" s="5"/>
      <c r="T89" s="5"/>
      <c r="U89" s="5"/>
      <c r="V89" s="5"/>
      <c r="W89" s="5"/>
    </row>
    <row r="90" spans="1:23" x14ac:dyDescent="0.35">
      <c r="A90" s="5" t="s">
        <v>8</v>
      </c>
      <c r="B90" s="5">
        <v>550659</v>
      </c>
      <c r="C90" s="5">
        <v>15036</v>
      </c>
      <c r="D90" s="5">
        <v>12</v>
      </c>
      <c r="E90" s="6">
        <v>40653.376388888886</v>
      </c>
      <c r="F90" s="8">
        <v>0.83</v>
      </c>
      <c r="G90" s="5">
        <v>17730</v>
      </c>
      <c r="H90" s="5">
        <f t="shared" si="14"/>
        <v>0.23404255319148937</v>
      </c>
      <c r="I90" s="5">
        <f t="shared" si="15"/>
        <v>6.5076026784813848E-2</v>
      </c>
      <c r="J90" s="5" t="str">
        <f t="shared" si="16"/>
        <v>HIGH</v>
      </c>
      <c r="K90" s="8">
        <f t="shared" si="17"/>
        <v>8.7912087912087877E-2</v>
      </c>
      <c r="L90" s="8">
        <f t="shared" si="18"/>
        <v>-0.49186247751304629</v>
      </c>
      <c r="M90" s="5" t="str">
        <f t="shared" si="19"/>
        <v>LOW</v>
      </c>
      <c r="N90" s="5" cm="1">
        <f t="array" aca="1" ref="N90" ca="1">INDEX($N$2:$N$15,RANDBETWEEN(1, ROWS($N$2:$N$15)))</f>
        <v>11</v>
      </c>
      <c r="O90" s="5" cm="1">
        <f t="array" aca="1" ref="O90" ca="1">INDEX($O$2:$O$15,RANDBETWEEN(1, ROWS($O$2:$O$15)))</f>
        <v>1</v>
      </c>
      <c r="P90" s="5">
        <f t="shared" ca="1" si="20"/>
        <v>52008.591796423279</v>
      </c>
      <c r="Q90" s="5" cm="1">
        <f t="array" aca="1" ref="Q90" ca="1">INDEX($D$2:$D$129, RANDBETWEEN(1,128))</f>
        <v>48</v>
      </c>
      <c r="R90" s="5" cm="1">
        <f t="array" aca="1" ref="R90" ca="1">INDEX($F$2:$F$129, RANDBETWEEN(1,129))</f>
        <v>0.83</v>
      </c>
      <c r="S90" s="5"/>
      <c r="T90" s="5"/>
      <c r="U90" s="5"/>
      <c r="V90" s="5"/>
      <c r="W90" s="5"/>
    </row>
    <row r="91" spans="1:23" x14ac:dyDescent="0.35">
      <c r="A91" s="5" t="s">
        <v>8</v>
      </c>
      <c r="B91" s="5">
        <v>550775</v>
      </c>
      <c r="C91" s="5">
        <v>15036</v>
      </c>
      <c r="D91" s="5">
        <v>12</v>
      </c>
      <c r="E91" s="6">
        <v>40653.554166666669</v>
      </c>
      <c r="F91" s="8">
        <v>0.83</v>
      </c>
      <c r="G91" s="5">
        <v>15805</v>
      </c>
      <c r="H91" s="5">
        <f t="shared" si="14"/>
        <v>0.23404255319148937</v>
      </c>
      <c r="I91" s="5">
        <f t="shared" si="15"/>
        <v>6.5076026784813848E-2</v>
      </c>
      <c r="J91" s="5" t="str">
        <f t="shared" si="16"/>
        <v>HIGH</v>
      </c>
      <c r="K91" s="8">
        <f t="shared" si="17"/>
        <v>8.7912087912087877E-2</v>
      </c>
      <c r="L91" s="8">
        <f t="shared" si="18"/>
        <v>-0.49186247751304629</v>
      </c>
      <c r="M91" s="5" t="str">
        <f t="shared" si="19"/>
        <v>LOW</v>
      </c>
      <c r="N91" s="5" cm="1">
        <f t="array" aca="1" ref="N91" ca="1">INDEX($N$2:$N$15,RANDBETWEEN(1, ROWS($N$2:$N$15)))</f>
        <v>2</v>
      </c>
      <c r="O91" s="5" cm="1">
        <f t="array" aca="1" ref="O91" ca="1">INDEX($O$2:$O$15,RANDBETWEEN(1, ROWS($O$2:$O$15)))</f>
        <v>5</v>
      </c>
      <c r="P91" s="5">
        <f t="shared" ca="1" si="20"/>
        <v>51857.43994457143</v>
      </c>
      <c r="Q91" s="5" cm="1">
        <f t="array" aca="1" ref="Q91" ca="1">INDEX($D$2:$D$129, RANDBETWEEN(1,128))</f>
        <v>24</v>
      </c>
      <c r="R91" s="5" cm="1">
        <f t="array" aca="1" ref="R91" ca="1">INDEX($F$2:$F$129, RANDBETWEEN(1,129))</f>
        <v>0.81</v>
      </c>
      <c r="S91" s="5"/>
      <c r="T91" s="5"/>
      <c r="U91" s="5"/>
      <c r="V91" s="5"/>
      <c r="W91" s="5"/>
    </row>
    <row r="92" spans="1:23" x14ac:dyDescent="0.35">
      <c r="A92" s="5" t="s">
        <v>8</v>
      </c>
      <c r="B92" s="5">
        <v>550785</v>
      </c>
      <c r="C92" s="5">
        <v>15036</v>
      </c>
      <c r="D92" s="5">
        <v>12</v>
      </c>
      <c r="E92" s="6">
        <v>40653.584722222222</v>
      </c>
      <c r="F92" s="8">
        <v>0.83</v>
      </c>
      <c r="G92" s="5">
        <v>15517</v>
      </c>
      <c r="H92" s="5">
        <f t="shared" si="14"/>
        <v>0.23404255319148937</v>
      </c>
      <c r="I92" s="5">
        <f t="shared" si="15"/>
        <v>6.5076026784813848E-2</v>
      </c>
      <c r="J92" s="5" t="str">
        <f t="shared" si="16"/>
        <v>HIGH</v>
      </c>
      <c r="K92" s="8">
        <f t="shared" si="17"/>
        <v>8.7912087912087877E-2</v>
      </c>
      <c r="L92" s="8">
        <f t="shared" si="18"/>
        <v>-0.49186247751304629</v>
      </c>
      <c r="M92" s="5" t="str">
        <f t="shared" si="19"/>
        <v>LOW</v>
      </c>
      <c r="N92" s="5" cm="1">
        <f t="array" aca="1" ref="N92" ca="1">INDEX($N$2:$N$15,RANDBETWEEN(1, ROWS($N$2:$N$15)))</f>
        <v>4</v>
      </c>
      <c r="O92" s="5" cm="1">
        <f t="array" aca="1" ref="O92" ca="1">INDEX($O$2:$O$15,RANDBETWEEN(1, ROWS($O$2:$O$15)))</f>
        <v>5</v>
      </c>
      <c r="P92" s="5">
        <f t="shared" ca="1" si="20"/>
        <v>51834.442490867717</v>
      </c>
      <c r="Q92" s="5" cm="1">
        <f t="array" aca="1" ref="Q92" ca="1">INDEX($D$2:$D$129, RANDBETWEEN(1,128))</f>
        <v>12</v>
      </c>
      <c r="R92" s="5" cm="1">
        <f t="array" aca="1" ref="R92" ca="1">INDEX($F$2:$F$129, RANDBETWEEN(1,129))</f>
        <v>0.81</v>
      </c>
      <c r="S92" s="5"/>
      <c r="T92" s="5"/>
      <c r="U92" s="5"/>
      <c r="V92" s="5"/>
      <c r="W92" s="5"/>
    </row>
    <row r="93" spans="1:23" x14ac:dyDescent="0.35">
      <c r="A93" s="5" t="s">
        <v>8</v>
      </c>
      <c r="B93" s="5">
        <v>550802</v>
      </c>
      <c r="C93" s="5">
        <v>15036</v>
      </c>
      <c r="D93" s="5">
        <v>12</v>
      </c>
      <c r="E93" s="6">
        <v>40653.63958333333</v>
      </c>
      <c r="F93" s="8">
        <v>0.83</v>
      </c>
      <c r="G93" s="5">
        <v>17120</v>
      </c>
      <c r="H93" s="5">
        <f t="shared" si="14"/>
        <v>0.23404255319148937</v>
      </c>
      <c r="I93" s="5">
        <f t="shared" si="15"/>
        <v>6.5076026784813848E-2</v>
      </c>
      <c r="J93" s="5" t="str">
        <f t="shared" si="16"/>
        <v>HIGH</v>
      </c>
      <c r="K93" s="8">
        <f t="shared" si="17"/>
        <v>8.7912087912087877E-2</v>
      </c>
      <c r="L93" s="8">
        <f t="shared" si="18"/>
        <v>-0.49186247751304629</v>
      </c>
      <c r="M93" s="5" t="str">
        <f t="shared" si="19"/>
        <v>LOW</v>
      </c>
      <c r="N93" s="5" cm="1">
        <f t="array" aca="1" ref="N93" ca="1">INDEX($N$2:$N$15,RANDBETWEEN(1, ROWS($N$2:$N$15)))</f>
        <v>8</v>
      </c>
      <c r="O93" s="5" cm="1">
        <f t="array" aca="1" ref="O93" ca="1">INDEX($O$2:$O$15,RANDBETWEEN(1, ROWS($O$2:$O$15)))</f>
        <v>4</v>
      </c>
      <c r="P93" s="5">
        <f t="shared" ca="1" si="20"/>
        <v>51969.697062626976</v>
      </c>
      <c r="Q93" s="5" cm="1">
        <f t="array" aca="1" ref="Q93" ca="1">INDEX($D$2:$D$129, RANDBETWEEN(1,128))</f>
        <v>12</v>
      </c>
      <c r="R93" s="5" t="e" cm="1">
        <f t="array" aca="1" ref="R93" ca="1">INDEX($F$2:$F$129, RANDBETWEEN(1,129))</f>
        <v>#REF!</v>
      </c>
      <c r="S93" s="5"/>
      <c r="T93" s="5"/>
      <c r="U93" s="5"/>
      <c r="V93" s="5"/>
      <c r="W93" s="5"/>
    </row>
    <row r="94" spans="1:23" x14ac:dyDescent="0.35">
      <c r="A94" s="5" t="s">
        <v>8</v>
      </c>
      <c r="B94" s="5">
        <v>550972</v>
      </c>
      <c r="C94" s="5">
        <v>15036</v>
      </c>
      <c r="D94" s="5">
        <v>1</v>
      </c>
      <c r="E94" s="6">
        <v>40654.711805555555</v>
      </c>
      <c r="F94" s="8">
        <v>0.83</v>
      </c>
      <c r="G94" s="5">
        <v>14031</v>
      </c>
      <c r="H94" s="5">
        <f t="shared" si="14"/>
        <v>0</v>
      </c>
      <c r="I94" s="5">
        <f t="shared" si="15"/>
        <v>-0.93394825253809688</v>
      </c>
      <c r="J94" s="5" t="str">
        <f t="shared" si="16"/>
        <v>LOW</v>
      </c>
      <c r="K94" s="8">
        <f t="shared" si="17"/>
        <v>8.7912087912087877E-2</v>
      </c>
      <c r="L94" s="8">
        <f t="shared" si="18"/>
        <v>-0.49186247751304629</v>
      </c>
      <c r="M94" s="5" t="str">
        <f t="shared" si="19"/>
        <v>LOW</v>
      </c>
      <c r="N94" s="5" cm="1">
        <f t="array" aca="1" ref="N94" ca="1">INDEX($N$2:$N$15,RANDBETWEEN(1, ROWS($N$2:$N$15)))</f>
        <v>2</v>
      </c>
      <c r="O94" s="5" cm="1">
        <f t="array" aca="1" ref="O94" ca="1">INDEX($O$2:$O$15,RANDBETWEEN(1, ROWS($O$2:$O$15)))</f>
        <v>3</v>
      </c>
      <c r="P94" s="5">
        <f t="shared" ca="1" si="20"/>
        <v>51724.933658909438</v>
      </c>
      <c r="Q94" s="5" cm="1">
        <f t="array" aca="1" ref="Q94" ca="1">INDEX($D$2:$D$129, RANDBETWEEN(1,128))</f>
        <v>20</v>
      </c>
      <c r="R94" s="5" cm="1">
        <f t="array" aca="1" ref="R94" ca="1">INDEX($F$2:$F$129, RANDBETWEEN(1,129))</f>
        <v>0.79</v>
      </c>
      <c r="S94" s="5"/>
      <c r="T94" s="5"/>
      <c r="U94" s="5"/>
      <c r="V94" s="5"/>
      <c r="W94" s="5"/>
    </row>
    <row r="95" spans="1:23" x14ac:dyDescent="0.35">
      <c r="A95" s="5" t="s">
        <v>8</v>
      </c>
      <c r="B95" s="5">
        <v>551174</v>
      </c>
      <c r="C95" s="5">
        <v>15036</v>
      </c>
      <c r="D95" s="5">
        <v>15</v>
      </c>
      <c r="E95" s="6">
        <v>40659.709722222222</v>
      </c>
      <c r="F95" s="8">
        <v>0.83</v>
      </c>
      <c r="G95" s="5" t="s">
        <v>1331</v>
      </c>
      <c r="H95" s="5">
        <f t="shared" si="14"/>
        <v>0.2978723404255319</v>
      </c>
      <c r="I95" s="5">
        <f t="shared" si="15"/>
        <v>0.33753719387288039</v>
      </c>
      <c r="J95" s="5" t="str">
        <f t="shared" si="16"/>
        <v>HIGH</v>
      </c>
      <c r="K95" s="8">
        <f t="shared" si="17"/>
        <v>8.7912087912087877E-2</v>
      </c>
      <c r="L95" s="8">
        <f t="shared" si="18"/>
        <v>-0.49186247751304629</v>
      </c>
      <c r="M95" s="5" t="str">
        <f t="shared" si="19"/>
        <v>LOW</v>
      </c>
      <c r="N95" s="5" cm="1">
        <f t="array" aca="1" ref="N95" ca="1">INDEX($N$2:$N$15,RANDBETWEEN(1, ROWS($N$2:$N$15)))</f>
        <v>4</v>
      </c>
      <c r="O95" s="5" cm="1">
        <f t="array" aca="1" ref="O95" ca="1">INDEX($O$2:$O$15,RANDBETWEEN(1, ROWS($O$2:$O$15)))</f>
        <v>5</v>
      </c>
      <c r="P95" s="5">
        <f t="shared" ca="1" si="20"/>
        <v>55172.251925578807</v>
      </c>
      <c r="Q95" s="5" cm="1">
        <f t="array" aca="1" ref="Q95" ca="1">INDEX($D$2:$D$129, RANDBETWEEN(1,128))</f>
        <v>6</v>
      </c>
      <c r="R95" s="5" cm="1">
        <f t="array" aca="1" ref="R95" ca="1">INDEX($F$2:$F$129, RANDBETWEEN(1,129))</f>
        <v>0.85</v>
      </c>
      <c r="S95" s="5"/>
      <c r="T95" s="5"/>
      <c r="U95" s="5"/>
      <c r="V95" s="5"/>
      <c r="W95" s="5"/>
    </row>
    <row r="96" spans="1:23" x14ac:dyDescent="0.35">
      <c r="A96" s="5" t="s">
        <v>8</v>
      </c>
      <c r="B96" s="5">
        <v>551182</v>
      </c>
      <c r="C96" s="5">
        <v>15036</v>
      </c>
      <c r="D96" s="5">
        <v>24</v>
      </c>
      <c r="E96" s="6">
        <v>40660.363194444442</v>
      </c>
      <c r="F96" s="8">
        <v>0.83</v>
      </c>
      <c r="G96" s="5">
        <v>14282</v>
      </c>
      <c r="H96" s="5">
        <f t="shared" si="14"/>
        <v>0.48936170212765956</v>
      </c>
      <c r="I96" s="5">
        <f t="shared" si="15"/>
        <v>1.1549206951370801</v>
      </c>
      <c r="J96" s="5" t="str">
        <f t="shared" si="16"/>
        <v>HIGH</v>
      </c>
      <c r="K96" s="8">
        <f t="shared" si="17"/>
        <v>8.7912087912087877E-2</v>
      </c>
      <c r="L96" s="8">
        <f t="shared" si="18"/>
        <v>-0.49186247751304629</v>
      </c>
      <c r="M96" s="5" t="str">
        <f t="shared" si="19"/>
        <v>LOW</v>
      </c>
      <c r="N96" s="5" cm="1">
        <f t="array" aca="1" ref="N96" ca="1">INDEX($N$2:$N$15,RANDBETWEEN(1, ROWS($N$2:$N$15)))</f>
        <v>9</v>
      </c>
      <c r="O96" s="5" cm="1">
        <f t="array" aca="1" ref="O96" ca="1">INDEX($O$2:$O$15,RANDBETWEEN(1, ROWS($O$2:$O$15)))</f>
        <v>7</v>
      </c>
      <c r="P96" s="5">
        <f t="shared" ca="1" si="20"/>
        <v>51766.869460537673</v>
      </c>
      <c r="Q96" s="5" cm="1">
        <f t="array" aca="1" ref="Q96" ca="1">INDEX($D$2:$D$129, RANDBETWEEN(1,128))</f>
        <v>5</v>
      </c>
      <c r="R96" s="5" cm="1">
        <f t="array" aca="1" ref="R96" ca="1">INDEX($F$2:$F$129, RANDBETWEEN(1,129))</f>
        <v>1.66</v>
      </c>
      <c r="S96" s="5"/>
      <c r="T96" s="5"/>
      <c r="U96" s="5"/>
      <c r="V96" s="5"/>
      <c r="W96" s="5"/>
    </row>
    <row r="97" spans="1:23" x14ac:dyDescent="0.35">
      <c r="A97" s="5" t="s">
        <v>8</v>
      </c>
      <c r="B97" s="5">
        <v>551391</v>
      </c>
      <c r="C97" s="5">
        <v>10125</v>
      </c>
      <c r="D97" s="5">
        <v>1</v>
      </c>
      <c r="E97" s="6">
        <v>40661.504166666666</v>
      </c>
      <c r="F97" s="8">
        <v>0.85</v>
      </c>
      <c r="G97" s="5">
        <v>15514</v>
      </c>
      <c r="H97" s="5">
        <f t="shared" si="14"/>
        <v>0</v>
      </c>
      <c r="I97" s="5">
        <f t="shared" si="15"/>
        <v>-0.93394825253809688</v>
      </c>
      <c r="J97" s="5" t="str">
        <f t="shared" si="16"/>
        <v>LOW</v>
      </c>
      <c r="K97" s="8">
        <f t="shared" si="17"/>
        <v>0.10989010989010987</v>
      </c>
      <c r="L97" s="8">
        <f t="shared" si="18"/>
        <v>-0.43118590185092137</v>
      </c>
      <c r="M97" s="5" t="str">
        <f t="shared" si="19"/>
        <v>LOW</v>
      </c>
      <c r="N97" s="5">
        <v>10</v>
      </c>
      <c r="O97" s="5">
        <v>8</v>
      </c>
      <c r="P97" s="5">
        <f t="shared" si="20"/>
        <v>51475.84157688517</v>
      </c>
      <c r="Q97" s="5" cm="1">
        <f t="array" aca="1" ref="Q97" ca="1">INDEX($D$2:$D$129, RANDBETWEEN(1,128))</f>
        <v>1</v>
      </c>
      <c r="R97" s="5" cm="1">
        <f t="array" aca="1" ref="R97" ca="1">INDEX($F$2:$F$129, RANDBETWEEN(1,129))</f>
        <v>0.85</v>
      </c>
      <c r="S97" s="5"/>
      <c r="T97" s="5"/>
      <c r="U97" s="5"/>
      <c r="V97" s="5"/>
      <c r="W97" s="5"/>
    </row>
    <row r="98" spans="1:23" x14ac:dyDescent="0.35">
      <c r="A98" s="5" t="s">
        <v>8</v>
      </c>
      <c r="B98" s="5">
        <v>551616</v>
      </c>
      <c r="C98" s="5">
        <v>10125</v>
      </c>
      <c r="D98" s="5">
        <v>1</v>
      </c>
      <c r="E98" s="6">
        <v>40666.486111111109</v>
      </c>
      <c r="F98" s="8">
        <v>0.85</v>
      </c>
      <c r="G98" s="5">
        <v>15048</v>
      </c>
      <c r="H98" s="5">
        <f t="shared" ref="H98:H128" si="21">(D98-1)/(48-1)</f>
        <v>0</v>
      </c>
      <c r="I98" s="5">
        <f t="shared" ref="I98:I128" si="22">(D98-$Z$21)/$Z$44</f>
        <v>-0.93394825253809688</v>
      </c>
      <c r="J98" s="5" t="str">
        <f t="shared" ref="J98:J128" si="23">IF(D98&gt;$Z$6, "HIGH", "LOW")</f>
        <v>LOW</v>
      </c>
      <c r="K98" s="8">
        <f t="shared" ref="K98:K128" si="24">(F98-0.75)/(1.66-0.75)</f>
        <v>0.10989010989010987</v>
      </c>
      <c r="L98" s="8">
        <f t="shared" ref="L98:L128" si="25">(F98-$Z$22)/$Z$45</f>
        <v>-0.43118590185092137</v>
      </c>
      <c r="M98" s="5" t="str">
        <f t="shared" ref="M98:M128" si="26">IF(F98&gt;$Z$7, "HIGH", "LOW")</f>
        <v>LOW</v>
      </c>
      <c r="N98" s="5">
        <v>13</v>
      </c>
      <c r="O98" s="5">
        <v>2</v>
      </c>
      <c r="P98" s="5">
        <f t="shared" ref="P98:P128" si="27">AVERAGE(B98:O98)</f>
        <v>51455.923405588874</v>
      </c>
      <c r="Q98" s="5" cm="1">
        <f t="array" aca="1" ref="Q98" ca="1">INDEX($D$2:$D$129, RANDBETWEEN(1,128))</f>
        <v>24</v>
      </c>
      <c r="R98" s="5" cm="1">
        <f t="array" aca="1" ref="R98" ca="1">INDEX($F$2:$F$129, RANDBETWEEN(1,129))</f>
        <v>0.83</v>
      </c>
      <c r="S98" s="5"/>
      <c r="T98" s="5"/>
      <c r="U98" s="5"/>
      <c r="V98" s="5"/>
      <c r="W98" s="5"/>
    </row>
    <row r="99" spans="1:23" x14ac:dyDescent="0.35">
      <c r="A99" s="5" t="s">
        <v>8</v>
      </c>
      <c r="B99" s="5">
        <v>552269</v>
      </c>
      <c r="C99" s="5">
        <v>10125</v>
      </c>
      <c r="D99" s="5">
        <v>1</v>
      </c>
      <c r="E99" s="6">
        <v>40671.494444444441</v>
      </c>
      <c r="F99" s="8">
        <v>0.85</v>
      </c>
      <c r="G99" s="5">
        <v>16121</v>
      </c>
      <c r="H99" s="5">
        <f t="shared" si="21"/>
        <v>0</v>
      </c>
      <c r="I99" s="5">
        <f t="shared" si="22"/>
        <v>-0.93394825253809688</v>
      </c>
      <c r="J99" s="5" t="str">
        <f t="shared" si="23"/>
        <v>LOW</v>
      </c>
      <c r="K99" s="8">
        <f t="shared" si="24"/>
        <v>0.10989010989010987</v>
      </c>
      <c r="L99" s="8">
        <f t="shared" si="25"/>
        <v>-0.43118590185092137</v>
      </c>
      <c r="M99" s="5" t="str">
        <f t="shared" si="26"/>
        <v>LOW</v>
      </c>
      <c r="N99" s="5" cm="1">
        <f t="array" aca="1" ref="N99" ca="1">INDEX($N$2:$N$15,RANDBETWEEN(1, ROWS($N$2:$N$15)))</f>
        <v>2</v>
      </c>
      <c r="O99" s="5" cm="1">
        <f t="array" aca="1" ref="O99" ca="1">INDEX($O$2:$O$15,RANDBETWEEN(1, ROWS($O$2:$O$15)))</f>
        <v>5</v>
      </c>
      <c r="P99" s="5">
        <f t="shared" ca="1" si="27"/>
        <v>51599.507433366649</v>
      </c>
      <c r="Q99" s="5" cm="1">
        <f t="array" aca="1" ref="Q99" ca="1">INDEX($D$2:$D$129, RANDBETWEEN(1,128))</f>
        <v>48</v>
      </c>
      <c r="R99" s="5" cm="1">
        <f t="array" aca="1" ref="R99" ca="1">INDEX($F$2:$F$129, RANDBETWEEN(1,129))</f>
        <v>0.85</v>
      </c>
      <c r="S99" s="5"/>
      <c r="T99" s="5"/>
      <c r="U99" s="5"/>
      <c r="V99" s="5"/>
      <c r="W99" s="5"/>
    </row>
    <row r="100" spans="1:23" x14ac:dyDescent="0.35">
      <c r="A100" s="5" t="s">
        <v>8</v>
      </c>
      <c r="B100" s="5">
        <v>552310</v>
      </c>
      <c r="C100" s="5">
        <v>10125</v>
      </c>
      <c r="D100" s="5">
        <v>3</v>
      </c>
      <c r="E100" s="6">
        <v>40671.640277777777</v>
      </c>
      <c r="F100" s="8">
        <v>0.85</v>
      </c>
      <c r="G100" s="5">
        <v>17323</v>
      </c>
      <c r="H100" s="5">
        <f t="shared" si="21"/>
        <v>4.2553191489361701E-2</v>
      </c>
      <c r="I100" s="5">
        <f t="shared" si="22"/>
        <v>-0.75230747447938584</v>
      </c>
      <c r="J100" s="5" t="str">
        <f t="shared" si="23"/>
        <v>LOW</v>
      </c>
      <c r="K100" s="8">
        <f t="shared" si="24"/>
        <v>0.10989010989010987</v>
      </c>
      <c r="L100" s="8">
        <f t="shared" si="25"/>
        <v>-0.43118590185092137</v>
      </c>
      <c r="M100" s="5" t="str">
        <f t="shared" si="26"/>
        <v>LOW</v>
      </c>
      <c r="N100" s="5" cm="1">
        <f t="array" aca="1" ref="N100" ca="1">INDEX($N$2:$N$15,RANDBETWEEN(1, ROWS($N$2:$N$15)))</f>
        <v>12</v>
      </c>
      <c r="O100" s="5" cm="1">
        <f t="array" aca="1" ref="O100" ca="1">INDEX($O$2:$O$15,RANDBETWEEN(1, ROWS($O$2:$O$15)))</f>
        <v>3</v>
      </c>
      <c r="P100" s="5">
        <f t="shared" ca="1" si="27"/>
        <v>51703.954935641901</v>
      </c>
      <c r="Q100" s="5" cm="1">
        <f t="array" aca="1" ref="Q100" ca="1">INDEX($D$2:$D$129, RANDBETWEEN(1,128))</f>
        <v>1</v>
      </c>
      <c r="R100" s="5" cm="1">
        <f t="array" aca="1" ref="R100" ca="1">INDEX($F$2:$F$129, RANDBETWEEN(1,129))</f>
        <v>0.85</v>
      </c>
      <c r="S100" s="5"/>
      <c r="T100" s="5"/>
      <c r="U100" s="5"/>
      <c r="V100" s="5"/>
      <c r="W100" s="5"/>
    </row>
    <row r="101" spans="1:23" x14ac:dyDescent="0.35">
      <c r="A101" s="5" t="s">
        <v>8</v>
      </c>
      <c r="B101" s="5">
        <v>553385</v>
      </c>
      <c r="C101" s="5">
        <v>10125</v>
      </c>
      <c r="D101" s="5">
        <v>1</v>
      </c>
      <c r="E101" s="6">
        <v>40679.661805555559</v>
      </c>
      <c r="F101" s="8">
        <v>0.85</v>
      </c>
      <c r="G101" s="5">
        <v>16710</v>
      </c>
      <c r="H101" s="5">
        <f t="shared" si="21"/>
        <v>0</v>
      </c>
      <c r="I101" s="5">
        <f t="shared" si="22"/>
        <v>-0.93394825253809688</v>
      </c>
      <c r="J101" s="5" t="str">
        <f t="shared" si="23"/>
        <v>LOW</v>
      </c>
      <c r="K101" s="8">
        <f t="shared" si="24"/>
        <v>0.10989010989010987</v>
      </c>
      <c r="L101" s="8">
        <f t="shared" si="25"/>
        <v>-0.43118590185092137</v>
      </c>
      <c r="M101" s="5" t="str">
        <f t="shared" si="26"/>
        <v>LOW</v>
      </c>
      <c r="N101" s="5" cm="1">
        <f t="array" aca="1" ref="N101" ca="1">INDEX($N$2:$N$15,RANDBETWEEN(1, ROWS($N$2:$N$15)))</f>
        <v>4</v>
      </c>
      <c r="O101" s="5" cm="1">
        <f t="array" aca="1" ref="O101" ca="1">INDEX($O$2:$O$15,RANDBETWEEN(1, ROWS($O$2:$O$15)))</f>
        <v>4</v>
      </c>
      <c r="P101" s="5">
        <f t="shared" ca="1" si="27"/>
        <v>51742.354713459245</v>
      </c>
      <c r="Q101" s="5" cm="1">
        <f t="array" aca="1" ref="Q101" ca="1">INDEX($D$2:$D$129, RANDBETWEEN(1,128))</f>
        <v>2</v>
      </c>
      <c r="R101" s="5" cm="1">
        <f t="array" aca="1" ref="R101" ca="1">INDEX($F$2:$F$129, RANDBETWEEN(1,129))</f>
        <v>1.63</v>
      </c>
      <c r="S101" s="5"/>
      <c r="T101" s="5"/>
      <c r="U101" s="5"/>
      <c r="V101" s="5"/>
      <c r="W101" s="5"/>
    </row>
    <row r="102" spans="1:23" x14ac:dyDescent="0.35">
      <c r="A102" s="5" t="s">
        <v>8</v>
      </c>
      <c r="B102" s="5">
        <v>554117</v>
      </c>
      <c r="C102" s="5">
        <v>10125</v>
      </c>
      <c r="D102" s="5">
        <v>1</v>
      </c>
      <c r="E102" s="6">
        <v>40685.633333333331</v>
      </c>
      <c r="F102" s="8">
        <v>0.85</v>
      </c>
      <c r="G102" s="5">
        <v>13758</v>
      </c>
      <c r="H102" s="5">
        <f t="shared" si="21"/>
        <v>0</v>
      </c>
      <c r="I102" s="5">
        <f t="shared" si="22"/>
        <v>-0.93394825253809688</v>
      </c>
      <c r="J102" s="5" t="str">
        <f t="shared" si="23"/>
        <v>LOW</v>
      </c>
      <c r="K102" s="8">
        <f t="shared" si="24"/>
        <v>0.10989010989010987</v>
      </c>
      <c r="L102" s="8">
        <f t="shared" si="25"/>
        <v>-0.43118590185092137</v>
      </c>
      <c r="M102" s="5" t="str">
        <f t="shared" si="26"/>
        <v>LOW</v>
      </c>
      <c r="N102" s="5" cm="1">
        <f t="array" aca="1" ref="N102" ca="1">INDEX($N$2:$N$15,RANDBETWEEN(1, ROWS($N$2:$N$15)))</f>
        <v>2</v>
      </c>
      <c r="O102" s="5" cm="1">
        <f t="array" aca="1" ref="O102" ca="1">INDEX($O$2:$O$15,RANDBETWEEN(1, ROWS($O$2:$O$15)))</f>
        <v>5</v>
      </c>
      <c r="P102" s="5">
        <f t="shared" ca="1" si="27"/>
        <v>51557.769007440722</v>
      </c>
      <c r="Q102" s="5" cm="1">
        <f t="array" aca="1" ref="Q102" ca="1">INDEX($D$2:$D$129, RANDBETWEEN(1,128))</f>
        <v>48</v>
      </c>
      <c r="R102" s="5" cm="1">
        <f t="array" aca="1" ref="R102" ca="1">INDEX($F$2:$F$129, RANDBETWEEN(1,129))</f>
        <v>0.83</v>
      </c>
      <c r="S102" s="5"/>
      <c r="T102" s="5"/>
      <c r="U102" s="5"/>
      <c r="V102" s="5"/>
      <c r="W102" s="5"/>
    </row>
    <row r="103" spans="1:23" x14ac:dyDescent="0.35">
      <c r="A103" s="5" t="s">
        <v>8</v>
      </c>
      <c r="B103" s="5">
        <v>555579</v>
      </c>
      <c r="C103" s="5">
        <v>10125</v>
      </c>
      <c r="D103" s="5">
        <v>1</v>
      </c>
      <c r="E103" s="6">
        <v>40699.668055555558</v>
      </c>
      <c r="F103" s="8">
        <v>0.85</v>
      </c>
      <c r="G103" s="5">
        <v>13983</v>
      </c>
      <c r="H103" s="5">
        <f t="shared" si="21"/>
        <v>0</v>
      </c>
      <c r="I103" s="5">
        <f t="shared" si="22"/>
        <v>-0.93394825253809688</v>
      </c>
      <c r="J103" s="5" t="str">
        <f t="shared" si="23"/>
        <v>LOW</v>
      </c>
      <c r="K103" s="8">
        <f t="shared" si="24"/>
        <v>0.10989010989010987</v>
      </c>
      <c r="L103" s="8">
        <f t="shared" si="25"/>
        <v>-0.43118590185092137</v>
      </c>
      <c r="M103" s="5" t="str">
        <f t="shared" si="26"/>
        <v>LOW</v>
      </c>
      <c r="N103" s="5" cm="1">
        <f t="array" aca="1" ref="N103" ca="1">INDEX($N$2:$N$15,RANDBETWEEN(1, ROWS($N$2:$N$15)))</f>
        <v>2</v>
      </c>
      <c r="O103" s="5" cm="1">
        <f t="array" aca="1" ref="O103" ca="1">INDEX($O$2:$O$15,RANDBETWEEN(1, ROWS($O$2:$O$15)))</f>
        <v>5</v>
      </c>
      <c r="P103" s="5">
        <f t="shared" ca="1" si="27"/>
        <v>51699.521900959247</v>
      </c>
      <c r="Q103" s="5" cm="1">
        <f t="array" aca="1" ref="Q103" ca="1">INDEX($D$2:$D$129, RANDBETWEEN(1,128))</f>
        <v>10</v>
      </c>
      <c r="R103" s="5" cm="1">
        <f t="array" aca="1" ref="R103" ca="1">INDEX($F$2:$F$129, RANDBETWEEN(1,129))</f>
        <v>0.85</v>
      </c>
      <c r="S103" s="5"/>
      <c r="T103" s="5"/>
      <c r="U103" s="5"/>
      <c r="V103" s="5"/>
      <c r="W103" s="5"/>
    </row>
    <row r="104" spans="1:23" x14ac:dyDescent="0.35">
      <c r="A104" s="5" t="s">
        <v>8</v>
      </c>
      <c r="B104" s="5">
        <v>556222</v>
      </c>
      <c r="C104" s="5">
        <v>10125</v>
      </c>
      <c r="D104" s="5">
        <v>12</v>
      </c>
      <c r="E104" s="6">
        <v>40703.599305555559</v>
      </c>
      <c r="F104" s="8">
        <v>0.85</v>
      </c>
      <c r="G104" s="5">
        <v>17522</v>
      </c>
      <c r="H104" s="5">
        <f t="shared" si="21"/>
        <v>0.23404255319148937</v>
      </c>
      <c r="I104" s="5">
        <f t="shared" si="22"/>
        <v>6.5076026784813848E-2</v>
      </c>
      <c r="J104" s="5" t="str">
        <f t="shared" si="23"/>
        <v>HIGH</v>
      </c>
      <c r="K104" s="8">
        <f t="shared" si="24"/>
        <v>0.10989010989010987</v>
      </c>
      <c r="L104" s="8">
        <f t="shared" si="25"/>
        <v>-0.43118590185092137</v>
      </c>
      <c r="M104" s="5" t="str">
        <f t="shared" si="26"/>
        <v>LOW</v>
      </c>
      <c r="N104" s="5" cm="1">
        <f t="array" aca="1" ref="N104" ca="1">INDEX($N$2:$N$15,RANDBETWEEN(1, ROWS($N$2:$N$15)))</f>
        <v>11</v>
      </c>
      <c r="O104" s="5" cm="1">
        <f t="array" aca="1" ref="O104" ca="1">INDEX($O$2:$O$15,RANDBETWEEN(1, ROWS($O$2:$O$15)))</f>
        <v>7</v>
      </c>
      <c r="P104" s="5">
        <f t="shared" ca="1" si="27"/>
        <v>52050.285594028632</v>
      </c>
      <c r="Q104" s="5" cm="1">
        <f t="array" aca="1" ref="Q104" ca="1">INDEX($D$2:$D$129, RANDBETWEEN(1,128))</f>
        <v>5</v>
      </c>
      <c r="R104" s="5" cm="1">
        <f t="array" aca="1" ref="R104" ca="1">INDEX($F$2:$F$129, RANDBETWEEN(1,129))</f>
        <v>0.75</v>
      </c>
      <c r="S104" s="5"/>
      <c r="T104" s="5"/>
      <c r="U104" s="5"/>
      <c r="V104" s="5"/>
      <c r="W104" s="5"/>
    </row>
    <row r="105" spans="1:23" x14ac:dyDescent="0.35">
      <c r="A105" s="5" t="s">
        <v>8</v>
      </c>
      <c r="B105" s="5">
        <v>557938</v>
      </c>
      <c r="C105" s="5">
        <v>10125</v>
      </c>
      <c r="D105" s="5">
        <v>2</v>
      </c>
      <c r="E105" s="6">
        <v>40717.649305555555</v>
      </c>
      <c r="F105" s="8">
        <v>1.63</v>
      </c>
      <c r="G105" s="5" t="s">
        <v>1331</v>
      </c>
      <c r="H105" s="5">
        <f t="shared" si="21"/>
        <v>2.1276595744680851E-2</v>
      </c>
      <c r="I105" s="5">
        <f t="shared" si="22"/>
        <v>-0.84312786350874136</v>
      </c>
      <c r="J105" s="5" t="str">
        <f t="shared" si="23"/>
        <v>LOW</v>
      </c>
      <c r="K105" s="8">
        <f t="shared" si="24"/>
        <v>0.96703296703296704</v>
      </c>
      <c r="L105" s="8">
        <f t="shared" si="25"/>
        <v>1.9352005489719497</v>
      </c>
      <c r="M105" s="5" t="str">
        <f t="shared" si="26"/>
        <v>HIGH</v>
      </c>
      <c r="N105" s="5" cm="1">
        <f t="array" aca="1" ref="N105" ca="1">INDEX($N$2:$N$15,RANDBETWEEN(1, ROWS($N$2:$N$15)))</f>
        <v>9</v>
      </c>
      <c r="O105" s="5" cm="1">
        <f t="array" aca="1" ref="O105" ca="1">INDEX($O$2:$O$15,RANDBETWEEN(1, ROWS($O$2:$O$15)))</f>
        <v>5</v>
      </c>
      <c r="P105" s="5">
        <f t="shared" ca="1" si="27"/>
        <v>55345.487244345801</v>
      </c>
      <c r="Q105" s="5" cm="1">
        <f t="array" aca="1" ref="Q105" ca="1">INDEX($D$2:$D$129, RANDBETWEEN(1,128))</f>
        <v>11</v>
      </c>
      <c r="R105" s="5" cm="1">
        <f t="array" aca="1" ref="R105" ca="1">INDEX($F$2:$F$129, RANDBETWEEN(1,129))</f>
        <v>1.63</v>
      </c>
      <c r="S105" s="5"/>
      <c r="T105" s="5"/>
      <c r="U105" s="5"/>
      <c r="V105" s="5"/>
      <c r="W105" s="5"/>
    </row>
    <row r="106" spans="1:23" x14ac:dyDescent="0.35">
      <c r="A106" s="5" t="s">
        <v>8</v>
      </c>
      <c r="B106" s="5">
        <v>558700</v>
      </c>
      <c r="C106" s="5">
        <v>10125</v>
      </c>
      <c r="D106" s="5">
        <v>1</v>
      </c>
      <c r="E106" s="6">
        <v>40725.522916666669</v>
      </c>
      <c r="F106" s="8">
        <v>0.85</v>
      </c>
      <c r="G106" s="5">
        <v>17920</v>
      </c>
      <c r="H106" s="5">
        <f t="shared" si="21"/>
        <v>0</v>
      </c>
      <c r="I106" s="5">
        <f t="shared" si="22"/>
        <v>-0.93394825253809688</v>
      </c>
      <c r="J106" s="5" t="str">
        <f t="shared" si="23"/>
        <v>LOW</v>
      </c>
      <c r="K106" s="8">
        <f t="shared" si="24"/>
        <v>0.10989010989010987</v>
      </c>
      <c r="L106" s="8">
        <f t="shared" si="25"/>
        <v>-0.43118590185092137</v>
      </c>
      <c r="M106" s="5" t="str">
        <f t="shared" si="26"/>
        <v>LOW</v>
      </c>
      <c r="N106" s="5" cm="1">
        <f t="array" aca="1" ref="N106" ca="1">INDEX($N$2:$N$15,RANDBETWEEN(1, ROWS($N$2:$N$15)))</f>
        <v>2</v>
      </c>
      <c r="O106" s="5" cm="1">
        <f t="array" aca="1" ref="O106" ca="1">INDEX($O$2:$O$15,RANDBETWEEN(1, ROWS($O$2:$O$15)))</f>
        <v>4</v>
      </c>
      <c r="P106" s="5">
        <f t="shared" ca="1" si="27"/>
        <v>52289.759806051843</v>
      </c>
      <c r="Q106" s="5" cm="1">
        <f t="array" aca="1" ref="Q106" ca="1">INDEX($D$2:$D$129, RANDBETWEEN(1,128))</f>
        <v>10</v>
      </c>
      <c r="R106" s="5" cm="1">
        <f t="array" aca="1" ref="R106" ca="1">INDEX($F$2:$F$129, RANDBETWEEN(1,129))</f>
        <v>0.85</v>
      </c>
      <c r="S106" s="5"/>
      <c r="T106" s="5"/>
      <c r="U106" s="5"/>
      <c r="V106" s="5"/>
      <c r="W106" s="5"/>
    </row>
    <row r="107" spans="1:23" x14ac:dyDescent="0.35">
      <c r="A107" s="5" t="s">
        <v>8</v>
      </c>
      <c r="B107" s="5">
        <v>558700</v>
      </c>
      <c r="C107" s="5">
        <v>10125</v>
      </c>
      <c r="D107" s="5">
        <v>3</v>
      </c>
      <c r="E107" s="6">
        <v>40725.522916666669</v>
      </c>
      <c r="F107" s="8">
        <v>0.85</v>
      </c>
      <c r="G107" s="5">
        <v>17920</v>
      </c>
      <c r="H107" s="5">
        <f t="shared" si="21"/>
        <v>4.2553191489361701E-2</v>
      </c>
      <c r="I107" s="5">
        <f t="shared" si="22"/>
        <v>-0.75230747447938584</v>
      </c>
      <c r="J107" s="5" t="str">
        <f t="shared" si="23"/>
        <v>LOW</v>
      </c>
      <c r="K107" s="8">
        <f t="shared" si="24"/>
        <v>0.10989010989010987</v>
      </c>
      <c r="L107" s="8">
        <f t="shared" si="25"/>
        <v>-0.43118590185092137</v>
      </c>
      <c r="M107" s="5" t="str">
        <f t="shared" si="26"/>
        <v>LOW</v>
      </c>
      <c r="N107" s="5" cm="1">
        <f t="array" aca="1" ref="N107" ca="1">INDEX($N$2:$N$15,RANDBETWEEN(1, ROWS($N$2:$N$15)))</f>
        <v>12</v>
      </c>
      <c r="O107" s="5" cm="1">
        <f t="array" aca="1" ref="O107" ca="1">INDEX($O$2:$O$15,RANDBETWEEN(1, ROWS($O$2:$O$15)))</f>
        <v>5</v>
      </c>
      <c r="P107" s="5">
        <f t="shared" ca="1" si="27"/>
        <v>52290.861822215978</v>
      </c>
      <c r="Q107" s="5" cm="1">
        <f t="array" aca="1" ref="Q107" ca="1">INDEX($D$2:$D$129, RANDBETWEEN(1,128))</f>
        <v>1</v>
      </c>
      <c r="R107" s="5" cm="1">
        <f t="array" aca="1" ref="R107" ca="1">INDEX($F$2:$F$129, RANDBETWEEN(1,129))</f>
        <v>0.81</v>
      </c>
      <c r="S107" s="5"/>
      <c r="T107" s="5"/>
      <c r="U107" s="5"/>
      <c r="V107" s="5"/>
      <c r="W107" s="5"/>
    </row>
    <row r="108" spans="1:23" x14ac:dyDescent="0.35">
      <c r="A108" s="5" t="s">
        <v>8</v>
      </c>
      <c r="B108" s="5">
        <v>558860</v>
      </c>
      <c r="C108" s="5">
        <v>10125</v>
      </c>
      <c r="D108" s="5">
        <v>1</v>
      </c>
      <c r="E108" s="6">
        <v>40728.512499999997</v>
      </c>
      <c r="F108" s="8">
        <v>0.85</v>
      </c>
      <c r="G108" s="5">
        <v>17975</v>
      </c>
      <c r="H108" s="5">
        <f t="shared" si="21"/>
        <v>0</v>
      </c>
      <c r="I108" s="5">
        <f t="shared" si="22"/>
        <v>-0.93394825253809688</v>
      </c>
      <c r="J108" s="5" t="str">
        <f t="shared" si="23"/>
        <v>LOW</v>
      </c>
      <c r="K108" s="8">
        <f t="shared" si="24"/>
        <v>0.10989010989010987</v>
      </c>
      <c r="L108" s="8">
        <f t="shared" si="25"/>
        <v>-0.43118590185092137</v>
      </c>
      <c r="M108" s="5" t="str">
        <f t="shared" si="26"/>
        <v>LOW</v>
      </c>
      <c r="N108" s="5" cm="1">
        <f t="array" aca="1" ref="N108" ca="1">INDEX($N$2:$N$15,RANDBETWEEN(1, ROWS($N$2:$N$15)))</f>
        <v>11</v>
      </c>
      <c r="O108" s="5" cm="1">
        <f t="array" aca="1" ref="O108" ca="1">INDEX($O$2:$O$15,RANDBETWEEN(1, ROWS($O$2:$O$15)))</f>
        <v>7</v>
      </c>
      <c r="P108" s="5">
        <f t="shared" ca="1" si="27"/>
        <v>52308.925604662945</v>
      </c>
      <c r="Q108" s="5" cm="1">
        <f t="array" aca="1" ref="Q108" ca="1">INDEX($D$2:$D$129, RANDBETWEEN(1,128))</f>
        <v>1</v>
      </c>
      <c r="R108" s="5" cm="1">
        <f t="array" aca="1" ref="R108" ca="1">INDEX($F$2:$F$129, RANDBETWEEN(1,129))</f>
        <v>0.85</v>
      </c>
      <c r="S108" s="5"/>
      <c r="T108" s="5"/>
      <c r="U108" s="5"/>
      <c r="V108" s="5"/>
      <c r="W108" s="5"/>
    </row>
    <row r="109" spans="1:23" x14ac:dyDescent="0.35">
      <c r="A109" s="5" t="s">
        <v>8</v>
      </c>
      <c r="B109" s="5">
        <v>558868</v>
      </c>
      <c r="C109" s="5">
        <v>10125</v>
      </c>
      <c r="D109" s="5">
        <v>20</v>
      </c>
      <c r="E109" s="6">
        <v>40728.532638888886</v>
      </c>
      <c r="F109" s="8">
        <v>0.85</v>
      </c>
      <c r="G109" s="5">
        <v>13266</v>
      </c>
      <c r="H109" s="5">
        <f t="shared" si="21"/>
        <v>0.40425531914893614</v>
      </c>
      <c r="I109" s="5">
        <f t="shared" si="22"/>
        <v>0.79163913901965799</v>
      </c>
      <c r="J109" s="5" t="str">
        <f t="shared" si="23"/>
        <v>HIGH</v>
      </c>
      <c r="K109" s="8">
        <f t="shared" si="24"/>
        <v>0.10989010989010987</v>
      </c>
      <c r="L109" s="8">
        <f t="shared" si="25"/>
        <v>-0.43118590185092137</v>
      </c>
      <c r="M109" s="5" t="str">
        <f t="shared" si="26"/>
        <v>LOW</v>
      </c>
      <c r="N109" s="5" cm="1">
        <f t="array" aca="1" ref="N109" ca="1">INDEX($N$2:$N$15,RANDBETWEEN(1, ROWS($N$2:$N$15)))</f>
        <v>4</v>
      </c>
      <c r="O109" s="5" cm="1">
        <f t="array" aca="1" ref="O109" ca="1">INDEX($O$2:$O$15,RANDBETWEEN(1, ROWS($O$2:$O$15)))</f>
        <v>3</v>
      </c>
      <c r="P109" s="5">
        <f t="shared" ca="1" si="27"/>
        <v>51918.021436462928</v>
      </c>
      <c r="Q109" s="5" cm="1">
        <f t="array" aca="1" ref="Q109" ca="1">INDEX($D$2:$D$129, RANDBETWEEN(1,128))</f>
        <v>1</v>
      </c>
      <c r="R109" s="5" cm="1">
        <f t="array" aca="1" ref="R109" ca="1">INDEX($F$2:$F$129, RANDBETWEEN(1,129))</f>
        <v>0.83</v>
      </c>
      <c r="S109" s="5"/>
      <c r="T109" s="5"/>
      <c r="U109" s="5"/>
      <c r="V109" s="5"/>
      <c r="W109" s="5"/>
    </row>
    <row r="110" spans="1:23" x14ac:dyDescent="0.35">
      <c r="A110" s="5" t="s">
        <v>8</v>
      </c>
      <c r="B110" s="5">
        <v>559337</v>
      </c>
      <c r="C110" s="5">
        <v>10125</v>
      </c>
      <c r="D110" s="5">
        <v>1</v>
      </c>
      <c r="E110" s="6">
        <v>40731.685416666667</v>
      </c>
      <c r="F110" s="8">
        <v>1.63</v>
      </c>
      <c r="G110" s="5" t="s">
        <v>1331</v>
      </c>
      <c r="H110" s="5">
        <f t="shared" si="21"/>
        <v>0</v>
      </c>
      <c r="I110" s="5">
        <f t="shared" si="22"/>
        <v>-0.93394825253809688</v>
      </c>
      <c r="J110" s="5" t="str">
        <f t="shared" si="23"/>
        <v>LOW</v>
      </c>
      <c r="K110" s="8">
        <f t="shared" si="24"/>
        <v>0.96703296703296704</v>
      </c>
      <c r="L110" s="8">
        <f t="shared" si="25"/>
        <v>1.9352005489719497</v>
      </c>
      <c r="M110" s="5" t="str">
        <f t="shared" si="26"/>
        <v>HIGH</v>
      </c>
      <c r="N110" s="5" cm="1">
        <f t="array" aca="1" ref="N110" ca="1">INDEX($N$2:$N$15,RANDBETWEEN(1, ROWS($N$2:$N$15)))</f>
        <v>8</v>
      </c>
      <c r="O110" s="5" cm="1">
        <f t="array" aca="1" ref="O110" ca="1">INDEX($O$2:$O$15,RANDBETWEEN(1, ROWS($O$2:$O$15)))</f>
        <v>3</v>
      </c>
      <c r="P110" s="5">
        <f t="shared" ca="1" si="27"/>
        <v>55473.57124563001</v>
      </c>
      <c r="Q110" s="5" cm="1">
        <f t="array" aca="1" ref="Q110" ca="1">INDEX($D$2:$D$129, RANDBETWEEN(1,128))</f>
        <v>4</v>
      </c>
      <c r="R110" s="5" cm="1">
        <f t="array" aca="1" ref="R110" ca="1">INDEX($F$2:$F$129, RANDBETWEEN(1,129))</f>
        <v>0.75</v>
      </c>
      <c r="S110" s="5"/>
      <c r="T110" s="5"/>
      <c r="U110" s="5"/>
      <c r="V110" s="5"/>
      <c r="W110" s="5"/>
    </row>
    <row r="111" spans="1:23" x14ac:dyDescent="0.35">
      <c r="A111" s="5" t="s">
        <v>8</v>
      </c>
      <c r="B111" s="5">
        <v>559536</v>
      </c>
      <c r="C111" s="5">
        <v>10125</v>
      </c>
      <c r="D111" s="5">
        <v>5</v>
      </c>
      <c r="E111" s="6">
        <v>40734.511805555558</v>
      </c>
      <c r="F111" s="8">
        <v>0.85</v>
      </c>
      <c r="G111" s="5">
        <v>16283</v>
      </c>
      <c r="H111" s="5">
        <f t="shared" si="21"/>
        <v>8.5106382978723402E-2</v>
      </c>
      <c r="I111" s="5">
        <f t="shared" si="22"/>
        <v>-0.5706666964206748</v>
      </c>
      <c r="J111" s="5" t="str">
        <f t="shared" si="23"/>
        <v>LOW</v>
      </c>
      <c r="K111" s="8">
        <f t="shared" si="24"/>
        <v>0.10989010989010987</v>
      </c>
      <c r="L111" s="8">
        <f t="shared" si="25"/>
        <v>-0.43118590185092137</v>
      </c>
      <c r="M111" s="5" t="str">
        <f t="shared" si="26"/>
        <v>LOW</v>
      </c>
      <c r="N111" s="5" cm="1">
        <f t="array" aca="1" ref="N111" ca="1">INDEX($N$2:$N$15,RANDBETWEEN(1, ROWS($N$2:$N$15)))</f>
        <v>8</v>
      </c>
      <c r="O111" s="5" cm="1">
        <f t="array" aca="1" ref="O111" ca="1">INDEX($O$2:$O$15,RANDBETWEEN(1, ROWS($O$2:$O$15)))</f>
        <v>3</v>
      </c>
      <c r="P111" s="5">
        <f t="shared" ca="1" si="27"/>
        <v>52224.546245787504</v>
      </c>
      <c r="Q111" s="5" cm="1">
        <f t="array" aca="1" ref="Q111" ca="1">INDEX($D$2:$D$129, RANDBETWEEN(1,128))</f>
        <v>1</v>
      </c>
      <c r="R111" s="5" cm="1">
        <f t="array" aca="1" ref="R111" ca="1">INDEX($F$2:$F$129, RANDBETWEEN(1,129))</f>
        <v>0.85</v>
      </c>
      <c r="S111" s="5"/>
      <c r="T111" s="5"/>
      <c r="U111" s="5"/>
      <c r="V111" s="5"/>
      <c r="W111" s="5"/>
    </row>
    <row r="112" spans="1:23" x14ac:dyDescent="0.35">
      <c r="A112" s="5" t="s">
        <v>8</v>
      </c>
      <c r="B112" s="5">
        <v>559979</v>
      </c>
      <c r="C112" s="5">
        <v>10125</v>
      </c>
      <c r="D112" s="5">
        <v>20</v>
      </c>
      <c r="E112" s="6">
        <v>40738.472222222219</v>
      </c>
      <c r="F112" s="8">
        <v>0.85</v>
      </c>
      <c r="G112" s="5">
        <v>14862</v>
      </c>
      <c r="H112" s="5">
        <f t="shared" si="21"/>
        <v>0.40425531914893614</v>
      </c>
      <c r="I112" s="5">
        <f t="shared" si="22"/>
        <v>0.79163913901965799</v>
      </c>
      <c r="J112" s="5" t="str">
        <f t="shared" si="23"/>
        <v>HIGH</v>
      </c>
      <c r="K112" s="8">
        <f t="shared" si="24"/>
        <v>0.10989010989010987</v>
      </c>
      <c r="L112" s="8">
        <f t="shared" si="25"/>
        <v>-0.43118590185092137</v>
      </c>
      <c r="M112" s="5" t="str">
        <f t="shared" si="26"/>
        <v>LOW</v>
      </c>
      <c r="N112" s="5" cm="1">
        <f t="array" aca="1" ref="N112" ca="1">INDEX($N$2:$N$15,RANDBETWEEN(1, ROWS($N$2:$N$15)))</f>
        <v>9</v>
      </c>
      <c r="O112" s="5" cm="1">
        <f t="array" aca="1" ref="O112" ca="1">INDEX($O$2:$O$15,RANDBETWEEN(1, ROWS($O$2:$O$15)))</f>
        <v>4</v>
      </c>
      <c r="P112" s="5">
        <f t="shared" ca="1" si="27"/>
        <v>52144.933068407372</v>
      </c>
      <c r="Q112" s="5" cm="1">
        <f t="array" aca="1" ref="Q112" ca="1">INDEX($D$2:$D$129, RANDBETWEEN(1,128))</f>
        <v>3</v>
      </c>
      <c r="R112" s="5" cm="1">
        <f t="array" aca="1" ref="R112" ca="1">INDEX($F$2:$F$129, RANDBETWEEN(1,129))</f>
        <v>0.75</v>
      </c>
      <c r="S112" s="5"/>
      <c r="T112" s="5"/>
      <c r="U112" s="5"/>
      <c r="V112" s="5"/>
      <c r="W112" s="5"/>
    </row>
    <row r="113" spans="1:23" x14ac:dyDescent="0.35">
      <c r="A113" s="5" t="s">
        <v>8</v>
      </c>
      <c r="B113" s="5">
        <v>559984</v>
      </c>
      <c r="C113" s="5">
        <v>10125</v>
      </c>
      <c r="D113" s="5">
        <v>5</v>
      </c>
      <c r="E113" s="6">
        <v>40738.489583333336</v>
      </c>
      <c r="F113" s="8">
        <v>0.85</v>
      </c>
      <c r="G113" s="5">
        <v>16657</v>
      </c>
      <c r="H113" s="5">
        <f t="shared" si="21"/>
        <v>8.5106382978723402E-2</v>
      </c>
      <c r="I113" s="5">
        <f t="shared" si="22"/>
        <v>-0.5706666964206748</v>
      </c>
      <c r="J113" s="5" t="str">
        <f t="shared" si="23"/>
        <v>LOW</v>
      </c>
      <c r="K113" s="8">
        <f t="shared" si="24"/>
        <v>0.10989010989010987</v>
      </c>
      <c r="L113" s="8">
        <f t="shared" si="25"/>
        <v>-0.43118590185092137</v>
      </c>
      <c r="M113" s="5" t="str">
        <f t="shared" si="26"/>
        <v>LOW</v>
      </c>
      <c r="N113" s="5" cm="1">
        <f t="array" aca="1" ref="N113" ca="1">INDEX($N$2:$N$15,RANDBETWEEN(1, ROWS($N$2:$N$15)))</f>
        <v>2</v>
      </c>
      <c r="O113" s="5" cm="1">
        <f t="array" aca="1" ref="O113" ca="1">INDEX($O$2:$O$15,RANDBETWEEN(1, ROWS($O$2:$O$15)))</f>
        <v>7</v>
      </c>
      <c r="P113" s="5">
        <f t="shared" ca="1" si="27"/>
        <v>52293.211060602327</v>
      </c>
      <c r="Q113" s="5" cm="1">
        <f t="array" aca="1" ref="Q113" ca="1">INDEX($D$2:$D$129, RANDBETWEEN(1,128))</f>
        <v>12</v>
      </c>
      <c r="R113" s="5" cm="1">
        <f t="array" aca="1" ref="R113" ca="1">INDEX($F$2:$F$129, RANDBETWEEN(1,129))</f>
        <v>0.75</v>
      </c>
      <c r="S113" s="5"/>
      <c r="T113" s="5"/>
      <c r="U113" s="5"/>
      <c r="V113" s="5"/>
      <c r="W113" s="5"/>
    </row>
    <row r="114" spans="1:23" x14ac:dyDescent="0.35">
      <c r="A114" s="5" t="s">
        <v>8</v>
      </c>
      <c r="B114" s="5">
        <v>560366</v>
      </c>
      <c r="C114" s="5">
        <v>10125</v>
      </c>
      <c r="D114" s="5">
        <v>20</v>
      </c>
      <c r="E114" s="6">
        <v>40742.513194444444</v>
      </c>
      <c r="F114" s="8">
        <v>0.85</v>
      </c>
      <c r="G114" s="5">
        <v>16859</v>
      </c>
      <c r="H114" s="5">
        <f t="shared" si="21"/>
        <v>0.40425531914893614</v>
      </c>
      <c r="I114" s="5">
        <f t="shared" si="22"/>
        <v>0.79163913901965799</v>
      </c>
      <c r="J114" s="5" t="str">
        <f t="shared" si="23"/>
        <v>HIGH</v>
      </c>
      <c r="K114" s="8">
        <f t="shared" si="24"/>
        <v>0.10989010989010987</v>
      </c>
      <c r="L114" s="8">
        <f t="shared" si="25"/>
        <v>-0.43118590185092137</v>
      </c>
      <c r="M114" s="5" t="str">
        <f t="shared" si="26"/>
        <v>LOW</v>
      </c>
      <c r="N114" s="5" cm="1">
        <f t="array" aca="1" ref="N114" ca="1">INDEX($N$2:$N$15,RANDBETWEEN(1, ROWS($N$2:$N$15)))</f>
        <v>2</v>
      </c>
      <c r="O114" s="5" cm="1">
        <f t="array" aca="1" ref="O114" ca="1">INDEX($O$2:$O$15,RANDBETWEEN(1, ROWS($O$2:$O$15)))</f>
        <v>7</v>
      </c>
      <c r="P114" s="5">
        <f t="shared" ca="1" si="27"/>
        <v>52343.603149425886</v>
      </c>
      <c r="Q114" s="5" cm="1">
        <f t="array" aca="1" ref="Q114" ca="1">INDEX($D$2:$D$129, RANDBETWEEN(1,128))</f>
        <v>5</v>
      </c>
      <c r="R114" s="5" cm="1">
        <f t="array" aca="1" ref="R114" ca="1">INDEX($F$2:$F$129, RANDBETWEEN(1,129))</f>
        <v>0.83</v>
      </c>
      <c r="S114" s="5"/>
      <c r="T114" s="5"/>
      <c r="U114" s="5"/>
      <c r="V114" s="5"/>
      <c r="W114" s="5"/>
    </row>
    <row r="115" spans="1:23" x14ac:dyDescent="0.35">
      <c r="A115" s="5" t="s">
        <v>8</v>
      </c>
      <c r="B115" s="5">
        <v>563034</v>
      </c>
      <c r="C115" s="5">
        <v>10125</v>
      </c>
      <c r="D115" s="5">
        <v>40</v>
      </c>
      <c r="E115" s="6">
        <v>40766.620138888888</v>
      </c>
      <c r="F115" s="8">
        <v>0.85</v>
      </c>
      <c r="G115" s="5">
        <v>17644</v>
      </c>
      <c r="H115" s="5">
        <f t="shared" si="21"/>
        <v>0.82978723404255317</v>
      </c>
      <c r="I115" s="5">
        <f t="shared" si="22"/>
        <v>2.6080469196067684</v>
      </c>
      <c r="J115" s="5" t="str">
        <f t="shared" si="23"/>
        <v>HIGH</v>
      </c>
      <c r="K115" s="8">
        <f t="shared" si="24"/>
        <v>0.10989010989010987</v>
      </c>
      <c r="L115" s="8">
        <f t="shared" si="25"/>
        <v>-0.43118590185092137</v>
      </c>
      <c r="M115" s="5" t="str">
        <f t="shared" si="26"/>
        <v>LOW</v>
      </c>
      <c r="N115" s="5" cm="1">
        <f t="array" aca="1" ref="N115" ca="1">INDEX($N$2:$N$15,RANDBETWEEN(1, ROWS($N$2:$N$15)))</f>
        <v>9</v>
      </c>
      <c r="O115" s="5" cm="1">
        <f t="array" aca="1" ref="O115" ca="1">INDEX($O$2:$O$15,RANDBETWEEN(1, ROWS($O$2:$O$15)))</f>
        <v>7</v>
      </c>
      <c r="P115" s="5">
        <f t="shared" ca="1" si="27"/>
        <v>52635.798889770878</v>
      </c>
      <c r="Q115" s="5" cm="1">
        <f t="array" aca="1" ref="Q115" ca="1">INDEX($D$2:$D$129, RANDBETWEEN(1,128))</f>
        <v>17</v>
      </c>
      <c r="R115" s="5" cm="1">
        <f t="array" aca="1" ref="R115" ca="1">INDEX($F$2:$F$129, RANDBETWEEN(1,129))</f>
        <v>0.75</v>
      </c>
      <c r="S115" s="5"/>
      <c r="T115" s="5"/>
      <c r="U115" s="5"/>
      <c r="V115" s="5"/>
      <c r="W115" s="5"/>
    </row>
    <row r="116" spans="1:23" x14ac:dyDescent="0.35">
      <c r="A116" s="5" t="s">
        <v>8</v>
      </c>
      <c r="B116" s="5">
        <v>563744</v>
      </c>
      <c r="C116" s="5">
        <v>10125</v>
      </c>
      <c r="D116" s="5">
        <v>20</v>
      </c>
      <c r="E116" s="6">
        <v>40774.399305555555</v>
      </c>
      <c r="F116" s="8">
        <v>0.85</v>
      </c>
      <c r="G116" s="5">
        <v>13266</v>
      </c>
      <c r="H116" s="5">
        <f t="shared" si="21"/>
        <v>0.40425531914893614</v>
      </c>
      <c r="I116" s="5">
        <f t="shared" si="22"/>
        <v>0.79163913901965799</v>
      </c>
      <c r="J116" s="5" t="str">
        <f t="shared" si="23"/>
        <v>HIGH</v>
      </c>
      <c r="K116" s="8">
        <f t="shared" si="24"/>
        <v>0.10989010989010987</v>
      </c>
      <c r="L116" s="8">
        <f t="shared" si="25"/>
        <v>-0.43118590185092137</v>
      </c>
      <c r="M116" s="5" t="str">
        <f t="shared" si="26"/>
        <v>LOW</v>
      </c>
      <c r="N116" s="5" cm="1">
        <f t="array" aca="1" ref="N116" ca="1">INDEX($N$2:$N$15,RANDBETWEEN(1, ROWS($N$2:$N$15)))</f>
        <v>4</v>
      </c>
      <c r="O116" s="5" cm="1">
        <f t="array" aca="1" ref="O116" ca="1">INDEX($O$2:$O$15,RANDBETWEEN(1, ROWS($O$2:$O$15)))</f>
        <v>7</v>
      </c>
      <c r="P116" s="5">
        <f t="shared" ca="1" si="27"/>
        <v>52328.51032535181</v>
      </c>
      <c r="Q116" s="5" cm="1">
        <f t="array" aca="1" ref="Q116" ca="1">INDEX($D$2:$D$129, RANDBETWEEN(1,128))</f>
        <v>24</v>
      </c>
      <c r="R116" s="5" cm="1">
        <f t="array" aca="1" ref="R116" ca="1">INDEX($F$2:$F$129, RANDBETWEEN(1,129))</f>
        <v>0.83</v>
      </c>
      <c r="S116" s="5"/>
      <c r="T116" s="5"/>
      <c r="U116" s="5"/>
      <c r="V116" s="5"/>
      <c r="W116" s="5"/>
    </row>
    <row r="117" spans="1:23" x14ac:dyDescent="0.35">
      <c r="A117" s="5" t="s">
        <v>8</v>
      </c>
      <c r="B117" s="5">
        <v>564300</v>
      </c>
      <c r="C117" s="5">
        <v>10125</v>
      </c>
      <c r="D117" s="5">
        <v>5</v>
      </c>
      <c r="E117" s="6">
        <v>40779.479861111111</v>
      </c>
      <c r="F117" s="8">
        <v>0.85</v>
      </c>
      <c r="G117" s="5">
        <v>16723</v>
      </c>
      <c r="H117" s="5">
        <f t="shared" si="21"/>
        <v>8.5106382978723402E-2</v>
      </c>
      <c r="I117" s="5">
        <f t="shared" si="22"/>
        <v>-0.5706666964206748</v>
      </c>
      <c r="J117" s="5" t="str">
        <f t="shared" si="23"/>
        <v>LOW</v>
      </c>
      <c r="K117" s="8">
        <f t="shared" si="24"/>
        <v>0.10989010989010987</v>
      </c>
      <c r="L117" s="8">
        <f t="shared" si="25"/>
        <v>-0.43118590185092137</v>
      </c>
      <c r="M117" s="5" t="str">
        <f t="shared" si="26"/>
        <v>LOW</v>
      </c>
      <c r="N117" s="5" cm="1">
        <f t="array" aca="1" ref="N117" ca="1">INDEX($N$2:$N$15,RANDBETWEEN(1, ROWS($N$2:$N$15)))</f>
        <v>2</v>
      </c>
      <c r="O117" s="5" cm="1">
        <f t="array" aca="1" ref="O117" ca="1">INDEX($O$2:$O$15,RANDBETWEEN(1, ROWS($O$2:$O$15)))</f>
        <v>4</v>
      </c>
      <c r="P117" s="5">
        <f t="shared" ca="1" si="27"/>
        <v>52661.54358375047</v>
      </c>
      <c r="Q117" s="5" cm="1">
        <f t="array" aca="1" ref="Q117" ca="1">INDEX($D$2:$D$129, RANDBETWEEN(1,128))</f>
        <v>24</v>
      </c>
      <c r="R117" s="5" cm="1">
        <f t="array" aca="1" ref="R117" ca="1">INDEX($F$2:$F$129, RANDBETWEEN(1,129))</f>
        <v>0.79</v>
      </c>
      <c r="S117" s="5"/>
      <c r="T117" s="5"/>
      <c r="U117" s="5"/>
      <c r="V117" s="5"/>
      <c r="W117" s="5"/>
    </row>
    <row r="118" spans="1:23" x14ac:dyDescent="0.35">
      <c r="A118" s="5" t="s">
        <v>21</v>
      </c>
      <c r="B118" s="5">
        <v>564337</v>
      </c>
      <c r="C118" s="5">
        <v>10125</v>
      </c>
      <c r="D118" s="5">
        <v>20</v>
      </c>
      <c r="E118" s="6">
        <v>40779.611111111109</v>
      </c>
      <c r="F118" s="8">
        <v>0.85</v>
      </c>
      <c r="G118" s="5">
        <v>12649</v>
      </c>
      <c r="H118" s="5">
        <f t="shared" si="21"/>
        <v>0.40425531914893614</v>
      </c>
      <c r="I118" s="5">
        <f t="shared" si="22"/>
        <v>0.79163913901965799</v>
      </c>
      <c r="J118" s="5" t="str">
        <f t="shared" si="23"/>
        <v>HIGH</v>
      </c>
      <c r="K118" s="8">
        <f t="shared" si="24"/>
        <v>0.10989010989010987</v>
      </c>
      <c r="L118" s="8">
        <f t="shared" si="25"/>
        <v>-0.43118590185092137</v>
      </c>
      <c r="M118" s="5" t="str">
        <f t="shared" si="26"/>
        <v>LOW</v>
      </c>
      <c r="N118" s="5" cm="1">
        <f t="array" aca="1" ref="N118" ca="1">INDEX($N$2:$N$15,RANDBETWEEN(1, ROWS($N$2:$N$15)))</f>
        <v>12</v>
      </c>
      <c r="O118" s="5" cm="1">
        <f t="array" aca="1" ref="O118" ca="1">INDEX($O$2:$O$15,RANDBETWEEN(1, ROWS($O$2:$O$15)))</f>
        <v>1</v>
      </c>
      <c r="P118" s="5">
        <f t="shared" ca="1" si="27"/>
        <v>52327.111309148109</v>
      </c>
      <c r="Q118" s="5" cm="1">
        <f t="array" aca="1" ref="Q118" ca="1">INDEX($D$2:$D$129, RANDBETWEEN(1,128))</f>
        <v>24</v>
      </c>
      <c r="R118" s="5" cm="1">
        <f t="array" aca="1" ref="R118" ca="1">INDEX($F$2:$F$129, RANDBETWEEN(1,129))</f>
        <v>0.85</v>
      </c>
      <c r="S118" s="5"/>
      <c r="T118" s="5"/>
      <c r="U118" s="5"/>
      <c r="V118" s="5"/>
      <c r="W118" s="5"/>
    </row>
    <row r="119" spans="1:23" x14ac:dyDescent="0.35">
      <c r="A119" s="5" t="s">
        <v>8</v>
      </c>
      <c r="B119" s="5">
        <v>565585</v>
      </c>
      <c r="C119" s="5">
        <v>10125</v>
      </c>
      <c r="D119" s="5">
        <v>20</v>
      </c>
      <c r="E119" s="6">
        <v>40791.556944444441</v>
      </c>
      <c r="F119" s="8">
        <v>0.85</v>
      </c>
      <c r="G119" s="5">
        <v>16172</v>
      </c>
      <c r="H119" s="5">
        <f t="shared" si="21"/>
        <v>0.40425531914893614</v>
      </c>
      <c r="I119" s="5">
        <f t="shared" si="22"/>
        <v>0.79163913901965799</v>
      </c>
      <c r="J119" s="5" t="str">
        <f t="shared" si="23"/>
        <v>HIGH</v>
      </c>
      <c r="K119" s="8">
        <f t="shared" si="24"/>
        <v>0.10989010989010987</v>
      </c>
      <c r="L119" s="8">
        <f t="shared" si="25"/>
        <v>-0.43118590185092137</v>
      </c>
      <c r="M119" s="5" t="str">
        <f t="shared" si="26"/>
        <v>LOW</v>
      </c>
      <c r="N119" s="5" cm="1">
        <f t="array" aca="1" ref="N119" ca="1">INDEX($N$2:$N$15,RANDBETWEEN(1, ROWS($N$2:$N$15)))</f>
        <v>2</v>
      </c>
      <c r="O119" s="5" cm="1">
        <f t="array" aca="1" ref="O119" ca="1">INDEX($O$2:$O$15,RANDBETWEEN(1, ROWS($O$2:$O$15)))</f>
        <v>5</v>
      </c>
      <c r="P119" s="5">
        <f t="shared" ca="1" si="27"/>
        <v>52725.190128592549</v>
      </c>
      <c r="Q119" s="5" cm="1">
        <f t="array" aca="1" ref="Q119" ca="1">INDEX($D$2:$D$129, RANDBETWEEN(1,128))</f>
        <v>6</v>
      </c>
      <c r="R119" s="5" cm="1">
        <f t="array" aca="1" ref="R119" ca="1">INDEX($F$2:$F$129, RANDBETWEEN(1,129))</f>
        <v>0.83</v>
      </c>
      <c r="S119" s="5"/>
      <c r="T119" s="5"/>
      <c r="U119" s="5"/>
      <c r="V119" s="5"/>
      <c r="W119" s="5"/>
    </row>
    <row r="120" spans="1:23" x14ac:dyDescent="0.35">
      <c r="A120" s="5" t="s">
        <v>8</v>
      </c>
      <c r="B120" s="5">
        <v>568568</v>
      </c>
      <c r="C120" s="5">
        <v>10125</v>
      </c>
      <c r="D120" s="5">
        <v>20</v>
      </c>
      <c r="E120" s="6">
        <v>40814.366666666669</v>
      </c>
      <c r="F120" s="8">
        <v>0.85</v>
      </c>
      <c r="G120" s="5">
        <v>14412</v>
      </c>
      <c r="H120" s="5">
        <f t="shared" si="21"/>
        <v>0.40425531914893614</v>
      </c>
      <c r="I120" s="5">
        <f t="shared" si="22"/>
        <v>0.79163913901965799</v>
      </c>
      <c r="J120" s="5" t="str">
        <f t="shared" si="23"/>
        <v>HIGH</v>
      </c>
      <c r="K120" s="8">
        <f t="shared" si="24"/>
        <v>0.10989010989010987</v>
      </c>
      <c r="L120" s="8">
        <f t="shared" si="25"/>
        <v>-0.43118590185092137</v>
      </c>
      <c r="M120" s="5" t="str">
        <f t="shared" si="26"/>
        <v>LOW</v>
      </c>
      <c r="N120" s="5" cm="1">
        <f t="array" aca="1" ref="N120" ca="1">INDEX($N$2:$N$15,RANDBETWEEN(1, ROWS($N$2:$N$15)))</f>
        <v>4</v>
      </c>
      <c r="O120" s="5" cm="1">
        <f t="array" aca="1" ref="O120" ca="1">INDEX($O$2:$O$15,RANDBETWEEN(1, ROWS($O$2:$O$15)))</f>
        <v>4</v>
      </c>
      <c r="P120" s="5">
        <f t="shared" ca="1" si="27"/>
        <v>52829.090938777743</v>
      </c>
      <c r="Q120" s="5" cm="1">
        <f t="array" aca="1" ref="Q120" ca="1">INDEX($D$2:$D$129, RANDBETWEEN(1,128))</f>
        <v>5</v>
      </c>
      <c r="R120" s="5" cm="1">
        <f t="array" aca="1" ref="R120" ca="1">INDEX($F$2:$F$129, RANDBETWEEN(1,129))</f>
        <v>0.85</v>
      </c>
      <c r="S120" s="5"/>
      <c r="T120" s="5"/>
      <c r="U120" s="5"/>
      <c r="V120" s="5"/>
      <c r="W120" s="5"/>
    </row>
    <row r="121" spans="1:23" x14ac:dyDescent="0.35">
      <c r="A121" s="5" t="s">
        <v>16</v>
      </c>
      <c r="B121" s="5">
        <v>568650</v>
      </c>
      <c r="C121" s="5">
        <v>10125</v>
      </c>
      <c r="D121" s="5">
        <v>20</v>
      </c>
      <c r="E121" s="6">
        <v>40814.49722222222</v>
      </c>
      <c r="F121" s="8">
        <v>0.85</v>
      </c>
      <c r="G121" s="5">
        <v>13505</v>
      </c>
      <c r="H121" s="5">
        <f t="shared" si="21"/>
        <v>0.40425531914893614</v>
      </c>
      <c r="I121" s="5">
        <f t="shared" si="22"/>
        <v>0.79163913901965799</v>
      </c>
      <c r="J121" s="5" t="str">
        <f t="shared" si="23"/>
        <v>HIGH</v>
      </c>
      <c r="K121" s="8">
        <f t="shared" si="24"/>
        <v>0.10989010989010987</v>
      </c>
      <c r="L121" s="8">
        <f t="shared" si="25"/>
        <v>-0.43118590185092137</v>
      </c>
      <c r="M121" s="5" t="str">
        <f t="shared" si="26"/>
        <v>LOW</v>
      </c>
      <c r="N121" s="5" cm="1">
        <f t="array" aca="1" ref="N121" ca="1">INDEX($N$2:$N$15,RANDBETWEEN(1, ROWS($N$2:$N$15)))</f>
        <v>9</v>
      </c>
      <c r="O121" s="5" cm="1">
        <f t="array" aca="1" ref="O121" ca="1">INDEX($O$2:$O$15,RANDBETWEEN(1, ROWS($O$2:$O$15)))</f>
        <v>7</v>
      </c>
      <c r="P121" s="5">
        <f t="shared" ca="1" si="27"/>
        <v>52761.018485074041</v>
      </c>
      <c r="Q121" s="5" cm="1">
        <f t="array" aca="1" ref="Q121" ca="1">INDEX($D$2:$D$129, RANDBETWEEN(1,128))</f>
        <v>5</v>
      </c>
      <c r="R121" s="5" cm="1">
        <f t="array" aca="1" ref="R121" ca="1">INDEX($F$2:$F$129, RANDBETWEEN(1,129))</f>
        <v>0.85</v>
      </c>
      <c r="S121" s="5"/>
      <c r="T121" s="5"/>
      <c r="U121" s="5"/>
      <c r="V121" s="5"/>
      <c r="W121" s="5"/>
    </row>
    <row r="122" spans="1:23" x14ac:dyDescent="0.35">
      <c r="A122" s="5" t="s">
        <v>8</v>
      </c>
      <c r="B122" s="5">
        <v>569223</v>
      </c>
      <c r="C122" s="5">
        <v>10125</v>
      </c>
      <c r="D122" s="5">
        <v>7</v>
      </c>
      <c r="E122" s="6">
        <v>40818.575694444444</v>
      </c>
      <c r="F122" s="8">
        <v>0.85</v>
      </c>
      <c r="G122" s="5">
        <v>16283</v>
      </c>
      <c r="H122" s="5">
        <f t="shared" si="21"/>
        <v>0.1276595744680851</v>
      </c>
      <c r="I122" s="5">
        <f t="shared" si="22"/>
        <v>-0.38902591836196376</v>
      </c>
      <c r="J122" s="5" t="str">
        <f t="shared" si="23"/>
        <v>LOW</v>
      </c>
      <c r="K122" s="8">
        <f t="shared" si="24"/>
        <v>0.10989010989010987</v>
      </c>
      <c r="L122" s="8">
        <f t="shared" si="25"/>
        <v>-0.43118590185092137</v>
      </c>
      <c r="M122" s="5" t="str">
        <f t="shared" si="26"/>
        <v>LOW</v>
      </c>
      <c r="N122" s="5" cm="1">
        <f t="array" aca="1" ref="N122" ca="1">INDEX($N$2:$N$15,RANDBETWEEN(1, ROWS($N$2:$N$15)))</f>
        <v>12</v>
      </c>
      <c r="O122" s="5" cm="1">
        <f t="array" aca="1" ref="O122" ca="1">INDEX($O$2:$O$15,RANDBETWEEN(1, ROWS($O$2:$O$15)))</f>
        <v>5</v>
      </c>
      <c r="P122" s="5">
        <f t="shared" ca="1" si="27"/>
        <v>53039.486919359049</v>
      </c>
      <c r="Q122" s="5" cm="1">
        <f t="array" aca="1" ref="Q122" ca="1">INDEX($D$2:$D$129, RANDBETWEEN(1,128))</f>
        <v>1</v>
      </c>
      <c r="R122" s="5" cm="1">
        <f t="array" aca="1" ref="R122" ca="1">INDEX($F$2:$F$129, RANDBETWEEN(1,129))</f>
        <v>0.85</v>
      </c>
      <c r="S122" s="5"/>
      <c r="T122" s="5"/>
      <c r="U122" s="5"/>
      <c r="V122" s="5"/>
      <c r="W122" s="5"/>
    </row>
    <row r="123" spans="1:23" x14ac:dyDescent="0.35">
      <c r="A123" s="5" t="s">
        <v>8</v>
      </c>
      <c r="B123" s="5">
        <v>569897</v>
      </c>
      <c r="C123" s="5">
        <v>10125</v>
      </c>
      <c r="D123" s="5">
        <v>3</v>
      </c>
      <c r="E123" s="6">
        <v>40822.667361111111</v>
      </c>
      <c r="F123" s="8">
        <v>0.85</v>
      </c>
      <c r="G123" s="5">
        <v>17813</v>
      </c>
      <c r="H123" s="5">
        <f t="shared" si="21"/>
        <v>4.2553191489361701E-2</v>
      </c>
      <c r="I123" s="5">
        <f t="shared" si="22"/>
        <v>-0.75230747447938584</v>
      </c>
      <c r="J123" s="5" t="str">
        <f t="shared" si="23"/>
        <v>LOW</v>
      </c>
      <c r="K123" s="8">
        <f t="shared" si="24"/>
        <v>0.10989010989010987</v>
      </c>
      <c r="L123" s="8">
        <f t="shared" si="25"/>
        <v>-0.43118590185092137</v>
      </c>
      <c r="M123" s="5" t="str">
        <f t="shared" si="26"/>
        <v>LOW</v>
      </c>
      <c r="N123" s="5" cm="1">
        <f t="array" aca="1" ref="N123" ca="1">INDEX($N$2:$N$15,RANDBETWEEN(1, ROWS($N$2:$N$15)))</f>
        <v>4</v>
      </c>
      <c r="O123" s="5" cm="1">
        <f t="array" aca="1" ref="O123" ca="1">INDEX($O$2:$O$15,RANDBETWEEN(1, ROWS($O$2:$O$15)))</f>
        <v>5</v>
      </c>
      <c r="P123" s="5">
        <f t="shared" ca="1" si="27"/>
        <v>53222.457192586349</v>
      </c>
      <c r="Q123" s="5" cm="1">
        <f t="array" aca="1" ref="Q123" ca="1">INDEX($D$2:$D$129, RANDBETWEEN(1,128))</f>
        <v>12</v>
      </c>
      <c r="R123" s="5" cm="1">
        <f t="array" aca="1" ref="R123" ca="1">INDEX($F$2:$F$129, RANDBETWEEN(1,129))</f>
        <v>1.63</v>
      </c>
      <c r="S123" s="5"/>
      <c r="T123" s="5"/>
      <c r="U123" s="5"/>
      <c r="V123" s="5"/>
      <c r="W123" s="5"/>
    </row>
    <row r="124" spans="1:23" x14ac:dyDescent="0.35">
      <c r="A124" s="5" t="s">
        <v>8</v>
      </c>
      <c r="B124" s="5">
        <v>570187</v>
      </c>
      <c r="C124" s="5">
        <v>10125</v>
      </c>
      <c r="D124" s="5">
        <v>1</v>
      </c>
      <c r="E124" s="6">
        <v>40823.631249999999</v>
      </c>
      <c r="F124" s="8">
        <v>1.63</v>
      </c>
      <c r="G124" s="5" t="s">
        <v>1331</v>
      </c>
      <c r="H124" s="5">
        <f t="shared" si="21"/>
        <v>0</v>
      </c>
      <c r="I124" s="5">
        <f t="shared" si="22"/>
        <v>-0.93394825253809688</v>
      </c>
      <c r="J124" s="5" t="str">
        <f t="shared" si="23"/>
        <v>LOW</v>
      </c>
      <c r="K124" s="8">
        <f t="shared" si="24"/>
        <v>0.96703296703296704</v>
      </c>
      <c r="L124" s="8">
        <f t="shared" si="25"/>
        <v>1.9352005489719497</v>
      </c>
      <c r="M124" s="5" t="str">
        <f t="shared" si="26"/>
        <v>HIGH</v>
      </c>
      <c r="N124" s="5" cm="1">
        <f t="array" aca="1" ref="N124" ca="1">INDEX($N$2:$N$15,RANDBETWEEN(1, ROWS($N$2:$N$15)))</f>
        <v>12</v>
      </c>
      <c r="O124" s="5" cm="1">
        <f t="array" aca="1" ref="O124" ca="1">INDEX($O$2:$O$15,RANDBETWEEN(1, ROWS($O$2:$O$15)))</f>
        <v>3</v>
      </c>
      <c r="P124" s="5">
        <f t="shared" ca="1" si="27"/>
        <v>56468.657230478486</v>
      </c>
      <c r="Q124" s="5" cm="1">
        <f t="array" aca="1" ref="Q124" ca="1">INDEX($D$2:$D$129, RANDBETWEEN(1,128))</f>
        <v>12</v>
      </c>
      <c r="R124" s="5" cm="1">
        <f t="array" aca="1" ref="R124" ca="1">INDEX($F$2:$F$129, RANDBETWEEN(1,129))</f>
        <v>0.85</v>
      </c>
      <c r="S124" s="5"/>
      <c r="T124" s="5"/>
      <c r="U124" s="5"/>
      <c r="V124" s="5"/>
      <c r="W124" s="5"/>
    </row>
    <row r="125" spans="1:23" x14ac:dyDescent="0.35">
      <c r="A125" s="5" t="s">
        <v>21</v>
      </c>
      <c r="B125" s="5">
        <v>571328</v>
      </c>
      <c r="C125" s="5">
        <v>10125</v>
      </c>
      <c r="D125" s="5">
        <v>20</v>
      </c>
      <c r="E125" s="6">
        <v>40833.477083333331</v>
      </c>
      <c r="F125" s="8">
        <v>0.85</v>
      </c>
      <c r="G125" s="5">
        <v>12473</v>
      </c>
      <c r="H125" s="5">
        <f t="shared" si="21"/>
        <v>0.40425531914893614</v>
      </c>
      <c r="I125" s="5">
        <f t="shared" si="22"/>
        <v>0.79163913901965799</v>
      </c>
      <c r="J125" s="5" t="str">
        <f t="shared" si="23"/>
        <v>HIGH</v>
      </c>
      <c r="K125" s="8">
        <f t="shared" si="24"/>
        <v>0.10989010989010987</v>
      </c>
      <c r="L125" s="8">
        <f t="shared" si="25"/>
        <v>-0.43118590185092137</v>
      </c>
      <c r="M125" s="5" t="str">
        <f t="shared" si="26"/>
        <v>LOW</v>
      </c>
      <c r="N125" s="5" cm="1">
        <f t="array" aca="1" ref="N125" ca="1">INDEX($N$2:$N$15,RANDBETWEEN(1, ROWS($N$2:$N$15)))</f>
        <v>4</v>
      </c>
      <c r="O125" s="5" cm="1">
        <f t="array" aca="1" ref="O125" ca="1">INDEX($O$2:$O$15,RANDBETWEEN(1, ROWS($O$2:$O$15)))</f>
        <v>7</v>
      </c>
      <c r="P125" s="5">
        <f t="shared" ca="1" si="27"/>
        <v>52899.350140166622</v>
      </c>
      <c r="Q125" s="5" cm="1">
        <f t="array" aca="1" ref="Q125" ca="1">INDEX($D$2:$D$129, RANDBETWEEN(1,128))</f>
        <v>20</v>
      </c>
      <c r="R125" s="5" cm="1">
        <f t="array" aca="1" ref="R125" ca="1">INDEX($F$2:$F$129, RANDBETWEEN(1,129))</f>
        <v>0.85</v>
      </c>
      <c r="S125" s="5"/>
      <c r="T125" s="5"/>
      <c r="U125" s="5"/>
      <c r="V125" s="5"/>
      <c r="W125" s="5"/>
    </row>
    <row r="126" spans="1:23" x14ac:dyDescent="0.35">
      <c r="A126" s="5" t="s">
        <v>8</v>
      </c>
      <c r="B126" s="5">
        <v>572558</v>
      </c>
      <c r="C126" s="5">
        <v>10125</v>
      </c>
      <c r="D126" s="5">
        <v>20</v>
      </c>
      <c r="E126" s="6">
        <v>40841.351388888892</v>
      </c>
      <c r="F126" s="8">
        <v>0.85</v>
      </c>
      <c r="G126" s="5">
        <v>14286</v>
      </c>
      <c r="H126" s="5">
        <f t="shared" si="21"/>
        <v>0.40425531914893614</v>
      </c>
      <c r="I126" s="5">
        <f t="shared" si="22"/>
        <v>0.79163913901965799</v>
      </c>
      <c r="J126" s="5" t="str">
        <f t="shared" si="23"/>
        <v>HIGH</v>
      </c>
      <c r="K126" s="8">
        <f t="shared" si="24"/>
        <v>0.10989010989010987</v>
      </c>
      <c r="L126" s="8">
        <f t="shared" si="25"/>
        <v>-0.43118590185092137</v>
      </c>
      <c r="M126" s="5" t="str">
        <f t="shared" si="26"/>
        <v>LOW</v>
      </c>
      <c r="N126" s="5" cm="1">
        <f t="array" aca="1" ref="N126" ca="1">INDEX($N$2:$N$15,RANDBETWEEN(1, ROWS($N$2:$N$15)))</f>
        <v>2</v>
      </c>
      <c r="O126" s="5" cm="1">
        <f t="array" aca="1" ref="O126" ca="1">INDEX($O$2:$O$15,RANDBETWEEN(1, ROWS($O$2:$O$15)))</f>
        <v>5</v>
      </c>
      <c r="P126" s="5">
        <f t="shared" ca="1" si="27"/>
        <v>53153.25633229626</v>
      </c>
      <c r="Q126" s="5" cm="1">
        <f t="array" aca="1" ref="Q126" ca="1">INDEX($D$2:$D$129, RANDBETWEEN(1,128))</f>
        <v>3</v>
      </c>
      <c r="R126" s="5" cm="1">
        <f t="array" aca="1" ref="R126" ca="1">INDEX($F$2:$F$129, RANDBETWEEN(1,129))</f>
        <v>1.63</v>
      </c>
      <c r="S126" s="5"/>
      <c r="T126" s="5"/>
      <c r="U126" s="5"/>
      <c r="V126" s="5"/>
      <c r="W126" s="5"/>
    </row>
    <row r="127" spans="1:23" x14ac:dyDescent="0.35">
      <c r="A127" s="5" t="s">
        <v>8</v>
      </c>
      <c r="B127" s="5">
        <v>574530</v>
      </c>
      <c r="C127" s="5">
        <v>10125</v>
      </c>
      <c r="D127" s="5">
        <v>2</v>
      </c>
      <c r="E127" s="6">
        <v>40851.588194444441</v>
      </c>
      <c r="F127" s="8">
        <v>0.85</v>
      </c>
      <c r="G127" s="5">
        <v>16887</v>
      </c>
      <c r="H127" s="5">
        <f t="shared" si="21"/>
        <v>2.1276595744680851E-2</v>
      </c>
      <c r="I127" s="5">
        <f t="shared" si="22"/>
        <v>-0.84312786350874136</v>
      </c>
      <c r="J127" s="5" t="str">
        <f t="shared" si="23"/>
        <v>LOW</v>
      </c>
      <c r="K127" s="8">
        <f t="shared" si="24"/>
        <v>0.10989010989010987</v>
      </c>
      <c r="L127" s="8">
        <f t="shared" si="25"/>
        <v>-0.43118590185092137</v>
      </c>
      <c r="M127" s="5" t="str">
        <f t="shared" si="26"/>
        <v>LOW</v>
      </c>
      <c r="N127" s="5" cm="1">
        <f t="array" aca="1" ref="N127" ca="1">INDEX($N$2:$N$15,RANDBETWEEN(1, ROWS($N$2:$N$15)))</f>
        <v>9</v>
      </c>
      <c r="O127" s="5" cm="1">
        <f t="array" aca="1" ref="O127" ca="1">INDEX($O$2:$O$15,RANDBETWEEN(1, ROWS($O$2:$O$15)))</f>
        <v>3</v>
      </c>
      <c r="P127" s="5">
        <f t="shared" ca="1" si="27"/>
        <v>53533.941253948724</v>
      </c>
      <c r="Q127" s="5" cm="1">
        <f t="array" aca="1" ref="Q127" ca="1">INDEX($D$2:$D$129, RANDBETWEEN(1,128))</f>
        <v>4</v>
      </c>
      <c r="R127" s="5" cm="1">
        <f t="array" aca="1" ref="R127" ca="1">INDEX($F$2:$F$129, RANDBETWEEN(1,129))</f>
        <v>0.85</v>
      </c>
      <c r="S127" s="5"/>
      <c r="T127" s="5"/>
      <c r="U127" s="5"/>
      <c r="V127" s="5"/>
      <c r="W127" s="5"/>
    </row>
    <row r="128" spans="1:23" x14ac:dyDescent="0.35">
      <c r="A128" s="5" t="s">
        <v>21</v>
      </c>
      <c r="B128" s="5">
        <v>581494</v>
      </c>
      <c r="C128" s="5">
        <v>10125</v>
      </c>
      <c r="D128" s="5">
        <v>20</v>
      </c>
      <c r="E128" s="6">
        <v>40886.425694444442</v>
      </c>
      <c r="F128" s="8">
        <v>0.85</v>
      </c>
      <c r="G128" s="5">
        <v>12518</v>
      </c>
      <c r="H128" s="5">
        <f t="shared" si="21"/>
        <v>0.40425531914893614</v>
      </c>
      <c r="I128" s="5">
        <f t="shared" si="22"/>
        <v>0.79163913901965799</v>
      </c>
      <c r="J128" s="5" t="str">
        <f t="shared" si="23"/>
        <v>HIGH</v>
      </c>
      <c r="K128" s="8">
        <f t="shared" si="24"/>
        <v>0.10989010989010987</v>
      </c>
      <c r="L128" s="8">
        <f t="shared" si="25"/>
        <v>-0.43118590185092137</v>
      </c>
      <c r="M128" s="5" t="str">
        <f t="shared" si="26"/>
        <v>LOW</v>
      </c>
      <c r="N128" s="5" cm="1">
        <f t="array" aca="1" ref="N128" ca="1">INDEX($N$2:$N$15,RANDBETWEEN(1, ROWS($N$2:$N$15)))</f>
        <v>9</v>
      </c>
      <c r="O128" s="5" cm="1">
        <f t="array" aca="1" ref="O128" ca="1">INDEX($O$2:$O$15,RANDBETWEEN(1, ROWS($O$2:$O$15)))</f>
        <v>7</v>
      </c>
      <c r="P128" s="5">
        <f t="shared" ca="1" si="27"/>
        <v>53755.095857759217</v>
      </c>
      <c r="Q128" s="5" cm="1">
        <f t="array" aca="1" ref="Q128" ca="1">INDEX($D$2:$D$129, RANDBETWEEN(1,128))</f>
        <v>24</v>
      </c>
      <c r="R128" s="5" cm="1">
        <f t="array" aca="1" ref="R128" ca="1">INDEX($F$2:$F$129, RANDBETWEEN(1,129))</f>
        <v>0.75</v>
      </c>
      <c r="S128" s="5"/>
      <c r="T128" s="5"/>
      <c r="U128" s="5"/>
      <c r="V128" s="5"/>
      <c r="W128" s="5"/>
    </row>
    <row r="133" spans="2:5" customFormat="1" x14ac:dyDescent="0.35">
      <c r="B133" s="5"/>
      <c r="C133" s="5"/>
      <c r="D133" s="5"/>
      <c r="E133" s="5"/>
    </row>
    <row r="134" spans="2:5" customFormat="1" x14ac:dyDescent="0.35">
      <c r="B134" s="5"/>
      <c r="C134" s="5"/>
      <c r="D134" s="5"/>
      <c r="E134" s="5"/>
    </row>
    <row r="135" spans="2:5" customFormat="1" x14ac:dyDescent="0.35">
      <c r="B135" s="5"/>
      <c r="C135" s="5"/>
      <c r="D135" s="5"/>
      <c r="E135" s="5"/>
    </row>
    <row r="136" spans="2:5" customFormat="1" x14ac:dyDescent="0.35">
      <c r="B136" s="5"/>
      <c r="C136" s="5"/>
      <c r="D136" s="5"/>
      <c r="E136" s="5"/>
    </row>
    <row r="137" spans="2:5" customFormat="1" x14ac:dyDescent="0.35">
      <c r="B137" s="5"/>
      <c r="C137" s="5"/>
      <c r="D137" s="5"/>
      <c r="E137" s="5"/>
    </row>
    <row r="138" spans="2:5" customFormat="1" x14ac:dyDescent="0.35">
      <c r="B138" s="5"/>
      <c r="C138" s="5"/>
      <c r="D138" s="5"/>
      <c r="E138" s="5"/>
    </row>
  </sheetData>
  <conditionalFormatting sqref="D1:D1048576">
    <cfRule type="colorScale" priority="5">
      <colorScale>
        <cfvo type="num" val="-28.5"/>
        <cfvo type="num" val="55.5"/>
        <color theme="8" tint="0.79998168889431442"/>
        <color theme="8" tint="-0.249977111117893"/>
      </colorScale>
    </cfRule>
    <cfRule type="colorScale" priority="7">
      <colorScale>
        <cfvo type="min"/>
        <cfvo type="max"/>
        <color theme="8" tint="0.79998168889431442"/>
        <color theme="8"/>
      </colorScale>
    </cfRule>
  </conditionalFormatting>
  <conditionalFormatting sqref="D2:D128">
    <cfRule type="colorScale" priority="6">
      <colorScale>
        <cfvo type="min"/>
        <cfvo type="max"/>
        <color theme="8" tint="0.79998168889431442"/>
        <color theme="8" tint="-0.249977111117893"/>
      </colorScale>
    </cfRule>
  </conditionalFormatting>
  <conditionalFormatting sqref="D3">
    <cfRule type="duplicateValues" dxfId="0" priority="2"/>
  </conditionalFormatting>
  <conditionalFormatting sqref="F1:F1048576">
    <cfRule type="colorScale" priority="3">
      <colorScale>
        <cfvo type="num" val="0.48"/>
        <cfvo type="num" val="1.57"/>
        <color theme="8" tint="0.79998168889431442"/>
        <color theme="8" tint="-0.249977111117893"/>
      </colorScale>
    </cfRule>
  </conditionalFormatting>
  <conditionalFormatting sqref="F139:F1048576 F1:F132">
    <cfRule type="colorScale" priority="4">
      <colorScale>
        <cfvo type="min"/>
        <cfvo type="max"/>
        <color theme="8" tint="0.79998168889431442"/>
        <color theme="8" tint="-0.249977111117893"/>
      </colorScale>
    </cfRule>
  </conditionalFormatting>
  <conditionalFormatting sqref="X69:Z71">
    <cfRule type="colorScale" priority="1">
      <colorScale>
        <cfvo type="min"/>
        <cfvo type="percentile" val="50"/>
        <cfvo type="max"/>
        <color rgb="FFF8696B"/>
        <color rgb="FFFCFCFF"/>
        <color rgb="FF63BE7B"/>
      </colorScale>
    </cfRule>
  </conditionalFormatting>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1B22E-9601-421A-B419-2981DDCE4E6E}">
  <dimension ref="A1:O151"/>
  <sheetViews>
    <sheetView topLeftCell="A10" zoomScale="60" workbookViewId="0">
      <selection activeCell="Q54" sqref="Q54"/>
    </sheetView>
  </sheetViews>
  <sheetFormatPr defaultRowHeight="14.5" x14ac:dyDescent="0.35"/>
  <cols>
    <col min="2" max="2" width="22.90625" bestFit="1" customWidth="1"/>
    <col min="3" max="3" width="13" bestFit="1" customWidth="1"/>
    <col min="4" max="4" width="12.453125" bestFit="1" customWidth="1"/>
    <col min="5" max="5" width="11.81640625" bestFit="1" customWidth="1"/>
    <col min="6" max="6" width="12.7265625" bestFit="1" customWidth="1"/>
    <col min="7" max="7" width="14.54296875" bestFit="1" customWidth="1"/>
    <col min="8" max="9" width="12.453125" bestFit="1" customWidth="1"/>
  </cols>
  <sheetData>
    <row r="1" spans="1:9" x14ac:dyDescent="0.35">
      <c r="A1" t="s">
        <v>1299</v>
      </c>
    </row>
    <row r="2" spans="1:9" ht="15" thickBot="1" x14ac:dyDescent="0.4"/>
    <row r="3" spans="1:9" x14ac:dyDescent="0.35">
      <c r="A3" s="36" t="s">
        <v>1300</v>
      </c>
      <c r="B3" s="36"/>
    </row>
    <row r="4" spans="1:9" x14ac:dyDescent="0.35">
      <c r="A4" t="s">
        <v>1301</v>
      </c>
      <c r="B4">
        <v>0.29212354794221534</v>
      </c>
    </row>
    <row r="5" spans="1:9" x14ac:dyDescent="0.35">
      <c r="A5" t="s">
        <v>1302</v>
      </c>
      <c r="B5">
        <v>8.5336167262347787E-2</v>
      </c>
    </row>
    <row r="6" spans="1:9" x14ac:dyDescent="0.35">
      <c r="A6" t="s">
        <v>1303</v>
      </c>
      <c r="B6">
        <v>7.8018856600446565E-2</v>
      </c>
    </row>
    <row r="7" spans="1:9" x14ac:dyDescent="0.35">
      <c r="A7" t="s">
        <v>75</v>
      </c>
      <c r="B7">
        <v>10.572499214428861</v>
      </c>
    </row>
    <row r="8" spans="1:9" ht="15" thickBot="1" x14ac:dyDescent="0.4">
      <c r="A8" s="27" t="s">
        <v>1304</v>
      </c>
      <c r="B8" s="27">
        <v>127</v>
      </c>
    </row>
    <row r="10" spans="1:9" ht="15" thickBot="1" x14ac:dyDescent="0.4">
      <c r="A10" t="s">
        <v>1305</v>
      </c>
    </row>
    <row r="11" spans="1:9" x14ac:dyDescent="0.35">
      <c r="A11" s="28"/>
      <c r="B11" s="28" t="s">
        <v>1310</v>
      </c>
      <c r="C11" s="28" t="s">
        <v>1311</v>
      </c>
      <c r="D11" s="28" t="s">
        <v>1312</v>
      </c>
      <c r="E11" s="28" t="s">
        <v>1313</v>
      </c>
      <c r="F11" s="28" t="s">
        <v>1314</v>
      </c>
    </row>
    <row r="12" spans="1:9" x14ac:dyDescent="0.35">
      <c r="A12" t="s">
        <v>1306</v>
      </c>
      <c r="B12">
        <v>1</v>
      </c>
      <c r="C12">
        <v>1303.5778207031763</v>
      </c>
      <c r="D12">
        <v>1303.5778207031763</v>
      </c>
      <c r="E12">
        <v>11.662231003347252</v>
      </c>
      <c r="F12">
        <v>8.6064826100678226E-4</v>
      </c>
    </row>
    <row r="13" spans="1:9" x14ac:dyDescent="0.35">
      <c r="A13" t="s">
        <v>1307</v>
      </c>
      <c r="B13">
        <v>125</v>
      </c>
      <c r="C13">
        <v>13972.217454887363</v>
      </c>
      <c r="D13">
        <v>111.7777396390989</v>
      </c>
    </row>
    <row r="14" spans="1:9" ht="15" thickBot="1" x14ac:dyDescent="0.4">
      <c r="A14" s="27" t="s">
        <v>1308</v>
      </c>
      <c r="B14" s="27">
        <v>126</v>
      </c>
      <c r="C14" s="27">
        <v>15275.795275590539</v>
      </c>
      <c r="D14" s="27"/>
      <c r="E14" s="27"/>
      <c r="F14" s="27"/>
    </row>
    <row r="15" spans="1:9" ht="15" thickBot="1" x14ac:dyDescent="0.4"/>
    <row r="16" spans="1:9" x14ac:dyDescent="0.35">
      <c r="A16" s="28"/>
      <c r="B16" s="28" t="s">
        <v>1315</v>
      </c>
      <c r="C16" s="28" t="s">
        <v>75</v>
      </c>
      <c r="D16" s="28" t="s">
        <v>1316</v>
      </c>
      <c r="E16" s="28" t="s">
        <v>1317</v>
      </c>
      <c r="F16" s="28" t="s">
        <v>1318</v>
      </c>
      <c r="G16" s="28" t="s">
        <v>1319</v>
      </c>
      <c r="H16" s="28" t="s">
        <v>1320</v>
      </c>
      <c r="I16" s="28" t="s">
        <v>1321</v>
      </c>
    </row>
    <row r="17" spans="1:15" x14ac:dyDescent="0.35">
      <c r="A17" t="s">
        <v>1309</v>
      </c>
      <c r="B17">
        <v>20.964930024667385</v>
      </c>
      <c r="C17">
        <v>2.9861784417395172</v>
      </c>
      <c r="D17">
        <v>7.0206554744447338</v>
      </c>
      <c r="E17">
        <v>1.2473823919035579E-10</v>
      </c>
      <c r="F17">
        <v>15.054912275579115</v>
      </c>
      <c r="G17">
        <v>26.874947773755657</v>
      </c>
      <c r="H17">
        <v>15.054912275579115</v>
      </c>
      <c r="I17">
        <v>26.874947773755657</v>
      </c>
    </row>
    <row r="18" spans="1:15" ht="15" thickBot="1" x14ac:dyDescent="0.4">
      <c r="A18" s="27" t="s">
        <v>4</v>
      </c>
      <c r="B18" s="27">
        <v>-9.7583024851806375</v>
      </c>
      <c r="C18" s="27">
        <v>2.8574816906435228</v>
      </c>
      <c r="D18" s="27">
        <v>-3.4150008789673141</v>
      </c>
      <c r="E18" s="27">
        <v>8.6064826100667156E-4</v>
      </c>
      <c r="F18" s="27">
        <v>-15.413613391370312</v>
      </c>
      <c r="G18" s="27">
        <v>-4.102991578990963</v>
      </c>
      <c r="H18" s="27">
        <v>-15.413613391370312</v>
      </c>
      <c r="I18" s="27">
        <v>-4.102991578990963</v>
      </c>
    </row>
    <row r="22" spans="1:15" x14ac:dyDescent="0.35">
      <c r="A22" t="s">
        <v>1322</v>
      </c>
    </row>
    <row r="23" spans="1:15" ht="15" thickBot="1" x14ac:dyDescent="0.4"/>
    <row r="24" spans="1:15" x14ac:dyDescent="0.35">
      <c r="A24" s="28" t="s">
        <v>1323</v>
      </c>
      <c r="B24" s="28" t="s">
        <v>1324</v>
      </c>
      <c r="C24" s="28" t="s">
        <v>1325</v>
      </c>
    </row>
    <row r="25" spans="1:15" x14ac:dyDescent="0.35">
      <c r="A25">
        <v>1</v>
      </c>
      <c r="B25">
        <v>12.670372912263844</v>
      </c>
      <c r="C25">
        <v>35.329627087736156</v>
      </c>
    </row>
    <row r="26" spans="1:15" x14ac:dyDescent="0.35">
      <c r="A26">
        <v>2</v>
      </c>
      <c r="B26">
        <v>12.670372912263844</v>
      </c>
      <c r="C26">
        <v>-0.67037291226384355</v>
      </c>
    </row>
    <row r="27" spans="1:15" x14ac:dyDescent="0.35">
      <c r="A27">
        <v>3</v>
      </c>
      <c r="B27">
        <v>12.670372912263844</v>
      </c>
      <c r="C27">
        <v>-7.6703729122638435</v>
      </c>
    </row>
    <row r="28" spans="1:15" x14ac:dyDescent="0.35">
      <c r="A28">
        <v>4</v>
      </c>
      <c r="B28">
        <v>12.670372912263844</v>
      </c>
      <c r="C28">
        <v>-11.670372912263844</v>
      </c>
    </row>
    <row r="29" spans="1:15" x14ac:dyDescent="0.35">
      <c r="A29">
        <v>5</v>
      </c>
      <c r="B29">
        <v>12.670372912263844</v>
      </c>
      <c r="C29">
        <v>-11.670372912263844</v>
      </c>
    </row>
    <row r="30" spans="1:15" x14ac:dyDescent="0.35">
      <c r="A30">
        <v>6</v>
      </c>
      <c r="B30">
        <v>4.7661478992675264</v>
      </c>
      <c r="C30">
        <v>6.2338521007324736</v>
      </c>
      <c r="G30" t="s">
        <v>1379</v>
      </c>
      <c r="H30" cm="1">
        <f t="array" ref="H30:O30">B17+B18 *B18:I18</f>
        <v>116.18939741694999</v>
      </c>
      <c r="I30">
        <v>-6.9192406584974719</v>
      </c>
      <c r="J30">
        <v>54.289541588788182</v>
      </c>
      <c r="K30">
        <v>20.956531558603139</v>
      </c>
      <c r="L30">
        <v>171.37563188728984</v>
      </c>
      <c r="M30">
        <v>61.003162946610132</v>
      </c>
      <c r="N30">
        <v>171.37563188728984</v>
      </c>
      <c r="O30">
        <v>61.003162946610132</v>
      </c>
    </row>
    <row r="31" spans="1:15" x14ac:dyDescent="0.35">
      <c r="A31">
        <v>7</v>
      </c>
      <c r="B31">
        <v>4.7661478992675264</v>
      </c>
      <c r="C31">
        <v>-2.7661478992675264</v>
      </c>
      <c r="G31" t="s">
        <v>1380</v>
      </c>
      <c r="H31">
        <v>8.5000000000000006E-2</v>
      </c>
      <c r="I31" t="s">
        <v>1381</v>
      </c>
    </row>
    <row r="32" spans="1:15" x14ac:dyDescent="0.35">
      <c r="A32">
        <v>8</v>
      </c>
      <c r="B32">
        <v>4.7661478992675264</v>
      </c>
      <c r="C32">
        <v>-3.7661478992675264</v>
      </c>
      <c r="G32" t="s">
        <v>1382</v>
      </c>
      <c r="H32">
        <v>11.66</v>
      </c>
    </row>
    <row r="33" spans="1:9" x14ac:dyDescent="0.35">
      <c r="A33">
        <v>9</v>
      </c>
      <c r="B33">
        <v>12.670372912263844</v>
      </c>
      <c r="C33">
        <v>-2.6703729122638435</v>
      </c>
      <c r="G33" t="s">
        <v>1292</v>
      </c>
      <c r="H33">
        <v>8.9999999999999998E-4</v>
      </c>
      <c r="I33" t="s">
        <v>1383</v>
      </c>
    </row>
    <row r="34" spans="1:9" x14ac:dyDescent="0.35">
      <c r="A34">
        <v>10</v>
      </c>
      <c r="B34">
        <v>12.670372912263844</v>
      </c>
      <c r="C34">
        <v>-11.670372912263844</v>
      </c>
    </row>
    <row r="35" spans="1:9" x14ac:dyDescent="0.35">
      <c r="A35">
        <v>11</v>
      </c>
      <c r="B35">
        <v>12.670372912263844</v>
      </c>
      <c r="C35">
        <v>-11.670372912263844</v>
      </c>
      <c r="G35" t="s">
        <v>1309</v>
      </c>
      <c r="H35">
        <v>20.96</v>
      </c>
      <c r="I35" t="s">
        <v>1384</v>
      </c>
    </row>
    <row r="36" spans="1:9" x14ac:dyDescent="0.35">
      <c r="A36">
        <v>12</v>
      </c>
      <c r="B36">
        <v>12.670372912263844</v>
      </c>
      <c r="C36">
        <v>-9.6703729122638435</v>
      </c>
      <c r="G36" t="s">
        <v>1385</v>
      </c>
      <c r="H36">
        <v>-9.76</v>
      </c>
      <c r="I36" t="s">
        <v>1384</v>
      </c>
    </row>
    <row r="37" spans="1:9" x14ac:dyDescent="0.35">
      <c r="A37">
        <v>13</v>
      </c>
      <c r="B37">
        <v>12.670372912263844</v>
      </c>
      <c r="C37">
        <v>11.329627087736156</v>
      </c>
    </row>
    <row r="38" spans="1:9" x14ac:dyDescent="0.35">
      <c r="A38">
        <v>14</v>
      </c>
      <c r="B38">
        <v>4.7661478992675264</v>
      </c>
      <c r="C38">
        <v>-3.7661478992675264</v>
      </c>
    </row>
    <row r="39" spans="1:9" x14ac:dyDescent="0.35">
      <c r="A39">
        <v>15</v>
      </c>
      <c r="B39">
        <v>12.670372912263844</v>
      </c>
      <c r="C39">
        <v>-10.670372912263844</v>
      </c>
    </row>
    <row r="40" spans="1:9" x14ac:dyDescent="0.35">
      <c r="A40">
        <v>16</v>
      </c>
      <c r="B40">
        <v>4.7661478992675264</v>
      </c>
      <c r="C40">
        <v>0.23385210073247364</v>
      </c>
    </row>
    <row r="41" spans="1:9" x14ac:dyDescent="0.35">
      <c r="A41">
        <v>17</v>
      </c>
      <c r="B41">
        <v>12.670372912263844</v>
      </c>
      <c r="C41">
        <v>-10.670372912263844</v>
      </c>
    </row>
    <row r="42" spans="1:9" x14ac:dyDescent="0.35">
      <c r="A42">
        <v>18</v>
      </c>
      <c r="B42">
        <v>12.670372912263844</v>
      </c>
      <c r="C42">
        <v>-2.6703729122638435</v>
      </c>
    </row>
    <row r="43" spans="1:9" x14ac:dyDescent="0.35">
      <c r="A43">
        <v>19</v>
      </c>
      <c r="B43">
        <v>12.670372912263844</v>
      </c>
      <c r="C43">
        <v>-2.6703729122638435</v>
      </c>
    </row>
    <row r="44" spans="1:9" x14ac:dyDescent="0.35">
      <c r="A44">
        <v>20</v>
      </c>
      <c r="B44">
        <v>12.670372912263844</v>
      </c>
      <c r="C44">
        <v>-2.6703729122638435</v>
      </c>
    </row>
    <row r="45" spans="1:9" x14ac:dyDescent="0.35">
      <c r="A45">
        <v>21</v>
      </c>
      <c r="B45">
        <v>12.670372912263844</v>
      </c>
      <c r="C45">
        <v>-2.6703729122638435</v>
      </c>
    </row>
    <row r="46" spans="1:9" x14ac:dyDescent="0.35">
      <c r="A46">
        <v>22</v>
      </c>
      <c r="B46">
        <v>13.060705011671068</v>
      </c>
      <c r="C46">
        <v>-7.0607050116710681</v>
      </c>
    </row>
    <row r="47" spans="1:9" x14ac:dyDescent="0.35">
      <c r="A47">
        <v>23</v>
      </c>
      <c r="B47">
        <v>13.060705011671068</v>
      </c>
      <c r="C47">
        <v>-12.060705011671068</v>
      </c>
    </row>
    <row r="48" spans="1:9" x14ac:dyDescent="0.35">
      <c r="A48">
        <v>24</v>
      </c>
      <c r="B48">
        <v>13.060705011671068</v>
      </c>
      <c r="C48">
        <v>-12.060705011671068</v>
      </c>
    </row>
    <row r="49" spans="1:3" x14ac:dyDescent="0.35">
      <c r="A49">
        <v>25</v>
      </c>
      <c r="B49">
        <v>13.060705011671068</v>
      </c>
      <c r="C49">
        <v>-12.060705011671068</v>
      </c>
    </row>
    <row r="50" spans="1:3" x14ac:dyDescent="0.35">
      <c r="A50">
        <v>26</v>
      </c>
      <c r="B50">
        <v>13.060705011671068</v>
      </c>
      <c r="C50">
        <v>-8.0607050116710681</v>
      </c>
    </row>
    <row r="51" spans="1:3" x14ac:dyDescent="0.35">
      <c r="A51">
        <v>27</v>
      </c>
      <c r="B51">
        <v>13.060705011671068</v>
      </c>
      <c r="C51">
        <v>-10.060705011671068</v>
      </c>
    </row>
    <row r="52" spans="1:3" x14ac:dyDescent="0.35">
      <c r="A52">
        <v>28</v>
      </c>
      <c r="B52">
        <v>13.060705011671068</v>
      </c>
      <c r="C52">
        <v>-12.060705011671068</v>
      </c>
    </row>
    <row r="53" spans="1:3" x14ac:dyDescent="0.35">
      <c r="A53">
        <v>29</v>
      </c>
      <c r="B53">
        <v>13.060705011671068</v>
      </c>
      <c r="C53">
        <v>-7.0607050116710681</v>
      </c>
    </row>
    <row r="54" spans="1:3" x14ac:dyDescent="0.35">
      <c r="A54">
        <v>30</v>
      </c>
      <c r="B54">
        <v>13.060705011671068</v>
      </c>
      <c r="C54">
        <v>-10.060705011671068</v>
      </c>
    </row>
    <row r="55" spans="1:3" x14ac:dyDescent="0.35">
      <c r="A55">
        <v>31</v>
      </c>
      <c r="B55">
        <v>13.060705011671068</v>
      </c>
      <c r="C55">
        <v>-6.0607050116710681</v>
      </c>
    </row>
    <row r="56" spans="1:3" x14ac:dyDescent="0.35">
      <c r="A56">
        <v>32</v>
      </c>
      <c r="B56">
        <v>13.060705011671068</v>
      </c>
      <c r="C56">
        <v>-12.060705011671068</v>
      </c>
    </row>
    <row r="57" spans="1:3" x14ac:dyDescent="0.35">
      <c r="A57">
        <v>33</v>
      </c>
      <c r="B57">
        <v>13.25587106137468</v>
      </c>
      <c r="C57">
        <v>-9.2558710613746804</v>
      </c>
    </row>
    <row r="58" spans="1:3" x14ac:dyDescent="0.35">
      <c r="A58">
        <v>34</v>
      </c>
      <c r="B58">
        <v>13.25587106137468</v>
      </c>
      <c r="C58">
        <v>8.7441289386253196</v>
      </c>
    </row>
    <row r="59" spans="1:3" x14ac:dyDescent="0.35">
      <c r="A59">
        <v>35</v>
      </c>
      <c r="B59">
        <v>13.25587106137468</v>
      </c>
      <c r="C59">
        <v>-1.2558710613746804</v>
      </c>
    </row>
    <row r="60" spans="1:3" x14ac:dyDescent="0.35">
      <c r="A60">
        <v>36</v>
      </c>
      <c r="B60">
        <v>12.670372912263844</v>
      </c>
      <c r="C60">
        <v>-10.670372912263844</v>
      </c>
    </row>
    <row r="61" spans="1:3" x14ac:dyDescent="0.35">
      <c r="A61">
        <v>37</v>
      </c>
      <c r="B61">
        <v>13.646203160781907</v>
      </c>
      <c r="C61">
        <v>-1.6462031607819068</v>
      </c>
    </row>
    <row r="62" spans="1:3" x14ac:dyDescent="0.35">
      <c r="A62">
        <v>38</v>
      </c>
      <c r="B62">
        <v>13.646203160781907</v>
      </c>
      <c r="C62">
        <v>-1.6462031607819068</v>
      </c>
    </row>
    <row r="63" spans="1:3" x14ac:dyDescent="0.35">
      <c r="A63">
        <v>39</v>
      </c>
      <c r="B63">
        <v>13.646203160781907</v>
      </c>
      <c r="C63">
        <v>-1.6462031607819068</v>
      </c>
    </row>
    <row r="64" spans="1:3" x14ac:dyDescent="0.35">
      <c r="A64">
        <v>40</v>
      </c>
      <c r="B64">
        <v>13.646203160781907</v>
      </c>
      <c r="C64">
        <v>10.353796839218093</v>
      </c>
    </row>
    <row r="65" spans="1:3" x14ac:dyDescent="0.35">
      <c r="A65">
        <v>41</v>
      </c>
      <c r="B65">
        <v>13.646203160781907</v>
      </c>
      <c r="C65">
        <v>-1.6462031607819068</v>
      </c>
    </row>
    <row r="66" spans="1:3" x14ac:dyDescent="0.35">
      <c r="A66">
        <v>42</v>
      </c>
      <c r="B66">
        <v>5.0588969738229466</v>
      </c>
      <c r="C66">
        <v>-4.0588969738229466</v>
      </c>
    </row>
    <row r="67" spans="1:3" x14ac:dyDescent="0.35">
      <c r="A67">
        <v>43</v>
      </c>
      <c r="B67">
        <v>5.0588969738229466</v>
      </c>
      <c r="C67">
        <v>6.9411030261770534</v>
      </c>
    </row>
    <row r="68" spans="1:3" x14ac:dyDescent="0.35">
      <c r="A68">
        <v>44</v>
      </c>
      <c r="B68">
        <v>5.0588969738229466</v>
      </c>
      <c r="C68">
        <v>-1.0588969738229466</v>
      </c>
    </row>
    <row r="69" spans="1:3" x14ac:dyDescent="0.35">
      <c r="A69">
        <v>45</v>
      </c>
      <c r="B69">
        <v>11.304210564338554</v>
      </c>
      <c r="C69">
        <v>5.695789435661446</v>
      </c>
    </row>
    <row r="70" spans="1:3" x14ac:dyDescent="0.35">
      <c r="A70">
        <v>46</v>
      </c>
      <c r="B70">
        <v>13.646203160781907</v>
      </c>
      <c r="C70">
        <v>-1.6462031607819068</v>
      </c>
    </row>
    <row r="71" spans="1:3" x14ac:dyDescent="0.35">
      <c r="A71">
        <v>47</v>
      </c>
      <c r="B71">
        <v>13.646203160781907</v>
      </c>
      <c r="C71">
        <v>-1.6462031607819068</v>
      </c>
    </row>
    <row r="72" spans="1:3" x14ac:dyDescent="0.35">
      <c r="A72">
        <v>48</v>
      </c>
      <c r="B72">
        <v>13.646203160781907</v>
      </c>
      <c r="C72">
        <v>10.353796839218093</v>
      </c>
    </row>
    <row r="73" spans="1:3" x14ac:dyDescent="0.35">
      <c r="A73">
        <v>49</v>
      </c>
      <c r="B73">
        <v>13.646203160781907</v>
      </c>
      <c r="C73">
        <v>10.353796839218093</v>
      </c>
    </row>
    <row r="74" spans="1:3" x14ac:dyDescent="0.35">
      <c r="A74">
        <v>50</v>
      </c>
      <c r="B74">
        <v>5.0588969738229466</v>
      </c>
      <c r="C74">
        <v>5.9411030261770534</v>
      </c>
    </row>
    <row r="75" spans="1:3" x14ac:dyDescent="0.35">
      <c r="A75">
        <v>51</v>
      </c>
      <c r="B75">
        <v>5.0588969738229466</v>
      </c>
      <c r="C75">
        <v>6.9411030261770534</v>
      </c>
    </row>
    <row r="76" spans="1:3" x14ac:dyDescent="0.35">
      <c r="A76">
        <v>52</v>
      </c>
      <c r="B76">
        <v>5.0588969738229466</v>
      </c>
      <c r="C76">
        <v>16.941103026177053</v>
      </c>
    </row>
    <row r="77" spans="1:3" x14ac:dyDescent="0.35">
      <c r="A77">
        <v>53</v>
      </c>
      <c r="B77">
        <v>5.0588969738229466</v>
      </c>
      <c r="C77">
        <v>0.94110302617705344</v>
      </c>
    </row>
    <row r="78" spans="1:3" x14ac:dyDescent="0.35">
      <c r="A78">
        <v>54</v>
      </c>
      <c r="B78">
        <v>13.646203160781907</v>
      </c>
      <c r="C78">
        <v>-1.6462031607819068</v>
      </c>
    </row>
    <row r="79" spans="1:3" x14ac:dyDescent="0.35">
      <c r="A79">
        <v>55</v>
      </c>
      <c r="B79">
        <v>13.646203160781907</v>
      </c>
      <c r="C79">
        <v>-1.6462031607819068</v>
      </c>
    </row>
    <row r="80" spans="1:3" x14ac:dyDescent="0.35">
      <c r="A80">
        <v>56</v>
      </c>
      <c r="B80">
        <v>13.646203160781907</v>
      </c>
      <c r="C80">
        <v>10.353796839218093</v>
      </c>
    </row>
    <row r="81" spans="1:3" x14ac:dyDescent="0.35">
      <c r="A81">
        <v>57</v>
      </c>
      <c r="B81">
        <v>5.0588969738229466</v>
      </c>
      <c r="C81">
        <v>-1.0588969738229466</v>
      </c>
    </row>
    <row r="82" spans="1:3" x14ac:dyDescent="0.35">
      <c r="A82">
        <v>58</v>
      </c>
      <c r="B82">
        <v>12.865538961967456</v>
      </c>
      <c r="C82">
        <v>-0.86553896196745583</v>
      </c>
    </row>
    <row r="83" spans="1:3" x14ac:dyDescent="0.35">
      <c r="A83">
        <v>59</v>
      </c>
      <c r="B83">
        <v>5.0588969738229466</v>
      </c>
      <c r="C83">
        <v>-4.0588969738229466</v>
      </c>
    </row>
    <row r="84" spans="1:3" x14ac:dyDescent="0.35">
      <c r="A84">
        <v>60</v>
      </c>
      <c r="B84">
        <v>12.865538961967456</v>
      </c>
      <c r="C84">
        <v>-0.86553896196745583</v>
      </c>
    </row>
    <row r="85" spans="1:3" x14ac:dyDescent="0.35">
      <c r="A85">
        <v>61</v>
      </c>
      <c r="B85">
        <v>5.0588969738229466</v>
      </c>
      <c r="C85">
        <v>0.94110302617705344</v>
      </c>
    </row>
    <row r="86" spans="1:3" x14ac:dyDescent="0.35">
      <c r="A86">
        <v>62</v>
      </c>
      <c r="B86">
        <v>13.646203160781907</v>
      </c>
      <c r="C86">
        <v>34.353796839218091</v>
      </c>
    </row>
    <row r="87" spans="1:3" x14ac:dyDescent="0.35">
      <c r="A87">
        <v>63</v>
      </c>
      <c r="B87">
        <v>13.646203160781907</v>
      </c>
      <c r="C87">
        <v>22.353796839218091</v>
      </c>
    </row>
    <row r="88" spans="1:3" x14ac:dyDescent="0.35">
      <c r="A88">
        <v>64</v>
      </c>
      <c r="B88">
        <v>12.865538961967456</v>
      </c>
      <c r="C88">
        <v>23.134461038032544</v>
      </c>
    </row>
    <row r="89" spans="1:3" x14ac:dyDescent="0.35">
      <c r="A89">
        <v>65</v>
      </c>
      <c r="B89">
        <v>5.0588969738229466</v>
      </c>
      <c r="C89">
        <v>-4.0588969738229466</v>
      </c>
    </row>
    <row r="90" spans="1:3" x14ac:dyDescent="0.35">
      <c r="A90">
        <v>66</v>
      </c>
      <c r="B90">
        <v>5.0588969738229466</v>
      </c>
      <c r="C90">
        <v>11.941103026177053</v>
      </c>
    </row>
    <row r="91" spans="1:3" x14ac:dyDescent="0.35">
      <c r="A91">
        <v>67</v>
      </c>
      <c r="B91">
        <v>12.865538961967456</v>
      </c>
      <c r="C91">
        <v>-9.8655389619674558</v>
      </c>
    </row>
    <row r="92" spans="1:3" x14ac:dyDescent="0.35">
      <c r="A92">
        <v>68</v>
      </c>
      <c r="B92">
        <v>12.865538961967456</v>
      </c>
      <c r="C92">
        <v>-0.86553896196745583</v>
      </c>
    </row>
    <row r="93" spans="1:3" x14ac:dyDescent="0.35">
      <c r="A93">
        <v>69</v>
      </c>
      <c r="B93">
        <v>12.865538961967456</v>
      </c>
      <c r="C93">
        <v>-0.86553896196745583</v>
      </c>
    </row>
    <row r="94" spans="1:3" x14ac:dyDescent="0.35">
      <c r="A94">
        <v>70</v>
      </c>
      <c r="B94">
        <v>12.865538961967456</v>
      </c>
      <c r="C94">
        <v>-0.86553896196745583</v>
      </c>
    </row>
    <row r="95" spans="1:3" x14ac:dyDescent="0.35">
      <c r="A95">
        <v>71</v>
      </c>
      <c r="B95">
        <v>12.865538961967456</v>
      </c>
      <c r="C95">
        <v>-0.86553896196745583</v>
      </c>
    </row>
    <row r="96" spans="1:3" x14ac:dyDescent="0.35">
      <c r="A96">
        <v>72</v>
      </c>
      <c r="B96">
        <v>12.865538961967456</v>
      </c>
      <c r="C96">
        <v>11.134461038032544</v>
      </c>
    </row>
    <row r="97" spans="1:3" x14ac:dyDescent="0.35">
      <c r="A97">
        <v>73</v>
      </c>
      <c r="B97">
        <v>12.865538961967456</v>
      </c>
      <c r="C97">
        <v>-0.86553896196745583</v>
      </c>
    </row>
    <row r="98" spans="1:3" x14ac:dyDescent="0.35">
      <c r="A98">
        <v>74</v>
      </c>
      <c r="B98">
        <v>12.865538961967456</v>
      </c>
      <c r="C98">
        <v>11.134461038032544</v>
      </c>
    </row>
    <row r="99" spans="1:3" x14ac:dyDescent="0.35">
      <c r="A99">
        <v>75</v>
      </c>
      <c r="B99">
        <v>12.865538961967456</v>
      </c>
      <c r="C99">
        <v>35.134461038032541</v>
      </c>
    </row>
    <row r="100" spans="1:3" x14ac:dyDescent="0.35">
      <c r="A100">
        <v>76</v>
      </c>
      <c r="B100">
        <v>12.865538961967456</v>
      </c>
      <c r="C100">
        <v>35.134461038032541</v>
      </c>
    </row>
    <row r="101" spans="1:3" x14ac:dyDescent="0.35">
      <c r="A101">
        <v>77</v>
      </c>
      <c r="B101">
        <v>12.670372912263844</v>
      </c>
      <c r="C101">
        <v>-11.670372912263844</v>
      </c>
    </row>
    <row r="102" spans="1:3" x14ac:dyDescent="0.35">
      <c r="A102">
        <v>78</v>
      </c>
      <c r="B102">
        <v>5.0588969738229466</v>
      </c>
      <c r="C102">
        <v>-3.0588969738229466</v>
      </c>
    </row>
    <row r="103" spans="1:3" x14ac:dyDescent="0.35">
      <c r="A103">
        <v>79</v>
      </c>
      <c r="B103">
        <v>12.865538961967456</v>
      </c>
      <c r="C103">
        <v>-0.86553896196745583</v>
      </c>
    </row>
    <row r="104" spans="1:3" x14ac:dyDescent="0.35">
      <c r="A104">
        <v>80</v>
      </c>
      <c r="B104">
        <v>5.0588969738229466</v>
      </c>
      <c r="C104">
        <v>-1.0588969738229466</v>
      </c>
    </row>
    <row r="105" spans="1:3" x14ac:dyDescent="0.35">
      <c r="A105">
        <v>81</v>
      </c>
      <c r="B105">
        <v>5.0588969738229466</v>
      </c>
      <c r="C105">
        <v>-2.0588969738229466</v>
      </c>
    </row>
    <row r="106" spans="1:3" x14ac:dyDescent="0.35">
      <c r="A106">
        <v>82</v>
      </c>
      <c r="B106">
        <v>5.0588969738229466</v>
      </c>
      <c r="C106">
        <v>-3.0588969738229466</v>
      </c>
    </row>
    <row r="107" spans="1:3" x14ac:dyDescent="0.35">
      <c r="A107">
        <v>83</v>
      </c>
      <c r="B107">
        <v>12.865538961967456</v>
      </c>
      <c r="C107">
        <v>11.134461038032544</v>
      </c>
    </row>
    <row r="108" spans="1:3" x14ac:dyDescent="0.35">
      <c r="A108">
        <v>84</v>
      </c>
      <c r="B108">
        <v>12.865538961967456</v>
      </c>
      <c r="C108">
        <v>11.134461038032544</v>
      </c>
    </row>
    <row r="109" spans="1:3" x14ac:dyDescent="0.35">
      <c r="A109">
        <v>85</v>
      </c>
      <c r="B109">
        <v>12.865538961967456</v>
      </c>
      <c r="C109">
        <v>11.134461038032544</v>
      </c>
    </row>
    <row r="110" spans="1:3" x14ac:dyDescent="0.35">
      <c r="A110">
        <v>86</v>
      </c>
      <c r="B110">
        <v>12.865538961967456</v>
      </c>
      <c r="C110">
        <v>11.134461038032544</v>
      </c>
    </row>
    <row r="111" spans="1:3" x14ac:dyDescent="0.35">
      <c r="A111">
        <v>87</v>
      </c>
      <c r="B111">
        <v>5.0588969738229466</v>
      </c>
      <c r="C111">
        <v>-5.8896973822946563E-2</v>
      </c>
    </row>
    <row r="112" spans="1:3" x14ac:dyDescent="0.35">
      <c r="A112">
        <v>88</v>
      </c>
      <c r="B112">
        <v>5.0588969738229466</v>
      </c>
      <c r="C112">
        <v>-4.0588969738229466</v>
      </c>
    </row>
    <row r="113" spans="1:3" x14ac:dyDescent="0.35">
      <c r="A113">
        <v>89</v>
      </c>
      <c r="B113">
        <v>12.865538961967456</v>
      </c>
      <c r="C113">
        <v>-0.86553896196745583</v>
      </c>
    </row>
    <row r="114" spans="1:3" x14ac:dyDescent="0.35">
      <c r="A114">
        <v>90</v>
      </c>
      <c r="B114">
        <v>12.865538961967456</v>
      </c>
      <c r="C114">
        <v>-0.86553896196745583</v>
      </c>
    </row>
    <row r="115" spans="1:3" x14ac:dyDescent="0.35">
      <c r="A115">
        <v>91</v>
      </c>
      <c r="B115">
        <v>12.865538961967456</v>
      </c>
      <c r="C115">
        <v>-0.86553896196745583</v>
      </c>
    </row>
    <row r="116" spans="1:3" x14ac:dyDescent="0.35">
      <c r="A116">
        <v>92</v>
      </c>
      <c r="B116">
        <v>12.865538961967456</v>
      </c>
      <c r="C116">
        <v>-0.86553896196745583</v>
      </c>
    </row>
    <row r="117" spans="1:3" x14ac:dyDescent="0.35">
      <c r="A117">
        <v>93</v>
      </c>
      <c r="B117">
        <v>12.865538961967456</v>
      </c>
      <c r="C117">
        <v>-11.865538961967456</v>
      </c>
    </row>
    <row r="118" spans="1:3" x14ac:dyDescent="0.35">
      <c r="A118">
        <v>94</v>
      </c>
      <c r="B118">
        <v>12.865538961967456</v>
      </c>
      <c r="C118">
        <v>2.1344610380325442</v>
      </c>
    </row>
    <row r="119" spans="1:3" x14ac:dyDescent="0.35">
      <c r="A119">
        <v>95</v>
      </c>
      <c r="B119">
        <v>12.865538961967456</v>
      </c>
      <c r="C119">
        <v>11.134461038032544</v>
      </c>
    </row>
    <row r="120" spans="1:3" x14ac:dyDescent="0.35">
      <c r="A120">
        <v>96</v>
      </c>
      <c r="B120">
        <v>12.670372912263844</v>
      </c>
      <c r="C120">
        <v>-11.670372912263844</v>
      </c>
    </row>
    <row r="121" spans="1:3" x14ac:dyDescent="0.35">
      <c r="A121">
        <v>97</v>
      </c>
      <c r="B121">
        <v>12.670372912263844</v>
      </c>
      <c r="C121">
        <v>-11.670372912263844</v>
      </c>
    </row>
    <row r="122" spans="1:3" x14ac:dyDescent="0.35">
      <c r="A122">
        <v>98</v>
      </c>
      <c r="B122">
        <v>12.670372912263844</v>
      </c>
      <c r="C122">
        <v>-11.670372912263844</v>
      </c>
    </row>
    <row r="123" spans="1:3" x14ac:dyDescent="0.35">
      <c r="A123">
        <v>99</v>
      </c>
      <c r="B123">
        <v>12.670372912263844</v>
      </c>
      <c r="C123">
        <v>-9.6703729122638435</v>
      </c>
    </row>
    <row r="124" spans="1:3" x14ac:dyDescent="0.35">
      <c r="A124">
        <v>100</v>
      </c>
      <c r="B124">
        <v>12.670372912263844</v>
      </c>
      <c r="C124">
        <v>-11.670372912263844</v>
      </c>
    </row>
    <row r="125" spans="1:3" x14ac:dyDescent="0.35">
      <c r="A125">
        <v>101</v>
      </c>
      <c r="B125">
        <v>12.670372912263844</v>
      </c>
      <c r="C125">
        <v>-11.670372912263844</v>
      </c>
    </row>
    <row r="126" spans="1:3" x14ac:dyDescent="0.35">
      <c r="A126">
        <v>102</v>
      </c>
      <c r="B126">
        <v>12.670372912263844</v>
      </c>
      <c r="C126">
        <v>-11.670372912263844</v>
      </c>
    </row>
    <row r="127" spans="1:3" x14ac:dyDescent="0.35">
      <c r="A127">
        <v>103</v>
      </c>
      <c r="B127">
        <v>12.670372912263844</v>
      </c>
      <c r="C127">
        <v>-0.67037291226384355</v>
      </c>
    </row>
    <row r="128" spans="1:3" x14ac:dyDescent="0.35">
      <c r="A128">
        <v>104</v>
      </c>
      <c r="B128">
        <v>5.0588969738229466</v>
      </c>
      <c r="C128">
        <v>-3.0588969738229466</v>
      </c>
    </row>
    <row r="129" spans="1:3" x14ac:dyDescent="0.35">
      <c r="A129">
        <v>105</v>
      </c>
      <c r="B129">
        <v>12.670372912263844</v>
      </c>
      <c r="C129">
        <v>-11.670372912263844</v>
      </c>
    </row>
    <row r="130" spans="1:3" x14ac:dyDescent="0.35">
      <c r="A130">
        <v>106</v>
      </c>
      <c r="B130">
        <v>12.670372912263844</v>
      </c>
      <c r="C130">
        <v>-9.6703729122638435</v>
      </c>
    </row>
    <row r="131" spans="1:3" x14ac:dyDescent="0.35">
      <c r="A131">
        <v>107</v>
      </c>
      <c r="B131">
        <v>12.670372912263844</v>
      </c>
      <c r="C131">
        <v>-11.670372912263844</v>
      </c>
    </row>
    <row r="132" spans="1:3" x14ac:dyDescent="0.35">
      <c r="A132">
        <v>108</v>
      </c>
      <c r="B132">
        <v>12.670372912263844</v>
      </c>
      <c r="C132">
        <v>7.3296270877361565</v>
      </c>
    </row>
    <row r="133" spans="1:3" x14ac:dyDescent="0.35">
      <c r="A133">
        <v>109</v>
      </c>
      <c r="B133">
        <v>5.0588969738229466</v>
      </c>
      <c r="C133">
        <v>-4.0588969738229466</v>
      </c>
    </row>
    <row r="134" spans="1:3" x14ac:dyDescent="0.35">
      <c r="A134">
        <v>110</v>
      </c>
      <c r="B134">
        <v>12.670372912263844</v>
      </c>
      <c r="C134">
        <v>-7.6703729122638435</v>
      </c>
    </row>
    <row r="135" spans="1:3" x14ac:dyDescent="0.35">
      <c r="A135">
        <v>111</v>
      </c>
      <c r="B135">
        <v>12.670372912263844</v>
      </c>
      <c r="C135">
        <v>7.3296270877361565</v>
      </c>
    </row>
    <row r="136" spans="1:3" x14ac:dyDescent="0.35">
      <c r="A136">
        <v>112</v>
      </c>
      <c r="B136">
        <v>12.670372912263844</v>
      </c>
      <c r="C136">
        <v>-7.6703729122638435</v>
      </c>
    </row>
    <row r="137" spans="1:3" x14ac:dyDescent="0.35">
      <c r="A137">
        <v>113</v>
      </c>
      <c r="B137">
        <v>12.670372912263844</v>
      </c>
      <c r="C137">
        <v>7.3296270877361565</v>
      </c>
    </row>
    <row r="138" spans="1:3" x14ac:dyDescent="0.35">
      <c r="A138">
        <v>114</v>
      </c>
      <c r="B138">
        <v>12.670372912263844</v>
      </c>
      <c r="C138">
        <v>27.329627087736156</v>
      </c>
    </row>
    <row r="139" spans="1:3" x14ac:dyDescent="0.35">
      <c r="A139">
        <v>115</v>
      </c>
      <c r="B139">
        <v>12.670372912263844</v>
      </c>
      <c r="C139">
        <v>7.3296270877361565</v>
      </c>
    </row>
    <row r="140" spans="1:3" x14ac:dyDescent="0.35">
      <c r="A140">
        <v>116</v>
      </c>
      <c r="B140">
        <v>12.670372912263844</v>
      </c>
      <c r="C140">
        <v>-7.6703729122638435</v>
      </c>
    </row>
    <row r="141" spans="1:3" x14ac:dyDescent="0.35">
      <c r="A141">
        <v>117</v>
      </c>
      <c r="B141">
        <v>12.670372912263844</v>
      </c>
      <c r="C141">
        <v>7.3296270877361565</v>
      </c>
    </row>
    <row r="142" spans="1:3" x14ac:dyDescent="0.35">
      <c r="A142">
        <v>118</v>
      </c>
      <c r="B142">
        <v>12.670372912263844</v>
      </c>
      <c r="C142">
        <v>7.3296270877361565</v>
      </c>
    </row>
    <row r="143" spans="1:3" x14ac:dyDescent="0.35">
      <c r="A143">
        <v>119</v>
      </c>
      <c r="B143">
        <v>12.670372912263844</v>
      </c>
      <c r="C143">
        <v>7.3296270877361565</v>
      </c>
    </row>
    <row r="144" spans="1:3" x14ac:dyDescent="0.35">
      <c r="A144">
        <v>120</v>
      </c>
      <c r="B144">
        <v>12.670372912263844</v>
      </c>
      <c r="C144">
        <v>7.3296270877361565</v>
      </c>
    </row>
    <row r="145" spans="1:3" x14ac:dyDescent="0.35">
      <c r="A145">
        <v>121</v>
      </c>
      <c r="B145">
        <v>12.670372912263844</v>
      </c>
      <c r="C145">
        <v>-5.6703729122638435</v>
      </c>
    </row>
    <row r="146" spans="1:3" x14ac:dyDescent="0.35">
      <c r="A146">
        <v>122</v>
      </c>
      <c r="B146">
        <v>12.670372912263844</v>
      </c>
      <c r="C146">
        <v>-9.6703729122638435</v>
      </c>
    </row>
    <row r="147" spans="1:3" x14ac:dyDescent="0.35">
      <c r="A147">
        <v>123</v>
      </c>
      <c r="B147">
        <v>5.0588969738229466</v>
      </c>
      <c r="C147">
        <v>-4.0588969738229466</v>
      </c>
    </row>
    <row r="148" spans="1:3" x14ac:dyDescent="0.35">
      <c r="A148">
        <v>124</v>
      </c>
      <c r="B148">
        <v>12.670372912263844</v>
      </c>
      <c r="C148">
        <v>7.3296270877361565</v>
      </c>
    </row>
    <row r="149" spans="1:3" x14ac:dyDescent="0.35">
      <c r="A149">
        <v>125</v>
      </c>
      <c r="B149">
        <v>12.670372912263844</v>
      </c>
      <c r="C149">
        <v>7.3296270877361565</v>
      </c>
    </row>
    <row r="150" spans="1:3" x14ac:dyDescent="0.35">
      <c r="A150">
        <v>126</v>
      </c>
      <c r="B150">
        <v>12.670372912263844</v>
      </c>
      <c r="C150">
        <v>-10.670372912263844</v>
      </c>
    </row>
    <row r="151" spans="1:3" ht="15" thickBot="1" x14ac:dyDescent="0.4">
      <c r="A151" s="27">
        <v>127</v>
      </c>
      <c r="B151" s="27">
        <v>12.670372912263844</v>
      </c>
      <c r="C151" s="27">
        <v>7.3296270877361565</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A77712FEDF39E438979A36797BB772B" ma:contentTypeVersion="6" ma:contentTypeDescription="Create a new document." ma:contentTypeScope="" ma:versionID="265dcef822d481af61e9e2560a98694c">
  <xsd:schema xmlns:xsd="http://www.w3.org/2001/XMLSchema" xmlns:xs="http://www.w3.org/2001/XMLSchema" xmlns:p="http://schemas.microsoft.com/office/2006/metadata/properties" xmlns:ns3="df2366cb-d69a-499f-8272-b674fb9c0b44" targetNamespace="http://schemas.microsoft.com/office/2006/metadata/properties" ma:root="true" ma:fieldsID="965d84fae6fbc2edfb09cbbdbf7b45d3" ns3:_="">
    <xsd:import namespace="df2366cb-d69a-499f-8272-b674fb9c0b44"/>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_activity"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f2366cb-d69a-499f-8272-b674fb9c0b44"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_activity" ma:index="12" nillable="true" ma:displayName="_activity" ma:hidden="true" ma:internalName="_activity">
      <xsd:simpleType>
        <xsd:restriction base="dms:Note"/>
      </xsd:simpleType>
    </xsd:element>
    <xsd:element name="MediaServiceBillingMetadata" ma:index="1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df2366cb-d69a-499f-8272-b674fb9c0b44"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8BC549F-DFD0-40FF-9640-291FD6C67F4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f2366cb-d69a-499f-8272-b674fb9c0b4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41817A-2DF5-47CC-9AD9-BD28E4FD6024}">
  <ds:schemaRefs>
    <ds:schemaRef ds:uri="http://schemas.microsoft.com/office/2006/documentManagement/types"/>
    <ds:schemaRef ds:uri="http://purl.org/dc/dcmitype/"/>
    <ds:schemaRef ds:uri="http://purl.org/dc/elements/1.1/"/>
    <ds:schemaRef ds:uri="http://schemas.openxmlformats.org/package/2006/metadata/core-properties"/>
    <ds:schemaRef ds:uri="http://www.w3.org/XML/1998/namespace"/>
    <ds:schemaRef ds:uri="http://purl.org/dc/terms/"/>
    <ds:schemaRef ds:uri="http://schemas.microsoft.com/office/infopath/2007/PartnerControls"/>
    <ds:schemaRef ds:uri="df2366cb-d69a-499f-8272-b674fb9c0b44"/>
    <ds:schemaRef ds:uri="http://schemas.microsoft.com/office/2006/metadata/properties"/>
  </ds:schemaRefs>
</ds:datastoreItem>
</file>

<file path=customXml/itemProps3.xml><?xml version="1.0" encoding="utf-8"?>
<ds:datastoreItem xmlns:ds="http://schemas.openxmlformats.org/officeDocument/2006/customXml" ds:itemID="{4E8B0BC8-A4F0-4E6B-8FE8-4A438F27D1F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RAW_DATA</vt:lpstr>
      <vt:lpstr>Data_Cleaning_Step1</vt:lpstr>
      <vt:lpstr>Data_Cleaning_Step2</vt:lpstr>
      <vt:lpstr>Clean_Data</vt:lpstr>
      <vt:lpstr>Transformed_Data</vt:lpstr>
      <vt:lpstr>Added_Data</vt:lpstr>
      <vt:lpstr>Bootstrapping</vt:lpstr>
      <vt:lpstr>casestudy1</vt:lpstr>
      <vt:lpstr>casestudy2</vt:lpstr>
      <vt:lpstr>Bootstrap_Sample1</vt:lpstr>
      <vt:lpstr>Bootstrap_Sample2</vt:lpstr>
      <vt:lpstr>PCA_Analysis</vt:lpstr>
      <vt:lpstr>New_Clean_Data</vt:lpstr>
      <vt:lpstr>DataVisualisation</vt:lpstr>
      <vt:lpstr>Statistical_Modelling</vt:lpstr>
      <vt:lpstr>Regressio_Data</vt:lpstr>
      <vt:lpstr>Regression_Output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Nageena Frost</dc:creator>
  <cp:lastModifiedBy>Julia Legner</cp:lastModifiedBy>
  <dcterms:created xsi:type="dcterms:W3CDTF">2025-10-03T09:00:37Z</dcterms:created>
  <dcterms:modified xsi:type="dcterms:W3CDTF">2025-12-03T22:51:39Z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0x0101000A77712FEDF39E438979A36797BB772B</vt:lpwstr>
  </property>
</Properties>
</file>